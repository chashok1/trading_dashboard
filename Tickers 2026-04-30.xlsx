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Ashok\Invest\Projects\Cluade\"/>
    </mc:Choice>
  </mc:AlternateContent>
  <xr:revisionPtr revIDLastSave="0" documentId="13_ncr:1_{3D665100-91C2-4601-84D7-09F9F01E5565}" xr6:coauthVersionLast="47" xr6:coauthVersionMax="47" xr10:uidLastSave="{00000000-0000-0000-0000-000000000000}"/>
  <bookViews>
    <workbookView xWindow="-120" yWindow="-120" windowWidth="29040" windowHeight="15720" tabRatio="760" activeTab="8" xr2:uid="{6773E8B4-F72C-4C19-A4D3-5483F41AC880}"/>
  </bookViews>
  <sheets>
    <sheet name="Dash" sheetId="28" r:id="rId1"/>
    <sheet name="My" sheetId="103" r:id="rId2"/>
    <sheet name="Y" sheetId="92" r:id="rId3"/>
    <sheet name="TL" sheetId="93" r:id="rId4"/>
    <sheet name="TD" sheetId="94" r:id="rId5"/>
    <sheet name="TW" sheetId="95" r:id="rId6"/>
    <sheet name="TO" sheetId="102" r:id="rId7"/>
    <sheet name="RR" sheetId="4" r:id="rId8"/>
    <sheet name="call" sheetId="69" r:id="rId9"/>
    <sheet name="F" sheetId="50" r:id="rId10"/>
    <sheet name="CS" sheetId="88" r:id="rId11"/>
    <sheet name="etf" sheetId="65" r:id="rId12"/>
    <sheet name="etfchg" sheetId="91" r:id="rId13"/>
    <sheet name="II" sheetId="87" r:id="rId14"/>
    <sheet name="IIchg" sheetId="96" r:id="rId15"/>
    <sheet name="psRk" sheetId="56" r:id="rId16"/>
    <sheet name="ps5" sheetId="54" r:id="rId17"/>
    <sheet name="psTn" sheetId="58" r:id="rId18"/>
    <sheet name="ssH" sheetId="59" r:id="rId19"/>
    <sheet name="Trig" sheetId="13" r:id="rId20"/>
    <sheet name="MA" sheetId="24" r:id="rId21"/>
    <sheet name="Stks" sheetId="89" r:id="rId22"/>
    <sheet name="Miss" sheetId="75" r:id="rId23"/>
    <sheet name="ps" sheetId="55" r:id="rId24"/>
    <sheet name="ssL" sheetId="70" r:id="rId25"/>
    <sheet name="sss" sheetId="57" r:id="rId26"/>
    <sheet name="Parm" sheetId="63" r:id="rId27"/>
    <sheet name="Desc" sheetId="52" r:id="rId28"/>
    <sheet name="Sctr" sheetId="101" r:id="rId29"/>
    <sheet name="ISMH" sheetId="26" r:id="rId30"/>
    <sheet name="Data" sheetId="10" r:id="rId31"/>
    <sheet name="HQuad" sheetId="36" r:id="rId32"/>
    <sheet name="HQds" sheetId="90" r:id="rId33"/>
    <sheet name="RRT" sheetId="7" r:id="rId34"/>
  </sheets>
  <definedNames>
    <definedName name="_xlnm._FilterDatabase" localSheetId="8" hidden="1">call!$A$1:$V$1</definedName>
    <definedName name="_xlnm._FilterDatabase" localSheetId="10" hidden="1">CS!$A$1:$AN$1</definedName>
    <definedName name="_xlnm._FilterDatabase" localSheetId="11" hidden="1">etf!$A$1:$Y$1</definedName>
    <definedName name="_xlnm._FilterDatabase" localSheetId="12" hidden="1">etfchg!$A$1:$L$1</definedName>
    <definedName name="_xlnm._FilterDatabase" localSheetId="9" hidden="1">F!$A$1:$AM$1</definedName>
    <definedName name="_xlnm._FilterDatabase" localSheetId="31">HQuad!$A$1:$L$53</definedName>
    <definedName name="_xlnm._FilterDatabase" localSheetId="13" hidden="1">II!$A$1:$Q$1</definedName>
    <definedName name="_xlnm._FilterDatabase" localSheetId="29" hidden="1">ISMH!$A$1:$I$10304</definedName>
    <definedName name="_xlnm._FilterDatabase" localSheetId="20" hidden="1">MA!$A$1:$XQ$3</definedName>
    <definedName name="_xlnm._FilterDatabase" localSheetId="23" hidden="1">ps!$A$1:$AO$100</definedName>
    <definedName name="_xlnm._FilterDatabase" localSheetId="7" hidden="1">RR!$A$1:$AA$1</definedName>
    <definedName name="_xlnm._FilterDatabase" localSheetId="33" hidden="1">RRT!$A$1:$C$77</definedName>
    <definedName name="_xlnm._FilterDatabase" localSheetId="28" hidden="1">Sctr!$A$1:$O$823</definedName>
    <definedName name="_xlnm._FilterDatabase" localSheetId="18" hidden="1">ssH!$A$1:$AB$1</definedName>
    <definedName name="_xlnm._FilterDatabase" localSheetId="24" hidden="1">ssL!$A$1:$J$144</definedName>
    <definedName name="_xlnm._FilterDatabase" localSheetId="25" hidden="1">sss!$A$1:$AE$300</definedName>
    <definedName name="_xlnm._FilterDatabase" localSheetId="21" hidden="1">Stks!$A$1:$BR$157</definedName>
    <definedName name="_xlnm._FilterDatabase" localSheetId="4" hidden="1">TD!$A$1:$AX$1</definedName>
    <definedName name="_xlnm._FilterDatabase" localSheetId="3" hidden="1">TL!$A$1:$T$1</definedName>
    <definedName name="_xlnm._FilterDatabase" localSheetId="19" hidden="1">Trig!$A$1:$ER$118</definedName>
    <definedName name="_xlnm._FilterDatabase" localSheetId="5" hidden="1">TW!$A$1:$AL$1</definedName>
    <definedName name="_xlnm._FilterDatabase" localSheetId="2" hidden="1">Y!$A$1:$P$1</definedName>
    <definedName name="Z_52D1722A_E00E_455D_B18E_AA205BA79E79_.wvu.FilterData" localSheetId="9" hidden="1">F!$A$1:$AM$1</definedName>
    <definedName name="Z_52D1722A_E00E_455D_B18E_AA205BA79E79_.wvu.FilterData" localSheetId="31" hidden="1">HQuad!$A$1:$K$53</definedName>
    <definedName name="Z_52D1722A_E00E_455D_B18E_AA205BA79E79_.wvu.FilterData" localSheetId="29" hidden="1">ISMH!$A$1:$I$10304</definedName>
    <definedName name="Z_52D1722A_E00E_455D_B18E_AA205BA79E79_.wvu.FilterData" localSheetId="20" hidden="1">MA!$A$1:$XG$1</definedName>
    <definedName name="Z_52D1722A_E00E_455D_B18E_AA205BA79E79_.wvu.FilterData" localSheetId="23" hidden="1">ps!$A$1:$AO$100</definedName>
    <definedName name="Z_52D1722A_E00E_455D_B18E_AA205BA79E79_.wvu.FilterData" localSheetId="7" hidden="1">RR!$D$1:$Z$1</definedName>
    <definedName name="Z_52D1722A_E00E_455D_B18E_AA205BA79E79_.wvu.FilterData" localSheetId="33" hidden="1">RRT!#REF!</definedName>
    <definedName name="Z_52D1722A_E00E_455D_B18E_AA205BA79E79_.wvu.FilterData" localSheetId="25" hidden="1">sss!$A$1:$AE$55</definedName>
  </definedNames>
  <calcPr calcId="191029" calcMode="manual"/>
  <customWorkbookViews>
    <customWorkbookView name="Sort By Actionable" guid="{52D1722A-E00E-455D-B18E-AA205BA79E79}" maximized="1" xWindow="-8" yWindow="-8" windowWidth="1936" windowHeight="1048" tabRatio="761" activeSheetId="48"/>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00" i="57" l="1"/>
  <c r="AD300" i="57"/>
  <c r="AC300" i="57"/>
  <c r="L300" i="57"/>
  <c r="K300" i="57"/>
  <c r="J300" i="57"/>
  <c r="I300" i="57"/>
  <c r="H300" i="57"/>
  <c r="F300" i="57"/>
  <c r="E300" i="57"/>
  <c r="D300" i="57"/>
  <c r="A300" i="57"/>
  <c r="G300" i="57" s="1"/>
  <c r="AE299" i="57"/>
  <c r="AD299" i="57"/>
  <c r="AC299" i="57"/>
  <c r="M299" i="57"/>
  <c r="K299" i="57"/>
  <c r="J299" i="57"/>
  <c r="I299" i="57"/>
  <c r="H299" i="57"/>
  <c r="F299" i="57"/>
  <c r="E299" i="57"/>
  <c r="D299" i="57"/>
  <c r="A299" i="57"/>
  <c r="L299" i="57" s="1"/>
  <c r="AE298" i="57"/>
  <c r="AD298" i="57"/>
  <c r="AC298" i="57"/>
  <c r="K298" i="57"/>
  <c r="J298" i="57"/>
  <c r="I298" i="57"/>
  <c r="H298" i="57"/>
  <c r="G298" i="57"/>
  <c r="F298" i="57"/>
  <c r="E298" i="57"/>
  <c r="D298" i="57"/>
  <c r="A298" i="57"/>
  <c r="M298" i="57" s="1"/>
  <c r="AE297" i="57"/>
  <c r="AD297" i="57"/>
  <c r="AC297" i="57"/>
  <c r="K297" i="57"/>
  <c r="J297" i="57"/>
  <c r="I297" i="57"/>
  <c r="H297" i="57"/>
  <c r="G297" i="57"/>
  <c r="F297" i="57"/>
  <c r="E297" i="57"/>
  <c r="D297" i="57"/>
  <c r="A297" i="57"/>
  <c r="M297" i="57" s="1"/>
  <c r="AE296" i="57"/>
  <c r="AD296" i="57"/>
  <c r="AC296" i="57"/>
  <c r="K296" i="57"/>
  <c r="J296" i="57"/>
  <c r="I296" i="57"/>
  <c r="H296" i="57"/>
  <c r="G296" i="57"/>
  <c r="F296" i="57"/>
  <c r="E296" i="57"/>
  <c r="D296" i="57"/>
  <c r="A296" i="57"/>
  <c r="M296" i="57" s="1"/>
  <c r="AE295" i="57"/>
  <c r="AD295" i="57"/>
  <c r="AC295" i="57"/>
  <c r="K295" i="57"/>
  <c r="J295" i="57"/>
  <c r="I295" i="57"/>
  <c r="H295" i="57"/>
  <c r="G295" i="57"/>
  <c r="F295" i="57"/>
  <c r="E295" i="57"/>
  <c r="D295" i="57"/>
  <c r="A295" i="57"/>
  <c r="M295" i="57" s="1"/>
  <c r="AE294" i="57"/>
  <c r="AD294" i="57"/>
  <c r="AC294" i="57"/>
  <c r="K294" i="57"/>
  <c r="J294" i="57"/>
  <c r="I294" i="57"/>
  <c r="H294" i="57"/>
  <c r="F294" i="57"/>
  <c r="E294" i="57"/>
  <c r="D294" i="57"/>
  <c r="A294" i="57"/>
  <c r="G294" i="57" s="1"/>
  <c r="AE293" i="57"/>
  <c r="AD293" i="57"/>
  <c r="AC293" i="57"/>
  <c r="K293" i="57"/>
  <c r="J293" i="57"/>
  <c r="I293" i="57"/>
  <c r="H293" i="57"/>
  <c r="F293" i="57"/>
  <c r="E293" i="57"/>
  <c r="D293" i="57"/>
  <c r="A293" i="57"/>
  <c r="G293" i="57" s="1"/>
  <c r="AE292" i="57"/>
  <c r="AD292" i="57"/>
  <c r="AC292" i="57"/>
  <c r="L292" i="57"/>
  <c r="K292" i="57"/>
  <c r="J292" i="57"/>
  <c r="I292" i="57"/>
  <c r="H292" i="57"/>
  <c r="F292" i="57"/>
  <c r="E292" i="57"/>
  <c r="D292" i="57"/>
  <c r="A292" i="57"/>
  <c r="G292" i="57" s="1"/>
  <c r="AE291" i="57"/>
  <c r="AD291" i="57"/>
  <c r="AC291" i="57"/>
  <c r="M291" i="57"/>
  <c r="L291" i="57"/>
  <c r="K291" i="57"/>
  <c r="J291" i="57"/>
  <c r="I291" i="57"/>
  <c r="H291" i="57"/>
  <c r="F291" i="57"/>
  <c r="E291" i="57"/>
  <c r="D291" i="57"/>
  <c r="A291" i="57"/>
  <c r="G291" i="57" s="1"/>
  <c r="AE290" i="57"/>
  <c r="AD290" i="57"/>
  <c r="AC290" i="57"/>
  <c r="M290" i="57"/>
  <c r="L290" i="57"/>
  <c r="K290" i="57"/>
  <c r="J290" i="57"/>
  <c r="I290" i="57"/>
  <c r="H290" i="57"/>
  <c r="G290" i="57"/>
  <c r="F290" i="57"/>
  <c r="E290" i="57"/>
  <c r="D290" i="57"/>
  <c r="A290" i="57"/>
  <c r="AE289" i="57"/>
  <c r="AD289" i="57"/>
  <c r="AC289" i="57"/>
  <c r="M289" i="57"/>
  <c r="K289" i="57"/>
  <c r="J289" i="57"/>
  <c r="I289" i="57"/>
  <c r="H289" i="57"/>
  <c r="G289" i="57"/>
  <c r="F289" i="57"/>
  <c r="E289" i="57"/>
  <c r="D289" i="57"/>
  <c r="A289" i="57"/>
  <c r="L289" i="57" s="1"/>
  <c r="AE288" i="57"/>
  <c r="AD288" i="57"/>
  <c r="AC288" i="57"/>
  <c r="K288" i="57"/>
  <c r="J288" i="57"/>
  <c r="I288" i="57"/>
  <c r="H288" i="57"/>
  <c r="G288" i="57"/>
  <c r="F288" i="57"/>
  <c r="E288" i="57"/>
  <c r="D288" i="57"/>
  <c r="A288" i="57"/>
  <c r="M288" i="57" s="1"/>
  <c r="AE287" i="57"/>
  <c r="AD287" i="57"/>
  <c r="AC287" i="57"/>
  <c r="K287" i="57"/>
  <c r="J287" i="57"/>
  <c r="I287" i="57"/>
  <c r="H287" i="57"/>
  <c r="G287" i="57"/>
  <c r="F287" i="57"/>
  <c r="E287" i="57"/>
  <c r="D287" i="57"/>
  <c r="A287" i="57"/>
  <c r="M287" i="57" s="1"/>
  <c r="AE286" i="57"/>
  <c r="AD286" i="57"/>
  <c r="AC286" i="57"/>
  <c r="K286" i="57"/>
  <c r="J286" i="57"/>
  <c r="I286" i="57"/>
  <c r="H286" i="57"/>
  <c r="F286" i="57"/>
  <c r="E286" i="57"/>
  <c r="D286" i="57"/>
  <c r="A286" i="57"/>
  <c r="G286" i="57" s="1"/>
  <c r="AE285" i="57"/>
  <c r="AD285" i="57"/>
  <c r="AC285" i="57"/>
  <c r="K285" i="57"/>
  <c r="J285" i="57"/>
  <c r="I285" i="57"/>
  <c r="H285" i="57"/>
  <c r="F285" i="57"/>
  <c r="E285" i="57"/>
  <c r="D285" i="57"/>
  <c r="A285" i="57"/>
  <c r="AE284" i="57"/>
  <c r="AD284" i="57"/>
  <c r="AC284" i="57"/>
  <c r="K284" i="57"/>
  <c r="J284" i="57"/>
  <c r="I284" i="57"/>
  <c r="H284" i="57"/>
  <c r="F284" i="57"/>
  <c r="E284" i="57"/>
  <c r="D284" i="57"/>
  <c r="A284" i="57"/>
  <c r="AE283" i="57"/>
  <c r="AD283" i="57"/>
  <c r="AC283" i="57"/>
  <c r="M283" i="57"/>
  <c r="K283" i="57"/>
  <c r="J283" i="57"/>
  <c r="I283" i="57"/>
  <c r="H283" i="57"/>
  <c r="F283" i="57"/>
  <c r="E283" i="57"/>
  <c r="D283" i="57"/>
  <c r="A283" i="57"/>
  <c r="G283" i="57" s="1"/>
  <c r="AE282" i="57"/>
  <c r="AD282" i="57"/>
  <c r="AC282" i="57"/>
  <c r="M282" i="57"/>
  <c r="L282" i="57"/>
  <c r="K282" i="57"/>
  <c r="J282" i="57"/>
  <c r="I282" i="57"/>
  <c r="H282" i="57"/>
  <c r="G282" i="57"/>
  <c r="F282" i="57"/>
  <c r="E282" i="57"/>
  <c r="D282" i="57"/>
  <c r="A282" i="57"/>
  <c r="AE281" i="57"/>
  <c r="AD281" i="57"/>
  <c r="AC281" i="57"/>
  <c r="M281" i="57"/>
  <c r="K281" i="57"/>
  <c r="J281" i="57"/>
  <c r="I281" i="57"/>
  <c r="H281" i="57"/>
  <c r="G281" i="57"/>
  <c r="F281" i="57"/>
  <c r="E281" i="57"/>
  <c r="D281" i="57"/>
  <c r="A281" i="57"/>
  <c r="L281" i="57" s="1"/>
  <c r="AE280" i="57"/>
  <c r="AD280" i="57"/>
  <c r="AC280" i="57"/>
  <c r="K280" i="57"/>
  <c r="J280" i="57"/>
  <c r="I280" i="57"/>
  <c r="H280" i="57"/>
  <c r="F280" i="57"/>
  <c r="E280" i="57"/>
  <c r="D280" i="57"/>
  <c r="A280" i="57"/>
  <c r="G280" i="57" s="1"/>
  <c r="AE279" i="57"/>
  <c r="AD279" i="57"/>
  <c r="AC279" i="57"/>
  <c r="K279" i="57"/>
  <c r="J279" i="57"/>
  <c r="I279" i="57"/>
  <c r="H279" i="57"/>
  <c r="F279" i="57"/>
  <c r="E279" i="57"/>
  <c r="D279" i="57"/>
  <c r="A279" i="57"/>
  <c r="AE278" i="57"/>
  <c r="AD278" i="57"/>
  <c r="AC278" i="57"/>
  <c r="K278" i="57"/>
  <c r="J278" i="57"/>
  <c r="I278" i="57"/>
  <c r="H278" i="57"/>
  <c r="F278" i="57"/>
  <c r="E278" i="57"/>
  <c r="D278" i="57"/>
  <c r="A278" i="57"/>
  <c r="L278" i="57" s="1"/>
  <c r="AE277" i="57"/>
  <c r="AD277" i="57"/>
  <c r="AC277" i="57"/>
  <c r="M277" i="57"/>
  <c r="K277" i="57"/>
  <c r="J277" i="57"/>
  <c r="I277" i="57"/>
  <c r="H277" i="57"/>
  <c r="F277" i="57"/>
  <c r="E277" i="57"/>
  <c r="D277" i="57"/>
  <c r="A277" i="57"/>
  <c r="G277" i="57" s="1"/>
  <c r="AE276" i="57"/>
  <c r="AD276" i="57"/>
  <c r="AC276" i="57"/>
  <c r="M276" i="57"/>
  <c r="L276" i="57"/>
  <c r="K276" i="57"/>
  <c r="J276" i="57"/>
  <c r="I276" i="57"/>
  <c r="H276" i="57"/>
  <c r="G276" i="57"/>
  <c r="F276" i="57"/>
  <c r="E276" i="57"/>
  <c r="D276" i="57"/>
  <c r="A276" i="57"/>
  <c r="AE275" i="57"/>
  <c r="AD275" i="57"/>
  <c r="AC275" i="57"/>
  <c r="K275" i="57"/>
  <c r="J275" i="57"/>
  <c r="I275" i="57"/>
  <c r="H275" i="57"/>
  <c r="F275" i="57"/>
  <c r="E275" i="57"/>
  <c r="D275" i="57"/>
  <c r="A275" i="57"/>
  <c r="L275" i="57" s="1"/>
  <c r="AE274" i="57"/>
  <c r="AD274" i="57"/>
  <c r="AC274" i="57"/>
  <c r="L274" i="57"/>
  <c r="K274" i="57"/>
  <c r="J274" i="57"/>
  <c r="I274" i="57"/>
  <c r="H274" i="57"/>
  <c r="G274" i="57"/>
  <c r="F274" i="57"/>
  <c r="E274" i="57"/>
  <c r="D274" i="57"/>
  <c r="A274" i="57"/>
  <c r="M274" i="57" s="1"/>
  <c r="AE273" i="57"/>
  <c r="AD273" i="57"/>
  <c r="AC273" i="57"/>
  <c r="M273" i="57"/>
  <c r="L273" i="57"/>
  <c r="K273" i="57"/>
  <c r="J273" i="57"/>
  <c r="I273" i="57"/>
  <c r="H273" i="57"/>
  <c r="G273" i="57"/>
  <c r="F273" i="57"/>
  <c r="E273" i="57"/>
  <c r="D273" i="57"/>
  <c r="A273" i="57"/>
  <c r="AE272" i="57"/>
  <c r="AD272" i="57"/>
  <c r="AC272" i="57"/>
  <c r="M272" i="57"/>
  <c r="K272" i="57"/>
  <c r="J272" i="57"/>
  <c r="I272" i="57"/>
  <c r="H272" i="57"/>
  <c r="G272" i="57"/>
  <c r="F272" i="57"/>
  <c r="E272" i="57"/>
  <c r="D272" i="57"/>
  <c r="A272" i="57"/>
  <c r="L272" i="57" s="1"/>
  <c r="AE271" i="57"/>
  <c r="AD271" i="57"/>
  <c r="AC271" i="57"/>
  <c r="L271" i="57"/>
  <c r="K271" i="57"/>
  <c r="J271" i="57"/>
  <c r="I271" i="57"/>
  <c r="H271" i="57"/>
  <c r="G271" i="57"/>
  <c r="F271" i="57"/>
  <c r="E271" i="57"/>
  <c r="D271" i="57"/>
  <c r="A271" i="57"/>
  <c r="M271" i="57" s="1"/>
  <c r="AE270" i="57"/>
  <c r="AD270" i="57"/>
  <c r="AC270" i="57"/>
  <c r="M270" i="57"/>
  <c r="L270" i="57"/>
  <c r="K270" i="57"/>
  <c r="J270" i="57"/>
  <c r="I270" i="57"/>
  <c r="H270" i="57"/>
  <c r="G270" i="57"/>
  <c r="F270" i="57"/>
  <c r="E270" i="57"/>
  <c r="D270" i="57"/>
  <c r="A270" i="57"/>
  <c r="AE269" i="57"/>
  <c r="AD269" i="57"/>
  <c r="AC269" i="57"/>
  <c r="M269" i="57"/>
  <c r="K269" i="57"/>
  <c r="J269" i="57"/>
  <c r="I269" i="57"/>
  <c r="H269" i="57"/>
  <c r="F269" i="57"/>
  <c r="E269" i="57"/>
  <c r="D269" i="57"/>
  <c r="A269" i="57"/>
  <c r="G269" i="57" s="1"/>
  <c r="AE268" i="57"/>
  <c r="AD268" i="57"/>
  <c r="AC268" i="57"/>
  <c r="L268" i="57"/>
  <c r="K268" i="57"/>
  <c r="J268" i="57"/>
  <c r="I268" i="57"/>
  <c r="H268" i="57"/>
  <c r="G268" i="57"/>
  <c r="F268" i="57"/>
  <c r="E268" i="57"/>
  <c r="D268" i="57"/>
  <c r="A268" i="57"/>
  <c r="M268" i="57" s="1"/>
  <c r="AE267" i="57"/>
  <c r="AD267" i="57"/>
  <c r="AC267" i="57"/>
  <c r="M267" i="57"/>
  <c r="L267" i="57"/>
  <c r="K267" i="57"/>
  <c r="J267" i="57"/>
  <c r="I267" i="57"/>
  <c r="H267" i="57"/>
  <c r="G267" i="57"/>
  <c r="F267" i="57"/>
  <c r="E267" i="57"/>
  <c r="D267" i="57"/>
  <c r="A267" i="57"/>
  <c r="AE266" i="57"/>
  <c r="AD266" i="57"/>
  <c r="AC266" i="57"/>
  <c r="K266" i="57"/>
  <c r="J266" i="57"/>
  <c r="I266" i="57"/>
  <c r="H266" i="57"/>
  <c r="F266" i="57"/>
  <c r="E266" i="57"/>
  <c r="D266" i="57"/>
  <c r="A266" i="57"/>
  <c r="M266" i="57" s="1"/>
  <c r="AE265" i="57"/>
  <c r="AD265" i="57"/>
  <c r="AC265" i="57"/>
  <c r="M265" i="57"/>
  <c r="L265" i="57"/>
  <c r="K265" i="57"/>
  <c r="J265" i="57"/>
  <c r="I265" i="57"/>
  <c r="H265" i="57"/>
  <c r="G265" i="57"/>
  <c r="F265" i="57"/>
  <c r="E265" i="57"/>
  <c r="D265" i="57"/>
  <c r="A265" i="57"/>
  <c r="AE264" i="57"/>
  <c r="AD264" i="57"/>
  <c r="AC264" i="57"/>
  <c r="K264" i="57"/>
  <c r="J264" i="57"/>
  <c r="I264" i="57"/>
  <c r="H264" i="57"/>
  <c r="F264" i="57"/>
  <c r="E264" i="57"/>
  <c r="D264" i="57"/>
  <c r="A264" i="57"/>
  <c r="AE263" i="57"/>
  <c r="AD263" i="57"/>
  <c r="AC263" i="57"/>
  <c r="K263" i="57"/>
  <c r="J263" i="57"/>
  <c r="I263" i="57"/>
  <c r="H263" i="57"/>
  <c r="F263" i="57"/>
  <c r="E263" i="57"/>
  <c r="D263" i="57"/>
  <c r="A263" i="57"/>
  <c r="G263" i="57" s="1"/>
  <c r="AE262" i="57"/>
  <c r="AD262" i="57"/>
  <c r="AC262" i="57"/>
  <c r="K262" i="57"/>
  <c r="J262" i="57"/>
  <c r="I262" i="57"/>
  <c r="H262" i="57"/>
  <c r="F262" i="57"/>
  <c r="E262" i="57"/>
  <c r="D262" i="57"/>
  <c r="A262" i="57"/>
  <c r="AE261" i="57"/>
  <c r="AD261" i="57"/>
  <c r="AC261" i="57"/>
  <c r="K261" i="57"/>
  <c r="J261" i="57"/>
  <c r="I261" i="57"/>
  <c r="H261" i="57"/>
  <c r="F261" i="57"/>
  <c r="E261" i="57"/>
  <c r="D261" i="57"/>
  <c r="A261" i="57"/>
  <c r="G261" i="57" s="1"/>
  <c r="AE260" i="57"/>
  <c r="AD260" i="57"/>
  <c r="AC260" i="57"/>
  <c r="K260" i="57"/>
  <c r="J260" i="57"/>
  <c r="I260" i="57"/>
  <c r="H260" i="57"/>
  <c r="F260" i="57"/>
  <c r="E260" i="57"/>
  <c r="D260" i="57"/>
  <c r="A260" i="57"/>
  <c r="M260" i="57" s="1"/>
  <c r="AE259" i="57"/>
  <c r="AD259" i="57"/>
  <c r="AC259" i="57"/>
  <c r="K259" i="57"/>
  <c r="J259" i="57"/>
  <c r="I259" i="57"/>
  <c r="H259" i="57"/>
  <c r="F259" i="57"/>
  <c r="E259" i="57"/>
  <c r="D259" i="57"/>
  <c r="A259" i="57"/>
  <c r="G259" i="57" s="1"/>
  <c r="AE258" i="57"/>
  <c r="AD258" i="57"/>
  <c r="AC258" i="57"/>
  <c r="M258" i="57"/>
  <c r="L258" i="57"/>
  <c r="K258" i="57"/>
  <c r="J258" i="57"/>
  <c r="I258" i="57"/>
  <c r="H258" i="57"/>
  <c r="F258" i="57"/>
  <c r="E258" i="57"/>
  <c r="D258" i="57"/>
  <c r="A258" i="57"/>
  <c r="G258" i="57" s="1"/>
  <c r="AE257" i="57"/>
  <c r="AD257" i="57"/>
  <c r="AC257" i="57"/>
  <c r="M257" i="57"/>
  <c r="L257" i="57"/>
  <c r="K257" i="57"/>
  <c r="J257" i="57"/>
  <c r="I257" i="57"/>
  <c r="H257" i="57"/>
  <c r="G257" i="57"/>
  <c r="F257" i="57"/>
  <c r="E257" i="57"/>
  <c r="D257" i="57"/>
  <c r="A257" i="57"/>
  <c r="AE256" i="57"/>
  <c r="AD256" i="57"/>
  <c r="AC256" i="57"/>
  <c r="K256" i="57"/>
  <c r="J256" i="57"/>
  <c r="I256" i="57"/>
  <c r="H256" i="57"/>
  <c r="F256" i="57"/>
  <c r="E256" i="57"/>
  <c r="D256" i="57"/>
  <c r="A256" i="57"/>
  <c r="AE255" i="57"/>
  <c r="AD255" i="57"/>
  <c r="AC255" i="57"/>
  <c r="K255" i="57"/>
  <c r="J255" i="57"/>
  <c r="I255" i="57"/>
  <c r="H255" i="57"/>
  <c r="F255" i="57"/>
  <c r="E255" i="57"/>
  <c r="D255" i="57"/>
  <c r="A255" i="57"/>
  <c r="AE254" i="57"/>
  <c r="AD254" i="57"/>
  <c r="AC254" i="57"/>
  <c r="K254" i="57"/>
  <c r="J254" i="57"/>
  <c r="I254" i="57"/>
  <c r="H254" i="57"/>
  <c r="F254" i="57"/>
  <c r="E254" i="57"/>
  <c r="D254" i="57"/>
  <c r="A254" i="57"/>
  <c r="AE253" i="57"/>
  <c r="AD253" i="57"/>
  <c r="AC253" i="57"/>
  <c r="M253" i="57"/>
  <c r="K253" i="57"/>
  <c r="J253" i="57"/>
  <c r="I253" i="57"/>
  <c r="H253" i="57"/>
  <c r="F253" i="57"/>
  <c r="E253" i="57"/>
  <c r="D253" i="57"/>
  <c r="A253" i="57"/>
  <c r="G253" i="57" s="1"/>
  <c r="AE252" i="57"/>
  <c r="AD252" i="57"/>
  <c r="AC252" i="57"/>
  <c r="L252" i="57"/>
  <c r="K252" i="57"/>
  <c r="J252" i="57"/>
  <c r="I252" i="57"/>
  <c r="H252" i="57"/>
  <c r="F252" i="57"/>
  <c r="E252" i="57"/>
  <c r="D252" i="57"/>
  <c r="A252" i="57"/>
  <c r="G252" i="57" s="1"/>
  <c r="AE251" i="57"/>
  <c r="AD251" i="57"/>
  <c r="AC251" i="57"/>
  <c r="K251" i="57"/>
  <c r="J251" i="57"/>
  <c r="I251" i="57"/>
  <c r="H251" i="57"/>
  <c r="F251" i="57"/>
  <c r="E251" i="57"/>
  <c r="D251" i="57"/>
  <c r="A251" i="57"/>
  <c r="AE250" i="57"/>
  <c r="AD250" i="57"/>
  <c r="AC250" i="57"/>
  <c r="M250" i="57"/>
  <c r="L250" i="57"/>
  <c r="K250" i="57"/>
  <c r="J250" i="57"/>
  <c r="I250" i="57"/>
  <c r="H250" i="57"/>
  <c r="G250" i="57"/>
  <c r="F250" i="57"/>
  <c r="E250" i="57"/>
  <c r="D250" i="57"/>
  <c r="A250" i="57"/>
  <c r="AE249" i="57"/>
  <c r="AD249" i="57"/>
  <c r="AC249" i="57"/>
  <c r="M249" i="57"/>
  <c r="L249" i="57"/>
  <c r="K249" i="57"/>
  <c r="J249" i="57"/>
  <c r="I249" i="57"/>
  <c r="H249" i="57"/>
  <c r="G249" i="57"/>
  <c r="F249" i="57"/>
  <c r="E249" i="57"/>
  <c r="D249" i="57"/>
  <c r="A249" i="57"/>
  <c r="AE248" i="57"/>
  <c r="AD248" i="57"/>
  <c r="AC248" i="57"/>
  <c r="K248" i="57"/>
  <c r="J248" i="57"/>
  <c r="I248" i="57"/>
  <c r="H248" i="57"/>
  <c r="F248" i="57"/>
  <c r="E248" i="57"/>
  <c r="D248" i="57"/>
  <c r="A248" i="57"/>
  <c r="G248" i="57" s="1"/>
  <c r="AE247" i="57"/>
  <c r="AD247" i="57"/>
  <c r="AC247" i="57"/>
  <c r="K247" i="57"/>
  <c r="J247" i="57"/>
  <c r="I247" i="57"/>
  <c r="H247" i="57"/>
  <c r="F247" i="57"/>
  <c r="E247" i="57"/>
  <c r="D247" i="57"/>
  <c r="A247" i="57"/>
  <c r="G247" i="57" s="1"/>
  <c r="AE246" i="57"/>
  <c r="AD246" i="57"/>
  <c r="AC246" i="57"/>
  <c r="M246" i="57"/>
  <c r="K246" i="57"/>
  <c r="J246" i="57"/>
  <c r="I246" i="57"/>
  <c r="H246" i="57"/>
  <c r="G246" i="57"/>
  <c r="F246" i="57"/>
  <c r="E246" i="57"/>
  <c r="D246" i="57"/>
  <c r="A246" i="57"/>
  <c r="L246" i="57" s="1"/>
  <c r="AE245" i="57"/>
  <c r="AD245" i="57"/>
  <c r="AC245" i="57"/>
  <c r="M245" i="57"/>
  <c r="K245" i="57"/>
  <c r="J245" i="57"/>
  <c r="I245" i="57"/>
  <c r="H245" i="57"/>
  <c r="F245" i="57"/>
  <c r="E245" i="57"/>
  <c r="D245" i="57"/>
  <c r="A245" i="57"/>
  <c r="G245" i="57" s="1"/>
  <c r="AE244" i="57"/>
  <c r="AD244" i="57"/>
  <c r="AC244" i="57"/>
  <c r="M244" i="57"/>
  <c r="L244" i="57"/>
  <c r="K244" i="57"/>
  <c r="J244" i="57"/>
  <c r="I244" i="57"/>
  <c r="H244" i="57"/>
  <c r="G244" i="57"/>
  <c r="F244" i="57"/>
  <c r="E244" i="57"/>
  <c r="D244" i="57"/>
  <c r="A244" i="57"/>
  <c r="AE243" i="57"/>
  <c r="AD243" i="57"/>
  <c r="AC243" i="57"/>
  <c r="M243" i="57"/>
  <c r="K243" i="57"/>
  <c r="J243" i="57"/>
  <c r="I243" i="57"/>
  <c r="H243" i="57"/>
  <c r="F243" i="57"/>
  <c r="E243" i="57"/>
  <c r="D243" i="57"/>
  <c r="A243" i="57"/>
  <c r="L243" i="57" s="1"/>
  <c r="AE242" i="57"/>
  <c r="AD242" i="57"/>
  <c r="AC242" i="57"/>
  <c r="L242" i="57"/>
  <c r="K242" i="57"/>
  <c r="J242" i="57"/>
  <c r="I242" i="57"/>
  <c r="H242" i="57"/>
  <c r="G242" i="57"/>
  <c r="F242" i="57"/>
  <c r="E242" i="57"/>
  <c r="D242" i="57"/>
  <c r="A242" i="57"/>
  <c r="M242" i="57" s="1"/>
  <c r="AE241" i="57"/>
  <c r="AD241" i="57"/>
  <c r="AC241" i="57"/>
  <c r="M241" i="57"/>
  <c r="L241" i="57"/>
  <c r="K241" i="57"/>
  <c r="J241" i="57"/>
  <c r="I241" i="57"/>
  <c r="H241" i="57"/>
  <c r="G241" i="57"/>
  <c r="F241" i="57"/>
  <c r="E241" i="57"/>
  <c r="D241" i="57"/>
  <c r="A241" i="57"/>
  <c r="AE240" i="57"/>
  <c r="AD240" i="57"/>
  <c r="AC240" i="57"/>
  <c r="M240" i="57"/>
  <c r="K240" i="57"/>
  <c r="J240" i="57"/>
  <c r="I240" i="57"/>
  <c r="H240" i="57"/>
  <c r="G240" i="57"/>
  <c r="F240" i="57"/>
  <c r="E240" i="57"/>
  <c r="D240" i="57"/>
  <c r="A240" i="57"/>
  <c r="L240" i="57" s="1"/>
  <c r="AE239" i="57"/>
  <c r="AD239" i="57"/>
  <c r="AC239" i="57"/>
  <c r="L239" i="57"/>
  <c r="K239" i="57"/>
  <c r="J239" i="57"/>
  <c r="I239" i="57"/>
  <c r="H239" i="57"/>
  <c r="G239" i="57"/>
  <c r="F239" i="57"/>
  <c r="E239" i="57"/>
  <c r="D239" i="57"/>
  <c r="A239" i="57"/>
  <c r="M239" i="57" s="1"/>
  <c r="AE238" i="57"/>
  <c r="AD238" i="57"/>
  <c r="AC238" i="57"/>
  <c r="M238" i="57"/>
  <c r="L238" i="57"/>
  <c r="K238" i="57"/>
  <c r="J238" i="57"/>
  <c r="I238" i="57"/>
  <c r="H238" i="57"/>
  <c r="G238" i="57"/>
  <c r="F238" i="57"/>
  <c r="E238" i="57"/>
  <c r="D238" i="57"/>
  <c r="A238" i="57"/>
  <c r="AE237" i="57"/>
  <c r="AD237" i="57"/>
  <c r="AC237" i="57"/>
  <c r="M237" i="57"/>
  <c r="K237" i="57"/>
  <c r="J237" i="57"/>
  <c r="I237" i="57"/>
  <c r="H237" i="57"/>
  <c r="F237" i="57"/>
  <c r="E237" i="57"/>
  <c r="D237" i="57"/>
  <c r="A237" i="57"/>
  <c r="G237" i="57" s="1"/>
  <c r="AE236" i="57"/>
  <c r="AD236" i="57"/>
  <c r="AC236" i="57"/>
  <c r="L236" i="57"/>
  <c r="K236" i="57"/>
  <c r="J236" i="57"/>
  <c r="I236" i="57"/>
  <c r="H236" i="57"/>
  <c r="G236" i="57"/>
  <c r="F236" i="57"/>
  <c r="E236" i="57"/>
  <c r="D236" i="57"/>
  <c r="A236" i="57"/>
  <c r="M236" i="57" s="1"/>
  <c r="AE235" i="57"/>
  <c r="AD235" i="57"/>
  <c r="AC235" i="57"/>
  <c r="M235" i="57"/>
  <c r="L235" i="57"/>
  <c r="K235" i="57"/>
  <c r="J235" i="57"/>
  <c r="I235" i="57"/>
  <c r="H235" i="57"/>
  <c r="G235" i="57"/>
  <c r="F235" i="57"/>
  <c r="E235" i="57"/>
  <c r="D235" i="57"/>
  <c r="A235" i="57"/>
  <c r="AE234" i="57"/>
  <c r="AD234" i="57"/>
  <c r="AC234" i="57"/>
  <c r="K234" i="57"/>
  <c r="J234" i="57"/>
  <c r="I234" i="57"/>
  <c r="H234" i="57"/>
  <c r="F234" i="57"/>
  <c r="E234" i="57"/>
  <c r="D234" i="57"/>
  <c r="A234" i="57"/>
  <c r="M234" i="57" s="1"/>
  <c r="AE233" i="57"/>
  <c r="AD233" i="57"/>
  <c r="AC233" i="57"/>
  <c r="M233" i="57"/>
  <c r="L233" i="57"/>
  <c r="K233" i="57"/>
  <c r="J233" i="57"/>
  <c r="I233" i="57"/>
  <c r="H233" i="57"/>
  <c r="G233" i="57"/>
  <c r="F233" i="57"/>
  <c r="E233" i="57"/>
  <c r="D233" i="57"/>
  <c r="A233" i="57"/>
  <c r="AE232" i="57"/>
  <c r="AD232" i="57"/>
  <c r="AC232" i="57"/>
  <c r="K232" i="57"/>
  <c r="J232" i="57"/>
  <c r="I232" i="57"/>
  <c r="H232" i="57"/>
  <c r="G232" i="57"/>
  <c r="F232" i="57"/>
  <c r="E232" i="57"/>
  <c r="D232" i="57"/>
  <c r="A232" i="57"/>
  <c r="AE231" i="57"/>
  <c r="AD231" i="57"/>
  <c r="AC231" i="57"/>
  <c r="K231" i="57"/>
  <c r="J231" i="57"/>
  <c r="I231" i="57"/>
  <c r="H231" i="57"/>
  <c r="G231" i="57"/>
  <c r="F231" i="57"/>
  <c r="E231" i="57"/>
  <c r="D231" i="57"/>
  <c r="A231" i="57"/>
  <c r="AE230" i="57"/>
  <c r="AD230" i="57"/>
  <c r="AC230" i="57"/>
  <c r="K230" i="57"/>
  <c r="J230" i="57"/>
  <c r="I230" i="57"/>
  <c r="H230" i="57"/>
  <c r="F230" i="57"/>
  <c r="E230" i="57"/>
  <c r="D230" i="57"/>
  <c r="A230" i="57"/>
  <c r="G230" i="57" s="1"/>
  <c r="AE229" i="57"/>
  <c r="AD229" i="57"/>
  <c r="AC229" i="57"/>
  <c r="K229" i="57"/>
  <c r="J229" i="57"/>
  <c r="I229" i="57"/>
  <c r="H229" i="57"/>
  <c r="F229" i="57"/>
  <c r="E229" i="57"/>
  <c r="D229" i="57"/>
  <c r="A229" i="57"/>
  <c r="G229" i="57" s="1"/>
  <c r="AE228" i="57"/>
  <c r="AD228" i="57"/>
  <c r="AC228" i="57"/>
  <c r="K228" i="57"/>
  <c r="J228" i="57"/>
  <c r="I228" i="57"/>
  <c r="H228" i="57"/>
  <c r="F228" i="57"/>
  <c r="E228" i="57"/>
  <c r="D228" i="57"/>
  <c r="A228" i="57"/>
  <c r="M228" i="57" s="1"/>
  <c r="AE227" i="57"/>
  <c r="AD227" i="57"/>
  <c r="AC227" i="57"/>
  <c r="K227" i="57"/>
  <c r="J227" i="57"/>
  <c r="I227" i="57"/>
  <c r="H227" i="57"/>
  <c r="F227" i="57"/>
  <c r="E227" i="57"/>
  <c r="D227" i="57"/>
  <c r="A227" i="57"/>
  <c r="AE226" i="57"/>
  <c r="AD226" i="57"/>
  <c r="AC226" i="57"/>
  <c r="L226" i="57"/>
  <c r="K226" i="57"/>
  <c r="J226" i="57"/>
  <c r="I226" i="57"/>
  <c r="H226" i="57"/>
  <c r="F226" i="57"/>
  <c r="E226" i="57"/>
  <c r="D226" i="57"/>
  <c r="A226" i="57"/>
  <c r="G226" i="57" s="1"/>
  <c r="AE225" i="57"/>
  <c r="AD225" i="57"/>
  <c r="AC225" i="57"/>
  <c r="M225" i="57"/>
  <c r="L225" i="57"/>
  <c r="K225" i="57"/>
  <c r="J225" i="57"/>
  <c r="I225" i="57"/>
  <c r="H225" i="57"/>
  <c r="G225" i="57"/>
  <c r="F225" i="57"/>
  <c r="E225" i="57"/>
  <c r="D225" i="57"/>
  <c r="A225" i="57"/>
  <c r="AE224" i="57"/>
  <c r="AD224" i="57"/>
  <c r="AC224" i="57"/>
  <c r="K224" i="57"/>
  <c r="J224" i="57"/>
  <c r="I224" i="57"/>
  <c r="H224" i="57"/>
  <c r="F224" i="57"/>
  <c r="E224" i="57"/>
  <c r="D224" i="57"/>
  <c r="A224" i="57"/>
  <c r="AE223" i="57"/>
  <c r="AD223" i="57"/>
  <c r="AC223" i="57"/>
  <c r="K223" i="57"/>
  <c r="J223" i="57"/>
  <c r="I223" i="57"/>
  <c r="H223" i="57"/>
  <c r="F223" i="57"/>
  <c r="E223" i="57"/>
  <c r="D223" i="57"/>
  <c r="A223" i="57"/>
  <c r="AE222" i="57"/>
  <c r="AD222" i="57"/>
  <c r="AC222" i="57"/>
  <c r="K222" i="57"/>
  <c r="J222" i="57"/>
  <c r="I222" i="57"/>
  <c r="H222" i="57"/>
  <c r="F222" i="57"/>
  <c r="E222" i="57"/>
  <c r="D222" i="57"/>
  <c r="A222" i="57"/>
  <c r="AE221" i="57"/>
  <c r="AD221" i="57"/>
  <c r="AC221" i="57"/>
  <c r="M221" i="57"/>
  <c r="K221" i="57"/>
  <c r="J221" i="57"/>
  <c r="I221" i="57"/>
  <c r="H221" i="57"/>
  <c r="F221" i="57"/>
  <c r="E221" i="57"/>
  <c r="D221" i="57"/>
  <c r="A221" i="57"/>
  <c r="G221" i="57" s="1"/>
  <c r="AE220" i="57"/>
  <c r="AD220" i="57"/>
  <c r="AC220" i="57"/>
  <c r="L220" i="57"/>
  <c r="K220" i="57"/>
  <c r="J220" i="57"/>
  <c r="I220" i="57"/>
  <c r="H220" i="57"/>
  <c r="F220" i="57"/>
  <c r="E220" i="57"/>
  <c r="D220" i="57"/>
  <c r="A220" i="57"/>
  <c r="G220" i="57" s="1"/>
  <c r="AE219" i="57"/>
  <c r="AD219" i="57"/>
  <c r="AC219" i="57"/>
  <c r="K219" i="57"/>
  <c r="J219" i="57"/>
  <c r="I219" i="57"/>
  <c r="H219" i="57"/>
  <c r="F219" i="57"/>
  <c r="E219" i="57"/>
  <c r="D219" i="57"/>
  <c r="A219" i="57"/>
  <c r="AE218" i="57"/>
  <c r="AD218" i="57"/>
  <c r="AC218" i="57"/>
  <c r="M218" i="57"/>
  <c r="L218" i="57"/>
  <c r="K218" i="57"/>
  <c r="J218" i="57"/>
  <c r="I218" i="57"/>
  <c r="H218" i="57"/>
  <c r="G218" i="57"/>
  <c r="F218" i="57"/>
  <c r="E218" i="57"/>
  <c r="D218" i="57"/>
  <c r="A218" i="57"/>
  <c r="AE217" i="57"/>
  <c r="AD217" i="57"/>
  <c r="AC217" i="57"/>
  <c r="M217" i="57"/>
  <c r="L217" i="57"/>
  <c r="K217" i="57"/>
  <c r="J217" i="57"/>
  <c r="I217" i="57"/>
  <c r="H217" i="57"/>
  <c r="G217" i="57"/>
  <c r="F217" i="57"/>
  <c r="E217" i="57"/>
  <c r="D217" i="57"/>
  <c r="A217" i="57"/>
  <c r="AE216" i="57"/>
  <c r="AD216" i="57"/>
  <c r="AC216" i="57"/>
  <c r="K216" i="57"/>
  <c r="J216" i="57"/>
  <c r="I216" i="57"/>
  <c r="H216" i="57"/>
  <c r="G216" i="57"/>
  <c r="F216" i="57"/>
  <c r="E216" i="57"/>
  <c r="D216" i="57"/>
  <c r="A216" i="57"/>
  <c r="AE215" i="57"/>
  <c r="AD215" i="57"/>
  <c r="AC215" i="57"/>
  <c r="K215" i="57"/>
  <c r="J215" i="57"/>
  <c r="I215" i="57"/>
  <c r="H215" i="57"/>
  <c r="G215" i="57"/>
  <c r="F215" i="57"/>
  <c r="E215" i="57"/>
  <c r="D215" i="57"/>
  <c r="A215" i="57"/>
  <c r="AE214" i="57"/>
  <c r="AD214" i="57"/>
  <c r="AC214" i="57"/>
  <c r="M214" i="57"/>
  <c r="K214" i="57"/>
  <c r="J214" i="57"/>
  <c r="I214" i="57"/>
  <c r="H214" i="57"/>
  <c r="F214" i="57"/>
  <c r="E214" i="57"/>
  <c r="D214" i="57"/>
  <c r="A214" i="57"/>
  <c r="L214" i="57" s="1"/>
  <c r="AE213" i="57"/>
  <c r="AD213" i="57"/>
  <c r="AC213" i="57"/>
  <c r="M213" i="57"/>
  <c r="K213" i="57"/>
  <c r="J213" i="57"/>
  <c r="I213" i="57"/>
  <c r="H213" i="57"/>
  <c r="F213" i="57"/>
  <c r="E213" i="57"/>
  <c r="D213" i="57"/>
  <c r="A213" i="57"/>
  <c r="G213" i="57" s="1"/>
  <c r="AE212" i="57"/>
  <c r="AD212" i="57"/>
  <c r="AC212" i="57"/>
  <c r="M212" i="57"/>
  <c r="L212" i="57"/>
  <c r="K212" i="57"/>
  <c r="J212" i="57"/>
  <c r="I212" i="57"/>
  <c r="H212" i="57"/>
  <c r="G212" i="57"/>
  <c r="F212" i="57"/>
  <c r="E212" i="57"/>
  <c r="D212" i="57"/>
  <c r="A212" i="57"/>
  <c r="AE211" i="57"/>
  <c r="AD211" i="57"/>
  <c r="AC211" i="57"/>
  <c r="K211" i="57"/>
  <c r="J211" i="57"/>
  <c r="I211" i="57"/>
  <c r="H211" i="57"/>
  <c r="G211" i="57"/>
  <c r="F211" i="57"/>
  <c r="E211" i="57"/>
  <c r="D211" i="57"/>
  <c r="A211" i="57"/>
  <c r="L211" i="57" s="1"/>
  <c r="AE210" i="57"/>
  <c r="AD210" i="57"/>
  <c r="AC210" i="57"/>
  <c r="L210" i="57"/>
  <c r="K210" i="57"/>
  <c r="J210" i="57"/>
  <c r="I210" i="57"/>
  <c r="H210" i="57"/>
  <c r="G210" i="57"/>
  <c r="F210" i="57"/>
  <c r="E210" i="57"/>
  <c r="D210" i="57"/>
  <c r="A210" i="57"/>
  <c r="M210" i="57" s="1"/>
  <c r="AE209" i="57"/>
  <c r="AD209" i="57"/>
  <c r="AC209" i="57"/>
  <c r="M209" i="57"/>
  <c r="L209" i="57"/>
  <c r="K209" i="57"/>
  <c r="J209" i="57"/>
  <c r="I209" i="57"/>
  <c r="H209" i="57"/>
  <c r="G209" i="57"/>
  <c r="F209" i="57"/>
  <c r="E209" i="57"/>
  <c r="D209" i="57"/>
  <c r="A209" i="57"/>
  <c r="AE208" i="57"/>
  <c r="AD208" i="57"/>
  <c r="AC208" i="57"/>
  <c r="M208" i="57"/>
  <c r="K208" i="57"/>
  <c r="J208" i="57"/>
  <c r="I208" i="57"/>
  <c r="H208" i="57"/>
  <c r="G208" i="57"/>
  <c r="F208" i="57"/>
  <c r="E208" i="57"/>
  <c r="D208" i="57"/>
  <c r="A208" i="57"/>
  <c r="L208" i="57" s="1"/>
  <c r="AE207" i="57"/>
  <c r="AD207" i="57"/>
  <c r="AC207" i="57"/>
  <c r="L207" i="57"/>
  <c r="K207" i="57"/>
  <c r="J207" i="57"/>
  <c r="I207" i="57"/>
  <c r="H207" i="57"/>
  <c r="G207" i="57"/>
  <c r="F207" i="57"/>
  <c r="E207" i="57"/>
  <c r="D207" i="57"/>
  <c r="A207" i="57"/>
  <c r="M207" i="57" s="1"/>
  <c r="AE206" i="57"/>
  <c r="AD206" i="57"/>
  <c r="AC206" i="57"/>
  <c r="M206" i="57"/>
  <c r="L206" i="57"/>
  <c r="K206" i="57"/>
  <c r="J206" i="57"/>
  <c r="I206" i="57"/>
  <c r="H206" i="57"/>
  <c r="G206" i="57"/>
  <c r="F206" i="57"/>
  <c r="E206" i="57"/>
  <c r="D206" i="57"/>
  <c r="A206" i="57"/>
  <c r="AE205" i="57"/>
  <c r="AD205" i="57"/>
  <c r="AC205" i="57"/>
  <c r="M205" i="57"/>
  <c r="K205" i="57"/>
  <c r="J205" i="57"/>
  <c r="I205" i="57"/>
  <c r="H205" i="57"/>
  <c r="F205" i="57"/>
  <c r="E205" i="57"/>
  <c r="D205" i="57"/>
  <c r="A205" i="57"/>
  <c r="G205" i="57" s="1"/>
  <c r="AE204" i="57"/>
  <c r="AD204" i="57"/>
  <c r="AC204" i="57"/>
  <c r="L204" i="57"/>
  <c r="K204" i="57"/>
  <c r="J204" i="57"/>
  <c r="I204" i="57"/>
  <c r="H204" i="57"/>
  <c r="G204" i="57"/>
  <c r="F204" i="57"/>
  <c r="E204" i="57"/>
  <c r="D204" i="57"/>
  <c r="A204" i="57"/>
  <c r="M204" i="57" s="1"/>
  <c r="AE203" i="57"/>
  <c r="AD203" i="57"/>
  <c r="AC203" i="57"/>
  <c r="M203" i="57"/>
  <c r="L203" i="57"/>
  <c r="K203" i="57"/>
  <c r="J203" i="57"/>
  <c r="I203" i="57"/>
  <c r="H203" i="57"/>
  <c r="G203" i="57"/>
  <c r="F203" i="57"/>
  <c r="E203" i="57"/>
  <c r="D203" i="57"/>
  <c r="A203" i="57"/>
  <c r="AE202" i="57"/>
  <c r="AD202" i="57"/>
  <c r="AC202" i="57"/>
  <c r="K202" i="57"/>
  <c r="J202" i="57"/>
  <c r="I202" i="57"/>
  <c r="H202" i="57"/>
  <c r="F202" i="57"/>
  <c r="E202" i="57"/>
  <c r="D202" i="57"/>
  <c r="A202" i="57"/>
  <c r="M202" i="57" s="1"/>
  <c r="AE201" i="57"/>
  <c r="AD201" i="57"/>
  <c r="AC201" i="57"/>
  <c r="M201" i="57"/>
  <c r="L201" i="57"/>
  <c r="K201" i="57"/>
  <c r="J201" i="57"/>
  <c r="I201" i="57"/>
  <c r="H201" i="57"/>
  <c r="G201" i="57"/>
  <c r="F201" i="57"/>
  <c r="E201" i="57"/>
  <c r="D201" i="57"/>
  <c r="A201" i="57"/>
  <c r="AE200" i="57"/>
  <c r="AD200" i="57"/>
  <c r="AC200" i="57"/>
  <c r="K200" i="57"/>
  <c r="J200" i="57"/>
  <c r="I200" i="57"/>
  <c r="H200" i="57"/>
  <c r="F200" i="57"/>
  <c r="E200" i="57"/>
  <c r="D200" i="57"/>
  <c r="A200" i="57"/>
  <c r="G200" i="57" s="1"/>
  <c r="AE199" i="57"/>
  <c r="AD199" i="57"/>
  <c r="AC199" i="57"/>
  <c r="K199" i="57"/>
  <c r="J199" i="57"/>
  <c r="I199" i="57"/>
  <c r="H199" i="57"/>
  <c r="F199" i="57"/>
  <c r="E199" i="57"/>
  <c r="D199" i="57"/>
  <c r="A199" i="57"/>
  <c r="AE198" i="57"/>
  <c r="AD198" i="57"/>
  <c r="AC198" i="57"/>
  <c r="K198" i="57"/>
  <c r="J198" i="57"/>
  <c r="I198" i="57"/>
  <c r="H198" i="57"/>
  <c r="G198" i="57"/>
  <c r="F198" i="57"/>
  <c r="E198" i="57"/>
  <c r="D198" i="57"/>
  <c r="A198" i="57"/>
  <c r="AE197" i="57"/>
  <c r="AD197" i="57"/>
  <c r="AC197" i="57"/>
  <c r="K197" i="57"/>
  <c r="J197" i="57"/>
  <c r="I197" i="57"/>
  <c r="H197" i="57"/>
  <c r="F197" i="57"/>
  <c r="E197" i="57"/>
  <c r="D197" i="57"/>
  <c r="A197" i="57"/>
  <c r="G197" i="57" s="1"/>
  <c r="AE196" i="57"/>
  <c r="AD196" i="57"/>
  <c r="AC196" i="57"/>
  <c r="K196" i="57"/>
  <c r="J196" i="57"/>
  <c r="I196" i="57"/>
  <c r="H196" i="57"/>
  <c r="F196" i="57"/>
  <c r="E196" i="57"/>
  <c r="D196" i="57"/>
  <c r="A196" i="57"/>
  <c r="M196" i="57" s="1"/>
  <c r="AE195" i="57"/>
  <c r="AD195" i="57"/>
  <c r="AC195" i="57"/>
  <c r="K195" i="57"/>
  <c r="J195" i="57"/>
  <c r="I195" i="57"/>
  <c r="H195" i="57"/>
  <c r="F195" i="57"/>
  <c r="E195" i="57"/>
  <c r="D195" i="57"/>
  <c r="A195" i="57"/>
  <c r="G195" i="57" s="1"/>
  <c r="AE194" i="57"/>
  <c r="AD194" i="57"/>
  <c r="AC194" i="57"/>
  <c r="L194" i="57"/>
  <c r="K194" i="57"/>
  <c r="J194" i="57"/>
  <c r="I194" i="57"/>
  <c r="H194" i="57"/>
  <c r="F194" i="57"/>
  <c r="E194" i="57"/>
  <c r="D194" i="57"/>
  <c r="A194" i="57"/>
  <c r="G194" i="57" s="1"/>
  <c r="AE193" i="57"/>
  <c r="AD193" i="57"/>
  <c r="AC193" i="57"/>
  <c r="M193" i="57"/>
  <c r="L193" i="57"/>
  <c r="K193" i="57"/>
  <c r="J193" i="57"/>
  <c r="I193" i="57"/>
  <c r="H193" i="57"/>
  <c r="G193" i="57"/>
  <c r="F193" i="57"/>
  <c r="E193" i="57"/>
  <c r="D193" i="57"/>
  <c r="A193" i="57"/>
  <c r="AE192" i="57"/>
  <c r="AD192" i="57"/>
  <c r="AC192" i="57"/>
  <c r="K192" i="57"/>
  <c r="J192" i="57"/>
  <c r="I192" i="57"/>
  <c r="H192" i="57"/>
  <c r="F192" i="57"/>
  <c r="E192" i="57"/>
  <c r="D192" i="57"/>
  <c r="A192" i="57"/>
  <c r="AE191" i="57"/>
  <c r="AD191" i="57"/>
  <c r="AC191" i="57"/>
  <c r="K191" i="57"/>
  <c r="J191" i="57"/>
  <c r="I191" i="57"/>
  <c r="H191" i="57"/>
  <c r="F191" i="57"/>
  <c r="E191" i="57"/>
  <c r="D191" i="57"/>
  <c r="A191" i="57"/>
  <c r="AE190" i="57"/>
  <c r="AD190" i="57"/>
  <c r="AC190" i="57"/>
  <c r="K190" i="57"/>
  <c r="J190" i="57"/>
  <c r="I190" i="57"/>
  <c r="H190" i="57"/>
  <c r="F190" i="57"/>
  <c r="E190" i="57"/>
  <c r="D190" i="57"/>
  <c r="A190" i="57"/>
  <c r="AE189" i="57"/>
  <c r="AD189" i="57"/>
  <c r="AC189" i="57"/>
  <c r="M189" i="57"/>
  <c r="K189" i="57"/>
  <c r="J189" i="57"/>
  <c r="I189" i="57"/>
  <c r="H189" i="57"/>
  <c r="F189" i="57"/>
  <c r="E189" i="57"/>
  <c r="D189" i="57"/>
  <c r="A189" i="57"/>
  <c r="G189" i="57" s="1"/>
  <c r="AE188" i="57"/>
  <c r="AD188" i="57"/>
  <c r="AC188" i="57"/>
  <c r="L188" i="57"/>
  <c r="K188" i="57"/>
  <c r="J188" i="57"/>
  <c r="I188" i="57"/>
  <c r="H188" i="57"/>
  <c r="F188" i="57"/>
  <c r="E188" i="57"/>
  <c r="D188" i="57"/>
  <c r="A188" i="57"/>
  <c r="G188" i="57" s="1"/>
  <c r="AE187" i="57"/>
  <c r="AD187" i="57"/>
  <c r="AC187" i="57"/>
  <c r="K187" i="57"/>
  <c r="J187" i="57"/>
  <c r="I187" i="57"/>
  <c r="H187" i="57"/>
  <c r="F187" i="57"/>
  <c r="E187" i="57"/>
  <c r="D187" i="57"/>
  <c r="A187" i="57"/>
  <c r="AE186" i="57"/>
  <c r="AD186" i="57"/>
  <c r="AC186" i="57"/>
  <c r="M186" i="57"/>
  <c r="L186" i="57"/>
  <c r="K186" i="57"/>
  <c r="J186" i="57"/>
  <c r="I186" i="57"/>
  <c r="H186" i="57"/>
  <c r="G186" i="57"/>
  <c r="F186" i="57"/>
  <c r="E186" i="57"/>
  <c r="D186" i="57"/>
  <c r="A186" i="57"/>
  <c r="AE185" i="57"/>
  <c r="AD185" i="57"/>
  <c r="AC185" i="57"/>
  <c r="M185" i="57"/>
  <c r="K185" i="57"/>
  <c r="J185" i="57"/>
  <c r="I185" i="57"/>
  <c r="H185" i="57"/>
  <c r="F185" i="57"/>
  <c r="E185" i="57"/>
  <c r="D185" i="57"/>
  <c r="A185" i="57"/>
  <c r="L185" i="57" s="1"/>
  <c r="AE184" i="57"/>
  <c r="AD184" i="57"/>
  <c r="AC184" i="57"/>
  <c r="L184" i="57"/>
  <c r="K184" i="57"/>
  <c r="J184" i="57"/>
  <c r="I184" i="57"/>
  <c r="H184" i="57"/>
  <c r="G184" i="57"/>
  <c r="F184" i="57"/>
  <c r="E184" i="57"/>
  <c r="D184" i="57"/>
  <c r="A184" i="57"/>
  <c r="M184" i="57" s="1"/>
  <c r="AE183" i="57"/>
  <c r="AD183" i="57"/>
  <c r="AC183" i="57"/>
  <c r="M183" i="57"/>
  <c r="L183" i="57"/>
  <c r="K183" i="57"/>
  <c r="J183" i="57"/>
  <c r="I183" i="57"/>
  <c r="H183" i="57"/>
  <c r="G183" i="57"/>
  <c r="F183" i="57"/>
  <c r="E183" i="57"/>
  <c r="D183" i="57"/>
  <c r="A183" i="57"/>
  <c r="AE182" i="57"/>
  <c r="AD182" i="57"/>
  <c r="AC182" i="57"/>
  <c r="K182" i="57"/>
  <c r="J182" i="57"/>
  <c r="I182" i="57"/>
  <c r="H182" i="57"/>
  <c r="F182" i="57"/>
  <c r="E182" i="57"/>
  <c r="D182" i="57"/>
  <c r="A182" i="57"/>
  <c r="M182" i="57" s="1"/>
  <c r="AE181" i="57"/>
  <c r="AD181" i="57"/>
  <c r="AC181" i="57"/>
  <c r="K181" i="57"/>
  <c r="J181" i="57"/>
  <c r="I181" i="57"/>
  <c r="H181" i="57"/>
  <c r="F181" i="57"/>
  <c r="E181" i="57"/>
  <c r="D181" i="57"/>
  <c r="A181" i="57"/>
  <c r="G181" i="57" s="1"/>
  <c r="AE180" i="57"/>
  <c r="AD180" i="57"/>
  <c r="AC180" i="57"/>
  <c r="L180" i="57"/>
  <c r="K180" i="57"/>
  <c r="J180" i="57"/>
  <c r="I180" i="57"/>
  <c r="H180" i="57"/>
  <c r="F180" i="57"/>
  <c r="E180" i="57"/>
  <c r="D180" i="57"/>
  <c r="A180" i="57"/>
  <c r="G180" i="57" s="1"/>
  <c r="AE179" i="57"/>
  <c r="AD179" i="57"/>
  <c r="AC179" i="57"/>
  <c r="K179" i="57"/>
  <c r="J179" i="57"/>
  <c r="I179" i="57"/>
  <c r="H179" i="57"/>
  <c r="F179" i="57"/>
  <c r="E179" i="57"/>
  <c r="D179" i="57"/>
  <c r="A179" i="57"/>
  <c r="AE178" i="57"/>
  <c r="AD178" i="57"/>
  <c r="AC178" i="57"/>
  <c r="M178" i="57"/>
  <c r="L178" i="57"/>
  <c r="K178" i="57"/>
  <c r="J178" i="57"/>
  <c r="I178" i="57"/>
  <c r="H178" i="57"/>
  <c r="G178" i="57"/>
  <c r="F178" i="57"/>
  <c r="E178" i="57"/>
  <c r="D178" i="57"/>
  <c r="A178" i="57"/>
  <c r="AE177" i="57"/>
  <c r="AD177" i="57"/>
  <c r="AC177" i="57"/>
  <c r="K177" i="57"/>
  <c r="J177" i="57"/>
  <c r="I177" i="57"/>
  <c r="H177" i="57"/>
  <c r="F177" i="57"/>
  <c r="E177" i="57"/>
  <c r="D177" i="57"/>
  <c r="A177" i="57"/>
  <c r="L177" i="57" s="1"/>
  <c r="AE176" i="57"/>
  <c r="AD176" i="57"/>
  <c r="AC176" i="57"/>
  <c r="L176" i="57"/>
  <c r="K176" i="57"/>
  <c r="J176" i="57"/>
  <c r="I176" i="57"/>
  <c r="H176" i="57"/>
  <c r="G176" i="57"/>
  <c r="F176" i="57"/>
  <c r="E176" i="57"/>
  <c r="D176" i="57"/>
  <c r="A176" i="57"/>
  <c r="M176" i="57" s="1"/>
  <c r="AE175" i="57"/>
  <c r="AD175" i="57"/>
  <c r="AC175" i="57"/>
  <c r="M175" i="57"/>
  <c r="L175" i="57"/>
  <c r="K175" i="57"/>
  <c r="J175" i="57"/>
  <c r="I175" i="57"/>
  <c r="H175" i="57"/>
  <c r="G175" i="57"/>
  <c r="F175" i="57"/>
  <c r="E175" i="57"/>
  <c r="D175" i="57"/>
  <c r="A175" i="57"/>
  <c r="AE174" i="57"/>
  <c r="AD174" i="57"/>
  <c r="AC174" i="57"/>
  <c r="K174" i="57"/>
  <c r="J174" i="57"/>
  <c r="I174" i="57"/>
  <c r="H174" i="57"/>
  <c r="F174" i="57"/>
  <c r="E174" i="57"/>
  <c r="D174" i="57"/>
  <c r="A174" i="57"/>
  <c r="AE173" i="57"/>
  <c r="AD173" i="57"/>
  <c r="AC173" i="57"/>
  <c r="L173" i="57"/>
  <c r="K173" i="57"/>
  <c r="J173" i="57"/>
  <c r="I173" i="57"/>
  <c r="H173" i="57"/>
  <c r="G173" i="57"/>
  <c r="F173" i="57"/>
  <c r="E173" i="57"/>
  <c r="D173" i="57"/>
  <c r="A173" i="57"/>
  <c r="M173" i="57" s="1"/>
  <c r="AE172" i="57"/>
  <c r="AD172" i="57"/>
  <c r="AC172" i="57"/>
  <c r="M172" i="57"/>
  <c r="K172" i="57"/>
  <c r="J172" i="57"/>
  <c r="I172" i="57"/>
  <c r="H172" i="57"/>
  <c r="F172" i="57"/>
  <c r="E172" i="57"/>
  <c r="D172" i="57"/>
  <c r="A172" i="57"/>
  <c r="G172" i="57" s="1"/>
  <c r="AE171" i="57"/>
  <c r="AD171" i="57"/>
  <c r="AC171" i="57"/>
  <c r="K171" i="57"/>
  <c r="J171" i="57"/>
  <c r="I171" i="57"/>
  <c r="H171" i="57"/>
  <c r="F171" i="57"/>
  <c r="E171" i="57"/>
  <c r="D171" i="57"/>
  <c r="A171" i="57"/>
  <c r="G171" i="57" s="1"/>
  <c r="AE170" i="57"/>
  <c r="AD170" i="57"/>
  <c r="AC170" i="57"/>
  <c r="M170" i="57"/>
  <c r="L170" i="57"/>
  <c r="K170" i="57"/>
  <c r="J170" i="57"/>
  <c r="I170" i="57"/>
  <c r="H170" i="57"/>
  <c r="G170" i="57"/>
  <c r="F170" i="57"/>
  <c r="E170" i="57"/>
  <c r="D170" i="57"/>
  <c r="A170" i="57"/>
  <c r="AE169" i="57"/>
  <c r="AD169" i="57"/>
  <c r="AC169" i="57"/>
  <c r="K169" i="57"/>
  <c r="J169" i="57"/>
  <c r="I169" i="57"/>
  <c r="H169" i="57"/>
  <c r="F169" i="57"/>
  <c r="E169" i="57"/>
  <c r="D169" i="57"/>
  <c r="A169" i="57"/>
  <c r="L169" i="57" s="1"/>
  <c r="AE168" i="57"/>
  <c r="AD168" i="57"/>
  <c r="AC168" i="57"/>
  <c r="K168" i="57"/>
  <c r="J168" i="57"/>
  <c r="I168" i="57"/>
  <c r="H168" i="57"/>
  <c r="F168" i="57"/>
  <c r="E168" i="57"/>
  <c r="D168" i="57"/>
  <c r="A168" i="57"/>
  <c r="M168" i="57" s="1"/>
  <c r="AE167" i="57"/>
  <c r="AD167" i="57"/>
  <c r="AC167" i="57"/>
  <c r="M167" i="57"/>
  <c r="L167" i="57"/>
  <c r="K167" i="57"/>
  <c r="J167" i="57"/>
  <c r="I167" i="57"/>
  <c r="H167" i="57"/>
  <c r="G167" i="57"/>
  <c r="F167" i="57"/>
  <c r="E167" i="57"/>
  <c r="D167" i="57"/>
  <c r="A167" i="57"/>
  <c r="AE166" i="57"/>
  <c r="AD166" i="57"/>
  <c r="AC166" i="57"/>
  <c r="K166" i="57"/>
  <c r="J166" i="57"/>
  <c r="I166" i="57"/>
  <c r="H166" i="57"/>
  <c r="F166" i="57"/>
  <c r="E166" i="57"/>
  <c r="D166" i="57"/>
  <c r="A166" i="57"/>
  <c r="AE165" i="57"/>
  <c r="AD165" i="57"/>
  <c r="AC165" i="57"/>
  <c r="K165" i="57"/>
  <c r="J165" i="57"/>
  <c r="I165" i="57"/>
  <c r="H165" i="57"/>
  <c r="F165" i="57"/>
  <c r="E165" i="57"/>
  <c r="D165" i="57"/>
  <c r="A165" i="57"/>
  <c r="M165" i="57" s="1"/>
  <c r="AE164" i="57"/>
  <c r="AD164" i="57"/>
  <c r="AC164" i="57"/>
  <c r="K164" i="57"/>
  <c r="J164" i="57"/>
  <c r="I164" i="57"/>
  <c r="H164" i="57"/>
  <c r="F164" i="57"/>
  <c r="E164" i="57"/>
  <c r="D164" i="57"/>
  <c r="A164" i="57"/>
  <c r="M164" i="57" s="1"/>
  <c r="AE163" i="57"/>
  <c r="AD163" i="57"/>
  <c r="AC163" i="57"/>
  <c r="M163" i="57"/>
  <c r="K163" i="57"/>
  <c r="J163" i="57"/>
  <c r="I163" i="57"/>
  <c r="H163" i="57"/>
  <c r="F163" i="57"/>
  <c r="E163" i="57"/>
  <c r="D163" i="57"/>
  <c r="A163" i="57"/>
  <c r="G163" i="57" s="1"/>
  <c r="AE162" i="57"/>
  <c r="AD162" i="57"/>
  <c r="AC162" i="57"/>
  <c r="M162" i="57"/>
  <c r="L162" i="57"/>
  <c r="K162" i="57"/>
  <c r="J162" i="57"/>
  <c r="I162" i="57"/>
  <c r="H162" i="57"/>
  <c r="G162" i="57"/>
  <c r="F162" i="57"/>
  <c r="E162" i="57"/>
  <c r="D162" i="57"/>
  <c r="A162" i="57"/>
  <c r="AE161" i="57"/>
  <c r="AD161" i="57"/>
  <c r="AC161" i="57"/>
  <c r="M161" i="57"/>
  <c r="K161" i="57"/>
  <c r="J161" i="57"/>
  <c r="I161" i="57"/>
  <c r="H161" i="57"/>
  <c r="G161" i="57"/>
  <c r="F161" i="57"/>
  <c r="E161" i="57"/>
  <c r="D161" i="57"/>
  <c r="A161" i="57"/>
  <c r="L161" i="57" s="1"/>
  <c r="AE160" i="57"/>
  <c r="AD160" i="57"/>
  <c r="AC160" i="57"/>
  <c r="L160" i="57"/>
  <c r="K160" i="57"/>
  <c r="J160" i="57"/>
  <c r="I160" i="57"/>
  <c r="H160" i="57"/>
  <c r="G160" i="57"/>
  <c r="F160" i="57"/>
  <c r="E160" i="57"/>
  <c r="D160" i="57"/>
  <c r="A160" i="57"/>
  <c r="M160" i="57" s="1"/>
  <c r="AE159" i="57"/>
  <c r="AD159" i="57"/>
  <c r="AC159" i="57"/>
  <c r="M159" i="57"/>
  <c r="L159" i="57"/>
  <c r="K159" i="57"/>
  <c r="J159" i="57"/>
  <c r="I159" i="57"/>
  <c r="H159" i="57"/>
  <c r="G159" i="57"/>
  <c r="F159" i="57"/>
  <c r="E159" i="57"/>
  <c r="D159" i="57"/>
  <c r="A159" i="57"/>
  <c r="AE158" i="57"/>
  <c r="AD158" i="57"/>
  <c r="AC158" i="57"/>
  <c r="K158" i="57"/>
  <c r="J158" i="57"/>
  <c r="I158" i="57"/>
  <c r="H158" i="57"/>
  <c r="F158" i="57"/>
  <c r="E158" i="57"/>
  <c r="D158" i="57"/>
  <c r="A158" i="57"/>
  <c r="AE157" i="57"/>
  <c r="AD157" i="57"/>
  <c r="AC157" i="57"/>
  <c r="K157" i="57"/>
  <c r="J157" i="57"/>
  <c r="I157" i="57"/>
  <c r="H157" i="57"/>
  <c r="G157" i="57"/>
  <c r="F157" i="57"/>
  <c r="E157" i="57"/>
  <c r="D157" i="57"/>
  <c r="A157" i="57"/>
  <c r="M157" i="57" s="1"/>
  <c r="AE156" i="57"/>
  <c r="AD156" i="57"/>
  <c r="AC156" i="57"/>
  <c r="K156" i="57"/>
  <c r="J156" i="57"/>
  <c r="I156" i="57"/>
  <c r="H156" i="57"/>
  <c r="G156" i="57"/>
  <c r="F156" i="57"/>
  <c r="E156" i="57"/>
  <c r="D156" i="57"/>
  <c r="A156" i="57"/>
  <c r="M156" i="57" s="1"/>
  <c r="AE155" i="57"/>
  <c r="AD155" i="57"/>
  <c r="AC155" i="57"/>
  <c r="K155" i="57"/>
  <c r="J155" i="57"/>
  <c r="I155" i="57"/>
  <c r="H155" i="57"/>
  <c r="F155" i="57"/>
  <c r="E155" i="57"/>
  <c r="D155" i="57"/>
  <c r="A155" i="57"/>
  <c r="G155" i="57" s="1"/>
  <c r="AE154" i="57"/>
  <c r="AD154" i="57"/>
  <c r="AC154" i="57"/>
  <c r="M154" i="57"/>
  <c r="L154" i="57"/>
  <c r="K154" i="57"/>
  <c r="J154" i="57"/>
  <c r="I154" i="57"/>
  <c r="H154" i="57"/>
  <c r="G154" i="57"/>
  <c r="F154" i="57"/>
  <c r="E154" i="57"/>
  <c r="D154" i="57"/>
  <c r="A154" i="57"/>
  <c r="AE153" i="57"/>
  <c r="AD153" i="57"/>
  <c r="AC153" i="57"/>
  <c r="K153" i="57"/>
  <c r="J153" i="57"/>
  <c r="I153" i="57"/>
  <c r="H153" i="57"/>
  <c r="F153" i="57"/>
  <c r="E153" i="57"/>
  <c r="D153" i="57"/>
  <c r="A153" i="57"/>
  <c r="L153" i="57" s="1"/>
  <c r="AE152" i="57"/>
  <c r="AD152" i="57"/>
  <c r="AC152" i="57"/>
  <c r="K152" i="57"/>
  <c r="J152" i="57"/>
  <c r="I152" i="57"/>
  <c r="H152" i="57"/>
  <c r="F152" i="57"/>
  <c r="E152" i="57"/>
  <c r="D152" i="57"/>
  <c r="A152" i="57"/>
  <c r="M152" i="57" s="1"/>
  <c r="AE151" i="57"/>
  <c r="AD151" i="57"/>
  <c r="AC151" i="57"/>
  <c r="M151" i="57"/>
  <c r="L151" i="57"/>
  <c r="K151" i="57"/>
  <c r="J151" i="57"/>
  <c r="I151" i="57"/>
  <c r="H151" i="57"/>
  <c r="G151" i="57"/>
  <c r="F151" i="57"/>
  <c r="E151" i="57"/>
  <c r="D151" i="57"/>
  <c r="A151" i="57"/>
  <c r="AE150" i="57"/>
  <c r="AD150" i="57"/>
  <c r="AC150" i="57"/>
  <c r="K150" i="57"/>
  <c r="J150" i="57"/>
  <c r="I150" i="57"/>
  <c r="H150" i="57"/>
  <c r="G150" i="57"/>
  <c r="F150" i="57"/>
  <c r="E150" i="57"/>
  <c r="D150" i="57"/>
  <c r="A150" i="57"/>
  <c r="L150" i="57" s="1"/>
  <c r="AE149" i="57"/>
  <c r="AD149" i="57"/>
  <c r="AC149" i="57"/>
  <c r="L149" i="57"/>
  <c r="K149" i="57"/>
  <c r="J149" i="57"/>
  <c r="I149" i="57"/>
  <c r="H149" i="57"/>
  <c r="G149" i="57"/>
  <c r="F149" i="57"/>
  <c r="E149" i="57"/>
  <c r="D149" i="57"/>
  <c r="A149" i="57"/>
  <c r="M149" i="57" s="1"/>
  <c r="AE148" i="57"/>
  <c r="AD148" i="57"/>
  <c r="AC148" i="57"/>
  <c r="M148" i="57"/>
  <c r="L148" i="57"/>
  <c r="K148" i="57"/>
  <c r="J148" i="57"/>
  <c r="I148" i="57"/>
  <c r="H148" i="57"/>
  <c r="F148" i="57"/>
  <c r="E148" i="57"/>
  <c r="D148" i="57"/>
  <c r="A148" i="57"/>
  <c r="G148" i="57" s="1"/>
  <c r="AE147" i="57"/>
  <c r="AD147" i="57"/>
  <c r="AC147" i="57"/>
  <c r="M147" i="57"/>
  <c r="L147" i="57"/>
  <c r="K147" i="57"/>
  <c r="J147" i="57"/>
  <c r="I147" i="57"/>
  <c r="H147" i="57"/>
  <c r="G147" i="57"/>
  <c r="F147" i="57"/>
  <c r="E147" i="57"/>
  <c r="D147" i="57"/>
  <c r="A147" i="57"/>
  <c r="AE146" i="57"/>
  <c r="AD146" i="57"/>
  <c r="AC146" i="57"/>
  <c r="K146" i="57"/>
  <c r="J146" i="57"/>
  <c r="I146" i="57"/>
  <c r="H146" i="57"/>
  <c r="F146" i="57"/>
  <c r="E146" i="57"/>
  <c r="D146" i="57"/>
  <c r="A146" i="57"/>
  <c r="M146" i="57" s="1"/>
  <c r="AE145" i="57"/>
  <c r="AD145" i="57"/>
  <c r="AC145" i="57"/>
  <c r="L145" i="57"/>
  <c r="K145" i="57"/>
  <c r="J145" i="57"/>
  <c r="I145" i="57"/>
  <c r="H145" i="57"/>
  <c r="F145" i="57"/>
  <c r="E145" i="57"/>
  <c r="D145" i="57"/>
  <c r="A145" i="57"/>
  <c r="G145" i="57" s="1"/>
  <c r="AE144" i="57"/>
  <c r="AD144" i="57"/>
  <c r="AC144" i="57"/>
  <c r="M144" i="57"/>
  <c r="L144" i="57"/>
  <c r="K144" i="57"/>
  <c r="J144" i="57"/>
  <c r="I144" i="57"/>
  <c r="H144" i="57"/>
  <c r="G144" i="57"/>
  <c r="F144" i="57"/>
  <c r="E144" i="57"/>
  <c r="D144" i="57"/>
  <c r="A144" i="57"/>
  <c r="AE143" i="57"/>
  <c r="AD143" i="57"/>
  <c r="AC143" i="57"/>
  <c r="M143" i="57"/>
  <c r="K143" i="57"/>
  <c r="J143" i="57"/>
  <c r="I143" i="57"/>
  <c r="H143" i="57"/>
  <c r="F143" i="57"/>
  <c r="E143" i="57"/>
  <c r="D143" i="57"/>
  <c r="A143" i="57"/>
  <c r="G143" i="57" s="1"/>
  <c r="AE142" i="57"/>
  <c r="AD142" i="57"/>
  <c r="AC142" i="57"/>
  <c r="K142" i="57"/>
  <c r="J142" i="57"/>
  <c r="I142" i="57"/>
  <c r="H142" i="57"/>
  <c r="G142" i="57"/>
  <c r="F142" i="57"/>
  <c r="E142" i="57"/>
  <c r="D142" i="57"/>
  <c r="A142" i="57"/>
  <c r="M142" i="57" s="1"/>
  <c r="AE141" i="57"/>
  <c r="AD141" i="57"/>
  <c r="AC141" i="57"/>
  <c r="L141" i="57"/>
  <c r="K141" i="57"/>
  <c r="J141" i="57"/>
  <c r="I141" i="57"/>
  <c r="H141" i="57"/>
  <c r="G141" i="57"/>
  <c r="F141" i="57"/>
  <c r="E141" i="57"/>
  <c r="D141" i="57"/>
  <c r="A141" i="57"/>
  <c r="M141" i="57" s="1"/>
  <c r="AE140" i="57"/>
  <c r="AD140" i="57"/>
  <c r="AC140" i="57"/>
  <c r="M140" i="57"/>
  <c r="L140" i="57"/>
  <c r="K140" i="57"/>
  <c r="J140" i="57"/>
  <c r="I140" i="57"/>
  <c r="H140" i="57"/>
  <c r="F140" i="57"/>
  <c r="E140" i="57"/>
  <c r="D140" i="57"/>
  <c r="A140" i="57"/>
  <c r="G140" i="57" s="1"/>
  <c r="AE139" i="57"/>
  <c r="AD139" i="57"/>
  <c r="AC139" i="57"/>
  <c r="M139" i="57"/>
  <c r="L139" i="57"/>
  <c r="K139" i="57"/>
  <c r="J139" i="57"/>
  <c r="I139" i="57"/>
  <c r="H139" i="57"/>
  <c r="G139" i="57"/>
  <c r="F139" i="57"/>
  <c r="E139" i="57"/>
  <c r="D139" i="57"/>
  <c r="A139" i="57"/>
  <c r="AE138" i="57"/>
  <c r="AD138" i="57"/>
  <c r="AC138" i="57"/>
  <c r="K138" i="57"/>
  <c r="J138" i="57"/>
  <c r="I138" i="57"/>
  <c r="H138" i="57"/>
  <c r="F138" i="57"/>
  <c r="E138" i="57"/>
  <c r="D138" i="57"/>
  <c r="A138" i="57"/>
  <c r="M138" i="57" s="1"/>
  <c r="AE137" i="57"/>
  <c r="AD137" i="57"/>
  <c r="AC137" i="57"/>
  <c r="L137" i="57"/>
  <c r="K137" i="57"/>
  <c r="J137" i="57"/>
  <c r="I137" i="57"/>
  <c r="H137" i="57"/>
  <c r="F137" i="57"/>
  <c r="E137" i="57"/>
  <c r="D137" i="57"/>
  <c r="A137" i="57"/>
  <c r="G137" i="57" s="1"/>
  <c r="AE136" i="57"/>
  <c r="AD136" i="57"/>
  <c r="AC136" i="57"/>
  <c r="M136" i="57"/>
  <c r="L136" i="57"/>
  <c r="K136" i="57"/>
  <c r="J136" i="57"/>
  <c r="I136" i="57"/>
  <c r="H136" i="57"/>
  <c r="G136" i="57"/>
  <c r="F136" i="57"/>
  <c r="E136" i="57"/>
  <c r="D136" i="57"/>
  <c r="A136" i="57"/>
  <c r="AE135" i="57"/>
  <c r="AD135" i="57"/>
  <c r="AC135" i="57"/>
  <c r="M135" i="57"/>
  <c r="K135" i="57"/>
  <c r="J135" i="57"/>
  <c r="I135" i="57"/>
  <c r="H135" i="57"/>
  <c r="F135" i="57"/>
  <c r="E135" i="57"/>
  <c r="D135" i="57"/>
  <c r="A135" i="57"/>
  <c r="G135" i="57" s="1"/>
  <c r="AE134" i="57"/>
  <c r="AD134" i="57"/>
  <c r="AC134" i="57"/>
  <c r="K134" i="57"/>
  <c r="J134" i="57"/>
  <c r="I134" i="57"/>
  <c r="H134" i="57"/>
  <c r="G134" i="57"/>
  <c r="F134" i="57"/>
  <c r="E134" i="57"/>
  <c r="D134" i="57"/>
  <c r="A134" i="57"/>
  <c r="M134" i="57" s="1"/>
  <c r="AE133" i="57"/>
  <c r="AD133" i="57"/>
  <c r="AC133" i="57"/>
  <c r="L133" i="57"/>
  <c r="K133" i="57"/>
  <c r="J133" i="57"/>
  <c r="I133" i="57"/>
  <c r="H133" i="57"/>
  <c r="G133" i="57"/>
  <c r="F133" i="57"/>
  <c r="E133" i="57"/>
  <c r="D133" i="57"/>
  <c r="A133" i="57"/>
  <c r="M133" i="57" s="1"/>
  <c r="AE132" i="57"/>
  <c r="AD132" i="57"/>
  <c r="AC132" i="57"/>
  <c r="M132" i="57"/>
  <c r="L132" i="57"/>
  <c r="K132" i="57"/>
  <c r="J132" i="57"/>
  <c r="I132" i="57"/>
  <c r="H132" i="57"/>
  <c r="F132" i="57"/>
  <c r="E132" i="57"/>
  <c r="D132" i="57"/>
  <c r="A132" i="57"/>
  <c r="G132" i="57" s="1"/>
  <c r="AE131" i="57"/>
  <c r="AD131" i="57"/>
  <c r="AC131" i="57"/>
  <c r="M131" i="57"/>
  <c r="L131" i="57"/>
  <c r="K131" i="57"/>
  <c r="J131" i="57"/>
  <c r="I131" i="57"/>
  <c r="H131" i="57"/>
  <c r="G131" i="57"/>
  <c r="F131" i="57"/>
  <c r="E131" i="57"/>
  <c r="D131" i="57"/>
  <c r="A131" i="57"/>
  <c r="AE130" i="57"/>
  <c r="AD130" i="57"/>
  <c r="AC130" i="57"/>
  <c r="K130" i="57"/>
  <c r="J130" i="57"/>
  <c r="I130" i="57"/>
  <c r="H130" i="57"/>
  <c r="F130" i="57"/>
  <c r="E130" i="57"/>
  <c r="D130" i="57"/>
  <c r="A130" i="57"/>
  <c r="AE129" i="57"/>
  <c r="AD129" i="57"/>
  <c r="AC129" i="57"/>
  <c r="L129" i="57"/>
  <c r="K129" i="57"/>
  <c r="J129" i="57"/>
  <c r="I129" i="57"/>
  <c r="H129" i="57"/>
  <c r="F129" i="57"/>
  <c r="E129" i="57"/>
  <c r="D129" i="57"/>
  <c r="A129" i="57"/>
  <c r="G129" i="57" s="1"/>
  <c r="AE128" i="57"/>
  <c r="AD128" i="57"/>
  <c r="AC128" i="57"/>
  <c r="M128" i="57"/>
  <c r="L128" i="57"/>
  <c r="K128" i="57"/>
  <c r="J128" i="57"/>
  <c r="I128" i="57"/>
  <c r="H128" i="57"/>
  <c r="G128" i="57"/>
  <c r="F128" i="57"/>
  <c r="E128" i="57"/>
  <c r="D128" i="57"/>
  <c r="A128" i="57"/>
  <c r="AE127" i="57"/>
  <c r="AD127" i="57"/>
  <c r="AC127" i="57"/>
  <c r="M127" i="57"/>
  <c r="K127" i="57"/>
  <c r="J127" i="57"/>
  <c r="I127" i="57"/>
  <c r="H127" i="57"/>
  <c r="F127" i="57"/>
  <c r="E127" i="57"/>
  <c r="D127" i="57"/>
  <c r="A127" i="57"/>
  <c r="G127" i="57" s="1"/>
  <c r="AE126" i="57"/>
  <c r="AD126" i="57"/>
  <c r="AC126" i="57"/>
  <c r="K126" i="57"/>
  <c r="J126" i="57"/>
  <c r="I126" i="57"/>
  <c r="H126" i="57"/>
  <c r="G126" i="57"/>
  <c r="F126" i="57"/>
  <c r="E126" i="57"/>
  <c r="D126" i="57"/>
  <c r="A126" i="57"/>
  <c r="M126" i="57" s="1"/>
  <c r="AE125" i="57"/>
  <c r="AD125" i="57"/>
  <c r="AC125" i="57"/>
  <c r="L125" i="57"/>
  <c r="K125" i="57"/>
  <c r="J125" i="57"/>
  <c r="I125" i="57"/>
  <c r="H125" i="57"/>
  <c r="G125" i="57"/>
  <c r="F125" i="57"/>
  <c r="E125" i="57"/>
  <c r="D125" i="57"/>
  <c r="A125" i="57"/>
  <c r="M125" i="57" s="1"/>
  <c r="AE124" i="57"/>
  <c r="AD124" i="57"/>
  <c r="AC124" i="57"/>
  <c r="M124" i="57"/>
  <c r="K124" i="57"/>
  <c r="J124" i="57"/>
  <c r="I124" i="57"/>
  <c r="H124" i="57"/>
  <c r="F124" i="57"/>
  <c r="E124" i="57"/>
  <c r="D124" i="57"/>
  <c r="A124" i="57"/>
  <c r="L124" i="57" s="1"/>
  <c r="AE123" i="57"/>
  <c r="AD123" i="57"/>
  <c r="AC123" i="57"/>
  <c r="M123" i="57"/>
  <c r="L123" i="57"/>
  <c r="K123" i="57"/>
  <c r="J123" i="57"/>
  <c r="I123" i="57"/>
  <c r="H123" i="57"/>
  <c r="G123" i="57"/>
  <c r="F123" i="57"/>
  <c r="E123" i="57"/>
  <c r="D123" i="57"/>
  <c r="A123" i="57"/>
  <c r="AE122" i="57"/>
  <c r="AD122" i="57"/>
  <c r="AC122" i="57"/>
  <c r="K122" i="57"/>
  <c r="J122" i="57"/>
  <c r="I122" i="57"/>
  <c r="H122" i="57"/>
  <c r="F122" i="57"/>
  <c r="E122" i="57"/>
  <c r="D122" i="57"/>
  <c r="A122" i="57"/>
  <c r="AE121" i="57"/>
  <c r="AD121" i="57"/>
  <c r="AC121" i="57"/>
  <c r="L121" i="57"/>
  <c r="K121" i="57"/>
  <c r="J121" i="57"/>
  <c r="I121" i="57"/>
  <c r="H121" i="57"/>
  <c r="F121" i="57"/>
  <c r="E121" i="57"/>
  <c r="D121" i="57"/>
  <c r="A121" i="57"/>
  <c r="G121" i="57" s="1"/>
  <c r="AE120" i="57"/>
  <c r="AD120" i="57"/>
  <c r="AC120" i="57"/>
  <c r="M120" i="57"/>
  <c r="L120" i="57"/>
  <c r="K120" i="57"/>
  <c r="J120" i="57"/>
  <c r="I120" i="57"/>
  <c r="H120" i="57"/>
  <c r="G120" i="57"/>
  <c r="F120" i="57"/>
  <c r="E120" i="57"/>
  <c r="D120" i="57"/>
  <c r="A120" i="57"/>
  <c r="AE119" i="57"/>
  <c r="AD119" i="57"/>
  <c r="AC119" i="57"/>
  <c r="M119" i="57"/>
  <c r="K119" i="57"/>
  <c r="J119" i="57"/>
  <c r="I119" i="57"/>
  <c r="H119" i="57"/>
  <c r="F119" i="57"/>
  <c r="E119" i="57"/>
  <c r="D119" i="57"/>
  <c r="A119" i="57"/>
  <c r="G119" i="57" s="1"/>
  <c r="AE118" i="57"/>
  <c r="AD118" i="57"/>
  <c r="AC118" i="57"/>
  <c r="K118" i="57"/>
  <c r="J118" i="57"/>
  <c r="I118" i="57"/>
  <c r="H118" i="57"/>
  <c r="G118" i="57"/>
  <c r="F118" i="57"/>
  <c r="E118" i="57"/>
  <c r="D118" i="57"/>
  <c r="A118" i="57"/>
  <c r="AE117" i="57"/>
  <c r="AD117" i="57"/>
  <c r="AC117" i="57"/>
  <c r="L117" i="57"/>
  <c r="K117" i="57"/>
  <c r="J117" i="57"/>
  <c r="I117" i="57"/>
  <c r="H117" i="57"/>
  <c r="G117" i="57"/>
  <c r="F117" i="57"/>
  <c r="E117" i="57"/>
  <c r="D117" i="57"/>
  <c r="A117" i="57"/>
  <c r="M117" i="57" s="1"/>
  <c r="AE116" i="57"/>
  <c r="AD116" i="57"/>
  <c r="AC116" i="57"/>
  <c r="M116" i="57"/>
  <c r="L116" i="57"/>
  <c r="K116" i="57"/>
  <c r="J116" i="57"/>
  <c r="I116" i="57"/>
  <c r="H116" i="57"/>
  <c r="F116" i="57"/>
  <c r="E116" i="57"/>
  <c r="D116" i="57"/>
  <c r="A116" i="57"/>
  <c r="G116" i="57" s="1"/>
  <c r="AE115" i="57"/>
  <c r="AD115" i="57"/>
  <c r="AC115" i="57"/>
  <c r="M115" i="57"/>
  <c r="L115" i="57"/>
  <c r="K115" i="57"/>
  <c r="J115" i="57"/>
  <c r="I115" i="57"/>
  <c r="H115" i="57"/>
  <c r="F115" i="57"/>
  <c r="E115" i="57"/>
  <c r="D115" i="57"/>
  <c r="A115" i="57"/>
  <c r="G115" i="57" s="1"/>
  <c r="AE114" i="57"/>
  <c r="AD114" i="57"/>
  <c r="AC114" i="57"/>
  <c r="M114" i="57"/>
  <c r="K114" i="57"/>
  <c r="J114" i="57"/>
  <c r="I114" i="57"/>
  <c r="H114" i="57"/>
  <c r="G114" i="57"/>
  <c r="F114" i="57"/>
  <c r="E114" i="57"/>
  <c r="D114" i="57"/>
  <c r="A114" i="57"/>
  <c r="L114" i="57" s="1"/>
  <c r="AE113" i="57"/>
  <c r="AD113" i="57"/>
  <c r="AC113" i="57"/>
  <c r="L113" i="57"/>
  <c r="K113" i="57"/>
  <c r="J113" i="57"/>
  <c r="I113" i="57"/>
  <c r="H113" i="57"/>
  <c r="G113" i="57"/>
  <c r="F113" i="57"/>
  <c r="E113" i="57"/>
  <c r="D113" i="57"/>
  <c r="A113" i="57"/>
  <c r="M113" i="57" s="1"/>
  <c r="AE112" i="57"/>
  <c r="AD112" i="57"/>
  <c r="AC112" i="57"/>
  <c r="M112" i="57"/>
  <c r="L112" i="57"/>
  <c r="K112" i="57"/>
  <c r="J112" i="57"/>
  <c r="I112" i="57"/>
  <c r="H112" i="57"/>
  <c r="G112" i="57"/>
  <c r="F112" i="57"/>
  <c r="E112" i="57"/>
  <c r="D112" i="57"/>
  <c r="A112" i="57"/>
  <c r="AE111" i="57"/>
  <c r="AD111" i="57"/>
  <c r="AC111" i="57"/>
  <c r="K111" i="57"/>
  <c r="J111" i="57"/>
  <c r="I111" i="57"/>
  <c r="H111" i="57"/>
  <c r="F111" i="57"/>
  <c r="E111" i="57"/>
  <c r="D111" i="57"/>
  <c r="A111" i="57"/>
  <c r="AE110" i="57"/>
  <c r="AD110" i="57"/>
  <c r="AC110" i="57"/>
  <c r="L110" i="57"/>
  <c r="K110" i="57"/>
  <c r="J110" i="57"/>
  <c r="I110" i="57"/>
  <c r="H110" i="57"/>
  <c r="F110" i="57"/>
  <c r="E110" i="57"/>
  <c r="D110" i="57"/>
  <c r="A110" i="57"/>
  <c r="M110" i="57" s="1"/>
  <c r="AE109" i="57"/>
  <c r="AD109" i="57"/>
  <c r="AC109" i="57"/>
  <c r="M109" i="57"/>
  <c r="L109" i="57"/>
  <c r="K109" i="57"/>
  <c r="J109" i="57"/>
  <c r="I109" i="57"/>
  <c r="H109" i="57"/>
  <c r="F109" i="57"/>
  <c r="E109" i="57"/>
  <c r="D109" i="57"/>
  <c r="A109" i="57"/>
  <c r="G109" i="57" s="1"/>
  <c r="AE108" i="57"/>
  <c r="AD108" i="57"/>
  <c r="AC108" i="57"/>
  <c r="M108" i="57"/>
  <c r="K108" i="57"/>
  <c r="J108" i="57"/>
  <c r="I108" i="57"/>
  <c r="H108" i="57"/>
  <c r="F108" i="57"/>
  <c r="E108" i="57"/>
  <c r="D108" i="57"/>
  <c r="A108" i="57"/>
  <c r="G108" i="57" s="1"/>
  <c r="AE107" i="57"/>
  <c r="AD107" i="57"/>
  <c r="AC107" i="57"/>
  <c r="L107" i="57"/>
  <c r="K107" i="57"/>
  <c r="J107" i="57"/>
  <c r="I107" i="57"/>
  <c r="H107" i="57"/>
  <c r="F107" i="57"/>
  <c r="E107" i="57"/>
  <c r="D107" i="57"/>
  <c r="A107" i="57"/>
  <c r="G107" i="57" s="1"/>
  <c r="AE106" i="57"/>
  <c r="AD106" i="57"/>
  <c r="AC106" i="57"/>
  <c r="M106" i="57"/>
  <c r="L106" i="57"/>
  <c r="K106" i="57"/>
  <c r="J106" i="57"/>
  <c r="I106" i="57"/>
  <c r="H106" i="57"/>
  <c r="F106" i="57"/>
  <c r="E106" i="57"/>
  <c r="D106" i="57"/>
  <c r="A106" i="57"/>
  <c r="G106" i="57" s="1"/>
  <c r="AE105" i="57"/>
  <c r="AD105" i="57"/>
  <c r="AC105" i="57"/>
  <c r="M105" i="57"/>
  <c r="K105" i="57"/>
  <c r="J105" i="57"/>
  <c r="I105" i="57"/>
  <c r="H105" i="57"/>
  <c r="F105" i="57"/>
  <c r="E105" i="57"/>
  <c r="D105" i="57"/>
  <c r="A105" i="57"/>
  <c r="G105" i="57" s="1"/>
  <c r="AE104" i="57"/>
  <c r="AD104" i="57"/>
  <c r="AC104" i="57"/>
  <c r="M104" i="57"/>
  <c r="L104" i="57"/>
  <c r="K104" i="57"/>
  <c r="J104" i="57"/>
  <c r="I104" i="57"/>
  <c r="H104" i="57"/>
  <c r="G104" i="57"/>
  <c r="F104" i="57"/>
  <c r="E104" i="57"/>
  <c r="D104" i="57"/>
  <c r="A104" i="57"/>
  <c r="AE103" i="57"/>
  <c r="AD103" i="57"/>
  <c r="AC103" i="57"/>
  <c r="M103" i="57"/>
  <c r="K103" i="57"/>
  <c r="J103" i="57"/>
  <c r="I103" i="57"/>
  <c r="H103" i="57"/>
  <c r="G103" i="57"/>
  <c r="F103" i="57"/>
  <c r="E103" i="57"/>
  <c r="D103" i="57"/>
  <c r="A103" i="57"/>
  <c r="L103" i="57" s="1"/>
  <c r="AE102" i="57"/>
  <c r="AD102" i="57"/>
  <c r="AC102" i="57"/>
  <c r="L102" i="57"/>
  <c r="K102" i="57"/>
  <c r="J102" i="57"/>
  <c r="I102" i="57"/>
  <c r="H102" i="57"/>
  <c r="G102" i="57"/>
  <c r="F102" i="57"/>
  <c r="E102" i="57"/>
  <c r="D102" i="57"/>
  <c r="A102" i="57"/>
  <c r="M102" i="57" s="1"/>
  <c r="AE101" i="57"/>
  <c r="AD101" i="57"/>
  <c r="AC101" i="57"/>
  <c r="M101" i="57"/>
  <c r="L101" i="57"/>
  <c r="K101" i="57"/>
  <c r="J101" i="57"/>
  <c r="I101" i="57"/>
  <c r="H101" i="57"/>
  <c r="G101" i="57"/>
  <c r="F101" i="57"/>
  <c r="E101" i="57"/>
  <c r="D101" i="57"/>
  <c r="A101" i="57"/>
  <c r="AE100" i="57"/>
  <c r="AD100" i="57"/>
  <c r="AC100" i="57"/>
  <c r="K100" i="57"/>
  <c r="J100" i="57"/>
  <c r="I100" i="57"/>
  <c r="H100" i="57"/>
  <c r="F100" i="57"/>
  <c r="E100" i="57"/>
  <c r="D100" i="57"/>
  <c r="A100" i="57"/>
  <c r="G100" i="57" s="1"/>
  <c r="AE99" i="57"/>
  <c r="AD99" i="57"/>
  <c r="AC99" i="57"/>
  <c r="K99" i="57"/>
  <c r="J99" i="57"/>
  <c r="I99" i="57"/>
  <c r="H99" i="57"/>
  <c r="F99" i="57"/>
  <c r="E99" i="57"/>
  <c r="D99" i="57"/>
  <c r="A99" i="57"/>
  <c r="G99" i="57" s="1"/>
  <c r="AE98" i="57"/>
  <c r="AD98" i="57"/>
  <c r="AC98" i="57"/>
  <c r="M98" i="57"/>
  <c r="L98" i="57"/>
  <c r="K98" i="57"/>
  <c r="J98" i="57"/>
  <c r="I98" i="57"/>
  <c r="H98" i="57"/>
  <c r="G98" i="57"/>
  <c r="F98" i="57"/>
  <c r="E98" i="57"/>
  <c r="D98" i="57"/>
  <c r="A98" i="57"/>
  <c r="AE97" i="57"/>
  <c r="AD97" i="57"/>
  <c r="AC97" i="57"/>
  <c r="M97" i="57"/>
  <c r="K97" i="57"/>
  <c r="J97" i="57"/>
  <c r="I97" i="57"/>
  <c r="H97" i="57"/>
  <c r="F97" i="57"/>
  <c r="E97" i="57"/>
  <c r="D97" i="57"/>
  <c r="A97" i="57"/>
  <c r="G97" i="57" s="1"/>
  <c r="AE96" i="57"/>
  <c r="AD96" i="57"/>
  <c r="AC96" i="57"/>
  <c r="M96" i="57"/>
  <c r="L96" i="57"/>
  <c r="K96" i="57"/>
  <c r="J96" i="57"/>
  <c r="I96" i="57"/>
  <c r="H96" i="57"/>
  <c r="G96" i="57"/>
  <c r="F96" i="57"/>
  <c r="E96" i="57"/>
  <c r="D96" i="57"/>
  <c r="A96" i="57"/>
  <c r="AE95" i="57"/>
  <c r="AD95" i="57"/>
  <c r="AC95" i="57"/>
  <c r="M95" i="57"/>
  <c r="K95" i="57"/>
  <c r="J95" i="57"/>
  <c r="I95" i="57"/>
  <c r="H95" i="57"/>
  <c r="G95" i="57"/>
  <c r="F95" i="57"/>
  <c r="E95" i="57"/>
  <c r="D95" i="57"/>
  <c r="A95" i="57"/>
  <c r="L95" i="57" s="1"/>
  <c r="AE94" i="57"/>
  <c r="AD94" i="57"/>
  <c r="AC94" i="57"/>
  <c r="L94" i="57"/>
  <c r="K94" i="57"/>
  <c r="J94" i="57"/>
  <c r="I94" i="57"/>
  <c r="H94" i="57"/>
  <c r="G94" i="57"/>
  <c r="F94" i="57"/>
  <c r="E94" i="57"/>
  <c r="D94" i="57"/>
  <c r="A94" i="57"/>
  <c r="M94" i="57" s="1"/>
  <c r="AE93" i="57"/>
  <c r="AD93" i="57"/>
  <c r="AC93" i="57"/>
  <c r="M93" i="57"/>
  <c r="L93" i="57"/>
  <c r="K93" i="57"/>
  <c r="J93" i="57"/>
  <c r="I93" i="57"/>
  <c r="H93" i="57"/>
  <c r="G93" i="57"/>
  <c r="F93" i="57"/>
  <c r="E93" i="57"/>
  <c r="D93" i="57"/>
  <c r="A93" i="57"/>
  <c r="AE92" i="57"/>
  <c r="AD92" i="57"/>
  <c r="AC92" i="57"/>
  <c r="K92" i="57"/>
  <c r="J92" i="57"/>
  <c r="I92" i="57"/>
  <c r="H92" i="57"/>
  <c r="F92" i="57"/>
  <c r="E92" i="57"/>
  <c r="D92" i="57"/>
  <c r="A92" i="57"/>
  <c r="G92" i="57" s="1"/>
  <c r="AE91" i="57"/>
  <c r="AD91" i="57"/>
  <c r="AC91" i="57"/>
  <c r="K91" i="57"/>
  <c r="J91" i="57"/>
  <c r="I91" i="57"/>
  <c r="H91" i="57"/>
  <c r="F91" i="57"/>
  <c r="E91" i="57"/>
  <c r="D91" i="57"/>
  <c r="A91" i="57"/>
  <c r="G91" i="57" s="1"/>
  <c r="AE90" i="57"/>
  <c r="AD90" i="57"/>
  <c r="AC90" i="57"/>
  <c r="M90" i="57"/>
  <c r="L90" i="57"/>
  <c r="K90" i="57"/>
  <c r="J90" i="57"/>
  <c r="I90" i="57"/>
  <c r="H90" i="57"/>
  <c r="G90" i="57"/>
  <c r="F90" i="57"/>
  <c r="E90" i="57"/>
  <c r="D90" i="57"/>
  <c r="A90" i="57"/>
  <c r="AE89" i="57"/>
  <c r="AD89" i="57"/>
  <c r="AC89" i="57"/>
  <c r="M89" i="57"/>
  <c r="K89" i="57"/>
  <c r="J89" i="57"/>
  <c r="I89" i="57"/>
  <c r="H89" i="57"/>
  <c r="G89" i="57"/>
  <c r="F89" i="57"/>
  <c r="E89" i="57"/>
  <c r="D89" i="57"/>
  <c r="A89" i="57"/>
  <c r="L89" i="57" s="1"/>
  <c r="AE88" i="57"/>
  <c r="AD88" i="57"/>
  <c r="AC88" i="57"/>
  <c r="K88" i="57"/>
  <c r="J88" i="57"/>
  <c r="I88" i="57"/>
  <c r="H88" i="57"/>
  <c r="F88" i="57"/>
  <c r="E88" i="57"/>
  <c r="D88" i="57"/>
  <c r="A88" i="57"/>
  <c r="M88" i="57" s="1"/>
  <c r="AE87" i="57"/>
  <c r="AD87" i="57"/>
  <c r="AC87" i="57"/>
  <c r="L87" i="57"/>
  <c r="K87" i="57"/>
  <c r="J87" i="57"/>
  <c r="I87" i="57"/>
  <c r="H87" i="57"/>
  <c r="G87" i="57"/>
  <c r="F87" i="57"/>
  <c r="E87" i="57"/>
  <c r="D87" i="57"/>
  <c r="A87" i="57"/>
  <c r="M87" i="57" s="1"/>
  <c r="AE86" i="57"/>
  <c r="AD86" i="57"/>
  <c r="AC86" i="57"/>
  <c r="M86" i="57"/>
  <c r="K86" i="57"/>
  <c r="J86" i="57"/>
  <c r="I86" i="57"/>
  <c r="H86" i="57"/>
  <c r="F86" i="57"/>
  <c r="E86" i="57"/>
  <c r="D86" i="57"/>
  <c r="A86" i="57"/>
  <c r="G86" i="57" s="1"/>
  <c r="AE85" i="57"/>
  <c r="AD85" i="57"/>
  <c r="AC85" i="57"/>
  <c r="K85" i="57"/>
  <c r="J85" i="57"/>
  <c r="I85" i="57"/>
  <c r="H85" i="57"/>
  <c r="F85" i="57"/>
  <c r="E85" i="57"/>
  <c r="D85" i="57"/>
  <c r="A85" i="57"/>
  <c r="G85" i="57" s="1"/>
  <c r="AE84" i="57"/>
  <c r="AD84" i="57"/>
  <c r="AC84" i="57"/>
  <c r="M84" i="57"/>
  <c r="L84" i="57"/>
  <c r="K84" i="57"/>
  <c r="J84" i="57"/>
  <c r="I84" i="57"/>
  <c r="H84" i="57"/>
  <c r="G84" i="57"/>
  <c r="F84" i="57"/>
  <c r="E84" i="57"/>
  <c r="D84" i="57"/>
  <c r="A84" i="57"/>
  <c r="AE83" i="57"/>
  <c r="AD83" i="57"/>
  <c r="AC83" i="57"/>
  <c r="M83" i="57"/>
  <c r="K83" i="57"/>
  <c r="J83" i="57"/>
  <c r="I83" i="57"/>
  <c r="H83" i="57"/>
  <c r="F83" i="57"/>
  <c r="E83" i="57"/>
  <c r="D83" i="57"/>
  <c r="A83" i="57"/>
  <c r="G83" i="57" s="1"/>
  <c r="AE82" i="57"/>
  <c r="AD82" i="57"/>
  <c r="AC82" i="57"/>
  <c r="M82" i="57"/>
  <c r="L82" i="57"/>
  <c r="K82" i="57"/>
  <c r="J82" i="57"/>
  <c r="I82" i="57"/>
  <c r="H82" i="57"/>
  <c r="G82" i="57"/>
  <c r="F82" i="57"/>
  <c r="E82" i="57"/>
  <c r="D82" i="57"/>
  <c r="A82" i="57"/>
  <c r="AE81" i="57"/>
  <c r="AD81" i="57"/>
  <c r="AC81" i="57"/>
  <c r="M81" i="57"/>
  <c r="K81" i="57"/>
  <c r="J81" i="57"/>
  <c r="I81" i="57"/>
  <c r="H81" i="57"/>
  <c r="G81" i="57"/>
  <c r="F81" i="57"/>
  <c r="E81" i="57"/>
  <c r="D81" i="57"/>
  <c r="A81" i="57"/>
  <c r="L81" i="57" s="1"/>
  <c r="AE80" i="57"/>
  <c r="AD80" i="57"/>
  <c r="AC80" i="57"/>
  <c r="K80" i="57"/>
  <c r="J80" i="57"/>
  <c r="I80" i="57"/>
  <c r="H80" i="57"/>
  <c r="F80" i="57"/>
  <c r="E80" i="57"/>
  <c r="D80" i="57"/>
  <c r="A80" i="57"/>
  <c r="M80" i="57" s="1"/>
  <c r="AE79" i="57"/>
  <c r="AD79" i="57"/>
  <c r="AC79" i="57"/>
  <c r="L79" i="57"/>
  <c r="K79" i="57"/>
  <c r="J79" i="57"/>
  <c r="I79" i="57"/>
  <c r="H79" i="57"/>
  <c r="F79" i="57"/>
  <c r="E79" i="57"/>
  <c r="D79" i="57"/>
  <c r="A79" i="57"/>
  <c r="G79" i="57" s="1"/>
  <c r="AE78" i="57"/>
  <c r="AD78" i="57"/>
  <c r="AC78" i="57"/>
  <c r="M78" i="57"/>
  <c r="L78" i="57"/>
  <c r="K78" i="57"/>
  <c r="J78" i="57"/>
  <c r="I78" i="57"/>
  <c r="H78" i="57"/>
  <c r="F78" i="57"/>
  <c r="E78" i="57"/>
  <c r="D78" i="57"/>
  <c r="A78" i="57"/>
  <c r="G78" i="57" s="1"/>
  <c r="AE77" i="57"/>
  <c r="AD77" i="57"/>
  <c r="AC77" i="57"/>
  <c r="K77" i="57"/>
  <c r="J77" i="57"/>
  <c r="I77" i="57"/>
  <c r="H77" i="57"/>
  <c r="F77" i="57"/>
  <c r="E77" i="57"/>
  <c r="D77" i="57"/>
  <c r="A77" i="57"/>
  <c r="G77" i="57" s="1"/>
  <c r="AE76" i="57"/>
  <c r="AD76" i="57"/>
  <c r="AC76" i="57"/>
  <c r="L76" i="57"/>
  <c r="K76" i="57"/>
  <c r="J76" i="57"/>
  <c r="I76" i="57"/>
  <c r="H76" i="57"/>
  <c r="G76" i="57"/>
  <c r="F76" i="57"/>
  <c r="E76" i="57"/>
  <c r="D76" i="57"/>
  <c r="A76" i="57"/>
  <c r="M76" i="57" s="1"/>
  <c r="AE75" i="57"/>
  <c r="AD75" i="57"/>
  <c r="AC75" i="57"/>
  <c r="M75" i="57"/>
  <c r="K75" i="57"/>
  <c r="J75" i="57"/>
  <c r="I75" i="57"/>
  <c r="H75" i="57"/>
  <c r="F75" i="57"/>
  <c r="E75" i="57"/>
  <c r="D75" i="57"/>
  <c r="A75" i="57"/>
  <c r="G75" i="57" s="1"/>
  <c r="AE74" i="57"/>
  <c r="AD74" i="57"/>
  <c r="AC74" i="57"/>
  <c r="M74" i="57"/>
  <c r="L74" i="57"/>
  <c r="K74" i="57"/>
  <c r="J74" i="57"/>
  <c r="I74" i="57"/>
  <c r="H74" i="57"/>
  <c r="G74" i="57"/>
  <c r="F74" i="57"/>
  <c r="E74" i="57"/>
  <c r="D74" i="57"/>
  <c r="A74" i="57"/>
  <c r="AE73" i="57"/>
  <c r="AD73" i="57"/>
  <c r="AC73" i="57"/>
  <c r="M73" i="57"/>
  <c r="K73" i="57"/>
  <c r="J73" i="57"/>
  <c r="I73" i="57"/>
  <c r="H73" i="57"/>
  <c r="G73" i="57"/>
  <c r="F73" i="57"/>
  <c r="E73" i="57"/>
  <c r="D73" i="57"/>
  <c r="A73" i="57"/>
  <c r="L73" i="57" s="1"/>
  <c r="AE72" i="57"/>
  <c r="AD72" i="57"/>
  <c r="AC72" i="57"/>
  <c r="K72" i="57"/>
  <c r="J72" i="57"/>
  <c r="I72" i="57"/>
  <c r="H72" i="57"/>
  <c r="F72" i="57"/>
  <c r="E72" i="57"/>
  <c r="D72" i="57"/>
  <c r="A72" i="57"/>
  <c r="M72" i="57" s="1"/>
  <c r="AE71" i="57"/>
  <c r="AD71" i="57"/>
  <c r="AC71" i="57"/>
  <c r="L71" i="57"/>
  <c r="K71" i="57"/>
  <c r="J71" i="57"/>
  <c r="I71" i="57"/>
  <c r="H71" i="57"/>
  <c r="G71" i="57"/>
  <c r="F71" i="57"/>
  <c r="E71" i="57"/>
  <c r="D71" i="57"/>
  <c r="A71" i="57"/>
  <c r="M71" i="57" s="1"/>
  <c r="AE70" i="57"/>
  <c r="AD70" i="57"/>
  <c r="AC70" i="57"/>
  <c r="M70" i="57"/>
  <c r="L70" i="57"/>
  <c r="K70" i="57"/>
  <c r="J70" i="57"/>
  <c r="I70" i="57"/>
  <c r="H70" i="57"/>
  <c r="F70" i="57"/>
  <c r="E70" i="57"/>
  <c r="D70" i="57"/>
  <c r="A70" i="57"/>
  <c r="G70" i="57" s="1"/>
  <c r="AE69" i="57"/>
  <c r="AD69" i="57"/>
  <c r="AC69" i="57"/>
  <c r="K69" i="57"/>
  <c r="J69" i="57"/>
  <c r="I69" i="57"/>
  <c r="H69" i="57"/>
  <c r="F69" i="57"/>
  <c r="E69" i="57"/>
  <c r="D69" i="57"/>
  <c r="A69" i="57"/>
  <c r="G69" i="57" s="1"/>
  <c r="AE68" i="57"/>
  <c r="AD68" i="57"/>
  <c r="AC68" i="57"/>
  <c r="L68" i="57"/>
  <c r="K68" i="57"/>
  <c r="J68" i="57"/>
  <c r="I68" i="57"/>
  <c r="H68" i="57"/>
  <c r="G68" i="57"/>
  <c r="F68" i="57"/>
  <c r="E68" i="57"/>
  <c r="D68" i="57"/>
  <c r="A68" i="57"/>
  <c r="M68" i="57" s="1"/>
  <c r="AE67" i="57"/>
  <c r="AD67" i="57"/>
  <c r="AC67" i="57"/>
  <c r="M67" i="57"/>
  <c r="K67" i="57"/>
  <c r="J67" i="57"/>
  <c r="I67" i="57"/>
  <c r="H67" i="57"/>
  <c r="F67" i="57"/>
  <c r="E67" i="57"/>
  <c r="D67" i="57"/>
  <c r="A67" i="57"/>
  <c r="G67" i="57" s="1"/>
  <c r="AE66" i="57"/>
  <c r="AD66" i="57"/>
  <c r="AC66" i="57"/>
  <c r="M66" i="57"/>
  <c r="L66" i="57"/>
  <c r="K66" i="57"/>
  <c r="J66" i="57"/>
  <c r="I66" i="57"/>
  <c r="H66" i="57"/>
  <c r="G66" i="57"/>
  <c r="F66" i="57"/>
  <c r="E66" i="57"/>
  <c r="D66" i="57"/>
  <c r="A66" i="57"/>
  <c r="AE65" i="57"/>
  <c r="AD65" i="57"/>
  <c r="AC65" i="57"/>
  <c r="M65" i="57"/>
  <c r="K65" i="57"/>
  <c r="J65" i="57"/>
  <c r="I65" i="57"/>
  <c r="H65" i="57"/>
  <c r="G65" i="57"/>
  <c r="F65" i="57"/>
  <c r="E65" i="57"/>
  <c r="D65" i="57"/>
  <c r="A65" i="57"/>
  <c r="L65" i="57" s="1"/>
  <c r="AE64" i="57"/>
  <c r="AD64" i="57"/>
  <c r="AC64" i="57"/>
  <c r="K64" i="57"/>
  <c r="J64" i="57"/>
  <c r="I64" i="57"/>
  <c r="H64" i="57"/>
  <c r="F64" i="57"/>
  <c r="E64" i="57"/>
  <c r="D64" i="57"/>
  <c r="A64" i="57"/>
  <c r="M64" i="57" s="1"/>
  <c r="AE63" i="57"/>
  <c r="AD63" i="57"/>
  <c r="AC63" i="57"/>
  <c r="L63" i="57"/>
  <c r="K63" i="57"/>
  <c r="J63" i="57"/>
  <c r="I63" i="57"/>
  <c r="H63" i="57"/>
  <c r="G63" i="57"/>
  <c r="F63" i="57"/>
  <c r="E63" i="57"/>
  <c r="D63" i="57"/>
  <c r="A63" i="57"/>
  <c r="M63" i="57" s="1"/>
  <c r="AE62" i="57"/>
  <c r="AD62" i="57"/>
  <c r="AC62" i="57"/>
  <c r="M62" i="57"/>
  <c r="L62" i="57"/>
  <c r="K62" i="57"/>
  <c r="J62" i="57"/>
  <c r="I62" i="57"/>
  <c r="H62" i="57"/>
  <c r="F62" i="57"/>
  <c r="E62" i="57"/>
  <c r="D62" i="57"/>
  <c r="A62" i="57"/>
  <c r="G62" i="57" s="1"/>
  <c r="AE61" i="57"/>
  <c r="AD61" i="57"/>
  <c r="AC61" i="57"/>
  <c r="K61" i="57"/>
  <c r="J61" i="57"/>
  <c r="I61" i="57"/>
  <c r="H61" i="57"/>
  <c r="F61" i="57"/>
  <c r="E61" i="57"/>
  <c r="D61" i="57"/>
  <c r="A61" i="57"/>
  <c r="G61" i="57" s="1"/>
  <c r="AE60" i="57"/>
  <c r="AD60" i="57"/>
  <c r="AC60" i="57"/>
  <c r="L60" i="57"/>
  <c r="K60" i="57"/>
  <c r="J60" i="57"/>
  <c r="I60" i="57"/>
  <c r="H60" i="57"/>
  <c r="G60" i="57"/>
  <c r="F60" i="57"/>
  <c r="E60" i="57"/>
  <c r="D60" i="57"/>
  <c r="A60" i="57"/>
  <c r="M60" i="57" s="1"/>
  <c r="AE59" i="57"/>
  <c r="AD59" i="57"/>
  <c r="AC59" i="57"/>
  <c r="K59" i="57"/>
  <c r="J59" i="57"/>
  <c r="I59" i="57"/>
  <c r="H59" i="57"/>
  <c r="F59" i="57"/>
  <c r="E59" i="57"/>
  <c r="D59" i="57"/>
  <c r="A59" i="57"/>
  <c r="G59" i="57" s="1"/>
  <c r="AE58" i="57"/>
  <c r="AD58" i="57"/>
  <c r="AC58" i="57"/>
  <c r="M58" i="57"/>
  <c r="L58" i="57"/>
  <c r="K58" i="57"/>
  <c r="J58" i="57"/>
  <c r="I58" i="57"/>
  <c r="H58" i="57"/>
  <c r="G58" i="57"/>
  <c r="F58" i="57"/>
  <c r="E58" i="57"/>
  <c r="D58" i="57"/>
  <c r="A58" i="57"/>
  <c r="AE57" i="57"/>
  <c r="AD57" i="57"/>
  <c r="AC57" i="57"/>
  <c r="M57" i="57"/>
  <c r="K57" i="57"/>
  <c r="J57" i="57"/>
  <c r="I57" i="57"/>
  <c r="H57" i="57"/>
  <c r="G57" i="57"/>
  <c r="F57" i="57"/>
  <c r="E57" i="57"/>
  <c r="D57" i="57"/>
  <c r="A57" i="57"/>
  <c r="L57" i="57" s="1"/>
  <c r="AE56" i="57"/>
  <c r="AD56" i="57"/>
  <c r="AC56" i="57"/>
  <c r="K56" i="57"/>
  <c r="J56" i="57"/>
  <c r="I56" i="57"/>
  <c r="H56" i="57"/>
  <c r="F56" i="57"/>
  <c r="E56" i="57"/>
  <c r="D56" i="57"/>
  <c r="A56" i="57"/>
  <c r="M56" i="57" s="1"/>
  <c r="AE55" i="57"/>
  <c r="AD55" i="57"/>
  <c r="AC55" i="57"/>
  <c r="L55" i="57"/>
  <c r="K55" i="57"/>
  <c r="J55" i="57"/>
  <c r="I55" i="57"/>
  <c r="H55" i="57"/>
  <c r="G55" i="57"/>
  <c r="F55" i="57"/>
  <c r="E55" i="57"/>
  <c r="D55" i="57"/>
  <c r="A55" i="57"/>
  <c r="M55" i="57" s="1"/>
  <c r="AE54" i="57"/>
  <c r="AD54" i="57"/>
  <c r="AC54" i="57"/>
  <c r="M54" i="57"/>
  <c r="L54" i="57"/>
  <c r="K54" i="57"/>
  <c r="J54" i="57"/>
  <c r="I54" i="57"/>
  <c r="H54" i="57"/>
  <c r="F54" i="57"/>
  <c r="E54" i="57"/>
  <c r="D54" i="57"/>
  <c r="A54" i="57"/>
  <c r="G54" i="57" s="1"/>
  <c r="AE53" i="57"/>
  <c r="AD53" i="57"/>
  <c r="AC53" i="57"/>
  <c r="K53" i="57"/>
  <c r="J53" i="57"/>
  <c r="I53" i="57"/>
  <c r="H53" i="57"/>
  <c r="F53" i="57"/>
  <c r="E53" i="57"/>
  <c r="D53" i="57"/>
  <c r="A53" i="57"/>
  <c r="G53" i="57" s="1"/>
  <c r="AE52" i="57"/>
  <c r="AD52" i="57"/>
  <c r="AC52" i="57"/>
  <c r="L52" i="57"/>
  <c r="K52" i="57"/>
  <c r="J52" i="57"/>
  <c r="I52" i="57"/>
  <c r="H52" i="57"/>
  <c r="G52" i="57"/>
  <c r="F52" i="57"/>
  <c r="E52" i="57"/>
  <c r="D52" i="57"/>
  <c r="A52" i="57"/>
  <c r="M52" i="57" s="1"/>
  <c r="AE51" i="57"/>
  <c r="AD51" i="57"/>
  <c r="AC51" i="57"/>
  <c r="M51" i="57"/>
  <c r="K51" i="57"/>
  <c r="J51" i="57"/>
  <c r="I51" i="57"/>
  <c r="H51" i="57"/>
  <c r="F51" i="57"/>
  <c r="E51" i="57"/>
  <c r="D51" i="57"/>
  <c r="A51" i="57"/>
  <c r="G51" i="57" s="1"/>
  <c r="AE50" i="57"/>
  <c r="AD50" i="57"/>
  <c r="AC50" i="57"/>
  <c r="M50" i="57"/>
  <c r="L50" i="57"/>
  <c r="K50" i="57"/>
  <c r="J50" i="57"/>
  <c r="I50" i="57"/>
  <c r="H50" i="57"/>
  <c r="G50" i="57"/>
  <c r="F50" i="57"/>
  <c r="E50" i="57"/>
  <c r="D50" i="57"/>
  <c r="A50" i="57"/>
  <c r="AE49" i="57"/>
  <c r="AD49" i="57"/>
  <c r="AC49" i="57"/>
  <c r="M49" i="57"/>
  <c r="K49" i="57"/>
  <c r="J49" i="57"/>
  <c r="I49" i="57"/>
  <c r="H49" i="57"/>
  <c r="G49" i="57"/>
  <c r="F49" i="57"/>
  <c r="E49" i="57"/>
  <c r="D49" i="57"/>
  <c r="A49" i="57"/>
  <c r="L49" i="57" s="1"/>
  <c r="AE48" i="57"/>
  <c r="AD48" i="57"/>
  <c r="AC48" i="57"/>
  <c r="K48" i="57"/>
  <c r="J48" i="57"/>
  <c r="I48" i="57"/>
  <c r="H48" i="57"/>
  <c r="F48" i="57"/>
  <c r="E48" i="57"/>
  <c r="D48" i="57"/>
  <c r="A48" i="57"/>
  <c r="M48" i="57" s="1"/>
  <c r="AE47" i="57"/>
  <c r="AD47" i="57"/>
  <c r="AC47" i="57"/>
  <c r="L47" i="57"/>
  <c r="K47" i="57"/>
  <c r="J47" i="57"/>
  <c r="I47" i="57"/>
  <c r="H47" i="57"/>
  <c r="G47" i="57"/>
  <c r="F47" i="57"/>
  <c r="E47" i="57"/>
  <c r="D47" i="57"/>
  <c r="A47" i="57"/>
  <c r="M47" i="57" s="1"/>
  <c r="AE46" i="57"/>
  <c r="AD46" i="57"/>
  <c r="AC46" i="57"/>
  <c r="M46" i="57"/>
  <c r="L46" i="57"/>
  <c r="K46" i="57"/>
  <c r="J46" i="57"/>
  <c r="I46" i="57"/>
  <c r="H46" i="57"/>
  <c r="F46" i="57"/>
  <c r="E46" i="57"/>
  <c r="D46" i="57"/>
  <c r="A46" i="57"/>
  <c r="G46" i="57" s="1"/>
  <c r="AE45" i="57"/>
  <c r="AD45" i="57"/>
  <c r="AC45" i="57"/>
  <c r="K45" i="57"/>
  <c r="J45" i="57"/>
  <c r="I45" i="57"/>
  <c r="H45" i="57"/>
  <c r="F45" i="57"/>
  <c r="E45" i="57"/>
  <c r="D45" i="57"/>
  <c r="A45" i="57"/>
  <c r="G45" i="57" s="1"/>
  <c r="AE44" i="57"/>
  <c r="AD44" i="57"/>
  <c r="AC44" i="57"/>
  <c r="L44" i="57"/>
  <c r="K44" i="57"/>
  <c r="J44" i="57"/>
  <c r="I44" i="57"/>
  <c r="H44" i="57"/>
  <c r="G44" i="57"/>
  <c r="F44" i="57"/>
  <c r="E44" i="57"/>
  <c r="D44" i="57"/>
  <c r="A44" i="57"/>
  <c r="M44" i="57" s="1"/>
  <c r="AE43" i="57"/>
  <c r="AD43" i="57"/>
  <c r="AC43" i="57"/>
  <c r="K43" i="57"/>
  <c r="J43" i="57"/>
  <c r="I43" i="57"/>
  <c r="H43" i="57"/>
  <c r="F43" i="57"/>
  <c r="E43" i="57"/>
  <c r="D43" i="57"/>
  <c r="A43" i="57"/>
  <c r="G43" i="57" s="1"/>
  <c r="AE42" i="57"/>
  <c r="AD42" i="57"/>
  <c r="AC42" i="57"/>
  <c r="M42" i="57"/>
  <c r="L42" i="57"/>
  <c r="K42" i="57"/>
  <c r="J42" i="57"/>
  <c r="I42" i="57"/>
  <c r="H42" i="57"/>
  <c r="G42" i="57"/>
  <c r="F42" i="57"/>
  <c r="E42" i="57"/>
  <c r="D42" i="57"/>
  <c r="A42" i="57"/>
  <c r="AE41" i="57"/>
  <c r="AD41" i="57"/>
  <c r="AC41" i="57"/>
  <c r="M41" i="57"/>
  <c r="K41" i="57"/>
  <c r="J41" i="57"/>
  <c r="I41" i="57"/>
  <c r="H41" i="57"/>
  <c r="F41" i="57"/>
  <c r="E41" i="57"/>
  <c r="D41" i="57"/>
  <c r="A41" i="57"/>
  <c r="L41" i="57" s="1"/>
  <c r="AE40" i="57"/>
  <c r="AD40" i="57"/>
  <c r="AC40" i="57"/>
  <c r="K40" i="57"/>
  <c r="J40" i="57"/>
  <c r="I40" i="57"/>
  <c r="H40" i="57"/>
  <c r="F40" i="57"/>
  <c r="E40" i="57"/>
  <c r="D40" i="57"/>
  <c r="A40" i="57"/>
  <c r="M40" i="57" s="1"/>
  <c r="AE39" i="57"/>
  <c r="AD39" i="57"/>
  <c r="AC39" i="57"/>
  <c r="M39" i="57"/>
  <c r="L39" i="57"/>
  <c r="K39" i="57"/>
  <c r="J39" i="57"/>
  <c r="I39" i="57"/>
  <c r="H39" i="57"/>
  <c r="G39" i="57"/>
  <c r="F39" i="57"/>
  <c r="E39" i="57"/>
  <c r="D39" i="57"/>
  <c r="A39" i="57"/>
  <c r="AE38" i="57"/>
  <c r="AD38" i="57"/>
  <c r="AC38" i="57"/>
  <c r="M38" i="57"/>
  <c r="L38" i="57"/>
  <c r="K38" i="57"/>
  <c r="J38" i="57"/>
  <c r="I38" i="57"/>
  <c r="H38" i="57"/>
  <c r="F38" i="57"/>
  <c r="E38" i="57"/>
  <c r="D38" i="57"/>
  <c r="A38" i="57"/>
  <c r="G38" i="57" s="1"/>
  <c r="AE37" i="57"/>
  <c r="AD37" i="57"/>
  <c r="AC37" i="57"/>
  <c r="K37" i="57"/>
  <c r="J37" i="57"/>
  <c r="I37" i="57"/>
  <c r="H37" i="57"/>
  <c r="F37" i="57"/>
  <c r="E37" i="57"/>
  <c r="D37" i="57"/>
  <c r="A37" i="57"/>
  <c r="G37" i="57" s="1"/>
  <c r="AE36" i="57"/>
  <c r="AD36" i="57"/>
  <c r="AC36" i="57"/>
  <c r="L36" i="57"/>
  <c r="K36" i="57"/>
  <c r="J36" i="57"/>
  <c r="I36" i="57"/>
  <c r="H36" i="57"/>
  <c r="G36" i="57"/>
  <c r="F36" i="57"/>
  <c r="E36" i="57"/>
  <c r="D36" i="57"/>
  <c r="A36" i="57"/>
  <c r="M36" i="57" s="1"/>
  <c r="AE35" i="57"/>
  <c r="AD35" i="57"/>
  <c r="AC35" i="57"/>
  <c r="K35" i="57"/>
  <c r="J35" i="57"/>
  <c r="I35" i="57"/>
  <c r="H35" i="57"/>
  <c r="F35" i="57"/>
  <c r="E35" i="57"/>
  <c r="D35" i="57"/>
  <c r="A35" i="57"/>
  <c r="G35" i="57" s="1"/>
  <c r="AE34" i="57"/>
  <c r="AD34" i="57"/>
  <c r="AC34" i="57"/>
  <c r="M34" i="57"/>
  <c r="L34" i="57"/>
  <c r="K34" i="57"/>
  <c r="J34" i="57"/>
  <c r="I34" i="57"/>
  <c r="H34" i="57"/>
  <c r="G34" i="57"/>
  <c r="F34" i="57"/>
  <c r="E34" i="57"/>
  <c r="D34" i="57"/>
  <c r="A34" i="57"/>
  <c r="AE33" i="57"/>
  <c r="AD33" i="57"/>
  <c r="AC33" i="57"/>
  <c r="M33" i="57"/>
  <c r="K33" i="57"/>
  <c r="J33" i="57"/>
  <c r="I33" i="57"/>
  <c r="H33" i="57"/>
  <c r="G33" i="57"/>
  <c r="F33" i="57"/>
  <c r="E33" i="57"/>
  <c r="D33" i="57"/>
  <c r="A33" i="57"/>
  <c r="L33" i="57" s="1"/>
  <c r="AE32" i="57"/>
  <c r="AD32" i="57"/>
  <c r="AC32" i="57"/>
  <c r="K32" i="57"/>
  <c r="J32" i="57"/>
  <c r="I32" i="57"/>
  <c r="H32" i="57"/>
  <c r="F32" i="57"/>
  <c r="E32" i="57"/>
  <c r="D32" i="57"/>
  <c r="A32" i="57"/>
  <c r="M32" i="57" s="1"/>
  <c r="AE31" i="57"/>
  <c r="AD31" i="57"/>
  <c r="AC31" i="57"/>
  <c r="M31" i="57"/>
  <c r="L31" i="57"/>
  <c r="K31" i="57"/>
  <c r="J31" i="57"/>
  <c r="I31" i="57"/>
  <c r="H31" i="57"/>
  <c r="G31" i="57"/>
  <c r="F31" i="57"/>
  <c r="E31" i="57"/>
  <c r="D31" i="57"/>
  <c r="A31" i="57"/>
  <c r="AE30" i="57"/>
  <c r="AD30" i="57"/>
  <c r="AC30" i="57"/>
  <c r="M30" i="57"/>
  <c r="L30" i="57"/>
  <c r="K30" i="57"/>
  <c r="J30" i="57"/>
  <c r="I30" i="57"/>
  <c r="H30" i="57"/>
  <c r="F30" i="57"/>
  <c r="E30" i="57"/>
  <c r="D30" i="57"/>
  <c r="A30" i="57"/>
  <c r="G30" i="57" s="1"/>
  <c r="AE29" i="57"/>
  <c r="AD29" i="57"/>
  <c r="AC29" i="57"/>
  <c r="K29" i="57"/>
  <c r="J29" i="57"/>
  <c r="I29" i="57"/>
  <c r="H29" i="57"/>
  <c r="F29" i="57"/>
  <c r="E29" i="57"/>
  <c r="D29" i="57"/>
  <c r="A29" i="57"/>
  <c r="G29" i="57" s="1"/>
  <c r="AE28" i="57"/>
  <c r="AD28" i="57"/>
  <c r="AC28" i="57"/>
  <c r="L28" i="57"/>
  <c r="K28" i="57"/>
  <c r="J28" i="57"/>
  <c r="I28" i="57"/>
  <c r="H28" i="57"/>
  <c r="G28" i="57"/>
  <c r="F28" i="57"/>
  <c r="E28" i="57"/>
  <c r="D28" i="57"/>
  <c r="A28" i="57"/>
  <c r="M28" i="57" s="1"/>
  <c r="AE27" i="57"/>
  <c r="AD27" i="57"/>
  <c r="AC27" i="57"/>
  <c r="K27" i="57"/>
  <c r="J27" i="57"/>
  <c r="I27" i="57"/>
  <c r="H27" i="57"/>
  <c r="F27" i="57"/>
  <c r="E27" i="57"/>
  <c r="D27" i="57"/>
  <c r="A27" i="57"/>
  <c r="G27" i="57" s="1"/>
  <c r="AE26" i="57"/>
  <c r="AD26" i="57"/>
  <c r="AC26" i="57"/>
  <c r="M26" i="57"/>
  <c r="L26" i="57"/>
  <c r="K26" i="57"/>
  <c r="J26" i="57"/>
  <c r="I26" i="57"/>
  <c r="H26" i="57"/>
  <c r="G26" i="57"/>
  <c r="F26" i="57"/>
  <c r="E26" i="57"/>
  <c r="D26" i="57"/>
  <c r="A26" i="57"/>
  <c r="AE25" i="57"/>
  <c r="AD25" i="57"/>
  <c r="AC25" i="57"/>
  <c r="M25" i="57"/>
  <c r="K25" i="57"/>
  <c r="J25" i="57"/>
  <c r="I25" i="57"/>
  <c r="H25" i="57"/>
  <c r="G25" i="57"/>
  <c r="F25" i="57"/>
  <c r="E25" i="57"/>
  <c r="D25" i="57"/>
  <c r="A25" i="57"/>
  <c r="L25" i="57" s="1"/>
  <c r="AE24" i="57"/>
  <c r="AD24" i="57"/>
  <c r="AC24" i="57"/>
  <c r="K24" i="57"/>
  <c r="J24" i="57"/>
  <c r="I24" i="57"/>
  <c r="H24" i="57"/>
  <c r="F24" i="57"/>
  <c r="E24" i="57"/>
  <c r="D24" i="57"/>
  <c r="A24" i="57"/>
  <c r="M24" i="57" s="1"/>
  <c r="AE23" i="57"/>
  <c r="AD23" i="57"/>
  <c r="AC23" i="57"/>
  <c r="M23" i="57"/>
  <c r="L23" i="57"/>
  <c r="K23" i="57"/>
  <c r="J23" i="57"/>
  <c r="I23" i="57"/>
  <c r="H23" i="57"/>
  <c r="G23" i="57"/>
  <c r="F23" i="57"/>
  <c r="E23" i="57"/>
  <c r="D23" i="57"/>
  <c r="A23" i="57"/>
  <c r="AE22" i="57"/>
  <c r="AD22" i="57"/>
  <c r="AC22" i="57"/>
  <c r="M22" i="57"/>
  <c r="K22" i="57"/>
  <c r="J22" i="57"/>
  <c r="I22" i="57"/>
  <c r="H22" i="57"/>
  <c r="F22" i="57"/>
  <c r="E22" i="57"/>
  <c r="D22" i="57"/>
  <c r="A22" i="57"/>
  <c r="G22" i="57" s="1"/>
  <c r="AE21" i="57"/>
  <c r="AD21" i="57"/>
  <c r="AC21" i="57"/>
  <c r="K21" i="57"/>
  <c r="J21" i="57"/>
  <c r="I21" i="57"/>
  <c r="H21" i="57"/>
  <c r="F21" i="57"/>
  <c r="E21" i="57"/>
  <c r="D21" i="57"/>
  <c r="A21" i="57"/>
  <c r="G21" i="57" s="1"/>
  <c r="AE20" i="57"/>
  <c r="AD20" i="57"/>
  <c r="AC20" i="57"/>
  <c r="L20" i="57"/>
  <c r="K20" i="57"/>
  <c r="J20" i="57"/>
  <c r="I20" i="57"/>
  <c r="H20" i="57"/>
  <c r="G20" i="57"/>
  <c r="F20" i="57"/>
  <c r="E20" i="57"/>
  <c r="D20" i="57"/>
  <c r="A20" i="57"/>
  <c r="M20" i="57" s="1"/>
  <c r="AE19" i="57"/>
  <c r="AD19" i="57"/>
  <c r="AC19" i="57"/>
  <c r="K19" i="57"/>
  <c r="J19" i="57"/>
  <c r="I19" i="57"/>
  <c r="H19" i="57"/>
  <c r="F19" i="57"/>
  <c r="E19" i="57"/>
  <c r="D19" i="57"/>
  <c r="A19" i="57"/>
  <c r="AE18" i="57"/>
  <c r="AD18" i="57"/>
  <c r="AC18" i="57"/>
  <c r="M18" i="57"/>
  <c r="L18" i="57"/>
  <c r="K18" i="57"/>
  <c r="J18" i="57"/>
  <c r="I18" i="57"/>
  <c r="H18" i="57"/>
  <c r="G18" i="57"/>
  <c r="F18" i="57"/>
  <c r="E18" i="57"/>
  <c r="D18" i="57"/>
  <c r="A18" i="57"/>
  <c r="AE17" i="57"/>
  <c r="AD17" i="57"/>
  <c r="AC17" i="57"/>
  <c r="M17" i="57"/>
  <c r="K17" i="57"/>
  <c r="J17" i="57"/>
  <c r="I17" i="57"/>
  <c r="H17" i="57"/>
  <c r="G17" i="57"/>
  <c r="F17" i="57"/>
  <c r="E17" i="57"/>
  <c r="D17" i="57"/>
  <c r="A17" i="57"/>
  <c r="L17" i="57" s="1"/>
  <c r="AE16" i="57"/>
  <c r="AD16" i="57"/>
  <c r="AC16" i="57"/>
  <c r="K16" i="57"/>
  <c r="J16" i="57"/>
  <c r="I16" i="57"/>
  <c r="H16" i="57"/>
  <c r="F16" i="57"/>
  <c r="E16" i="57"/>
  <c r="D16" i="57"/>
  <c r="A16" i="57"/>
  <c r="AE15" i="57"/>
  <c r="AD15" i="57"/>
  <c r="AC15" i="57"/>
  <c r="M15" i="57"/>
  <c r="L15" i="57"/>
  <c r="K15" i="57"/>
  <c r="J15" i="57"/>
  <c r="I15" i="57"/>
  <c r="H15" i="57"/>
  <c r="G15" i="57"/>
  <c r="F15" i="57"/>
  <c r="E15" i="57"/>
  <c r="D15" i="57"/>
  <c r="A15" i="57"/>
  <c r="AE14" i="57"/>
  <c r="AD14" i="57"/>
  <c r="AC14" i="57"/>
  <c r="M14" i="57"/>
  <c r="K14" i="57"/>
  <c r="J14" i="57"/>
  <c r="I14" i="57"/>
  <c r="H14" i="57"/>
  <c r="F14" i="57"/>
  <c r="E14" i="57"/>
  <c r="D14" i="57"/>
  <c r="A14" i="57"/>
  <c r="G14" i="57" s="1"/>
  <c r="AE13" i="57"/>
  <c r="AD13" i="57"/>
  <c r="AC13" i="57"/>
  <c r="K13" i="57"/>
  <c r="J13" i="57"/>
  <c r="I13" i="57"/>
  <c r="H13" i="57"/>
  <c r="F13" i="57"/>
  <c r="E13" i="57"/>
  <c r="D13" i="57"/>
  <c r="A13" i="57"/>
  <c r="AE12" i="57"/>
  <c r="AD12" i="57"/>
  <c r="AC12" i="57"/>
  <c r="K12" i="57"/>
  <c r="J12" i="57"/>
  <c r="I12" i="57"/>
  <c r="H12" i="57"/>
  <c r="F12" i="57"/>
  <c r="E12" i="57"/>
  <c r="D12" i="57"/>
  <c r="A12" i="57"/>
  <c r="M12" i="57" s="1"/>
  <c r="AE11" i="57"/>
  <c r="AD11" i="57"/>
  <c r="AC11" i="57"/>
  <c r="K11" i="57"/>
  <c r="J11" i="57"/>
  <c r="I11" i="57"/>
  <c r="H11" i="57"/>
  <c r="F11" i="57"/>
  <c r="E11" i="57"/>
  <c r="D11" i="57"/>
  <c r="A11" i="57"/>
  <c r="G11" i="57" s="1"/>
  <c r="AE10" i="57"/>
  <c r="AD10" i="57"/>
  <c r="AC10" i="57"/>
  <c r="M10" i="57"/>
  <c r="L10" i="57"/>
  <c r="K10" i="57"/>
  <c r="J10" i="57"/>
  <c r="I10" i="57"/>
  <c r="H10" i="57"/>
  <c r="G10" i="57"/>
  <c r="F10" i="57"/>
  <c r="E10" i="57"/>
  <c r="D10" i="57"/>
  <c r="A10" i="57"/>
  <c r="AE9" i="57"/>
  <c r="AD9" i="57"/>
  <c r="AC9" i="57"/>
  <c r="M9" i="57"/>
  <c r="K9" i="57"/>
  <c r="J9" i="57"/>
  <c r="I9" i="57"/>
  <c r="H9" i="57"/>
  <c r="G9" i="57"/>
  <c r="F9" i="57"/>
  <c r="E9" i="57"/>
  <c r="D9" i="57"/>
  <c r="A9" i="57"/>
  <c r="L9" i="57" s="1"/>
  <c r="AE8" i="57"/>
  <c r="AD8" i="57"/>
  <c r="AC8" i="57"/>
  <c r="L8" i="57"/>
  <c r="K8" i="57"/>
  <c r="J8" i="57"/>
  <c r="I8" i="57"/>
  <c r="H8" i="57"/>
  <c r="G8" i="57"/>
  <c r="F8" i="57"/>
  <c r="E8" i="57"/>
  <c r="D8" i="57"/>
  <c r="A8" i="57"/>
  <c r="M8" i="57" s="1"/>
  <c r="AE7" i="57"/>
  <c r="AD7" i="57"/>
  <c r="AC7" i="57"/>
  <c r="M7" i="57"/>
  <c r="L7" i="57"/>
  <c r="K7" i="57"/>
  <c r="J7" i="57"/>
  <c r="I7" i="57"/>
  <c r="H7" i="57"/>
  <c r="G7" i="57"/>
  <c r="F7" i="57"/>
  <c r="E7" i="57"/>
  <c r="D7" i="57"/>
  <c r="A7" i="57"/>
  <c r="AE6" i="57"/>
  <c r="AD6" i="57"/>
  <c r="AC6" i="57"/>
  <c r="M6" i="57"/>
  <c r="K6" i="57"/>
  <c r="J6" i="57"/>
  <c r="I6" i="57"/>
  <c r="H6" i="57"/>
  <c r="F6" i="57"/>
  <c r="E6" i="57"/>
  <c r="D6" i="57"/>
  <c r="A6" i="57"/>
  <c r="G6" i="57" s="1"/>
  <c r="AE5" i="57"/>
  <c r="AD5" i="57"/>
  <c r="AC5" i="57"/>
  <c r="K5" i="57"/>
  <c r="J5" i="57"/>
  <c r="I5" i="57"/>
  <c r="H5" i="57"/>
  <c r="F5" i="57"/>
  <c r="E5" i="57"/>
  <c r="D5" i="57"/>
  <c r="A5" i="57"/>
  <c r="AE4" i="57"/>
  <c r="AD4" i="57"/>
  <c r="AC4" i="57"/>
  <c r="L4" i="57"/>
  <c r="K4" i="57"/>
  <c r="J4" i="57"/>
  <c r="I4" i="57"/>
  <c r="H4" i="57"/>
  <c r="G4" i="57"/>
  <c r="F4" i="57"/>
  <c r="E4" i="57"/>
  <c r="D4" i="57"/>
  <c r="A4" i="57"/>
  <c r="M4" i="57" s="1"/>
  <c r="AE3" i="57"/>
  <c r="AC3" i="57"/>
  <c r="M3" i="57"/>
  <c r="K3" i="57"/>
  <c r="I3" i="57"/>
  <c r="H3" i="57"/>
  <c r="E3" i="57"/>
  <c r="D3" i="57"/>
  <c r="A3" i="57"/>
  <c r="G3" i="57" s="1"/>
  <c r="AD2" i="57"/>
  <c r="J2" i="57"/>
  <c r="I2" i="57"/>
  <c r="E2" i="57"/>
  <c r="B2" i="57" a="1"/>
  <c r="AD3" i="57" s="1"/>
  <c r="B2" i="57"/>
  <c r="A2" i="57"/>
  <c r="AB300" i="57"/>
  <c r="V300" i="57"/>
  <c r="T300" i="57"/>
  <c r="S300" i="57"/>
  <c r="P300" i="57"/>
  <c r="Q300" i="57" s="1"/>
  <c r="O300" i="57"/>
  <c r="N300" i="57"/>
  <c r="C300" i="57"/>
  <c r="AA300" i="57" s="1"/>
  <c r="AB299" i="57"/>
  <c r="V299" i="57"/>
  <c r="T299" i="57"/>
  <c r="S299" i="57"/>
  <c r="P299" i="57"/>
  <c r="O299" i="57"/>
  <c r="N299" i="57"/>
  <c r="C299" i="57"/>
  <c r="AA299" i="57" s="1"/>
  <c r="AB298" i="57"/>
  <c r="V298" i="57"/>
  <c r="T298" i="57"/>
  <c r="S298" i="57"/>
  <c r="P298" i="57"/>
  <c r="O298" i="57"/>
  <c r="AB297" i="57"/>
  <c r="V297" i="57"/>
  <c r="T297" i="57"/>
  <c r="S297" i="57"/>
  <c r="P297" i="57"/>
  <c r="O297" i="57"/>
  <c r="AB296" i="57"/>
  <c r="V296" i="57"/>
  <c r="T296" i="57"/>
  <c r="S296" i="57"/>
  <c r="P296" i="57"/>
  <c r="O296" i="57"/>
  <c r="AB295" i="57"/>
  <c r="V295" i="57"/>
  <c r="T295" i="57"/>
  <c r="S295" i="57"/>
  <c r="P295" i="57"/>
  <c r="O295" i="57"/>
  <c r="AB294" i="57"/>
  <c r="V294" i="57"/>
  <c r="T294" i="57"/>
  <c r="S294" i="57"/>
  <c r="P294" i="57"/>
  <c r="O294" i="57"/>
  <c r="AB293" i="57"/>
  <c r="V293" i="57"/>
  <c r="T293" i="57"/>
  <c r="S293" i="57"/>
  <c r="P293" i="57"/>
  <c r="O293" i="57"/>
  <c r="AB292" i="57"/>
  <c r="V292" i="57"/>
  <c r="T292" i="57"/>
  <c r="S292" i="57"/>
  <c r="P292" i="57"/>
  <c r="O292" i="57"/>
  <c r="C292" i="57"/>
  <c r="AB291" i="57"/>
  <c r="V291" i="57"/>
  <c r="T291" i="57"/>
  <c r="S291" i="57"/>
  <c r="P291" i="57"/>
  <c r="O291" i="57"/>
  <c r="N291" i="57"/>
  <c r="C291" i="57"/>
  <c r="AA291" i="57" s="1"/>
  <c r="AB290" i="57"/>
  <c r="V290" i="57"/>
  <c r="T290" i="57"/>
  <c r="S290" i="57"/>
  <c r="P290" i="57"/>
  <c r="O290" i="57"/>
  <c r="N290" i="57"/>
  <c r="Q290" i="57" s="1"/>
  <c r="C290" i="57"/>
  <c r="AA290" i="57" s="1"/>
  <c r="AB289" i="57"/>
  <c r="V289" i="57"/>
  <c r="T289" i="57"/>
  <c r="S289" i="57"/>
  <c r="P289" i="57"/>
  <c r="O289" i="57"/>
  <c r="C289" i="57"/>
  <c r="AB288" i="57"/>
  <c r="V288" i="57"/>
  <c r="T288" i="57"/>
  <c r="S288" i="57"/>
  <c r="P288" i="57"/>
  <c r="O288" i="57"/>
  <c r="AB287" i="57"/>
  <c r="V287" i="57"/>
  <c r="T287" i="57"/>
  <c r="S287" i="57"/>
  <c r="P287" i="57"/>
  <c r="O287" i="57"/>
  <c r="AB286" i="57"/>
  <c r="V286" i="57"/>
  <c r="T286" i="57"/>
  <c r="S286" i="57"/>
  <c r="P286" i="57"/>
  <c r="O286" i="57"/>
  <c r="AB285" i="57"/>
  <c r="V285" i="57"/>
  <c r="T285" i="57"/>
  <c r="S285" i="57"/>
  <c r="P285" i="57"/>
  <c r="O285" i="57"/>
  <c r="AB284" i="57"/>
  <c r="V284" i="57"/>
  <c r="T284" i="57"/>
  <c r="S284" i="57"/>
  <c r="P284" i="57"/>
  <c r="O284" i="57"/>
  <c r="AB283" i="57"/>
  <c r="V283" i="57"/>
  <c r="T283" i="57"/>
  <c r="S283" i="57"/>
  <c r="P283" i="57"/>
  <c r="O283" i="57"/>
  <c r="AB282" i="57"/>
  <c r="V282" i="57"/>
  <c r="T282" i="57"/>
  <c r="S282" i="57"/>
  <c r="P282" i="57"/>
  <c r="O282" i="57"/>
  <c r="N282" i="57"/>
  <c r="Q282" i="57" s="1"/>
  <c r="W282" i="57" s="1" a="1"/>
  <c r="W282" i="57" s="1"/>
  <c r="X282" i="57" s="1"/>
  <c r="C282" i="57"/>
  <c r="AA282" i="57" s="1"/>
  <c r="AB281" i="57"/>
  <c r="V281" i="57"/>
  <c r="T281" i="57"/>
  <c r="S281" i="57"/>
  <c r="P281" i="57"/>
  <c r="O281" i="57"/>
  <c r="C281" i="57"/>
  <c r="AB280" i="57"/>
  <c r="V280" i="57"/>
  <c r="T280" i="57"/>
  <c r="S280" i="57"/>
  <c r="P280" i="57"/>
  <c r="O280" i="57"/>
  <c r="AB279" i="57"/>
  <c r="V279" i="57"/>
  <c r="T279" i="57"/>
  <c r="S279" i="57"/>
  <c r="P279" i="57"/>
  <c r="O279" i="57"/>
  <c r="AB278" i="57"/>
  <c r="V278" i="57"/>
  <c r="T278" i="57"/>
  <c r="S278" i="57"/>
  <c r="P278" i="57"/>
  <c r="O278" i="57"/>
  <c r="C278" i="57"/>
  <c r="AB277" i="57"/>
  <c r="V277" i="57"/>
  <c r="T277" i="57"/>
  <c r="S277" i="57"/>
  <c r="P277" i="57"/>
  <c r="O277" i="57"/>
  <c r="AB276" i="57"/>
  <c r="V276" i="57"/>
  <c r="T276" i="57"/>
  <c r="S276" i="57"/>
  <c r="P276" i="57"/>
  <c r="O276" i="57"/>
  <c r="C276" i="57"/>
  <c r="AB275" i="57"/>
  <c r="V275" i="57"/>
  <c r="T275" i="57"/>
  <c r="S275" i="57"/>
  <c r="P275" i="57"/>
  <c r="O275" i="57"/>
  <c r="N275" i="57"/>
  <c r="Q275" i="57" s="1"/>
  <c r="C275" i="57"/>
  <c r="AA275" i="57" s="1"/>
  <c r="AB274" i="57"/>
  <c r="V274" i="57"/>
  <c r="T274" i="57"/>
  <c r="S274" i="57"/>
  <c r="Q274" i="57"/>
  <c r="W274" i="57" s="1" a="1"/>
  <c r="W274" i="57" s="1"/>
  <c r="X274" i="57" s="1"/>
  <c r="P274" i="57"/>
  <c r="O274" i="57"/>
  <c r="N274" i="57"/>
  <c r="C274" i="57"/>
  <c r="AA274" i="57" s="1"/>
  <c r="AB273" i="57"/>
  <c r="V273" i="57"/>
  <c r="T273" i="57"/>
  <c r="S273" i="57"/>
  <c r="P273" i="57"/>
  <c r="O273" i="57"/>
  <c r="C273" i="57"/>
  <c r="AB272" i="57"/>
  <c r="V272" i="57"/>
  <c r="T272" i="57"/>
  <c r="S272" i="57"/>
  <c r="P272" i="57"/>
  <c r="O272" i="57"/>
  <c r="C272" i="57"/>
  <c r="AA272" i="57" s="1"/>
  <c r="AB271" i="57"/>
  <c r="V271" i="57"/>
  <c r="T271" i="57"/>
  <c r="S271" i="57"/>
  <c r="P271" i="57"/>
  <c r="O271" i="57"/>
  <c r="N271" i="57"/>
  <c r="C271" i="57"/>
  <c r="AA271" i="57" s="1"/>
  <c r="AB270" i="57"/>
  <c r="V270" i="57"/>
  <c r="T270" i="57"/>
  <c r="S270" i="57"/>
  <c r="P270" i="57"/>
  <c r="O270" i="57"/>
  <c r="C270" i="57"/>
  <c r="AB269" i="57"/>
  <c r="V269" i="57"/>
  <c r="T269" i="57"/>
  <c r="S269" i="57"/>
  <c r="P269" i="57"/>
  <c r="O269" i="57"/>
  <c r="AB268" i="57"/>
  <c r="V268" i="57"/>
  <c r="T268" i="57"/>
  <c r="S268" i="57"/>
  <c r="P268" i="57"/>
  <c r="O268" i="57"/>
  <c r="C268" i="57"/>
  <c r="AB267" i="57"/>
  <c r="V267" i="57"/>
  <c r="T267" i="57"/>
  <c r="S267" i="57"/>
  <c r="P267" i="57"/>
  <c r="O267" i="57"/>
  <c r="N267" i="57"/>
  <c r="C267" i="57"/>
  <c r="AA267" i="57" s="1"/>
  <c r="AB266" i="57"/>
  <c r="V266" i="57"/>
  <c r="T266" i="57"/>
  <c r="S266" i="57"/>
  <c r="P266" i="57"/>
  <c r="O266" i="57"/>
  <c r="AB265" i="57"/>
  <c r="V265" i="57"/>
  <c r="T265" i="57"/>
  <c r="S265" i="57"/>
  <c r="P265" i="57"/>
  <c r="O265" i="57"/>
  <c r="C265" i="57"/>
  <c r="AB264" i="57"/>
  <c r="V264" i="57"/>
  <c r="T264" i="57"/>
  <c r="S264" i="57"/>
  <c r="P264" i="57"/>
  <c r="O264" i="57"/>
  <c r="AB263" i="57"/>
  <c r="V263" i="57"/>
  <c r="T263" i="57"/>
  <c r="S263" i="57"/>
  <c r="P263" i="57"/>
  <c r="O263" i="57"/>
  <c r="AB262" i="57"/>
  <c r="V262" i="57"/>
  <c r="T262" i="57"/>
  <c r="S262" i="57"/>
  <c r="P262" i="57"/>
  <c r="O262" i="57"/>
  <c r="AB261" i="57"/>
  <c r="V261" i="57"/>
  <c r="T261" i="57"/>
  <c r="S261" i="57"/>
  <c r="P261" i="57"/>
  <c r="O261" i="57"/>
  <c r="AB260" i="57"/>
  <c r="V260" i="57"/>
  <c r="T260" i="57"/>
  <c r="S260" i="57"/>
  <c r="P260" i="57"/>
  <c r="O260" i="57"/>
  <c r="AB259" i="57"/>
  <c r="V259" i="57"/>
  <c r="T259" i="57"/>
  <c r="S259" i="57"/>
  <c r="P259" i="57"/>
  <c r="O259" i="57"/>
  <c r="AB258" i="57"/>
  <c r="V258" i="57"/>
  <c r="T258" i="57"/>
  <c r="S258" i="57"/>
  <c r="P258" i="57"/>
  <c r="O258" i="57"/>
  <c r="N258" i="57"/>
  <c r="Q258" i="57" s="1"/>
  <c r="W258" i="57" s="1" a="1"/>
  <c r="W258" i="57" s="1"/>
  <c r="X258" i="57" s="1"/>
  <c r="C258" i="57"/>
  <c r="AA258" i="57" s="1"/>
  <c r="AB257" i="57"/>
  <c r="V257" i="57"/>
  <c r="T257" i="57"/>
  <c r="S257" i="57"/>
  <c r="P257" i="57"/>
  <c r="O257" i="57"/>
  <c r="C257" i="57"/>
  <c r="AB256" i="57"/>
  <c r="V256" i="57"/>
  <c r="T256" i="57"/>
  <c r="S256" i="57"/>
  <c r="P256" i="57"/>
  <c r="O256" i="57"/>
  <c r="AB255" i="57"/>
  <c r="V255" i="57"/>
  <c r="T255" i="57"/>
  <c r="S255" i="57"/>
  <c r="P255" i="57"/>
  <c r="O255" i="57"/>
  <c r="AB254" i="57"/>
  <c r="V254" i="57"/>
  <c r="T254" i="57"/>
  <c r="S254" i="57"/>
  <c r="P254" i="57"/>
  <c r="O254" i="57"/>
  <c r="AB253" i="57"/>
  <c r="V253" i="57"/>
  <c r="T253" i="57"/>
  <c r="S253" i="57"/>
  <c r="P253" i="57"/>
  <c r="O253" i="57"/>
  <c r="AB252" i="57"/>
  <c r="V252" i="57"/>
  <c r="T252" i="57"/>
  <c r="S252" i="57"/>
  <c r="P252" i="57"/>
  <c r="O252" i="57"/>
  <c r="C252" i="57"/>
  <c r="AB251" i="57"/>
  <c r="V251" i="57"/>
  <c r="T251" i="57"/>
  <c r="S251" i="57"/>
  <c r="P251" i="57"/>
  <c r="O251" i="57"/>
  <c r="AB250" i="57"/>
  <c r="V250" i="57"/>
  <c r="T250" i="57"/>
  <c r="S250" i="57"/>
  <c r="P250" i="57"/>
  <c r="O250" i="57"/>
  <c r="N250" i="57"/>
  <c r="Q250" i="57" s="1"/>
  <c r="C250" i="57"/>
  <c r="AA250" i="57" s="1"/>
  <c r="AB249" i="57"/>
  <c r="V249" i="57"/>
  <c r="T249" i="57"/>
  <c r="S249" i="57"/>
  <c r="P249" i="57"/>
  <c r="O249" i="57"/>
  <c r="C249" i="57"/>
  <c r="AB248" i="57"/>
  <c r="V248" i="57"/>
  <c r="T248" i="57"/>
  <c r="S248" i="57"/>
  <c r="P248" i="57"/>
  <c r="O248" i="57"/>
  <c r="AB247" i="57"/>
  <c r="V247" i="57"/>
  <c r="T247" i="57"/>
  <c r="S247" i="57"/>
  <c r="P247" i="57"/>
  <c r="O247" i="57"/>
  <c r="AB246" i="57"/>
  <c r="V246" i="57"/>
  <c r="T246" i="57"/>
  <c r="S246" i="57"/>
  <c r="P246" i="57"/>
  <c r="O246" i="57"/>
  <c r="C246" i="57"/>
  <c r="AB245" i="57"/>
  <c r="V245" i="57"/>
  <c r="T245" i="57"/>
  <c r="S245" i="57"/>
  <c r="P245" i="57"/>
  <c r="O245" i="57"/>
  <c r="AB244" i="57"/>
  <c r="V244" i="57"/>
  <c r="T244" i="57"/>
  <c r="S244" i="57"/>
  <c r="P244" i="57"/>
  <c r="O244" i="57"/>
  <c r="C244" i="57"/>
  <c r="AB243" i="57"/>
  <c r="V243" i="57"/>
  <c r="T243" i="57"/>
  <c r="S243" i="57"/>
  <c r="P243" i="57"/>
  <c r="O243" i="57"/>
  <c r="N243" i="57"/>
  <c r="C243" i="57"/>
  <c r="AA243" i="57" s="1"/>
  <c r="AB242" i="57"/>
  <c r="V242" i="57"/>
  <c r="T242" i="57"/>
  <c r="S242" i="57"/>
  <c r="P242" i="57"/>
  <c r="O242" i="57"/>
  <c r="C242" i="57"/>
  <c r="AA242" i="57" s="1"/>
  <c r="AB241" i="57"/>
  <c r="V241" i="57"/>
  <c r="T241" i="57"/>
  <c r="S241" i="57"/>
  <c r="P241" i="57"/>
  <c r="O241" i="57"/>
  <c r="C241" i="57"/>
  <c r="AB240" i="57"/>
  <c r="V240" i="57"/>
  <c r="T240" i="57"/>
  <c r="S240" i="57"/>
  <c r="P240" i="57"/>
  <c r="O240" i="57"/>
  <c r="C240" i="57"/>
  <c r="AA240" i="57" s="1"/>
  <c r="AB239" i="57"/>
  <c r="V239" i="57"/>
  <c r="T239" i="57"/>
  <c r="S239" i="57"/>
  <c r="P239" i="57"/>
  <c r="O239" i="57"/>
  <c r="N239" i="57"/>
  <c r="C239" i="57"/>
  <c r="AA239" i="57" s="1"/>
  <c r="AB238" i="57"/>
  <c r="V238" i="57"/>
  <c r="T238" i="57"/>
  <c r="S238" i="57"/>
  <c r="P238" i="57"/>
  <c r="O238" i="57"/>
  <c r="C238" i="57"/>
  <c r="AB237" i="57"/>
  <c r="V237" i="57"/>
  <c r="T237" i="57"/>
  <c r="S237" i="57"/>
  <c r="P237" i="57"/>
  <c r="O237" i="57"/>
  <c r="AB236" i="57"/>
  <c r="V236" i="57"/>
  <c r="T236" i="57"/>
  <c r="S236" i="57"/>
  <c r="P236" i="57"/>
  <c r="O236" i="57"/>
  <c r="C236" i="57"/>
  <c r="AB235" i="57"/>
  <c r="V235" i="57"/>
  <c r="T235" i="57"/>
  <c r="S235" i="57"/>
  <c r="P235" i="57"/>
  <c r="O235" i="57"/>
  <c r="N235" i="57"/>
  <c r="C235" i="57"/>
  <c r="AA235" i="57" s="1"/>
  <c r="AB234" i="57"/>
  <c r="V234" i="57"/>
  <c r="T234" i="57"/>
  <c r="S234" i="57"/>
  <c r="P234" i="57"/>
  <c r="O234" i="57"/>
  <c r="AB233" i="57"/>
  <c r="V233" i="57"/>
  <c r="T233" i="57"/>
  <c r="S233" i="57"/>
  <c r="P233" i="57"/>
  <c r="O233" i="57"/>
  <c r="N233" i="57"/>
  <c r="Q233" i="57" s="1"/>
  <c r="W233" i="57" s="1" a="1"/>
  <c r="W233" i="57" s="1"/>
  <c r="X233" i="57" s="1"/>
  <c r="C233" i="57"/>
  <c r="AA233" i="57" s="1"/>
  <c r="AB232" i="57"/>
  <c r="V232" i="57"/>
  <c r="T232" i="57"/>
  <c r="S232" i="57"/>
  <c r="P232" i="57"/>
  <c r="O232" i="57"/>
  <c r="AB231" i="57"/>
  <c r="V231" i="57"/>
  <c r="T231" i="57"/>
  <c r="S231" i="57"/>
  <c r="P231" i="57"/>
  <c r="O231" i="57"/>
  <c r="AB230" i="57"/>
  <c r="V230" i="57"/>
  <c r="T230" i="57"/>
  <c r="S230" i="57"/>
  <c r="P230" i="57"/>
  <c r="O230" i="57"/>
  <c r="AB229" i="57"/>
  <c r="V229" i="57"/>
  <c r="T229" i="57"/>
  <c r="S229" i="57"/>
  <c r="P229" i="57"/>
  <c r="O229" i="57"/>
  <c r="AB228" i="57"/>
  <c r="V228" i="57"/>
  <c r="T228" i="57"/>
  <c r="S228" i="57"/>
  <c r="P228" i="57"/>
  <c r="O228" i="57"/>
  <c r="AB227" i="57"/>
  <c r="V227" i="57"/>
  <c r="T227" i="57"/>
  <c r="S227" i="57"/>
  <c r="P227" i="57"/>
  <c r="O227" i="57"/>
  <c r="AB226" i="57"/>
  <c r="V226" i="57"/>
  <c r="T226" i="57"/>
  <c r="S226" i="57"/>
  <c r="P226" i="57"/>
  <c r="O226" i="57"/>
  <c r="C226" i="57"/>
  <c r="AA226" i="57" s="1"/>
  <c r="AB225" i="57"/>
  <c r="V225" i="57"/>
  <c r="T225" i="57"/>
  <c r="S225" i="57"/>
  <c r="P225" i="57"/>
  <c r="O225" i="57"/>
  <c r="C225" i="57"/>
  <c r="AA225" i="57" s="1"/>
  <c r="AB224" i="57"/>
  <c r="V224" i="57"/>
  <c r="T224" i="57"/>
  <c r="S224" i="57"/>
  <c r="P224" i="57"/>
  <c r="O224" i="57"/>
  <c r="AB223" i="57"/>
  <c r="V223" i="57"/>
  <c r="T223" i="57"/>
  <c r="S223" i="57"/>
  <c r="P223" i="57"/>
  <c r="O223" i="57"/>
  <c r="AB222" i="57"/>
  <c r="V222" i="57"/>
  <c r="T222" i="57"/>
  <c r="S222" i="57"/>
  <c r="P222" i="57"/>
  <c r="O222" i="57"/>
  <c r="AB221" i="57"/>
  <c r="V221" i="57"/>
  <c r="T221" i="57"/>
  <c r="S221" i="57"/>
  <c r="P221" i="57"/>
  <c r="O221" i="57"/>
  <c r="AB220" i="57"/>
  <c r="V220" i="57"/>
  <c r="T220" i="57"/>
  <c r="S220" i="57"/>
  <c r="P220" i="57"/>
  <c r="O220" i="57"/>
  <c r="C220" i="57"/>
  <c r="AB219" i="57"/>
  <c r="V219" i="57"/>
  <c r="T219" i="57"/>
  <c r="S219" i="57"/>
  <c r="P219" i="57"/>
  <c r="O219" i="57"/>
  <c r="AB218" i="57"/>
  <c r="V218" i="57"/>
  <c r="T218" i="57"/>
  <c r="S218" i="57"/>
  <c r="P218" i="57"/>
  <c r="O218" i="57"/>
  <c r="C218" i="57"/>
  <c r="AA218" i="57" s="1"/>
  <c r="AB217" i="57"/>
  <c r="W217" i="57" a="1"/>
  <c r="W217" i="57" s="1"/>
  <c r="X217" i="57" s="1"/>
  <c r="V217" i="57"/>
  <c r="T217" i="57"/>
  <c r="S217" i="57"/>
  <c r="P217" i="57"/>
  <c r="O217" i="57"/>
  <c r="N217" i="57"/>
  <c r="Q217" i="57" s="1"/>
  <c r="C217" i="57"/>
  <c r="AA217" i="57" s="1"/>
  <c r="AB216" i="57"/>
  <c r="V216" i="57"/>
  <c r="T216" i="57"/>
  <c r="S216" i="57"/>
  <c r="P216" i="57"/>
  <c r="O216" i="57"/>
  <c r="AB215" i="57"/>
  <c r="V215" i="57"/>
  <c r="T215" i="57"/>
  <c r="S215" i="57"/>
  <c r="P215" i="57"/>
  <c r="O215" i="57"/>
  <c r="AB214" i="57"/>
  <c r="V214" i="57"/>
  <c r="T214" i="57"/>
  <c r="S214" i="57"/>
  <c r="P214" i="57"/>
  <c r="O214" i="57"/>
  <c r="C214" i="57"/>
  <c r="AA214" i="57" s="1"/>
  <c r="AB213" i="57"/>
  <c r="V213" i="57"/>
  <c r="T213" i="57"/>
  <c r="S213" i="57"/>
  <c r="P213" i="57"/>
  <c r="O213" i="57"/>
  <c r="AB212" i="57"/>
  <c r="V212" i="57"/>
  <c r="T212" i="57"/>
  <c r="S212" i="57"/>
  <c r="P212" i="57"/>
  <c r="O212" i="57"/>
  <c r="C212" i="57"/>
  <c r="AB211" i="57"/>
  <c r="V211" i="57"/>
  <c r="T211" i="57"/>
  <c r="S211" i="57"/>
  <c r="Q211" i="57"/>
  <c r="W211" i="57" s="1" a="1"/>
  <c r="W211" i="57" s="1"/>
  <c r="X211" i="57" s="1"/>
  <c r="P211" i="57"/>
  <c r="O211" i="57"/>
  <c r="N211" i="57"/>
  <c r="C211" i="57"/>
  <c r="AA211" i="57" s="1"/>
  <c r="AB210" i="57"/>
  <c r="V210" i="57"/>
  <c r="T210" i="57"/>
  <c r="S210" i="57"/>
  <c r="P210" i="57"/>
  <c r="O210" i="57"/>
  <c r="C210" i="57"/>
  <c r="AA210" i="57" s="1"/>
  <c r="AB209" i="57"/>
  <c r="W209" i="57" a="1"/>
  <c r="W209" i="57" s="1"/>
  <c r="X209" i="57" s="1"/>
  <c r="V209" i="57"/>
  <c r="T209" i="57"/>
  <c r="S209" i="57"/>
  <c r="P209" i="57"/>
  <c r="O209" i="57"/>
  <c r="N209" i="57"/>
  <c r="Q209" i="57" s="1"/>
  <c r="C209" i="57"/>
  <c r="AA209" i="57" s="1"/>
  <c r="AB208" i="57"/>
  <c r="V208" i="57"/>
  <c r="T208" i="57"/>
  <c r="S208" i="57"/>
  <c r="P208" i="57"/>
  <c r="O208" i="57"/>
  <c r="N208" i="57"/>
  <c r="Q208" i="57" s="1"/>
  <c r="C208" i="57"/>
  <c r="AA208" i="57" s="1"/>
  <c r="AB207" i="57"/>
  <c r="V207" i="57"/>
  <c r="T207" i="57"/>
  <c r="S207" i="57"/>
  <c r="P207" i="57"/>
  <c r="O207" i="57"/>
  <c r="C207" i="57"/>
  <c r="AB206" i="57"/>
  <c r="V206" i="57"/>
  <c r="T206" i="57"/>
  <c r="S206" i="57"/>
  <c r="P206" i="57"/>
  <c r="O206" i="57"/>
  <c r="C206" i="57"/>
  <c r="AA206" i="57" s="1"/>
  <c r="AB205" i="57"/>
  <c r="V205" i="57"/>
  <c r="T205" i="57"/>
  <c r="S205" i="57"/>
  <c r="P205" i="57"/>
  <c r="O205" i="57"/>
  <c r="AB204" i="57"/>
  <c r="V204" i="57"/>
  <c r="T204" i="57"/>
  <c r="S204" i="57"/>
  <c r="P204" i="57"/>
  <c r="O204" i="57"/>
  <c r="C204" i="57"/>
  <c r="AB203" i="57"/>
  <c r="V203" i="57"/>
  <c r="T203" i="57"/>
  <c r="S203" i="57"/>
  <c r="Q203" i="57"/>
  <c r="W203" i="57" s="1" a="1"/>
  <c r="W203" i="57" s="1"/>
  <c r="X203" i="57" s="1"/>
  <c r="P203" i="57"/>
  <c r="O203" i="57"/>
  <c r="N203" i="57"/>
  <c r="C203" i="57"/>
  <c r="AA203" i="57" s="1"/>
  <c r="AB202" i="57"/>
  <c r="V202" i="57"/>
  <c r="T202" i="57"/>
  <c r="S202" i="57"/>
  <c r="P202" i="57"/>
  <c r="O202" i="57"/>
  <c r="AB201" i="57"/>
  <c r="V201" i="57"/>
  <c r="T201" i="57"/>
  <c r="S201" i="57"/>
  <c r="P201" i="57"/>
  <c r="O201" i="57"/>
  <c r="C201" i="57"/>
  <c r="AA201" i="57" s="1"/>
  <c r="AB200" i="57"/>
  <c r="V200" i="57"/>
  <c r="T200" i="57"/>
  <c r="S200" i="57"/>
  <c r="P200" i="57"/>
  <c r="O200" i="57"/>
  <c r="AB199" i="57"/>
  <c r="V199" i="57"/>
  <c r="T199" i="57"/>
  <c r="S199" i="57"/>
  <c r="P199" i="57"/>
  <c r="O199" i="57"/>
  <c r="AB198" i="57"/>
  <c r="V198" i="57"/>
  <c r="T198" i="57"/>
  <c r="S198" i="57"/>
  <c r="P198" i="57"/>
  <c r="O198" i="57"/>
  <c r="AB197" i="57"/>
  <c r="V197" i="57"/>
  <c r="T197" i="57"/>
  <c r="S197" i="57"/>
  <c r="P197" i="57"/>
  <c r="O197" i="57"/>
  <c r="AB196" i="57"/>
  <c r="V196" i="57"/>
  <c r="T196" i="57"/>
  <c r="S196" i="57"/>
  <c r="P196" i="57"/>
  <c r="O196" i="57"/>
  <c r="AB195" i="57"/>
  <c r="V195" i="57"/>
  <c r="T195" i="57"/>
  <c r="S195" i="57"/>
  <c r="P195" i="57"/>
  <c r="O195" i="57"/>
  <c r="AB194" i="57"/>
  <c r="V194" i="57"/>
  <c r="T194" i="57"/>
  <c r="S194" i="57"/>
  <c r="P194" i="57"/>
  <c r="Q194" i="57" s="1"/>
  <c r="W194" i="57" s="1" a="1"/>
  <c r="W194" i="57" s="1"/>
  <c r="X194" i="57" s="1"/>
  <c r="O194" i="57"/>
  <c r="N194" i="57"/>
  <c r="C194" i="57"/>
  <c r="AA194" i="57" s="1"/>
  <c r="AB193" i="57"/>
  <c r="V193" i="57"/>
  <c r="T193" i="57"/>
  <c r="S193" i="57"/>
  <c r="P193" i="57"/>
  <c r="O193" i="57"/>
  <c r="C193" i="57"/>
  <c r="AA193" i="57" s="1"/>
  <c r="AB192" i="57"/>
  <c r="V192" i="57"/>
  <c r="T192" i="57"/>
  <c r="S192" i="57"/>
  <c r="P192" i="57"/>
  <c r="O192" i="57"/>
  <c r="AB191" i="57"/>
  <c r="V191" i="57"/>
  <c r="T191" i="57"/>
  <c r="S191" i="57"/>
  <c r="P191" i="57"/>
  <c r="O191" i="57"/>
  <c r="AB190" i="57"/>
  <c r="V190" i="57"/>
  <c r="T190" i="57"/>
  <c r="S190" i="57"/>
  <c r="P190" i="57"/>
  <c r="O190" i="57"/>
  <c r="AB189" i="57"/>
  <c r="V189" i="57"/>
  <c r="T189" i="57"/>
  <c r="S189" i="57"/>
  <c r="P189" i="57"/>
  <c r="O189" i="57"/>
  <c r="AB188" i="57"/>
  <c r="V188" i="57"/>
  <c r="T188" i="57"/>
  <c r="S188" i="57"/>
  <c r="P188" i="57"/>
  <c r="O188" i="57"/>
  <c r="C188" i="57"/>
  <c r="AB187" i="57"/>
  <c r="V187" i="57"/>
  <c r="T187" i="57"/>
  <c r="S187" i="57"/>
  <c r="P187" i="57"/>
  <c r="O187" i="57"/>
  <c r="AB186" i="57"/>
  <c r="V186" i="57"/>
  <c r="T186" i="57"/>
  <c r="S186" i="57"/>
  <c r="P186" i="57"/>
  <c r="O186" i="57"/>
  <c r="C186" i="57"/>
  <c r="AA186" i="57" s="1"/>
  <c r="AB185" i="57"/>
  <c r="V185" i="57"/>
  <c r="T185" i="57"/>
  <c r="S185" i="57"/>
  <c r="P185" i="57"/>
  <c r="O185" i="57"/>
  <c r="N185" i="57"/>
  <c r="C185" i="57"/>
  <c r="AA185" i="57" s="1"/>
  <c r="AB184" i="57"/>
  <c r="V184" i="57"/>
  <c r="T184" i="57"/>
  <c r="S184" i="57"/>
  <c r="P184" i="57"/>
  <c r="O184" i="57"/>
  <c r="C184" i="57"/>
  <c r="AA184" i="57" s="1"/>
  <c r="AB183" i="57"/>
  <c r="V183" i="57"/>
  <c r="T183" i="57"/>
  <c r="S183" i="57"/>
  <c r="P183" i="57"/>
  <c r="O183" i="57"/>
  <c r="C183" i="57"/>
  <c r="AA183" i="57" s="1"/>
  <c r="AB182" i="57"/>
  <c r="V182" i="57"/>
  <c r="T182" i="57"/>
  <c r="S182" i="57"/>
  <c r="P182" i="57"/>
  <c r="O182" i="57"/>
  <c r="AB181" i="57"/>
  <c r="V181" i="57"/>
  <c r="T181" i="57"/>
  <c r="S181" i="57"/>
  <c r="P181" i="57"/>
  <c r="O181" i="57"/>
  <c r="AB180" i="57"/>
  <c r="V180" i="57"/>
  <c r="T180" i="57"/>
  <c r="S180" i="57"/>
  <c r="P180" i="57"/>
  <c r="O180" i="57"/>
  <c r="N180" i="57"/>
  <c r="C180" i="57"/>
  <c r="AA180" i="57" s="1"/>
  <c r="AB179" i="57"/>
  <c r="V179" i="57"/>
  <c r="T179" i="57"/>
  <c r="S179" i="57"/>
  <c r="P179" i="57"/>
  <c r="O179" i="57"/>
  <c r="AB178" i="57"/>
  <c r="V178" i="57"/>
  <c r="T178" i="57"/>
  <c r="S178" i="57"/>
  <c r="P178" i="57"/>
  <c r="O178" i="57"/>
  <c r="N178" i="57"/>
  <c r="Q178" i="57" s="1"/>
  <c r="C178" i="57"/>
  <c r="AA178" i="57" s="1"/>
  <c r="AB177" i="57"/>
  <c r="V177" i="57"/>
  <c r="T177" i="57"/>
  <c r="S177" i="57"/>
  <c r="P177" i="57"/>
  <c r="O177" i="57"/>
  <c r="C177" i="57"/>
  <c r="AB176" i="57"/>
  <c r="V176" i="57"/>
  <c r="T176" i="57"/>
  <c r="S176" i="57"/>
  <c r="P176" i="57"/>
  <c r="O176" i="57"/>
  <c r="C176" i="57"/>
  <c r="AA176" i="57" s="1"/>
  <c r="AB175" i="57"/>
  <c r="W175" i="57" a="1"/>
  <c r="W175" i="57" s="1"/>
  <c r="X175" i="57" s="1"/>
  <c r="V175" i="57"/>
  <c r="T175" i="57"/>
  <c r="S175" i="57"/>
  <c r="P175" i="57"/>
  <c r="O175" i="57"/>
  <c r="Q175" i="57" s="1"/>
  <c r="N175" i="57"/>
  <c r="C175" i="57"/>
  <c r="AA175" i="57" s="1"/>
  <c r="AB174" i="57"/>
  <c r="V174" i="57"/>
  <c r="T174" i="57"/>
  <c r="S174" i="57"/>
  <c r="P174" i="57"/>
  <c r="O174" i="57"/>
  <c r="AB173" i="57"/>
  <c r="V173" i="57"/>
  <c r="T173" i="57"/>
  <c r="S173" i="57"/>
  <c r="P173" i="57"/>
  <c r="O173" i="57"/>
  <c r="C173" i="57"/>
  <c r="AB172" i="57"/>
  <c r="V172" i="57"/>
  <c r="T172" i="57"/>
  <c r="S172" i="57"/>
  <c r="P172" i="57"/>
  <c r="O172" i="57"/>
  <c r="AB171" i="57"/>
  <c r="V171" i="57"/>
  <c r="T171" i="57"/>
  <c r="S171" i="57"/>
  <c r="P171" i="57"/>
  <c r="O171" i="57"/>
  <c r="AB170" i="57"/>
  <c r="V170" i="57"/>
  <c r="T170" i="57"/>
  <c r="S170" i="57"/>
  <c r="P170" i="57"/>
  <c r="O170" i="57"/>
  <c r="N170" i="57"/>
  <c r="Q170" i="57" s="1"/>
  <c r="C170" i="57"/>
  <c r="AA170" i="57" s="1"/>
  <c r="AB169" i="57"/>
  <c r="V169" i="57"/>
  <c r="T169" i="57"/>
  <c r="S169" i="57"/>
  <c r="P169" i="57"/>
  <c r="O169" i="57"/>
  <c r="C169" i="57"/>
  <c r="AB168" i="57"/>
  <c r="V168" i="57"/>
  <c r="T168" i="57"/>
  <c r="S168" i="57"/>
  <c r="P168" i="57"/>
  <c r="O168" i="57"/>
  <c r="AB167" i="57"/>
  <c r="V167" i="57"/>
  <c r="T167" i="57"/>
  <c r="S167" i="57"/>
  <c r="P167" i="57"/>
  <c r="O167" i="57"/>
  <c r="Q167" i="57" s="1"/>
  <c r="N167" i="57"/>
  <c r="C167" i="57"/>
  <c r="AA167" i="57" s="1"/>
  <c r="AB166" i="57"/>
  <c r="V166" i="57"/>
  <c r="T166" i="57"/>
  <c r="S166" i="57"/>
  <c r="P166" i="57"/>
  <c r="O166" i="57"/>
  <c r="AB165" i="57"/>
  <c r="V165" i="57"/>
  <c r="T165" i="57"/>
  <c r="S165" i="57"/>
  <c r="P165" i="57"/>
  <c r="O165" i="57"/>
  <c r="AB164" i="57"/>
  <c r="V164" i="57"/>
  <c r="T164" i="57"/>
  <c r="S164" i="57"/>
  <c r="P164" i="57"/>
  <c r="O164" i="57"/>
  <c r="AB163" i="57"/>
  <c r="V163" i="57"/>
  <c r="T163" i="57"/>
  <c r="S163" i="57"/>
  <c r="P163" i="57"/>
  <c r="O163" i="57"/>
  <c r="AB162" i="57"/>
  <c r="V162" i="57"/>
  <c r="T162" i="57"/>
  <c r="S162" i="57"/>
  <c r="P162" i="57"/>
  <c r="O162" i="57"/>
  <c r="N162" i="57"/>
  <c r="Q162" i="57" s="1"/>
  <c r="C162" i="57"/>
  <c r="AA162" i="57" s="1"/>
  <c r="AB161" i="57"/>
  <c r="V161" i="57"/>
  <c r="T161" i="57"/>
  <c r="S161" i="57"/>
  <c r="P161" i="57"/>
  <c r="O161" i="57"/>
  <c r="C161" i="57"/>
  <c r="AB160" i="57"/>
  <c r="V160" i="57"/>
  <c r="T160" i="57"/>
  <c r="S160" i="57"/>
  <c r="P160" i="57"/>
  <c r="O160" i="57"/>
  <c r="C160" i="57"/>
  <c r="AA160" i="57" s="1"/>
  <c r="AB159" i="57"/>
  <c r="V159" i="57"/>
  <c r="T159" i="57"/>
  <c r="S159" i="57"/>
  <c r="P159" i="57"/>
  <c r="O159" i="57"/>
  <c r="Q159" i="57" s="1"/>
  <c r="W159" i="57" s="1" a="1"/>
  <c r="W159" i="57" s="1"/>
  <c r="X159" i="57" s="1"/>
  <c r="N159" i="57"/>
  <c r="C159" i="57"/>
  <c r="AA159" i="57" s="1"/>
  <c r="AB158" i="57"/>
  <c r="V158" i="57"/>
  <c r="T158" i="57"/>
  <c r="S158" i="57"/>
  <c r="P158" i="57"/>
  <c r="O158" i="57"/>
  <c r="AB157" i="57"/>
  <c r="V157" i="57"/>
  <c r="T157" i="57"/>
  <c r="S157" i="57"/>
  <c r="P157" i="57"/>
  <c r="O157" i="57"/>
  <c r="AB156" i="57"/>
  <c r="V156" i="57"/>
  <c r="T156" i="57"/>
  <c r="S156" i="57"/>
  <c r="P156" i="57"/>
  <c r="O156" i="57"/>
  <c r="AB155" i="57"/>
  <c r="V155" i="57"/>
  <c r="T155" i="57"/>
  <c r="S155" i="57"/>
  <c r="P155" i="57"/>
  <c r="O155" i="57"/>
  <c r="AB154" i="57"/>
  <c r="V154" i="57"/>
  <c r="T154" i="57"/>
  <c r="S154" i="57"/>
  <c r="P154" i="57"/>
  <c r="O154" i="57"/>
  <c r="N154" i="57"/>
  <c r="Q154" i="57" s="1"/>
  <c r="C154" i="57"/>
  <c r="AA154" i="57" s="1"/>
  <c r="AB153" i="57"/>
  <c r="V153" i="57"/>
  <c r="T153" i="57"/>
  <c r="S153" i="57"/>
  <c r="P153" i="57"/>
  <c r="O153" i="57"/>
  <c r="C153" i="57"/>
  <c r="AB152" i="57"/>
  <c r="V152" i="57"/>
  <c r="T152" i="57"/>
  <c r="S152" i="57"/>
  <c r="P152" i="57"/>
  <c r="O152" i="57"/>
  <c r="AB151" i="57"/>
  <c r="V151" i="57"/>
  <c r="T151" i="57"/>
  <c r="S151" i="57"/>
  <c r="P151" i="57"/>
  <c r="O151" i="57"/>
  <c r="C151" i="57"/>
  <c r="AA151" i="57" s="1"/>
  <c r="AB150" i="57"/>
  <c r="V150" i="57"/>
  <c r="T150" i="57"/>
  <c r="S150" i="57"/>
  <c r="P150" i="57"/>
  <c r="O150" i="57"/>
  <c r="N150" i="57"/>
  <c r="Q150" i="57" s="1"/>
  <c r="C150" i="57"/>
  <c r="AA150" i="57" s="1"/>
  <c r="AB149" i="57"/>
  <c r="V149" i="57"/>
  <c r="T149" i="57"/>
  <c r="S149" i="57"/>
  <c r="P149" i="57"/>
  <c r="O149" i="57"/>
  <c r="C149" i="57"/>
  <c r="AB148" i="57"/>
  <c r="V148" i="57"/>
  <c r="T148" i="57"/>
  <c r="S148" i="57"/>
  <c r="P148" i="57"/>
  <c r="O148" i="57"/>
  <c r="C148" i="57"/>
  <c r="AA148" i="57" s="1"/>
  <c r="AB147" i="57"/>
  <c r="V147" i="57"/>
  <c r="T147" i="57"/>
  <c r="S147" i="57"/>
  <c r="P147" i="57"/>
  <c r="O147" i="57"/>
  <c r="N147" i="57"/>
  <c r="Q147" i="57" s="1"/>
  <c r="W147" i="57" s="1" a="1"/>
  <c r="W147" i="57" s="1"/>
  <c r="X147" i="57" s="1"/>
  <c r="C147" i="57"/>
  <c r="AA147" i="57" s="1"/>
  <c r="AB146" i="57"/>
  <c r="V146" i="57"/>
  <c r="T146" i="57"/>
  <c r="S146" i="57"/>
  <c r="P146" i="57"/>
  <c r="O146" i="57"/>
  <c r="AB145" i="57"/>
  <c r="V145" i="57"/>
  <c r="T145" i="57"/>
  <c r="S145" i="57"/>
  <c r="P145" i="57"/>
  <c r="O145" i="57"/>
  <c r="C145" i="57"/>
  <c r="AB144" i="57"/>
  <c r="V144" i="57"/>
  <c r="T144" i="57"/>
  <c r="S144" i="57"/>
  <c r="Q144" i="57"/>
  <c r="P144" i="57"/>
  <c r="O144" i="57"/>
  <c r="N144" i="57"/>
  <c r="C144" i="57"/>
  <c r="AA144" i="57" s="1"/>
  <c r="AB143" i="57"/>
  <c r="V143" i="57"/>
  <c r="T143" i="57"/>
  <c r="S143" i="57"/>
  <c r="P143" i="57"/>
  <c r="O143" i="57"/>
  <c r="AB142" i="57"/>
  <c r="V142" i="57"/>
  <c r="T142" i="57"/>
  <c r="S142" i="57"/>
  <c r="P142" i="57"/>
  <c r="O142" i="57"/>
  <c r="AB141" i="57"/>
  <c r="V141" i="57"/>
  <c r="T141" i="57"/>
  <c r="S141" i="57"/>
  <c r="P141" i="57"/>
  <c r="O141" i="57"/>
  <c r="N141" i="57"/>
  <c r="Q141" i="57" s="1"/>
  <c r="C141" i="57"/>
  <c r="AA141" i="57" s="1"/>
  <c r="AB140" i="57"/>
  <c r="V140" i="57"/>
  <c r="T140" i="57"/>
  <c r="S140" i="57"/>
  <c r="P140" i="57"/>
  <c r="O140" i="57"/>
  <c r="C140" i="57"/>
  <c r="AB139" i="57"/>
  <c r="W139" i="57" a="1"/>
  <c r="W139" i="57" s="1"/>
  <c r="X139" i="57" s="1"/>
  <c r="V139" i="57"/>
  <c r="T139" i="57"/>
  <c r="S139" i="57"/>
  <c r="P139" i="57"/>
  <c r="O139" i="57"/>
  <c r="N139" i="57"/>
  <c r="Q139" i="57" s="1"/>
  <c r="C139" i="57"/>
  <c r="AA139" i="57" s="1"/>
  <c r="AB138" i="57"/>
  <c r="V138" i="57"/>
  <c r="T138" i="57"/>
  <c r="S138" i="57"/>
  <c r="P138" i="57"/>
  <c r="O138" i="57"/>
  <c r="AB137" i="57"/>
  <c r="V137" i="57"/>
  <c r="T137" i="57"/>
  <c r="S137" i="57"/>
  <c r="P137" i="57"/>
  <c r="O137" i="57"/>
  <c r="C137" i="57"/>
  <c r="AB136" i="57"/>
  <c r="V136" i="57"/>
  <c r="T136" i="57"/>
  <c r="S136" i="57"/>
  <c r="P136" i="57"/>
  <c r="Q136" i="57" s="1"/>
  <c r="O136" i="57"/>
  <c r="N136" i="57"/>
  <c r="C136" i="57"/>
  <c r="AA136" i="57" s="1"/>
  <c r="AB135" i="57"/>
  <c r="V135" i="57"/>
  <c r="T135" i="57"/>
  <c r="S135" i="57"/>
  <c r="P135" i="57"/>
  <c r="O135" i="57"/>
  <c r="AB134" i="57"/>
  <c r="V134" i="57"/>
  <c r="T134" i="57"/>
  <c r="S134" i="57"/>
  <c r="P134" i="57"/>
  <c r="O134" i="57"/>
  <c r="AB133" i="57"/>
  <c r="V133" i="57"/>
  <c r="T133" i="57"/>
  <c r="S133" i="57"/>
  <c r="P133" i="57"/>
  <c r="O133" i="57"/>
  <c r="C133" i="57"/>
  <c r="AA133" i="57" s="1"/>
  <c r="AB132" i="57"/>
  <c r="V132" i="57"/>
  <c r="T132" i="57"/>
  <c r="S132" i="57"/>
  <c r="P132" i="57"/>
  <c r="O132" i="57"/>
  <c r="C132" i="57"/>
  <c r="AB131" i="57"/>
  <c r="V131" i="57"/>
  <c r="T131" i="57"/>
  <c r="S131" i="57"/>
  <c r="P131" i="57"/>
  <c r="O131" i="57"/>
  <c r="N131" i="57"/>
  <c r="C131" i="57"/>
  <c r="AA131" i="57" s="1"/>
  <c r="AB130" i="57"/>
  <c r="V130" i="57"/>
  <c r="T130" i="57"/>
  <c r="S130" i="57"/>
  <c r="P130" i="57"/>
  <c r="O130" i="57"/>
  <c r="AB129" i="57"/>
  <c r="V129" i="57"/>
  <c r="T129" i="57"/>
  <c r="S129" i="57"/>
  <c r="P129" i="57"/>
  <c r="O129" i="57"/>
  <c r="C129" i="57"/>
  <c r="AA129" i="57" s="1"/>
  <c r="AB128" i="57"/>
  <c r="V128" i="57"/>
  <c r="T128" i="57"/>
  <c r="S128" i="57"/>
  <c r="P128" i="57"/>
  <c r="O128" i="57"/>
  <c r="C128" i="57"/>
  <c r="AB127" i="57"/>
  <c r="V127" i="57"/>
  <c r="T127" i="57"/>
  <c r="S127" i="57"/>
  <c r="P127" i="57"/>
  <c r="O127" i="57"/>
  <c r="AB126" i="57"/>
  <c r="V126" i="57"/>
  <c r="T126" i="57"/>
  <c r="S126" i="57"/>
  <c r="P126" i="57"/>
  <c r="O126" i="57"/>
  <c r="AB125" i="57"/>
  <c r="V125" i="57"/>
  <c r="T125" i="57"/>
  <c r="S125" i="57"/>
  <c r="P125" i="57"/>
  <c r="O125" i="57"/>
  <c r="N125" i="57"/>
  <c r="Q125" i="57" s="1"/>
  <c r="C125" i="57"/>
  <c r="AA125" i="57" s="1"/>
  <c r="AB124" i="57"/>
  <c r="V124" i="57"/>
  <c r="T124" i="57"/>
  <c r="S124" i="57"/>
  <c r="P124" i="57"/>
  <c r="O124" i="57"/>
  <c r="C124" i="57"/>
  <c r="AA124" i="57" s="1"/>
  <c r="AB123" i="57"/>
  <c r="V123" i="57"/>
  <c r="T123" i="57"/>
  <c r="S123" i="57"/>
  <c r="P123" i="57"/>
  <c r="O123" i="57"/>
  <c r="N123" i="57"/>
  <c r="Q123" i="57" s="1"/>
  <c r="C123" i="57"/>
  <c r="AA123" i="57" s="1"/>
  <c r="AB122" i="57"/>
  <c r="V122" i="57"/>
  <c r="T122" i="57"/>
  <c r="S122" i="57"/>
  <c r="P122" i="57"/>
  <c r="O122" i="57"/>
  <c r="AB121" i="57"/>
  <c r="V121" i="57"/>
  <c r="T121" i="57"/>
  <c r="S121" i="57"/>
  <c r="P121" i="57"/>
  <c r="O121" i="57"/>
  <c r="N121" i="57"/>
  <c r="Q121" i="57" s="1"/>
  <c r="C121" i="57"/>
  <c r="AA121" i="57" s="1"/>
  <c r="AB120" i="57"/>
  <c r="V120" i="57"/>
  <c r="T120" i="57"/>
  <c r="S120" i="57"/>
  <c r="P120" i="57"/>
  <c r="O120" i="57"/>
  <c r="C120" i="57"/>
  <c r="AA120" i="57" s="1"/>
  <c r="AB119" i="57"/>
  <c r="V119" i="57"/>
  <c r="T119" i="57"/>
  <c r="S119" i="57"/>
  <c r="P119" i="57"/>
  <c r="O119" i="57"/>
  <c r="AB118" i="57"/>
  <c r="V118" i="57"/>
  <c r="T118" i="57"/>
  <c r="S118" i="57"/>
  <c r="P118" i="57"/>
  <c r="O118" i="57"/>
  <c r="AB117" i="57"/>
  <c r="V117" i="57"/>
  <c r="T117" i="57"/>
  <c r="S117" i="57"/>
  <c r="P117" i="57"/>
  <c r="O117" i="57"/>
  <c r="N117" i="57"/>
  <c r="Q117" i="57" s="1"/>
  <c r="C117" i="57"/>
  <c r="AA117" i="57" s="1"/>
  <c r="AB116" i="57"/>
  <c r="V116" i="57"/>
  <c r="T116" i="57"/>
  <c r="S116" i="57"/>
  <c r="P116" i="57"/>
  <c r="O116" i="57"/>
  <c r="C116" i="57"/>
  <c r="AA116" i="57" s="1"/>
  <c r="AB115" i="57"/>
  <c r="V115" i="57"/>
  <c r="T115" i="57"/>
  <c r="S115" i="57"/>
  <c r="P115" i="57"/>
  <c r="O115" i="57"/>
  <c r="N115" i="57"/>
  <c r="Q115" i="57" s="1"/>
  <c r="C115" i="57"/>
  <c r="AA115" i="57" s="1"/>
  <c r="AB114" i="57"/>
  <c r="V114" i="57"/>
  <c r="T114" i="57"/>
  <c r="S114" i="57"/>
  <c r="P114" i="57"/>
  <c r="O114" i="57"/>
  <c r="C114" i="57"/>
  <c r="AA114" i="57" s="1"/>
  <c r="AB113" i="57"/>
  <c r="V113" i="57"/>
  <c r="T113" i="57"/>
  <c r="S113" i="57"/>
  <c r="P113" i="57"/>
  <c r="O113" i="57"/>
  <c r="N113" i="57"/>
  <c r="Q113" i="57" s="1"/>
  <c r="C113" i="57"/>
  <c r="AA113" i="57" s="1"/>
  <c r="AB112" i="57"/>
  <c r="V112" i="57"/>
  <c r="T112" i="57"/>
  <c r="S112" i="57"/>
  <c r="P112" i="57"/>
  <c r="O112" i="57"/>
  <c r="C112" i="57"/>
  <c r="AA112" i="57" s="1"/>
  <c r="AB111" i="57"/>
  <c r="V111" i="57"/>
  <c r="T111" i="57"/>
  <c r="S111" i="57"/>
  <c r="P111" i="57"/>
  <c r="O111" i="57"/>
  <c r="AB110" i="57"/>
  <c r="V110" i="57"/>
  <c r="T110" i="57"/>
  <c r="S110" i="57"/>
  <c r="P110" i="57"/>
  <c r="O110" i="57"/>
  <c r="C110" i="57"/>
  <c r="AA110" i="57" s="1"/>
  <c r="AB109" i="57"/>
  <c r="V109" i="57"/>
  <c r="T109" i="57"/>
  <c r="S109" i="57"/>
  <c r="P109" i="57"/>
  <c r="O109" i="57"/>
  <c r="N109" i="57"/>
  <c r="Q109" i="57" s="1"/>
  <c r="C109" i="57"/>
  <c r="AA109" i="57" s="1"/>
  <c r="AB108" i="57"/>
  <c r="V108" i="57"/>
  <c r="T108" i="57"/>
  <c r="S108" i="57"/>
  <c r="P108" i="57"/>
  <c r="O108" i="57"/>
  <c r="AB107" i="57"/>
  <c r="V107" i="57"/>
  <c r="T107" i="57"/>
  <c r="S107" i="57"/>
  <c r="P107" i="57"/>
  <c r="O107" i="57"/>
  <c r="N107" i="57"/>
  <c r="Q107" i="57" s="1"/>
  <c r="C107" i="57"/>
  <c r="AA107" i="57" s="1"/>
  <c r="AB106" i="57"/>
  <c r="V106" i="57"/>
  <c r="T106" i="57"/>
  <c r="S106" i="57"/>
  <c r="P106" i="57"/>
  <c r="O106" i="57"/>
  <c r="C106" i="57"/>
  <c r="AA106" i="57" s="1"/>
  <c r="AB105" i="57"/>
  <c r="V105" i="57"/>
  <c r="T105" i="57"/>
  <c r="S105" i="57"/>
  <c r="P105" i="57"/>
  <c r="O105" i="57"/>
  <c r="AB104" i="57"/>
  <c r="V104" i="57"/>
  <c r="T104" i="57"/>
  <c r="S104" i="57"/>
  <c r="P104" i="57"/>
  <c r="O104" i="57"/>
  <c r="C104" i="57"/>
  <c r="AA104" i="57" s="1"/>
  <c r="AB103" i="57"/>
  <c r="V103" i="57"/>
  <c r="T103" i="57"/>
  <c r="S103" i="57"/>
  <c r="P103" i="57"/>
  <c r="O103" i="57"/>
  <c r="N103" i="57"/>
  <c r="Q103" i="57" s="1"/>
  <c r="C103" i="57"/>
  <c r="AA103" i="57" s="1"/>
  <c r="AB102" i="57"/>
  <c r="V102" i="57"/>
  <c r="T102" i="57"/>
  <c r="S102" i="57"/>
  <c r="P102" i="57"/>
  <c r="O102" i="57"/>
  <c r="C102" i="57"/>
  <c r="AA102" i="57" s="1"/>
  <c r="AB101" i="57"/>
  <c r="V101" i="57"/>
  <c r="T101" i="57"/>
  <c r="S101" i="57"/>
  <c r="P101" i="57"/>
  <c r="O101" i="57"/>
  <c r="N101" i="57"/>
  <c r="Q101" i="57" s="1"/>
  <c r="C101" i="57"/>
  <c r="AA101" i="57" s="1"/>
  <c r="AB100" i="57"/>
  <c r="V100" i="57"/>
  <c r="T100" i="57"/>
  <c r="S100" i="57"/>
  <c r="P100" i="57"/>
  <c r="O100" i="57"/>
  <c r="AB99" i="57"/>
  <c r="V99" i="57"/>
  <c r="T99" i="57"/>
  <c r="S99" i="57"/>
  <c r="P99" i="57"/>
  <c r="O99" i="57"/>
  <c r="AB98" i="57"/>
  <c r="V98" i="57"/>
  <c r="T98" i="57"/>
  <c r="S98" i="57"/>
  <c r="P98" i="57"/>
  <c r="O98" i="57"/>
  <c r="C98" i="57"/>
  <c r="AA98" i="57" s="1"/>
  <c r="AB97" i="57"/>
  <c r="V97" i="57"/>
  <c r="T97" i="57"/>
  <c r="S97" i="57"/>
  <c r="P97" i="57"/>
  <c r="O97" i="57"/>
  <c r="AB96" i="57"/>
  <c r="V96" i="57"/>
  <c r="T96" i="57"/>
  <c r="S96" i="57"/>
  <c r="P96" i="57"/>
  <c r="O96" i="57"/>
  <c r="C96" i="57"/>
  <c r="AA96" i="57" s="1"/>
  <c r="AB95" i="57"/>
  <c r="V95" i="57"/>
  <c r="T95" i="57"/>
  <c r="S95" i="57"/>
  <c r="P95" i="57"/>
  <c r="O95" i="57"/>
  <c r="N95" i="57"/>
  <c r="Q95" i="57" s="1"/>
  <c r="C95" i="57"/>
  <c r="AA95" i="57" s="1"/>
  <c r="AB94" i="57"/>
  <c r="V94" i="57"/>
  <c r="T94" i="57"/>
  <c r="S94" i="57"/>
  <c r="P94" i="57"/>
  <c r="O94" i="57"/>
  <c r="C94" i="57"/>
  <c r="AA94" i="57" s="1"/>
  <c r="AB93" i="57"/>
  <c r="V93" i="57"/>
  <c r="T93" i="57"/>
  <c r="S93" i="57"/>
  <c r="P93" i="57"/>
  <c r="O93" i="57"/>
  <c r="N93" i="57"/>
  <c r="Q93" i="57" s="1"/>
  <c r="C93" i="57"/>
  <c r="AA93" i="57" s="1"/>
  <c r="AB92" i="57"/>
  <c r="V92" i="57"/>
  <c r="T92" i="57"/>
  <c r="S92" i="57"/>
  <c r="P92" i="57"/>
  <c r="O92" i="57"/>
  <c r="AB91" i="57"/>
  <c r="V91" i="57"/>
  <c r="T91" i="57"/>
  <c r="S91" i="57"/>
  <c r="P91" i="57"/>
  <c r="O91" i="57"/>
  <c r="AB90" i="57"/>
  <c r="V90" i="57"/>
  <c r="T90" i="57"/>
  <c r="S90" i="57"/>
  <c r="P90" i="57"/>
  <c r="O90" i="57"/>
  <c r="C90" i="57"/>
  <c r="AA90" i="57" s="1"/>
  <c r="AB89" i="57"/>
  <c r="V89" i="57"/>
  <c r="T89" i="57"/>
  <c r="S89" i="57"/>
  <c r="P89" i="57"/>
  <c r="O89" i="57"/>
  <c r="N89" i="57"/>
  <c r="Q89" i="57" s="1"/>
  <c r="C89" i="57"/>
  <c r="AA89" i="57" s="1"/>
  <c r="AB88" i="57"/>
  <c r="V88" i="57"/>
  <c r="T88" i="57"/>
  <c r="S88" i="57"/>
  <c r="P88" i="57"/>
  <c r="O88" i="57"/>
  <c r="AB87" i="57"/>
  <c r="V87" i="57"/>
  <c r="T87" i="57"/>
  <c r="S87" i="57"/>
  <c r="P87" i="57"/>
  <c r="O87" i="57"/>
  <c r="N87" i="57"/>
  <c r="Q87" i="57" s="1"/>
  <c r="C87" i="57"/>
  <c r="AA87" i="57" s="1"/>
  <c r="AB86" i="57"/>
  <c r="V86" i="57"/>
  <c r="T86" i="57"/>
  <c r="S86" i="57"/>
  <c r="P86" i="57"/>
  <c r="O86" i="57"/>
  <c r="AB85" i="57"/>
  <c r="V85" i="57"/>
  <c r="T85" i="57"/>
  <c r="S85" i="57"/>
  <c r="P85" i="57"/>
  <c r="O85" i="57"/>
  <c r="AB84" i="57"/>
  <c r="V84" i="57"/>
  <c r="T84" i="57"/>
  <c r="S84" i="57"/>
  <c r="P84" i="57"/>
  <c r="O84" i="57"/>
  <c r="C84" i="57"/>
  <c r="AA84" i="57" s="1"/>
  <c r="AB83" i="57"/>
  <c r="V83" i="57"/>
  <c r="T83" i="57"/>
  <c r="S83" i="57"/>
  <c r="P83" i="57"/>
  <c r="O83" i="57"/>
  <c r="AB82" i="57"/>
  <c r="V82" i="57"/>
  <c r="T82" i="57"/>
  <c r="S82" i="57"/>
  <c r="P82" i="57"/>
  <c r="O82" i="57"/>
  <c r="C82" i="57"/>
  <c r="AA82" i="57" s="1"/>
  <c r="AB81" i="57"/>
  <c r="V81" i="57"/>
  <c r="T81" i="57"/>
  <c r="S81" i="57"/>
  <c r="P81" i="57"/>
  <c r="O81" i="57"/>
  <c r="N81" i="57"/>
  <c r="Q81" i="57" s="1"/>
  <c r="C81" i="57"/>
  <c r="AA81" i="57" s="1"/>
  <c r="AB80" i="57"/>
  <c r="V80" i="57"/>
  <c r="T80" i="57"/>
  <c r="S80" i="57"/>
  <c r="P80" i="57"/>
  <c r="O80" i="57"/>
  <c r="AB79" i="57"/>
  <c r="V79" i="57"/>
  <c r="T79" i="57"/>
  <c r="S79" i="57"/>
  <c r="P79" i="57"/>
  <c r="O79" i="57"/>
  <c r="N79" i="57"/>
  <c r="Q79" i="57" s="1"/>
  <c r="C79" i="57"/>
  <c r="AA79" i="57" s="1"/>
  <c r="AB78" i="57"/>
  <c r="V78" i="57"/>
  <c r="T78" i="57"/>
  <c r="S78" i="57"/>
  <c r="P78" i="57"/>
  <c r="O78" i="57"/>
  <c r="C78" i="57"/>
  <c r="AA78" i="57" s="1"/>
  <c r="AB77" i="57"/>
  <c r="V77" i="57"/>
  <c r="T77" i="57"/>
  <c r="S77" i="57"/>
  <c r="P77" i="57"/>
  <c r="O77" i="57"/>
  <c r="AB76" i="57"/>
  <c r="V76" i="57"/>
  <c r="T76" i="57"/>
  <c r="S76" i="57"/>
  <c r="P76" i="57"/>
  <c r="O76" i="57"/>
  <c r="C76" i="57"/>
  <c r="AA76" i="57" s="1"/>
  <c r="AB75" i="57"/>
  <c r="V75" i="57"/>
  <c r="T75" i="57"/>
  <c r="S75" i="57"/>
  <c r="P75" i="57"/>
  <c r="O75" i="57"/>
  <c r="AB74" i="57"/>
  <c r="V74" i="57"/>
  <c r="T74" i="57"/>
  <c r="S74" i="57"/>
  <c r="P74" i="57"/>
  <c r="O74" i="57"/>
  <c r="C74" i="57"/>
  <c r="AA74" i="57" s="1"/>
  <c r="AB73" i="57"/>
  <c r="V73" i="57"/>
  <c r="T73" i="57"/>
  <c r="S73" i="57"/>
  <c r="P73" i="57"/>
  <c r="O73" i="57"/>
  <c r="N73" i="57"/>
  <c r="Q73" i="57" s="1"/>
  <c r="C73" i="57"/>
  <c r="AA73" i="57" s="1"/>
  <c r="AB72" i="57"/>
  <c r="V72" i="57"/>
  <c r="T72" i="57"/>
  <c r="S72" i="57"/>
  <c r="P72" i="57"/>
  <c r="O72" i="57"/>
  <c r="AB71" i="57"/>
  <c r="V71" i="57"/>
  <c r="T71" i="57"/>
  <c r="S71" i="57"/>
  <c r="P71" i="57"/>
  <c r="O71" i="57"/>
  <c r="N71" i="57"/>
  <c r="Q71" i="57" s="1"/>
  <c r="C71" i="57"/>
  <c r="AA71" i="57" s="1"/>
  <c r="AB70" i="57"/>
  <c r="V70" i="57"/>
  <c r="T70" i="57"/>
  <c r="S70" i="57"/>
  <c r="P70" i="57"/>
  <c r="O70" i="57"/>
  <c r="C70" i="57"/>
  <c r="AA70" i="57" s="1"/>
  <c r="AB69" i="57"/>
  <c r="V69" i="57"/>
  <c r="T69" i="57"/>
  <c r="S69" i="57"/>
  <c r="P69" i="57"/>
  <c r="O69" i="57"/>
  <c r="AB68" i="57"/>
  <c r="V68" i="57"/>
  <c r="T68" i="57"/>
  <c r="S68" i="57"/>
  <c r="P68" i="57"/>
  <c r="O68" i="57"/>
  <c r="C68" i="57"/>
  <c r="AA68" i="57" s="1"/>
  <c r="AB67" i="57"/>
  <c r="V67" i="57"/>
  <c r="T67" i="57"/>
  <c r="S67" i="57"/>
  <c r="P67" i="57"/>
  <c r="O67" i="57"/>
  <c r="AB66" i="57"/>
  <c r="V66" i="57"/>
  <c r="T66" i="57"/>
  <c r="S66" i="57"/>
  <c r="P66" i="57"/>
  <c r="O66" i="57"/>
  <c r="C66" i="57"/>
  <c r="AA66" i="57" s="1"/>
  <c r="AB65" i="57"/>
  <c r="V65" i="57"/>
  <c r="T65" i="57"/>
  <c r="S65" i="57"/>
  <c r="P65" i="57"/>
  <c r="O65" i="57"/>
  <c r="N65" i="57"/>
  <c r="Q65" i="57" s="1"/>
  <c r="C65" i="57"/>
  <c r="AA65" i="57" s="1"/>
  <c r="AB64" i="57"/>
  <c r="V64" i="57"/>
  <c r="T64" i="57"/>
  <c r="S64" i="57"/>
  <c r="P64" i="57"/>
  <c r="O64" i="57"/>
  <c r="AB63" i="57"/>
  <c r="V63" i="57"/>
  <c r="T63" i="57"/>
  <c r="S63" i="57"/>
  <c r="P63" i="57"/>
  <c r="O63" i="57"/>
  <c r="N63" i="57"/>
  <c r="Q63" i="57" s="1"/>
  <c r="C63" i="57"/>
  <c r="AA63" i="57" s="1"/>
  <c r="AB62" i="57"/>
  <c r="V62" i="57"/>
  <c r="T62" i="57"/>
  <c r="S62" i="57"/>
  <c r="P62" i="57"/>
  <c r="O62" i="57"/>
  <c r="C62" i="57"/>
  <c r="AA62" i="57" s="1"/>
  <c r="AB61" i="57"/>
  <c r="V61" i="57"/>
  <c r="T61" i="57"/>
  <c r="S61" i="57"/>
  <c r="P61" i="57"/>
  <c r="O61" i="57"/>
  <c r="AB60" i="57"/>
  <c r="V60" i="57"/>
  <c r="T60" i="57"/>
  <c r="S60" i="57"/>
  <c r="P60" i="57"/>
  <c r="O60" i="57"/>
  <c r="C60" i="57"/>
  <c r="AA60" i="57" s="1"/>
  <c r="AB59" i="57"/>
  <c r="V59" i="57"/>
  <c r="T59" i="57"/>
  <c r="S59" i="57"/>
  <c r="P59" i="57"/>
  <c r="O59" i="57"/>
  <c r="AB58" i="57"/>
  <c r="V58" i="57"/>
  <c r="T58" i="57"/>
  <c r="S58" i="57"/>
  <c r="P58" i="57"/>
  <c r="O58" i="57"/>
  <c r="C58" i="57"/>
  <c r="AA58" i="57" s="1"/>
  <c r="AB57" i="57"/>
  <c r="V57" i="57"/>
  <c r="T57" i="57"/>
  <c r="S57" i="57"/>
  <c r="P57" i="57"/>
  <c r="O57" i="57"/>
  <c r="N57" i="57"/>
  <c r="Q57" i="57" s="1"/>
  <c r="C57" i="57"/>
  <c r="AA57" i="57" s="1"/>
  <c r="AB56" i="57"/>
  <c r="V56" i="57"/>
  <c r="T56" i="57"/>
  <c r="S56" i="57"/>
  <c r="P56" i="57"/>
  <c r="O56" i="57"/>
  <c r="AB55" i="57"/>
  <c r="V55" i="57"/>
  <c r="T55" i="57"/>
  <c r="S55" i="57"/>
  <c r="P55" i="57"/>
  <c r="O55" i="57"/>
  <c r="N55" i="57"/>
  <c r="Q55" i="57" s="1"/>
  <c r="C55" i="57"/>
  <c r="AA55" i="57" s="1"/>
  <c r="AB54" i="57"/>
  <c r="V54" i="57"/>
  <c r="T54" i="57"/>
  <c r="S54" i="57"/>
  <c r="P54" i="57"/>
  <c r="O54" i="57"/>
  <c r="C54" i="57"/>
  <c r="AA54" i="57" s="1"/>
  <c r="AB53" i="57"/>
  <c r="V53" i="57"/>
  <c r="T53" i="57"/>
  <c r="S53" i="57"/>
  <c r="P53" i="57"/>
  <c r="O53" i="57"/>
  <c r="AB52" i="57"/>
  <c r="V52" i="57"/>
  <c r="T52" i="57"/>
  <c r="S52" i="57"/>
  <c r="P52" i="57"/>
  <c r="O52" i="57"/>
  <c r="C52" i="57"/>
  <c r="AA52" i="57" s="1"/>
  <c r="AB51" i="57"/>
  <c r="V51" i="57"/>
  <c r="T51" i="57"/>
  <c r="S51" i="57"/>
  <c r="P51" i="57"/>
  <c r="O51" i="57"/>
  <c r="AB50" i="57"/>
  <c r="V50" i="57"/>
  <c r="T50" i="57"/>
  <c r="S50" i="57"/>
  <c r="P50" i="57"/>
  <c r="O50" i="57"/>
  <c r="C50" i="57"/>
  <c r="AA50" i="57" s="1"/>
  <c r="AB49" i="57"/>
  <c r="V49" i="57"/>
  <c r="T49" i="57"/>
  <c r="S49" i="57"/>
  <c r="P49" i="57"/>
  <c r="O49" i="57"/>
  <c r="N49" i="57"/>
  <c r="Q49" i="57" s="1"/>
  <c r="C49" i="57"/>
  <c r="AA49" i="57" s="1"/>
  <c r="AB48" i="57"/>
  <c r="V48" i="57"/>
  <c r="T48" i="57"/>
  <c r="S48" i="57"/>
  <c r="P48" i="57"/>
  <c r="O48" i="57"/>
  <c r="AB47" i="57"/>
  <c r="V47" i="57"/>
  <c r="T47" i="57"/>
  <c r="S47" i="57"/>
  <c r="P47" i="57"/>
  <c r="O47" i="57"/>
  <c r="C47" i="57"/>
  <c r="AA47" i="57" s="1"/>
  <c r="AB46" i="57"/>
  <c r="V46" i="57"/>
  <c r="T46" i="57"/>
  <c r="S46" i="57"/>
  <c r="P46" i="57"/>
  <c r="O46" i="57"/>
  <c r="C46" i="57"/>
  <c r="AA46" i="57" s="1"/>
  <c r="AB45" i="57"/>
  <c r="V45" i="57"/>
  <c r="T45" i="57"/>
  <c r="S45" i="57"/>
  <c r="P45" i="57"/>
  <c r="O45" i="57"/>
  <c r="AB44" i="57"/>
  <c r="V44" i="57"/>
  <c r="T44" i="57"/>
  <c r="S44" i="57"/>
  <c r="P44" i="57"/>
  <c r="O44" i="57"/>
  <c r="C44" i="57"/>
  <c r="AA44" i="57" s="1"/>
  <c r="AB43" i="57"/>
  <c r="V43" i="57"/>
  <c r="T43" i="57"/>
  <c r="S43" i="57"/>
  <c r="P43" i="57"/>
  <c r="O43" i="57"/>
  <c r="AB42" i="57"/>
  <c r="V42" i="57"/>
  <c r="T42" i="57"/>
  <c r="S42" i="57"/>
  <c r="P42" i="57"/>
  <c r="O42" i="57"/>
  <c r="C42" i="57"/>
  <c r="AA42" i="57" s="1"/>
  <c r="AB41" i="57"/>
  <c r="V41" i="57"/>
  <c r="T41" i="57"/>
  <c r="S41" i="57"/>
  <c r="P41" i="57"/>
  <c r="O41" i="57"/>
  <c r="N41" i="57"/>
  <c r="Q41" i="57" s="1"/>
  <c r="C41" i="57"/>
  <c r="AA41" i="57" s="1"/>
  <c r="AB40" i="57"/>
  <c r="V40" i="57"/>
  <c r="T40" i="57"/>
  <c r="S40" i="57"/>
  <c r="P40" i="57"/>
  <c r="O40" i="57"/>
  <c r="AB39" i="57"/>
  <c r="V39" i="57"/>
  <c r="T39" i="57"/>
  <c r="S39" i="57"/>
  <c r="P39" i="57"/>
  <c r="O39" i="57"/>
  <c r="N39" i="57"/>
  <c r="Q39" i="57" s="1"/>
  <c r="C39" i="57"/>
  <c r="AA39" i="57" s="1"/>
  <c r="AB38" i="57"/>
  <c r="V38" i="57"/>
  <c r="T38" i="57"/>
  <c r="S38" i="57"/>
  <c r="Q38" i="57"/>
  <c r="P38" i="57"/>
  <c r="O38" i="57"/>
  <c r="N38" i="57"/>
  <c r="C38" i="57"/>
  <c r="AA38" i="57" s="1"/>
  <c r="AB37" i="57"/>
  <c r="V37" i="57"/>
  <c r="T37" i="57"/>
  <c r="S37" i="57"/>
  <c r="P37" i="57"/>
  <c r="O37" i="57"/>
  <c r="AB36" i="57"/>
  <c r="V36" i="57"/>
  <c r="T36" i="57"/>
  <c r="S36" i="57"/>
  <c r="P36" i="57"/>
  <c r="O36" i="57"/>
  <c r="C36" i="57"/>
  <c r="AA36" i="57" s="1"/>
  <c r="AB35" i="57"/>
  <c r="V35" i="57"/>
  <c r="T35" i="57"/>
  <c r="S35" i="57"/>
  <c r="P35" i="57"/>
  <c r="O35" i="57"/>
  <c r="AB34" i="57"/>
  <c r="V34" i="57"/>
  <c r="T34" i="57"/>
  <c r="S34" i="57"/>
  <c r="P34" i="57"/>
  <c r="O34" i="57"/>
  <c r="C34" i="57"/>
  <c r="AA34" i="57" s="1"/>
  <c r="AB33" i="57"/>
  <c r="V33" i="57"/>
  <c r="T33" i="57"/>
  <c r="S33" i="57"/>
  <c r="P33" i="57"/>
  <c r="O33" i="57"/>
  <c r="N33" i="57"/>
  <c r="Q33" i="57" s="1"/>
  <c r="C33" i="57"/>
  <c r="AA33" i="57" s="1"/>
  <c r="AB32" i="57"/>
  <c r="V32" i="57"/>
  <c r="T32" i="57"/>
  <c r="S32" i="57"/>
  <c r="P32" i="57"/>
  <c r="O32" i="57"/>
  <c r="AB31" i="57"/>
  <c r="V31" i="57"/>
  <c r="T31" i="57"/>
  <c r="S31" i="57"/>
  <c r="P31" i="57"/>
  <c r="O31" i="57"/>
  <c r="C31" i="57"/>
  <c r="AA31" i="57" s="1"/>
  <c r="AB30" i="57"/>
  <c r="V30" i="57"/>
  <c r="T30" i="57"/>
  <c r="S30" i="57"/>
  <c r="Q30" i="57"/>
  <c r="P30" i="57"/>
  <c r="O30" i="57"/>
  <c r="N30" i="57"/>
  <c r="C30" i="57"/>
  <c r="AA30" i="57" s="1"/>
  <c r="AB29" i="57"/>
  <c r="V29" i="57"/>
  <c r="T29" i="57"/>
  <c r="S29" i="57"/>
  <c r="P29" i="57"/>
  <c r="O29" i="57"/>
  <c r="AB28" i="57"/>
  <c r="V28" i="57"/>
  <c r="T28" i="57"/>
  <c r="S28" i="57"/>
  <c r="P28" i="57"/>
  <c r="O28" i="57"/>
  <c r="C28" i="57"/>
  <c r="AA28" i="57" s="1"/>
  <c r="AB27" i="57"/>
  <c r="V27" i="57"/>
  <c r="T27" i="57"/>
  <c r="S27" i="57"/>
  <c r="P27" i="57"/>
  <c r="O27" i="57"/>
  <c r="AB26" i="57"/>
  <c r="V26" i="57"/>
  <c r="T26" i="57"/>
  <c r="S26" i="57"/>
  <c r="P26" i="57"/>
  <c r="O26" i="57"/>
  <c r="C26" i="57"/>
  <c r="AA26" i="57" s="1"/>
  <c r="AB25" i="57"/>
  <c r="V25" i="57"/>
  <c r="T25" i="57"/>
  <c r="S25" i="57"/>
  <c r="P25" i="57"/>
  <c r="O25" i="57"/>
  <c r="N25" i="57"/>
  <c r="Q25" i="57" s="1"/>
  <c r="C25" i="57"/>
  <c r="AA25" i="57" s="1"/>
  <c r="AB24" i="57"/>
  <c r="V24" i="57"/>
  <c r="T24" i="57"/>
  <c r="S24" i="57"/>
  <c r="P24" i="57"/>
  <c r="O24" i="57"/>
  <c r="AB23" i="57"/>
  <c r="V23" i="57"/>
  <c r="T23" i="57"/>
  <c r="S23" i="57"/>
  <c r="P23" i="57"/>
  <c r="O23" i="57"/>
  <c r="C23" i="57"/>
  <c r="AA23" i="57" s="1"/>
  <c r="AB22" i="57"/>
  <c r="V22" i="57"/>
  <c r="T22" i="57"/>
  <c r="S22" i="57"/>
  <c r="P22" i="57"/>
  <c r="O22" i="57"/>
  <c r="AB21" i="57"/>
  <c r="V21" i="57"/>
  <c r="T21" i="57"/>
  <c r="S21" i="57"/>
  <c r="P21" i="57"/>
  <c r="O21" i="57"/>
  <c r="AB20" i="57"/>
  <c r="V20" i="57"/>
  <c r="T20" i="57"/>
  <c r="S20" i="57"/>
  <c r="P20" i="57"/>
  <c r="O20" i="57"/>
  <c r="C20" i="57"/>
  <c r="AA20" i="57" s="1"/>
  <c r="AB19" i="57"/>
  <c r="V19" i="57"/>
  <c r="T19" i="57"/>
  <c r="S19" i="57"/>
  <c r="P19" i="57"/>
  <c r="O19" i="57"/>
  <c r="AB18" i="57"/>
  <c r="V18" i="57"/>
  <c r="T18" i="57"/>
  <c r="S18" i="57"/>
  <c r="P18" i="57"/>
  <c r="O18" i="57"/>
  <c r="C18" i="57"/>
  <c r="AA18" i="57" s="1"/>
  <c r="AB17" i="57"/>
  <c r="V17" i="57"/>
  <c r="T17" i="57"/>
  <c r="S17" i="57"/>
  <c r="P17" i="57"/>
  <c r="O17" i="57"/>
  <c r="N17" i="57"/>
  <c r="Q17" i="57" s="1"/>
  <c r="C17" i="57"/>
  <c r="AA17" i="57" s="1"/>
  <c r="AB16" i="57"/>
  <c r="V16" i="57"/>
  <c r="T16" i="57"/>
  <c r="S16" i="57"/>
  <c r="P16" i="57"/>
  <c r="O16" i="57"/>
  <c r="AB15" i="57"/>
  <c r="V15" i="57"/>
  <c r="T15" i="57"/>
  <c r="S15" i="57"/>
  <c r="P15" i="57"/>
  <c r="O15" i="57"/>
  <c r="C15" i="57"/>
  <c r="AA15" i="57" s="1"/>
  <c r="AB14" i="57"/>
  <c r="V14" i="57"/>
  <c r="T14" i="57"/>
  <c r="S14" i="57"/>
  <c r="P14" i="57"/>
  <c r="O14" i="57"/>
  <c r="AB13" i="57"/>
  <c r="V13" i="57"/>
  <c r="U13" i="57"/>
  <c r="T13" i="57"/>
  <c r="S13" i="57"/>
  <c r="Q13" i="57"/>
  <c r="Y13" i="57" s="1" a="1"/>
  <c r="Y13" i="57" s="1"/>
  <c r="Z13" i="57" s="1"/>
  <c r="P13" i="57"/>
  <c r="O13" i="57"/>
  <c r="C13" i="57"/>
  <c r="AA13" i="57" s="1"/>
  <c r="AB12" i="57"/>
  <c r="V12" i="57"/>
  <c r="T12" i="57"/>
  <c r="S12" i="57"/>
  <c r="P12" i="57"/>
  <c r="O12" i="57"/>
  <c r="AB11" i="57"/>
  <c r="V11" i="57"/>
  <c r="T11" i="57"/>
  <c r="S11" i="57"/>
  <c r="P11" i="57"/>
  <c r="O11" i="57"/>
  <c r="AB10" i="57"/>
  <c r="V10" i="57"/>
  <c r="T10" i="57"/>
  <c r="S10" i="57"/>
  <c r="P10" i="57"/>
  <c r="O10" i="57"/>
  <c r="C10" i="57"/>
  <c r="AA10" i="57" s="1"/>
  <c r="AB9" i="57"/>
  <c r="V9" i="57"/>
  <c r="T9" i="57"/>
  <c r="S9" i="57"/>
  <c r="P9" i="57"/>
  <c r="O9" i="57"/>
  <c r="N9" i="57"/>
  <c r="Q9" i="57" s="1"/>
  <c r="C9" i="57"/>
  <c r="AA9" i="57" s="1"/>
  <c r="AB8" i="57"/>
  <c r="V8" i="57"/>
  <c r="T8" i="57"/>
  <c r="S8" i="57"/>
  <c r="P8" i="57"/>
  <c r="O8" i="57"/>
  <c r="C8" i="57"/>
  <c r="AA8" i="57" s="1"/>
  <c r="AB7" i="57"/>
  <c r="V7" i="57"/>
  <c r="T7" i="57"/>
  <c r="S7" i="57"/>
  <c r="P7" i="57"/>
  <c r="O7" i="57"/>
  <c r="C7" i="57"/>
  <c r="AA7" i="57" s="1"/>
  <c r="AB6" i="57"/>
  <c r="V6" i="57"/>
  <c r="T6" i="57"/>
  <c r="S6" i="57"/>
  <c r="P6" i="57"/>
  <c r="O6" i="57"/>
  <c r="AB5" i="57"/>
  <c r="V5" i="57"/>
  <c r="T5" i="57"/>
  <c r="S5" i="57"/>
  <c r="P5" i="57"/>
  <c r="O5" i="57"/>
  <c r="AB4" i="57"/>
  <c r="V4" i="57"/>
  <c r="T4" i="57"/>
  <c r="S4" i="57"/>
  <c r="P4" i="57"/>
  <c r="O4" i="57"/>
  <c r="C4" i="57"/>
  <c r="AA4" i="57" s="1"/>
  <c r="AB3" i="57"/>
  <c r="V3" i="57"/>
  <c r="U3" i="57"/>
  <c r="S3" i="57"/>
  <c r="Q3" i="57"/>
  <c r="Y3" i="57" s="1" a="1"/>
  <c r="Y3" i="57" s="1"/>
  <c r="Z3" i="57" s="1"/>
  <c r="P3" i="57"/>
  <c r="O3" i="57"/>
  <c r="N3" i="57"/>
  <c r="C3" i="57"/>
  <c r="AA3" i="57" s="1"/>
  <c r="V2" i="57"/>
  <c r="T2" i="57"/>
  <c r="P2" i="57"/>
  <c r="AF1" i="59"/>
  <c r="AO100" i="55"/>
  <c r="AN100" i="55"/>
  <c r="AM100" i="55"/>
  <c r="AG100" i="55"/>
  <c r="Q100" i="55"/>
  <c r="P100" i="55"/>
  <c r="O100" i="55"/>
  <c r="K100" i="55"/>
  <c r="H100" i="55"/>
  <c r="F100" i="55"/>
  <c r="E100" i="55"/>
  <c r="D100" i="55"/>
  <c r="C100" i="55"/>
  <c r="B100" i="55"/>
  <c r="A100" i="55"/>
  <c r="J100" i="55" s="1"/>
  <c r="AG99" i="55"/>
  <c r="F99" i="55"/>
  <c r="E99" i="55"/>
  <c r="D99" i="55"/>
  <c r="C99" i="55"/>
  <c r="B99" i="55"/>
  <c r="A99" i="55"/>
  <c r="AO98" i="55"/>
  <c r="AG98" i="55"/>
  <c r="R98" i="55"/>
  <c r="Q98" i="55"/>
  <c r="P98" i="55"/>
  <c r="O98" i="55"/>
  <c r="J98" i="55"/>
  <c r="H98" i="55"/>
  <c r="G98" i="55"/>
  <c r="F98" i="55"/>
  <c r="E98" i="55"/>
  <c r="D98" i="55"/>
  <c r="C98" i="55"/>
  <c r="B98" i="55"/>
  <c r="A98" i="55"/>
  <c r="AN98" i="55" s="1"/>
  <c r="AG97" i="55"/>
  <c r="F97" i="55"/>
  <c r="E97" i="55"/>
  <c r="D97" i="55"/>
  <c r="C97" i="55"/>
  <c r="B97" i="55"/>
  <c r="A97" i="55"/>
  <c r="AM97" i="55" s="1"/>
  <c r="AG96" i="55"/>
  <c r="Q96" i="55"/>
  <c r="O96" i="55"/>
  <c r="J96" i="55"/>
  <c r="H96" i="55"/>
  <c r="G96" i="55"/>
  <c r="F96" i="55"/>
  <c r="E96" i="55"/>
  <c r="D96" i="55"/>
  <c r="C96" i="55"/>
  <c r="B96" i="55"/>
  <c r="A96" i="55"/>
  <c r="R96" i="55" s="1"/>
  <c r="AO95" i="55"/>
  <c r="AG95" i="55"/>
  <c r="R95" i="55"/>
  <c r="Q95" i="55"/>
  <c r="O95" i="55"/>
  <c r="F95" i="55"/>
  <c r="E95" i="55"/>
  <c r="D95" i="55"/>
  <c r="C95" i="55"/>
  <c r="B95" i="55"/>
  <c r="A95" i="55"/>
  <c r="AM95" i="55" s="1"/>
  <c r="AG94" i="55"/>
  <c r="O94" i="55"/>
  <c r="K94" i="55"/>
  <c r="H94" i="55"/>
  <c r="F94" i="55"/>
  <c r="E94" i="55"/>
  <c r="D94" i="55"/>
  <c r="C94" i="55"/>
  <c r="B94" i="55"/>
  <c r="A94" i="55"/>
  <c r="AM94" i="55" s="1"/>
  <c r="AG93" i="55"/>
  <c r="R93" i="55"/>
  <c r="H93" i="55"/>
  <c r="G93" i="55"/>
  <c r="F93" i="55"/>
  <c r="E93" i="55"/>
  <c r="D93" i="55"/>
  <c r="C93" i="55"/>
  <c r="B93" i="55"/>
  <c r="A93" i="55"/>
  <c r="AO92" i="55"/>
  <c r="AN92" i="55"/>
  <c r="AM92" i="55"/>
  <c r="AG92" i="55"/>
  <c r="Q92" i="55"/>
  <c r="P92" i="55"/>
  <c r="O92" i="55"/>
  <c r="K92" i="55"/>
  <c r="J92" i="55"/>
  <c r="H92" i="55"/>
  <c r="F92" i="55"/>
  <c r="E92" i="55"/>
  <c r="D92" i="55"/>
  <c r="C92" i="55"/>
  <c r="B92" i="55"/>
  <c r="A92" i="55"/>
  <c r="I92" i="55" s="1"/>
  <c r="AO91" i="55"/>
  <c r="AG91" i="55"/>
  <c r="P91" i="55"/>
  <c r="K91" i="55"/>
  <c r="J91" i="55"/>
  <c r="H91" i="55"/>
  <c r="G91" i="55"/>
  <c r="F91" i="55"/>
  <c r="E91" i="55"/>
  <c r="D91" i="55"/>
  <c r="C91" i="55"/>
  <c r="B91" i="55"/>
  <c r="A91" i="55"/>
  <c r="R91" i="55" s="1"/>
  <c r="AO90" i="55"/>
  <c r="AN90" i="55"/>
  <c r="AG90" i="55"/>
  <c r="R90" i="55"/>
  <c r="Q90" i="55"/>
  <c r="P90" i="55"/>
  <c r="O90" i="55"/>
  <c r="J90" i="55"/>
  <c r="H90" i="55"/>
  <c r="G90" i="55"/>
  <c r="F90" i="55"/>
  <c r="E90" i="55"/>
  <c r="D90" i="55"/>
  <c r="C90" i="55"/>
  <c r="B90" i="55"/>
  <c r="A90" i="55"/>
  <c r="AM90" i="55" s="1"/>
  <c r="AO89" i="55"/>
  <c r="AG89" i="55"/>
  <c r="R89" i="55"/>
  <c r="O89" i="55"/>
  <c r="K89" i="55"/>
  <c r="G89" i="55"/>
  <c r="F89" i="55"/>
  <c r="E89" i="55"/>
  <c r="D89" i="55"/>
  <c r="C89" i="55"/>
  <c r="B89" i="55"/>
  <c r="A89" i="55"/>
  <c r="AM89" i="55" s="1"/>
  <c r="AG88" i="55"/>
  <c r="R88" i="55"/>
  <c r="Q88" i="55"/>
  <c r="O88" i="55"/>
  <c r="J88" i="55"/>
  <c r="H88" i="55"/>
  <c r="G88" i="55"/>
  <c r="F88" i="55"/>
  <c r="E88" i="55"/>
  <c r="D88" i="55"/>
  <c r="L88" i="55" s="1"/>
  <c r="X88" i="55" s="1"/>
  <c r="C88" i="55"/>
  <c r="B88" i="55"/>
  <c r="A88" i="55"/>
  <c r="AN87" i="55"/>
  <c r="AG87" i="55"/>
  <c r="F87" i="55"/>
  <c r="E87" i="55"/>
  <c r="D87" i="55"/>
  <c r="C87" i="55"/>
  <c r="B87" i="55"/>
  <c r="A87" i="55"/>
  <c r="K87" i="55" s="1"/>
  <c r="AN86" i="55"/>
  <c r="AG86" i="55"/>
  <c r="J86" i="55"/>
  <c r="H86" i="55"/>
  <c r="F86" i="55"/>
  <c r="E86" i="55"/>
  <c r="D86" i="55"/>
  <c r="C86" i="55"/>
  <c r="B86" i="55"/>
  <c r="A86" i="55"/>
  <c r="AM85" i="55"/>
  <c r="AG85" i="55"/>
  <c r="I85" i="55"/>
  <c r="F85" i="55"/>
  <c r="E85" i="55"/>
  <c r="D85" i="55"/>
  <c r="C85" i="55"/>
  <c r="B85" i="55"/>
  <c r="A85" i="55"/>
  <c r="P85" i="55" s="1"/>
  <c r="AO84" i="55"/>
  <c r="AN84" i="55"/>
  <c r="AM84" i="55"/>
  <c r="AG84" i="55"/>
  <c r="Q84" i="55"/>
  <c r="P84" i="55"/>
  <c r="O84" i="55"/>
  <c r="K84" i="55"/>
  <c r="J84" i="55"/>
  <c r="H84" i="55"/>
  <c r="F84" i="55"/>
  <c r="E84" i="55"/>
  <c r="M84" i="55" s="1"/>
  <c r="D84" i="55"/>
  <c r="C84" i="55"/>
  <c r="B84" i="55"/>
  <c r="A84" i="55"/>
  <c r="I84" i="55" s="1"/>
  <c r="AO83" i="55"/>
  <c r="AG83" i="55"/>
  <c r="R83" i="55"/>
  <c r="P83" i="55"/>
  <c r="K83" i="55"/>
  <c r="J83" i="55"/>
  <c r="H83" i="55"/>
  <c r="G83" i="55"/>
  <c r="S83" i="55" s="1"/>
  <c r="F83" i="55"/>
  <c r="E83" i="55"/>
  <c r="D83" i="55"/>
  <c r="C83" i="55"/>
  <c r="B83" i="55"/>
  <c r="A83" i="55"/>
  <c r="AO82" i="55"/>
  <c r="AN82" i="55"/>
  <c r="AG82" i="55"/>
  <c r="R82" i="55"/>
  <c r="Q82" i="55"/>
  <c r="P82" i="55"/>
  <c r="O82" i="55"/>
  <c r="J82" i="55"/>
  <c r="H82" i="55"/>
  <c r="G82" i="55"/>
  <c r="F82" i="55"/>
  <c r="E82" i="55"/>
  <c r="D82" i="55"/>
  <c r="C82" i="55"/>
  <c r="B82" i="55"/>
  <c r="A82" i="55"/>
  <c r="AM82" i="55" s="1"/>
  <c r="AG81" i="55"/>
  <c r="O81" i="55"/>
  <c r="F81" i="55"/>
  <c r="E81" i="55"/>
  <c r="D81" i="55"/>
  <c r="C81" i="55"/>
  <c r="B81" i="55"/>
  <c r="A81" i="55"/>
  <c r="J81" i="55" s="1"/>
  <c r="AG80" i="55"/>
  <c r="Q80" i="55"/>
  <c r="O80" i="55"/>
  <c r="J80" i="55"/>
  <c r="H80" i="55"/>
  <c r="G80" i="55"/>
  <c r="F80" i="55"/>
  <c r="E80" i="55"/>
  <c r="D80" i="55"/>
  <c r="C80" i="55"/>
  <c r="B80" i="55"/>
  <c r="A80" i="55"/>
  <c r="R80" i="55" s="1"/>
  <c r="AN79" i="55"/>
  <c r="AG79" i="55"/>
  <c r="F79" i="55"/>
  <c r="N79" i="55" s="1"/>
  <c r="E79" i="55"/>
  <c r="D79" i="55"/>
  <c r="C79" i="55"/>
  <c r="B79" i="55"/>
  <c r="A79" i="55"/>
  <c r="O79" i="55" s="1"/>
  <c r="AG78" i="55"/>
  <c r="O78" i="55"/>
  <c r="K78" i="55"/>
  <c r="H78" i="55"/>
  <c r="F78" i="55"/>
  <c r="E78" i="55"/>
  <c r="D78" i="55"/>
  <c r="C78" i="55"/>
  <c r="B78" i="55"/>
  <c r="A78" i="55"/>
  <c r="AM78" i="55" s="1"/>
  <c r="AM77" i="55"/>
  <c r="AG77" i="55"/>
  <c r="R77" i="55"/>
  <c r="G77" i="55"/>
  <c r="F77" i="55"/>
  <c r="E77" i="55"/>
  <c r="D77" i="55"/>
  <c r="C77" i="55"/>
  <c r="B77" i="55"/>
  <c r="A77" i="55"/>
  <c r="H77" i="55" s="1"/>
  <c r="AO76" i="55"/>
  <c r="AN76" i="55"/>
  <c r="AM76" i="55"/>
  <c r="AG76" i="55"/>
  <c r="Q76" i="55"/>
  <c r="P76" i="55"/>
  <c r="O76" i="55"/>
  <c r="K76" i="55"/>
  <c r="J76" i="55"/>
  <c r="H76" i="55"/>
  <c r="F76" i="55"/>
  <c r="E76" i="55"/>
  <c r="D76" i="55"/>
  <c r="C76" i="55"/>
  <c r="B76" i="55"/>
  <c r="AJ76" i="55" s="1"/>
  <c r="A76" i="55"/>
  <c r="I76" i="55" s="1"/>
  <c r="AO75" i="55"/>
  <c r="AG75" i="55"/>
  <c r="P75" i="55"/>
  <c r="K75" i="55"/>
  <c r="J75" i="55"/>
  <c r="H75" i="55"/>
  <c r="G75" i="55"/>
  <c r="F75" i="55"/>
  <c r="E75" i="55"/>
  <c r="D75" i="55"/>
  <c r="C75" i="55"/>
  <c r="B75" i="55"/>
  <c r="A75" i="55"/>
  <c r="R75" i="55" s="1"/>
  <c r="AO74" i="55"/>
  <c r="AN74" i="55"/>
  <c r="AG74" i="55"/>
  <c r="R74" i="55"/>
  <c r="Q74" i="55"/>
  <c r="P74" i="55"/>
  <c r="O74" i="55"/>
  <c r="J74" i="55"/>
  <c r="H74" i="55"/>
  <c r="G74" i="55"/>
  <c r="F74" i="55"/>
  <c r="E74" i="55"/>
  <c r="D74" i="55"/>
  <c r="C74" i="55"/>
  <c r="B74" i="55"/>
  <c r="A74" i="55"/>
  <c r="AM74" i="55" s="1"/>
  <c r="AO73" i="55"/>
  <c r="AG73" i="55"/>
  <c r="R73" i="55"/>
  <c r="O73" i="55"/>
  <c r="K73" i="55"/>
  <c r="G73" i="55"/>
  <c r="F73" i="55"/>
  <c r="E73" i="55"/>
  <c r="D73" i="55"/>
  <c r="C73" i="55"/>
  <c r="B73" i="55"/>
  <c r="A73" i="55"/>
  <c r="AM73" i="55" s="1"/>
  <c r="AG72" i="55"/>
  <c r="R72" i="55"/>
  <c r="Q72" i="55"/>
  <c r="O72" i="55"/>
  <c r="J72" i="55"/>
  <c r="H72" i="55"/>
  <c r="G72" i="55"/>
  <c r="F72" i="55"/>
  <c r="E72" i="55"/>
  <c r="D72" i="55"/>
  <c r="C72" i="55"/>
  <c r="B72" i="55"/>
  <c r="A72" i="55"/>
  <c r="AO71" i="55"/>
  <c r="AM71" i="55"/>
  <c r="AG71" i="55"/>
  <c r="Q71" i="55"/>
  <c r="K71" i="55"/>
  <c r="W71" i="55" s="1"/>
  <c r="F71" i="55"/>
  <c r="E71" i="55"/>
  <c r="D71" i="55"/>
  <c r="C71" i="55"/>
  <c r="B71" i="55"/>
  <c r="A71" i="55"/>
  <c r="AN71" i="55" s="1"/>
  <c r="AN70" i="55"/>
  <c r="AG70" i="55"/>
  <c r="J70" i="55"/>
  <c r="H70" i="55"/>
  <c r="F70" i="55"/>
  <c r="E70" i="55"/>
  <c r="D70" i="55"/>
  <c r="C70" i="55"/>
  <c r="B70" i="55"/>
  <c r="A70" i="55"/>
  <c r="AM69" i="55"/>
  <c r="AG69" i="55"/>
  <c r="Q69" i="55"/>
  <c r="H69" i="55"/>
  <c r="G69" i="55"/>
  <c r="F69" i="55"/>
  <c r="E69" i="55"/>
  <c r="D69" i="55"/>
  <c r="C69" i="55"/>
  <c r="B69" i="55"/>
  <c r="A69" i="55"/>
  <c r="AO68" i="55"/>
  <c r="AN68" i="55"/>
  <c r="AM68" i="55"/>
  <c r="AG68" i="55"/>
  <c r="Q68" i="55"/>
  <c r="P68" i="55"/>
  <c r="O68" i="55"/>
  <c r="K68" i="55"/>
  <c r="J68" i="55"/>
  <c r="H68" i="55"/>
  <c r="F68" i="55"/>
  <c r="E68" i="55"/>
  <c r="D68" i="55"/>
  <c r="C68" i="55"/>
  <c r="B68" i="55"/>
  <c r="A68" i="55"/>
  <c r="I68" i="55" s="1"/>
  <c r="AO67" i="55"/>
  <c r="AG67" i="55"/>
  <c r="R67" i="55"/>
  <c r="P67" i="55"/>
  <c r="K67" i="55"/>
  <c r="J67" i="55"/>
  <c r="H67" i="55"/>
  <c r="G67" i="55"/>
  <c r="F67" i="55"/>
  <c r="E67" i="55"/>
  <c r="D67" i="55"/>
  <c r="C67" i="55"/>
  <c r="B67" i="55"/>
  <c r="A67" i="55"/>
  <c r="AO66" i="55"/>
  <c r="AL66" i="55" s="1"/>
  <c r="AN66" i="55"/>
  <c r="AG66" i="55"/>
  <c r="R66" i="55"/>
  <c r="Q66" i="55"/>
  <c r="P66" i="55"/>
  <c r="O66" i="55"/>
  <c r="J66" i="55"/>
  <c r="H66" i="55"/>
  <c r="G66" i="55"/>
  <c r="F66" i="55"/>
  <c r="E66" i="55"/>
  <c r="D66" i="55"/>
  <c r="C66" i="55"/>
  <c r="B66" i="55"/>
  <c r="A66" i="55"/>
  <c r="AM66" i="55" s="1"/>
  <c r="AG65" i="55"/>
  <c r="O65" i="55"/>
  <c r="K65" i="55"/>
  <c r="F65" i="55"/>
  <c r="E65" i="55"/>
  <c r="D65" i="55"/>
  <c r="C65" i="55"/>
  <c r="B65" i="55"/>
  <c r="A65" i="55"/>
  <c r="AN65" i="55" s="1"/>
  <c r="AG64" i="55"/>
  <c r="O64" i="55"/>
  <c r="J64" i="55"/>
  <c r="F64" i="55"/>
  <c r="E64" i="55"/>
  <c r="D64" i="55"/>
  <c r="C64" i="55"/>
  <c r="B64" i="55"/>
  <c r="A64" i="55"/>
  <c r="AN64" i="55" s="1"/>
  <c r="AM63" i="55"/>
  <c r="AG63" i="55"/>
  <c r="R63" i="55"/>
  <c r="Q63" i="55"/>
  <c r="P63" i="55"/>
  <c r="I63" i="55"/>
  <c r="F63" i="55"/>
  <c r="E63" i="55"/>
  <c r="D63" i="55"/>
  <c r="C63" i="55"/>
  <c r="B63" i="55"/>
  <c r="A63" i="55"/>
  <c r="AN63" i="55" s="1"/>
  <c r="AG62" i="55"/>
  <c r="Q62" i="55"/>
  <c r="O62" i="55"/>
  <c r="F62" i="55"/>
  <c r="E62" i="55"/>
  <c r="D62" i="55"/>
  <c r="C62" i="55"/>
  <c r="B62" i="55"/>
  <c r="A62" i="55"/>
  <c r="J62" i="55" s="1"/>
  <c r="AG61" i="55"/>
  <c r="Q61" i="55"/>
  <c r="P61" i="55"/>
  <c r="F61" i="55"/>
  <c r="E61" i="55"/>
  <c r="D61" i="55"/>
  <c r="C61" i="55"/>
  <c r="B61" i="55"/>
  <c r="A61" i="55"/>
  <c r="AM61" i="55" s="1"/>
  <c r="AO60" i="55"/>
  <c r="AN60" i="55"/>
  <c r="AM60" i="55"/>
  <c r="AG60" i="55"/>
  <c r="Q60" i="55"/>
  <c r="P60" i="55"/>
  <c r="O60" i="55"/>
  <c r="K60" i="55"/>
  <c r="J60" i="55"/>
  <c r="H60" i="55"/>
  <c r="F60" i="55"/>
  <c r="E60" i="55"/>
  <c r="D60" i="55"/>
  <c r="C60" i="55"/>
  <c r="B60" i="55"/>
  <c r="A60" i="55"/>
  <c r="I60" i="55" s="1"/>
  <c r="AM59" i="55"/>
  <c r="AG59" i="55"/>
  <c r="P59" i="55"/>
  <c r="K59" i="55"/>
  <c r="J59" i="55"/>
  <c r="H59" i="55"/>
  <c r="T59" i="55" s="1"/>
  <c r="G59" i="55"/>
  <c r="F59" i="55"/>
  <c r="E59" i="55"/>
  <c r="D59" i="55"/>
  <c r="C59" i="55"/>
  <c r="B59" i="55"/>
  <c r="A59" i="55"/>
  <c r="AO58" i="55"/>
  <c r="AN58" i="55"/>
  <c r="AM58" i="55"/>
  <c r="AG58" i="55"/>
  <c r="R58" i="55"/>
  <c r="Q58" i="55"/>
  <c r="P58" i="55"/>
  <c r="O58" i="55"/>
  <c r="K58" i="55"/>
  <c r="J58" i="55"/>
  <c r="H58" i="55"/>
  <c r="G58" i="55"/>
  <c r="F58" i="55"/>
  <c r="E58" i="55"/>
  <c r="D58" i="55"/>
  <c r="C58" i="55"/>
  <c r="B58" i="55"/>
  <c r="A58" i="55"/>
  <c r="I58" i="55" s="1"/>
  <c r="AG57" i="55"/>
  <c r="I57" i="55"/>
  <c r="F57" i="55"/>
  <c r="E57" i="55"/>
  <c r="D57" i="55"/>
  <c r="C57" i="55"/>
  <c r="B57" i="55"/>
  <c r="A57" i="55"/>
  <c r="AG56" i="55"/>
  <c r="P56" i="55"/>
  <c r="O56" i="55"/>
  <c r="F56" i="55"/>
  <c r="E56" i="55"/>
  <c r="D56" i="55"/>
  <c r="C56" i="55"/>
  <c r="B56" i="55"/>
  <c r="A56" i="55"/>
  <c r="AN56" i="55" s="1"/>
  <c r="AG55" i="55"/>
  <c r="Q55" i="55"/>
  <c r="P55" i="55"/>
  <c r="O55" i="55"/>
  <c r="G55" i="55"/>
  <c r="F55" i="55"/>
  <c r="E55" i="55"/>
  <c r="D55" i="55"/>
  <c r="C55" i="55"/>
  <c r="B55" i="55"/>
  <c r="A55" i="55"/>
  <c r="AM55" i="55" s="1"/>
  <c r="AG54" i="55"/>
  <c r="R54" i="55"/>
  <c r="F54" i="55"/>
  <c r="E54" i="55"/>
  <c r="D54" i="55"/>
  <c r="C54" i="55"/>
  <c r="B54" i="55"/>
  <c r="AJ54" i="55" s="1"/>
  <c r="A54" i="55"/>
  <c r="H54" i="55" s="1"/>
  <c r="AO53" i="55"/>
  <c r="AN53" i="55"/>
  <c r="AM53" i="55"/>
  <c r="AG53" i="55"/>
  <c r="R53" i="55"/>
  <c r="Q53" i="55"/>
  <c r="P53" i="55"/>
  <c r="O53" i="55"/>
  <c r="K53" i="55"/>
  <c r="H53" i="55"/>
  <c r="T53" i="55" s="1"/>
  <c r="G53" i="55"/>
  <c r="F53" i="55"/>
  <c r="E53" i="55"/>
  <c r="D53" i="55"/>
  <c r="C53" i="55"/>
  <c r="B53" i="55"/>
  <c r="A53" i="55"/>
  <c r="J53" i="55" s="1"/>
  <c r="AO52" i="55"/>
  <c r="AN52" i="55"/>
  <c r="AG52" i="55"/>
  <c r="O52" i="55"/>
  <c r="K52" i="55"/>
  <c r="J52" i="55"/>
  <c r="G52" i="55"/>
  <c r="F52" i="55"/>
  <c r="E52" i="55"/>
  <c r="D52" i="55"/>
  <c r="C52" i="55"/>
  <c r="B52" i="55"/>
  <c r="A52" i="55"/>
  <c r="H52" i="55" s="1"/>
  <c r="AN51" i="55"/>
  <c r="AG51" i="55"/>
  <c r="R51" i="55"/>
  <c r="Q51" i="55"/>
  <c r="O51" i="55"/>
  <c r="H51" i="55"/>
  <c r="G51" i="55"/>
  <c r="F51" i="55"/>
  <c r="E51" i="55"/>
  <c r="D51" i="55"/>
  <c r="C51" i="55"/>
  <c r="B51" i="55"/>
  <c r="A51" i="55"/>
  <c r="J51" i="55" s="1"/>
  <c r="V51" i="55" s="1"/>
  <c r="AO50" i="55"/>
  <c r="AN50" i="55"/>
  <c r="AM50" i="55"/>
  <c r="AG50" i="55"/>
  <c r="K50" i="55"/>
  <c r="J50" i="55"/>
  <c r="F50" i="55"/>
  <c r="E50" i="55"/>
  <c r="D50" i="55"/>
  <c r="C50" i="55"/>
  <c r="B50" i="55"/>
  <c r="A50" i="55"/>
  <c r="AG49" i="55"/>
  <c r="F49" i="55"/>
  <c r="E49" i="55"/>
  <c r="D49" i="55"/>
  <c r="C49" i="55"/>
  <c r="B49" i="55"/>
  <c r="A49" i="55"/>
  <c r="P49" i="55" s="1"/>
  <c r="AO48" i="55"/>
  <c r="AN48" i="55"/>
  <c r="AM48" i="55"/>
  <c r="AG48" i="55"/>
  <c r="R48" i="55"/>
  <c r="Q48" i="55"/>
  <c r="P48" i="55"/>
  <c r="O48" i="55"/>
  <c r="K48" i="55"/>
  <c r="J48" i="55"/>
  <c r="H48" i="55"/>
  <c r="G48" i="55"/>
  <c r="F48" i="55"/>
  <c r="E48" i="55"/>
  <c r="D48" i="55"/>
  <c r="C48" i="55"/>
  <c r="B48" i="55"/>
  <c r="A48" i="55"/>
  <c r="I48" i="55" s="1"/>
  <c r="AO47" i="55"/>
  <c r="AN47" i="55"/>
  <c r="AM47" i="55"/>
  <c r="AG47" i="55"/>
  <c r="R47" i="55"/>
  <c r="P47" i="55"/>
  <c r="O47" i="55"/>
  <c r="K47" i="55"/>
  <c r="J47" i="55"/>
  <c r="H47" i="55"/>
  <c r="G47" i="55"/>
  <c r="F47" i="55"/>
  <c r="E47" i="55"/>
  <c r="D47" i="55"/>
  <c r="C47" i="55"/>
  <c r="B47" i="55"/>
  <c r="A47" i="55"/>
  <c r="Q47" i="55" s="1"/>
  <c r="AO46" i="55"/>
  <c r="AG46" i="55"/>
  <c r="R46" i="55"/>
  <c r="Q46" i="55"/>
  <c r="O46" i="55"/>
  <c r="H46" i="55"/>
  <c r="G46" i="55"/>
  <c r="F46" i="55"/>
  <c r="E46" i="55"/>
  <c r="D46" i="55"/>
  <c r="C46" i="55"/>
  <c r="B46" i="55"/>
  <c r="A46" i="55"/>
  <c r="AN45" i="55"/>
  <c r="AG45" i="55"/>
  <c r="F45" i="55"/>
  <c r="E45" i="55"/>
  <c r="D45" i="55"/>
  <c r="C45" i="55"/>
  <c r="B45" i="55"/>
  <c r="A45" i="55"/>
  <c r="AG44" i="55"/>
  <c r="R44" i="55"/>
  <c r="O44" i="55"/>
  <c r="I44" i="55"/>
  <c r="F44" i="55"/>
  <c r="E44" i="55"/>
  <c r="D44" i="55"/>
  <c r="C44" i="55"/>
  <c r="B44" i="55"/>
  <c r="A44" i="55"/>
  <c r="AM43" i="55"/>
  <c r="AG43" i="55"/>
  <c r="H43" i="55"/>
  <c r="F43" i="55"/>
  <c r="E43" i="55"/>
  <c r="D43" i="55"/>
  <c r="C43" i="55"/>
  <c r="B43" i="55"/>
  <c r="A43" i="55"/>
  <c r="AO42" i="55"/>
  <c r="AN42" i="55"/>
  <c r="AG42" i="55"/>
  <c r="Q42" i="55"/>
  <c r="P42" i="55"/>
  <c r="O42" i="55"/>
  <c r="K42" i="55"/>
  <c r="I42" i="55"/>
  <c r="H42" i="55"/>
  <c r="F42" i="55"/>
  <c r="E42" i="55"/>
  <c r="D42" i="55"/>
  <c r="C42" i="55"/>
  <c r="B42" i="55"/>
  <c r="A42" i="55"/>
  <c r="AO41" i="55"/>
  <c r="AG41" i="55"/>
  <c r="R41" i="55"/>
  <c r="Q41" i="55"/>
  <c r="K41" i="55"/>
  <c r="H41" i="55"/>
  <c r="G41" i="55"/>
  <c r="F41" i="55"/>
  <c r="E41" i="55"/>
  <c r="D41" i="55"/>
  <c r="C41" i="55"/>
  <c r="B41" i="55"/>
  <c r="A41" i="55"/>
  <c r="AO40" i="55"/>
  <c r="AN40" i="55"/>
  <c r="AM40" i="55"/>
  <c r="AG40" i="55"/>
  <c r="R40" i="55"/>
  <c r="Q40" i="55"/>
  <c r="P40" i="55"/>
  <c r="O40" i="55"/>
  <c r="K40" i="55"/>
  <c r="J40" i="55"/>
  <c r="H40" i="55"/>
  <c r="G40" i="55"/>
  <c r="F40" i="55"/>
  <c r="E40" i="55"/>
  <c r="D40" i="55"/>
  <c r="C40" i="55"/>
  <c r="B40" i="55"/>
  <c r="A40" i="55"/>
  <c r="I40" i="55" s="1"/>
  <c r="AO39" i="55"/>
  <c r="AM39" i="55"/>
  <c r="AG39" i="55"/>
  <c r="R39" i="55"/>
  <c r="P39" i="55"/>
  <c r="O39" i="55"/>
  <c r="J39" i="55"/>
  <c r="H39" i="55"/>
  <c r="G39" i="55"/>
  <c r="F39" i="55"/>
  <c r="E39" i="55"/>
  <c r="M39" i="55" s="1"/>
  <c r="D39" i="55"/>
  <c r="C39" i="55"/>
  <c r="B39" i="55"/>
  <c r="A39" i="55"/>
  <c r="Q39" i="55" s="1"/>
  <c r="AG38" i="55"/>
  <c r="J38" i="55"/>
  <c r="V38" i="55" s="1"/>
  <c r="F38" i="55"/>
  <c r="E38" i="55"/>
  <c r="D38" i="55"/>
  <c r="C38" i="55"/>
  <c r="B38" i="55"/>
  <c r="A38" i="55"/>
  <c r="I38" i="55" s="1"/>
  <c r="AO37" i="55"/>
  <c r="AN37" i="55"/>
  <c r="AG37" i="55"/>
  <c r="R37" i="55"/>
  <c r="Q37" i="55"/>
  <c r="P37" i="55"/>
  <c r="O37" i="55"/>
  <c r="K37" i="55"/>
  <c r="I37" i="55"/>
  <c r="G37" i="55"/>
  <c r="F37" i="55"/>
  <c r="E37" i="55"/>
  <c r="D37" i="55"/>
  <c r="L37" i="55" s="1"/>
  <c r="X37" i="55" s="1"/>
  <c r="C37" i="55"/>
  <c r="B37" i="55"/>
  <c r="A37" i="55"/>
  <c r="H37" i="55" s="1"/>
  <c r="AG36" i="55"/>
  <c r="R36" i="55"/>
  <c r="K36" i="55"/>
  <c r="F36" i="55"/>
  <c r="E36" i="55"/>
  <c r="D36" i="55"/>
  <c r="C36" i="55"/>
  <c r="B36" i="55"/>
  <c r="A36" i="55"/>
  <c r="AM35" i="55"/>
  <c r="AG35" i="55"/>
  <c r="Q35" i="55"/>
  <c r="P35" i="55"/>
  <c r="O35" i="55"/>
  <c r="G35" i="55"/>
  <c r="F35" i="55"/>
  <c r="E35" i="55"/>
  <c r="M35" i="55" s="1"/>
  <c r="D35" i="55"/>
  <c r="C35" i="55"/>
  <c r="B35" i="55"/>
  <c r="A35" i="55"/>
  <c r="AN34" i="55"/>
  <c r="AG34" i="55"/>
  <c r="Q34" i="55"/>
  <c r="P34" i="55"/>
  <c r="K34" i="55"/>
  <c r="I34" i="55"/>
  <c r="H34" i="55"/>
  <c r="F34" i="55"/>
  <c r="E34" i="55"/>
  <c r="D34" i="55"/>
  <c r="C34" i="55"/>
  <c r="B34" i="55"/>
  <c r="A34" i="55"/>
  <c r="AG33" i="55"/>
  <c r="Q33" i="55"/>
  <c r="K33" i="55"/>
  <c r="J33" i="55"/>
  <c r="G33" i="55"/>
  <c r="F33" i="55"/>
  <c r="E33" i="55"/>
  <c r="D33" i="55"/>
  <c r="C33" i="55"/>
  <c r="B33" i="55"/>
  <c r="A33" i="55"/>
  <c r="AO32" i="55"/>
  <c r="AN32" i="55"/>
  <c r="AM32" i="55"/>
  <c r="AG32" i="55"/>
  <c r="R32" i="55"/>
  <c r="Q32" i="55"/>
  <c r="P32" i="55"/>
  <c r="O32" i="55"/>
  <c r="K32" i="55"/>
  <c r="J32" i="55"/>
  <c r="H32" i="55"/>
  <c r="G32" i="55"/>
  <c r="F32" i="55"/>
  <c r="E32" i="55"/>
  <c r="M32" i="55" s="1"/>
  <c r="Y32" i="55" s="1"/>
  <c r="D32" i="55"/>
  <c r="C32" i="55"/>
  <c r="B32" i="55"/>
  <c r="A32" i="55"/>
  <c r="I32" i="55" s="1"/>
  <c r="AM31" i="55"/>
  <c r="AG31" i="55"/>
  <c r="R31" i="55"/>
  <c r="J31" i="55"/>
  <c r="H31" i="55"/>
  <c r="G31" i="55"/>
  <c r="F31" i="55"/>
  <c r="E31" i="55"/>
  <c r="D31" i="55"/>
  <c r="C31" i="55"/>
  <c r="B31" i="55"/>
  <c r="A31" i="55"/>
  <c r="AO30" i="55"/>
  <c r="AN30" i="55"/>
  <c r="AG30" i="55"/>
  <c r="Q30" i="55"/>
  <c r="O30" i="55"/>
  <c r="I30" i="55"/>
  <c r="G30" i="55"/>
  <c r="F30" i="55"/>
  <c r="E30" i="55"/>
  <c r="D30" i="55"/>
  <c r="C30" i="55"/>
  <c r="B30" i="55"/>
  <c r="AJ30" i="55" s="1"/>
  <c r="A30" i="55"/>
  <c r="AN29" i="55"/>
  <c r="AG29" i="55"/>
  <c r="R29" i="55"/>
  <c r="Q29" i="55"/>
  <c r="P29" i="55"/>
  <c r="K29" i="55"/>
  <c r="I29" i="55"/>
  <c r="G29" i="55"/>
  <c r="F29" i="55"/>
  <c r="N29" i="55" s="1"/>
  <c r="E29" i="55"/>
  <c r="M29" i="55" s="1"/>
  <c r="D29" i="55"/>
  <c r="C29" i="55"/>
  <c r="B29" i="55"/>
  <c r="A29" i="55"/>
  <c r="H29" i="55" s="1"/>
  <c r="AN28" i="55"/>
  <c r="AM28" i="55"/>
  <c r="AG28" i="55"/>
  <c r="H28" i="55"/>
  <c r="G28" i="55"/>
  <c r="F28" i="55"/>
  <c r="E28" i="55"/>
  <c r="D28" i="55"/>
  <c r="C28" i="55"/>
  <c r="B28" i="55"/>
  <c r="A28" i="55"/>
  <c r="AO27" i="55"/>
  <c r="AN27" i="55"/>
  <c r="AG27" i="55"/>
  <c r="P27" i="55"/>
  <c r="F27" i="55"/>
  <c r="N27" i="55" s="1"/>
  <c r="E27" i="55"/>
  <c r="D27" i="55"/>
  <c r="C27" i="55"/>
  <c r="B27" i="55"/>
  <c r="A27" i="55"/>
  <c r="AG26" i="55"/>
  <c r="I26" i="55"/>
  <c r="F26" i="55"/>
  <c r="E26" i="55"/>
  <c r="D26" i="55"/>
  <c r="C26" i="55"/>
  <c r="B26" i="55"/>
  <c r="A26" i="55"/>
  <c r="H26" i="55" s="1"/>
  <c r="AG25" i="55"/>
  <c r="F25" i="55"/>
  <c r="E25" i="55"/>
  <c r="D25" i="55"/>
  <c r="C25" i="55"/>
  <c r="B25" i="55"/>
  <c r="A25" i="55"/>
  <c r="AM25" i="55" s="1"/>
  <c r="AO24" i="55"/>
  <c r="AN24" i="55"/>
  <c r="AM24" i="55"/>
  <c r="AG24" i="55"/>
  <c r="R24" i="55"/>
  <c r="Q24" i="55"/>
  <c r="P24" i="55"/>
  <c r="O24" i="55"/>
  <c r="K24" i="55"/>
  <c r="J24" i="55"/>
  <c r="H24" i="55"/>
  <c r="G24" i="55"/>
  <c r="F24" i="55"/>
  <c r="E24" i="55"/>
  <c r="D24" i="55"/>
  <c r="L24" i="55" s="1"/>
  <c r="C24" i="55"/>
  <c r="B24" i="55"/>
  <c r="A24" i="55"/>
  <c r="I24" i="55" s="1"/>
  <c r="AG23" i="55"/>
  <c r="F23" i="55"/>
  <c r="E23" i="55"/>
  <c r="D23" i="55"/>
  <c r="C23" i="55"/>
  <c r="B23" i="55"/>
  <c r="A23" i="55"/>
  <c r="H23" i="55" s="1"/>
  <c r="AG22" i="55"/>
  <c r="R22" i="55"/>
  <c r="Q22" i="55"/>
  <c r="O22" i="55"/>
  <c r="I22" i="55"/>
  <c r="F22" i="55"/>
  <c r="E22" i="55"/>
  <c r="D22" i="55"/>
  <c r="C22" i="55"/>
  <c r="B22" i="55"/>
  <c r="A22" i="55"/>
  <c r="AG21" i="55"/>
  <c r="F21" i="55"/>
  <c r="N21" i="55" s="1"/>
  <c r="E21" i="55"/>
  <c r="D21" i="55"/>
  <c r="L21" i="55" s="1"/>
  <c r="X21" i="55" s="1"/>
  <c r="C21" i="55"/>
  <c r="B21" i="55"/>
  <c r="A21" i="55"/>
  <c r="J21" i="55" s="1"/>
  <c r="AG20" i="55"/>
  <c r="Q20" i="55"/>
  <c r="O20" i="55"/>
  <c r="J20" i="55"/>
  <c r="I20" i="55"/>
  <c r="F20" i="55"/>
  <c r="E20" i="55"/>
  <c r="D20" i="55"/>
  <c r="C20" i="55"/>
  <c r="B20" i="55"/>
  <c r="A20" i="55"/>
  <c r="AN20" i="55" s="1"/>
  <c r="AG19" i="55"/>
  <c r="F19" i="55"/>
  <c r="N19" i="55" s="1"/>
  <c r="E19" i="55"/>
  <c r="D19" i="55"/>
  <c r="C19" i="55"/>
  <c r="B19" i="55"/>
  <c r="A19" i="55"/>
  <c r="AN19" i="55" s="1"/>
  <c r="AO18" i="55"/>
  <c r="AM18" i="55"/>
  <c r="AG18" i="55"/>
  <c r="K18" i="55"/>
  <c r="J18" i="55"/>
  <c r="V18" i="55" s="1"/>
  <c r="F18" i="55"/>
  <c r="E18" i="55"/>
  <c r="D18" i="55"/>
  <c r="L18" i="55" s="1"/>
  <c r="C18" i="55"/>
  <c r="B18" i="55"/>
  <c r="A18" i="55"/>
  <c r="AO17" i="55"/>
  <c r="AG17" i="55"/>
  <c r="R17" i="55"/>
  <c r="Q17" i="55"/>
  <c r="P17" i="55"/>
  <c r="I17" i="55"/>
  <c r="G17" i="55"/>
  <c r="F17" i="55"/>
  <c r="E17" i="55"/>
  <c r="D17" i="55"/>
  <c r="C17" i="55"/>
  <c r="B17" i="55"/>
  <c r="A17" i="55"/>
  <c r="AO16" i="55"/>
  <c r="AN16" i="55"/>
  <c r="AM16" i="55"/>
  <c r="AG16" i="55"/>
  <c r="R16" i="55"/>
  <c r="Q16" i="55"/>
  <c r="P16" i="55"/>
  <c r="O16" i="55"/>
  <c r="K16" i="55"/>
  <c r="J16" i="55"/>
  <c r="H16" i="55"/>
  <c r="G16" i="55"/>
  <c r="F16" i="55"/>
  <c r="E16" i="55"/>
  <c r="D16" i="55"/>
  <c r="C16" i="55"/>
  <c r="B16" i="55"/>
  <c r="A16" i="55"/>
  <c r="I16" i="55" s="1"/>
  <c r="AO15" i="55"/>
  <c r="AN15" i="55"/>
  <c r="AM15" i="55"/>
  <c r="AG15" i="55"/>
  <c r="R15" i="55"/>
  <c r="P15" i="55"/>
  <c r="O15" i="55"/>
  <c r="K15" i="55"/>
  <c r="J15" i="55"/>
  <c r="H15" i="55"/>
  <c r="G15" i="55"/>
  <c r="F15" i="55"/>
  <c r="E15" i="55"/>
  <c r="M15" i="55" s="1"/>
  <c r="Y15" i="55" s="1"/>
  <c r="D15" i="55"/>
  <c r="C15" i="55"/>
  <c r="B15" i="55"/>
  <c r="A15" i="55"/>
  <c r="Q15" i="55" s="1"/>
  <c r="AG14" i="55"/>
  <c r="R14" i="55"/>
  <c r="Q14" i="55"/>
  <c r="O14" i="55"/>
  <c r="J14" i="55"/>
  <c r="F14" i="55"/>
  <c r="E14" i="55"/>
  <c r="D14" i="55"/>
  <c r="C14" i="55"/>
  <c r="B14" i="55"/>
  <c r="A14" i="55"/>
  <c r="AS13" i="55"/>
  <c r="AO13" i="55"/>
  <c r="AN13" i="55"/>
  <c r="AM13" i="55"/>
  <c r="AG13" i="55"/>
  <c r="R13" i="55"/>
  <c r="Q13" i="55"/>
  <c r="P13" i="55"/>
  <c r="O13" i="55"/>
  <c r="K13" i="55"/>
  <c r="J13" i="55"/>
  <c r="H13" i="55"/>
  <c r="G13" i="55"/>
  <c r="F13" i="55"/>
  <c r="E13" i="55"/>
  <c r="D13" i="55"/>
  <c r="C13" i="55"/>
  <c r="B13" i="55"/>
  <c r="A13" i="55"/>
  <c r="I13" i="55" s="1"/>
  <c r="U13" i="55" s="1"/>
  <c r="AG12" i="55"/>
  <c r="P12" i="55"/>
  <c r="O12" i="55"/>
  <c r="F12" i="55"/>
  <c r="E12" i="55"/>
  <c r="D12" i="55"/>
  <c r="C12" i="55"/>
  <c r="B12" i="55"/>
  <c r="A12" i="55"/>
  <c r="H12" i="55" s="1"/>
  <c r="AO11" i="55"/>
  <c r="AL11" i="55" s="1"/>
  <c r="AN11" i="55"/>
  <c r="AG11" i="55"/>
  <c r="R11" i="55"/>
  <c r="Q11" i="55"/>
  <c r="P11" i="55"/>
  <c r="O11" i="55"/>
  <c r="J11" i="55"/>
  <c r="H11" i="55"/>
  <c r="G11" i="55"/>
  <c r="F11" i="55"/>
  <c r="E11" i="55"/>
  <c r="D11" i="55"/>
  <c r="C11" i="55"/>
  <c r="B11" i="55"/>
  <c r="A11" i="55"/>
  <c r="AM10" i="55"/>
  <c r="AG10" i="55"/>
  <c r="I10" i="55"/>
  <c r="F10" i="55"/>
  <c r="E10" i="55"/>
  <c r="D10" i="55"/>
  <c r="C10" i="55"/>
  <c r="B10" i="55"/>
  <c r="A10" i="55"/>
  <c r="G10" i="55" s="1"/>
  <c r="S10" i="55" s="1"/>
  <c r="AG9" i="55"/>
  <c r="J9" i="55"/>
  <c r="F9" i="55"/>
  <c r="E9" i="55"/>
  <c r="D9" i="55"/>
  <c r="C9" i="55"/>
  <c r="B9" i="55"/>
  <c r="A9" i="55"/>
  <c r="R9" i="55" s="1"/>
  <c r="AG8" i="55"/>
  <c r="Q8" i="55"/>
  <c r="P8" i="55"/>
  <c r="H8" i="55"/>
  <c r="T8" i="55" s="1"/>
  <c r="F8" i="55"/>
  <c r="E8" i="55"/>
  <c r="D8" i="55"/>
  <c r="C8" i="55"/>
  <c r="B8" i="55"/>
  <c r="A8" i="55"/>
  <c r="G8" i="55" s="1"/>
  <c r="AO7" i="55"/>
  <c r="AG7" i="55"/>
  <c r="Q7" i="55"/>
  <c r="P7" i="55"/>
  <c r="O7" i="55"/>
  <c r="K7" i="55"/>
  <c r="F7" i="55"/>
  <c r="E7" i="55"/>
  <c r="M7" i="55" s="1"/>
  <c r="Y7" i="55" s="1"/>
  <c r="D7" i="55"/>
  <c r="C7" i="55"/>
  <c r="B7" i="55"/>
  <c r="A7" i="55"/>
  <c r="AO6" i="55"/>
  <c r="AM6" i="55"/>
  <c r="AG6" i="55"/>
  <c r="R6" i="55"/>
  <c r="Q6" i="55"/>
  <c r="P6" i="55"/>
  <c r="K6" i="55"/>
  <c r="J6" i="55"/>
  <c r="H6" i="55"/>
  <c r="G6" i="55"/>
  <c r="F6" i="55"/>
  <c r="E6" i="55"/>
  <c r="M6" i="55" s="1"/>
  <c r="Y6" i="55" s="1"/>
  <c r="D6" i="55"/>
  <c r="C6" i="55"/>
  <c r="B6" i="55"/>
  <c r="A6" i="55"/>
  <c r="AO5" i="55"/>
  <c r="AN5" i="55"/>
  <c r="AM5" i="55"/>
  <c r="AG5" i="55"/>
  <c r="R5" i="55"/>
  <c r="Q5" i="55"/>
  <c r="P5" i="55"/>
  <c r="O5" i="55"/>
  <c r="K5" i="55"/>
  <c r="J5" i="55"/>
  <c r="H5" i="55"/>
  <c r="G5" i="55"/>
  <c r="F5" i="55"/>
  <c r="E5" i="55"/>
  <c r="M5" i="55" s="1"/>
  <c r="Y5" i="55" s="1"/>
  <c r="D5" i="55"/>
  <c r="C5" i="55"/>
  <c r="B5" i="55"/>
  <c r="A5" i="55"/>
  <c r="I5" i="55" s="1"/>
  <c r="AG4" i="55"/>
  <c r="R4" i="55"/>
  <c r="P4" i="55"/>
  <c r="F4" i="55"/>
  <c r="E4" i="55"/>
  <c r="M4" i="55" s="1"/>
  <c r="Y4" i="55" s="1"/>
  <c r="D4" i="55"/>
  <c r="L4" i="55" s="1"/>
  <c r="C4" i="55"/>
  <c r="B4" i="55"/>
  <c r="A4" i="55"/>
  <c r="AO4" i="55" s="1"/>
  <c r="AG3" i="55"/>
  <c r="R3" i="55"/>
  <c r="Q3" i="55"/>
  <c r="P3" i="55"/>
  <c r="J3" i="55"/>
  <c r="F3" i="55"/>
  <c r="N3" i="55" s="1"/>
  <c r="E3" i="55"/>
  <c r="M3" i="55" s="1"/>
  <c r="D3" i="55"/>
  <c r="C3" i="55"/>
  <c r="B3" i="55"/>
  <c r="A3" i="55"/>
  <c r="AO2" i="55"/>
  <c r="AM2" i="55"/>
  <c r="AG2" i="55"/>
  <c r="Q2" i="55"/>
  <c r="P2" i="55"/>
  <c r="O2" i="55"/>
  <c r="K2" i="55"/>
  <c r="I2" i="55"/>
  <c r="G2" i="55"/>
  <c r="F2" i="55"/>
  <c r="E2" i="55"/>
  <c r="D2" i="55"/>
  <c r="C2" i="55"/>
  <c r="B2" i="55"/>
  <c r="Z2" i="55" s="1"/>
  <c r="A2" i="55"/>
  <c r="AJ100" i="55"/>
  <c r="AB100" i="55"/>
  <c r="N100" i="55"/>
  <c r="L100" i="55"/>
  <c r="X100" i="55" s="1"/>
  <c r="W100" i="55"/>
  <c r="M100" i="55"/>
  <c r="Y100" i="55" s="1"/>
  <c r="AL100" i="55"/>
  <c r="AJ99" i="55"/>
  <c r="AB99" i="55"/>
  <c r="M99" i="55"/>
  <c r="Y99" i="55" s="1"/>
  <c r="N99" i="55"/>
  <c r="L99" i="55"/>
  <c r="X99" i="55" s="1"/>
  <c r="AB98" i="55"/>
  <c r="N98" i="55"/>
  <c r="L98" i="55"/>
  <c r="X98" i="55" s="1"/>
  <c r="V98" i="55"/>
  <c r="T98" i="55"/>
  <c r="M98" i="55"/>
  <c r="Y98" i="55" s="1"/>
  <c r="AJ98" i="55"/>
  <c r="AL98" i="55"/>
  <c r="AJ97" i="55"/>
  <c r="N97" i="55"/>
  <c r="M97" i="55"/>
  <c r="Y97" i="55" s="1"/>
  <c r="L97" i="55"/>
  <c r="X97" i="55" s="1"/>
  <c r="AJ96" i="55"/>
  <c r="N96" i="55"/>
  <c r="M96" i="55"/>
  <c r="Y96" i="55" s="1"/>
  <c r="L96" i="55"/>
  <c r="X96" i="55" s="1"/>
  <c r="M95" i="55"/>
  <c r="Y95" i="55" s="1"/>
  <c r="N95" i="55"/>
  <c r="L95" i="55"/>
  <c r="X95" i="55" s="1"/>
  <c r="N94" i="55"/>
  <c r="L94" i="55"/>
  <c r="X94" i="55" s="1"/>
  <c r="M94" i="55"/>
  <c r="Y94" i="55" s="1"/>
  <c r="AJ94" i="55"/>
  <c r="AB93" i="55"/>
  <c r="X93" i="55"/>
  <c r="T93" i="55"/>
  <c r="N93" i="55"/>
  <c r="M93" i="55"/>
  <c r="Y93" i="55" s="1"/>
  <c r="L93" i="55"/>
  <c r="AL92" i="55"/>
  <c r="X92" i="55"/>
  <c r="W92" i="55"/>
  <c r="U92" i="55"/>
  <c r="T92" i="55"/>
  <c r="N92" i="55"/>
  <c r="M92" i="55"/>
  <c r="Y92" i="55" s="1"/>
  <c r="L92" i="55"/>
  <c r="AJ92" i="55"/>
  <c r="AL91" i="55"/>
  <c r="AB91" i="55"/>
  <c r="M91" i="55"/>
  <c r="Y91" i="55" s="1"/>
  <c r="W91" i="55"/>
  <c r="N91" i="55"/>
  <c r="L91" i="55"/>
  <c r="X91" i="55" s="1"/>
  <c r="AB90" i="55"/>
  <c r="X90" i="55"/>
  <c r="S90" i="55"/>
  <c r="L90" i="55"/>
  <c r="V90" i="55"/>
  <c r="T90" i="55"/>
  <c r="N90" i="55"/>
  <c r="M90" i="55"/>
  <c r="Y90" i="55" s="1"/>
  <c r="AJ90" i="55"/>
  <c r="AL90" i="55"/>
  <c r="AL89" i="55"/>
  <c r="AJ89" i="55"/>
  <c r="W89" i="55"/>
  <c r="S89" i="55"/>
  <c r="N89" i="55"/>
  <c r="M89" i="55"/>
  <c r="Y89" i="55" s="1"/>
  <c r="L89" i="55"/>
  <c r="X89" i="55" s="1"/>
  <c r="N88" i="55"/>
  <c r="M88" i="55"/>
  <c r="Y88" i="55" s="1"/>
  <c r="T88" i="55"/>
  <c r="AJ88" i="55"/>
  <c r="X87" i="55"/>
  <c r="N87" i="55"/>
  <c r="M87" i="55"/>
  <c r="Y87" i="55" s="1"/>
  <c r="L87" i="55"/>
  <c r="N86" i="55"/>
  <c r="M86" i="55"/>
  <c r="Y86" i="55" s="1"/>
  <c r="L86" i="55"/>
  <c r="X86" i="55" s="1"/>
  <c r="AJ85" i="55"/>
  <c r="U85" i="55"/>
  <c r="N85" i="55"/>
  <c r="M85" i="55"/>
  <c r="Y85" i="55" s="1"/>
  <c r="AL84" i="55"/>
  <c r="Y84" i="55"/>
  <c r="U84" i="55"/>
  <c r="N84" i="55"/>
  <c r="W84" i="55"/>
  <c r="T84" i="55"/>
  <c r="L84" i="55"/>
  <c r="X84" i="55" s="1"/>
  <c r="AJ84" i="55"/>
  <c r="AJ83" i="55"/>
  <c r="AB83" i="55"/>
  <c r="M83" i="55"/>
  <c r="Y83" i="55" s="1"/>
  <c r="L83" i="55"/>
  <c r="X83" i="55" s="1"/>
  <c r="N83" i="55"/>
  <c r="AB82" i="55"/>
  <c r="L82" i="55"/>
  <c r="X82" i="55" s="1"/>
  <c r="V82" i="55"/>
  <c r="T82" i="55"/>
  <c r="N82" i="55"/>
  <c r="M82" i="55"/>
  <c r="Y82" i="55" s="1"/>
  <c r="AJ82" i="55"/>
  <c r="AL82" i="55"/>
  <c r="AB81" i="55"/>
  <c r="N81" i="55"/>
  <c r="L81" i="55"/>
  <c r="X81" i="55" s="1"/>
  <c r="M81" i="55"/>
  <c r="Y81" i="55" s="1"/>
  <c r="AJ80" i="55"/>
  <c r="AB80" i="55"/>
  <c r="T80" i="55"/>
  <c r="M80" i="55"/>
  <c r="Y80" i="55" s="1"/>
  <c r="V80" i="55"/>
  <c r="N80" i="55"/>
  <c r="L80" i="55"/>
  <c r="X80" i="55" s="1"/>
  <c r="AJ79" i="55"/>
  <c r="Y79" i="55"/>
  <c r="X79" i="55"/>
  <c r="L79" i="55"/>
  <c r="M79" i="55"/>
  <c r="AJ78" i="55"/>
  <c r="M78" i="55"/>
  <c r="Y78" i="55" s="1"/>
  <c r="L78" i="55"/>
  <c r="X78" i="55" s="1"/>
  <c r="N78" i="55"/>
  <c r="T78" i="55"/>
  <c r="AJ77" i="55"/>
  <c r="M77" i="55"/>
  <c r="Y77" i="55" s="1"/>
  <c r="S77" i="55"/>
  <c r="N77" i="55"/>
  <c r="L77" i="55"/>
  <c r="X77" i="55" s="1"/>
  <c r="AB76" i="55"/>
  <c r="N76" i="55"/>
  <c r="W76" i="55"/>
  <c r="U76" i="55"/>
  <c r="T76" i="55"/>
  <c r="M76" i="55"/>
  <c r="Y76" i="55" s="1"/>
  <c r="L76" i="55"/>
  <c r="X76" i="55" s="1"/>
  <c r="AJ75" i="55"/>
  <c r="AB75" i="55"/>
  <c r="M75" i="55"/>
  <c r="Y75" i="55" s="1"/>
  <c r="L75" i="55"/>
  <c r="X75" i="55" s="1"/>
  <c r="S75" i="55"/>
  <c r="N75" i="55"/>
  <c r="AL74" i="55"/>
  <c r="AB74" i="55"/>
  <c r="V74" i="55"/>
  <c r="S74" i="55"/>
  <c r="M74" i="55"/>
  <c r="Y74" i="55" s="1"/>
  <c r="T74" i="55"/>
  <c r="N74" i="55"/>
  <c r="L74" i="55"/>
  <c r="X74" i="55" s="1"/>
  <c r="AJ73" i="55"/>
  <c r="N73" i="55"/>
  <c r="M73" i="55"/>
  <c r="Y73" i="55" s="1"/>
  <c r="L73" i="55"/>
  <c r="X73" i="55" s="1"/>
  <c r="N72" i="55"/>
  <c r="L72" i="55"/>
  <c r="X72" i="55" s="1"/>
  <c r="M72" i="55"/>
  <c r="Y72" i="55" s="1"/>
  <c r="AJ72" i="55"/>
  <c r="AL71" i="55"/>
  <c r="M71" i="55"/>
  <c r="Y71" i="55" s="1"/>
  <c r="L71" i="55"/>
  <c r="X71" i="55" s="1"/>
  <c r="N71" i="55"/>
  <c r="AJ71" i="55"/>
  <c r="AJ70" i="55"/>
  <c r="N70" i="55"/>
  <c r="L70" i="55"/>
  <c r="X70" i="55" s="1"/>
  <c r="T70" i="55"/>
  <c r="M70" i="55"/>
  <c r="Y70" i="55" s="1"/>
  <c r="N69" i="55"/>
  <c r="T69" i="55"/>
  <c r="M69" i="55"/>
  <c r="Y69" i="55" s="1"/>
  <c r="L69" i="55"/>
  <c r="X69" i="55" s="1"/>
  <c r="AJ69" i="55"/>
  <c r="AB69" i="55"/>
  <c r="N68" i="55"/>
  <c r="M68" i="55"/>
  <c r="Y68" i="55" s="1"/>
  <c r="L68" i="55"/>
  <c r="X68" i="55" s="1"/>
  <c r="V68" i="55"/>
  <c r="AJ67" i="55"/>
  <c r="AB67" i="55"/>
  <c r="W67" i="55"/>
  <c r="V67" i="55"/>
  <c r="T67" i="55"/>
  <c r="S67" i="55"/>
  <c r="N67" i="55"/>
  <c r="M67" i="55"/>
  <c r="Y67" i="55" s="1"/>
  <c r="L67" i="55"/>
  <c r="X67" i="55" s="1"/>
  <c r="T66" i="55"/>
  <c r="M66" i="55"/>
  <c r="Y66" i="55" s="1"/>
  <c r="L66" i="55"/>
  <c r="X66" i="55" s="1"/>
  <c r="N66" i="55"/>
  <c r="M65" i="55"/>
  <c r="Y65" i="55" s="1"/>
  <c r="W65" i="55"/>
  <c r="N65" i="55"/>
  <c r="L65" i="55"/>
  <c r="X65" i="55" s="1"/>
  <c r="AJ65" i="55"/>
  <c r="N64" i="55"/>
  <c r="L64" i="55"/>
  <c r="X64" i="55" s="1"/>
  <c r="V64" i="55"/>
  <c r="AJ64" i="55"/>
  <c r="AJ63" i="55"/>
  <c r="AB63" i="55"/>
  <c r="U63" i="55"/>
  <c r="N63" i="55"/>
  <c r="M63" i="55"/>
  <c r="Y63" i="55" s="1"/>
  <c r="L63" i="55"/>
  <c r="X63" i="55" s="1"/>
  <c r="Y62" i="55"/>
  <c r="N62" i="55"/>
  <c r="L62" i="55"/>
  <c r="X62" i="55" s="1"/>
  <c r="M62" i="55"/>
  <c r="M61" i="55"/>
  <c r="Y61" i="55" s="1"/>
  <c r="N61" i="55"/>
  <c r="L61" i="55"/>
  <c r="X61" i="55" s="1"/>
  <c r="AJ61" i="55"/>
  <c r="AB61" i="55"/>
  <c r="N60" i="55"/>
  <c r="L60" i="55"/>
  <c r="X60" i="55" s="1"/>
  <c r="T60" i="55"/>
  <c r="M60" i="55"/>
  <c r="Y60" i="55" s="1"/>
  <c r="AJ60" i="55"/>
  <c r="AJ59" i="55"/>
  <c r="AB59" i="55"/>
  <c r="N59" i="55"/>
  <c r="M59" i="55"/>
  <c r="Y59" i="55" s="1"/>
  <c r="X58" i="55"/>
  <c r="M58" i="55"/>
  <c r="Y58" i="55" s="1"/>
  <c r="W58" i="55"/>
  <c r="N58" i="55"/>
  <c r="L58" i="55"/>
  <c r="AB57" i="55"/>
  <c r="N57" i="55"/>
  <c r="M57" i="55"/>
  <c r="Y57" i="55" s="1"/>
  <c r="L57" i="55"/>
  <c r="X57" i="55" s="1"/>
  <c r="U57" i="55"/>
  <c r="AJ56" i="55"/>
  <c r="AB56" i="55"/>
  <c r="N56" i="55"/>
  <c r="L56" i="55"/>
  <c r="X56" i="55" s="1"/>
  <c r="M56" i="55"/>
  <c r="Y56" i="55" s="1"/>
  <c r="AJ55" i="55"/>
  <c r="M55" i="55"/>
  <c r="Y55" i="55" s="1"/>
  <c r="S55" i="55"/>
  <c r="N55" i="55"/>
  <c r="L55" i="55"/>
  <c r="X55" i="55" s="1"/>
  <c r="Y54" i="55"/>
  <c r="N54" i="55"/>
  <c r="M54" i="55"/>
  <c r="L54" i="55"/>
  <c r="X54" i="55" s="1"/>
  <c r="T54" i="55"/>
  <c r="AL53" i="55"/>
  <c r="N53" i="55"/>
  <c r="L53" i="55"/>
  <c r="X53" i="55" s="1"/>
  <c r="AJ53" i="55"/>
  <c r="AL52" i="55"/>
  <c r="AB52" i="55"/>
  <c r="N52" i="55"/>
  <c r="W52" i="55"/>
  <c r="M52" i="55"/>
  <c r="Y52" i="55" s="1"/>
  <c r="L52" i="55"/>
  <c r="X52" i="55" s="1"/>
  <c r="S52" i="55"/>
  <c r="AB51" i="55"/>
  <c r="L51" i="55"/>
  <c r="X51" i="55" s="1"/>
  <c r="T51" i="55"/>
  <c r="N51" i="55"/>
  <c r="M51" i="55"/>
  <c r="Y51" i="55" s="1"/>
  <c r="AL50" i="55"/>
  <c r="M50" i="55"/>
  <c r="Y50" i="55" s="1"/>
  <c r="W50" i="55"/>
  <c r="N50" i="55"/>
  <c r="L50" i="55"/>
  <c r="X50" i="55" s="1"/>
  <c r="AJ50" i="55"/>
  <c r="M49" i="55"/>
  <c r="Y49" i="55" s="1"/>
  <c r="N49" i="55"/>
  <c r="L49" i="55"/>
  <c r="X49" i="55" s="1"/>
  <c r="AJ49" i="55"/>
  <c r="AL48" i="55"/>
  <c r="AB48" i="55"/>
  <c r="W48" i="55"/>
  <c r="N48" i="55"/>
  <c r="V48" i="55"/>
  <c r="T48" i="55"/>
  <c r="L48" i="55"/>
  <c r="X48" i="55" s="1"/>
  <c r="AJ48" i="55"/>
  <c r="AL47" i="55"/>
  <c r="AJ47" i="55"/>
  <c r="AB47" i="55"/>
  <c r="W47" i="55"/>
  <c r="N47" i="55"/>
  <c r="M47" i="55"/>
  <c r="Y47" i="55" s="1"/>
  <c r="L47" i="55"/>
  <c r="X47" i="55" s="1"/>
  <c r="Y46" i="55"/>
  <c r="L46" i="55"/>
  <c r="X46" i="55" s="1"/>
  <c r="N46" i="55"/>
  <c r="M46" i="55"/>
  <c r="M45" i="55"/>
  <c r="Y45" i="55" s="1"/>
  <c r="N45" i="55"/>
  <c r="L45" i="55"/>
  <c r="X45" i="55" s="1"/>
  <c r="AJ45" i="55"/>
  <c r="AB45" i="55"/>
  <c r="N44" i="55"/>
  <c r="M44" i="55"/>
  <c r="Y44" i="55" s="1"/>
  <c r="AJ44" i="55"/>
  <c r="U44" i="55"/>
  <c r="AJ43" i="55"/>
  <c r="M43" i="55"/>
  <c r="Y43" i="55" s="1"/>
  <c r="L43" i="55"/>
  <c r="X43" i="55" s="1"/>
  <c r="AL42" i="55"/>
  <c r="AB42" i="55"/>
  <c r="N42" i="55"/>
  <c r="W42" i="55"/>
  <c r="T42" i="55"/>
  <c r="M42" i="55"/>
  <c r="Y42" i="55" s="1"/>
  <c r="L42" i="55"/>
  <c r="X42" i="55" s="1"/>
  <c r="AJ42" i="55"/>
  <c r="AJ41" i="55"/>
  <c r="T41" i="55"/>
  <c r="L41" i="55"/>
  <c r="X41" i="55" s="1"/>
  <c r="W41" i="55"/>
  <c r="N41" i="55"/>
  <c r="M41" i="55"/>
  <c r="Y41" i="55" s="1"/>
  <c r="V40" i="55"/>
  <c r="L40" i="55"/>
  <c r="X40" i="55" s="1"/>
  <c r="N40" i="55"/>
  <c r="M40" i="55"/>
  <c r="AB40" i="55"/>
  <c r="AL39" i="55"/>
  <c r="S39" i="55"/>
  <c r="N39" i="55"/>
  <c r="L39" i="55"/>
  <c r="X39" i="55" s="1"/>
  <c r="L38" i="55"/>
  <c r="X38" i="55" s="1"/>
  <c r="N38" i="55"/>
  <c r="M38" i="55"/>
  <c r="AJ37" i="55"/>
  <c r="AB37" i="55"/>
  <c r="T37" i="55"/>
  <c r="S37" i="55"/>
  <c r="M37" i="55"/>
  <c r="W37" i="55"/>
  <c r="N37" i="55"/>
  <c r="N36" i="55"/>
  <c r="M36" i="55"/>
  <c r="L36" i="55"/>
  <c r="X36" i="55" s="1"/>
  <c r="N35" i="55"/>
  <c r="L35" i="55"/>
  <c r="X35" i="55" s="1"/>
  <c r="AB34" i="55"/>
  <c r="N34" i="55"/>
  <c r="W34" i="55"/>
  <c r="T34" i="55"/>
  <c r="M34" i="55"/>
  <c r="L34" i="55"/>
  <c r="X34" i="55" s="1"/>
  <c r="AJ34" i="55"/>
  <c r="AJ33" i="55"/>
  <c r="M33" i="55"/>
  <c r="Y33" i="55" s="1"/>
  <c r="N33" i="55"/>
  <c r="L33" i="55"/>
  <c r="AJ32" i="55"/>
  <c r="L32" i="55"/>
  <c r="T32" i="55"/>
  <c r="N32" i="55"/>
  <c r="M31" i="55"/>
  <c r="Y31" i="55" s="1"/>
  <c r="V31" i="55"/>
  <c r="T31" i="55"/>
  <c r="N31" i="55"/>
  <c r="L31" i="55"/>
  <c r="AB31" i="55"/>
  <c r="AB30" i="55"/>
  <c r="N30" i="55"/>
  <c r="S30" i="55"/>
  <c r="M30" i="55"/>
  <c r="Y30" i="55" s="1"/>
  <c r="L30" i="55"/>
  <c r="L29" i="55"/>
  <c r="N28" i="55"/>
  <c r="L28" i="55"/>
  <c r="M28" i="55"/>
  <c r="Y28" i="55" s="1"/>
  <c r="L27" i="55"/>
  <c r="AB26" i="55"/>
  <c r="N26" i="55"/>
  <c r="M26" i="55"/>
  <c r="Y26" i="55" s="1"/>
  <c r="L26" i="55"/>
  <c r="X26" i="55" s="1"/>
  <c r="M25" i="55"/>
  <c r="Y25" i="55" s="1"/>
  <c r="L25" i="55"/>
  <c r="N25" i="55"/>
  <c r="N24" i="55"/>
  <c r="M24" i="55"/>
  <c r="Y24" i="55" s="1"/>
  <c r="N23" i="55"/>
  <c r="M23" i="55"/>
  <c r="Y23" i="55" s="1"/>
  <c r="L23" i="55"/>
  <c r="X23" i="55" s="1"/>
  <c r="Y22" i="55"/>
  <c r="N22" i="55"/>
  <c r="M22" i="55"/>
  <c r="L22" i="55"/>
  <c r="M21" i="55"/>
  <c r="AB20" i="55"/>
  <c r="M20" i="55"/>
  <c r="Y20" i="55" s="1"/>
  <c r="L20" i="55"/>
  <c r="N20" i="55"/>
  <c r="M19" i="55"/>
  <c r="L19" i="55"/>
  <c r="AB18" i="55"/>
  <c r="N18" i="55"/>
  <c r="M18" i="55"/>
  <c r="AL18" i="55"/>
  <c r="X17" i="55"/>
  <c r="M17" i="55"/>
  <c r="Y17" i="55" s="1"/>
  <c r="N17" i="55"/>
  <c r="L17" i="55"/>
  <c r="AB16" i="55"/>
  <c r="N16" i="55"/>
  <c r="M16" i="55"/>
  <c r="L16" i="55"/>
  <c r="X16" i="55" s="1"/>
  <c r="N15" i="55"/>
  <c r="L15" i="55"/>
  <c r="N14" i="55"/>
  <c r="L14" i="55"/>
  <c r="X14" i="55" s="1"/>
  <c r="AB13" i="55"/>
  <c r="N13" i="55"/>
  <c r="L13" i="55"/>
  <c r="M13" i="55"/>
  <c r="Y13" i="55" s="1"/>
  <c r="N12" i="55"/>
  <c r="M12" i="55"/>
  <c r="L12" i="55"/>
  <c r="X12" i="55" s="1"/>
  <c r="AB11" i="55"/>
  <c r="V11" i="55"/>
  <c r="S11" i="55"/>
  <c r="M11" i="55"/>
  <c r="Y11" i="55" s="1"/>
  <c r="L11" i="55"/>
  <c r="L10" i="55"/>
  <c r="N10" i="55"/>
  <c r="N9" i="55"/>
  <c r="M9" i="55"/>
  <c r="Y9" i="55" s="1"/>
  <c r="L9" i="55"/>
  <c r="N8" i="55"/>
  <c r="M8" i="55"/>
  <c r="Y8" i="55" s="1"/>
  <c r="L8" i="55"/>
  <c r="X8" i="55" s="1"/>
  <c r="N7" i="55"/>
  <c r="L7" i="55"/>
  <c r="X7" i="55" s="1"/>
  <c r="AB7" i="55"/>
  <c r="AB6" i="55"/>
  <c r="L6" i="55"/>
  <c r="W6" i="55"/>
  <c r="V6" i="55"/>
  <c r="N6" i="55"/>
  <c r="L5" i="55"/>
  <c r="X5" i="55" s="1"/>
  <c r="N5" i="55"/>
  <c r="N4" i="55"/>
  <c r="AB3" i="55"/>
  <c r="V3" i="55"/>
  <c r="L3" i="55"/>
  <c r="AC2" i="55"/>
  <c r="AD2" i="55" s="1"/>
  <c r="N2" i="55"/>
  <c r="M2" i="55"/>
  <c r="L2" i="55"/>
  <c r="X2" i="55" s="1"/>
  <c r="C2" i="94"/>
  <c r="P2" i="94" s="1" a="1"/>
  <c r="P2" i="94" s="1"/>
  <c r="E2" i="94"/>
  <c r="F2" i="94"/>
  <c r="H2" i="94"/>
  <c r="Q2" i="94"/>
  <c r="R2" i="94"/>
  <c r="T2" i="94"/>
  <c r="X2" i="94"/>
  <c r="AB2" i="94"/>
  <c r="C3" i="94"/>
  <c r="E3" i="94"/>
  <c r="F3" i="94"/>
  <c r="H3" i="94"/>
  <c r="Q3" i="94"/>
  <c r="R3" i="94"/>
  <c r="T3" i="94"/>
  <c r="X3" i="94"/>
  <c r="AB3" i="94"/>
  <c r="UK2" i="24"/>
  <c r="VH2" i="24" s="1"/>
  <c r="UK3" i="24"/>
  <c r="Q16" i="28"/>
  <c r="R16" i="28"/>
  <c r="Q19" i="28"/>
  <c r="R19" i="28"/>
  <c r="Q20" i="28"/>
  <c r="R20" i="28"/>
  <c r="Q28" i="28"/>
  <c r="R28" i="28"/>
  <c r="Q40" i="28"/>
  <c r="R40" i="28"/>
  <c r="Q48" i="28"/>
  <c r="R48"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6" i="28"/>
  <c r="G136"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c r="F152" i="28"/>
  <c r="G152" i="28"/>
  <c r="F153" i="28"/>
  <c r="G153" i="28"/>
  <c r="F154" i="28"/>
  <c r="G154" i="28"/>
  <c r="F155" i="28"/>
  <c r="G155" i="28"/>
  <c r="F156" i="28"/>
  <c r="G156" i="28"/>
  <c r="F157" i="28"/>
  <c r="G157" i="28"/>
  <c r="F158" i="28"/>
  <c r="G158" i="28"/>
  <c r="F159" i="28"/>
  <c r="G159" i="28"/>
  <c r="F160" i="28"/>
  <c r="G160" i="28"/>
  <c r="F161" i="28"/>
  <c r="G161" i="28"/>
  <c r="F162" i="28"/>
  <c r="G162" i="28"/>
  <c r="F163" i="28"/>
  <c r="G163" i="28"/>
  <c r="F164" i="28"/>
  <c r="G164" i="28"/>
  <c r="F165" i="28"/>
  <c r="G165" i="28"/>
  <c r="F166" i="28"/>
  <c r="G166" i="28"/>
  <c r="F167" i="28"/>
  <c r="G167" i="28"/>
  <c r="F168" i="28"/>
  <c r="G168" i="28"/>
  <c r="F169" i="28"/>
  <c r="G169" i="28"/>
  <c r="F170" i="28"/>
  <c r="G170" i="28"/>
  <c r="F171" i="28"/>
  <c r="G171" i="28"/>
  <c r="F172" i="28"/>
  <c r="G172" i="28"/>
  <c r="F173" i="28"/>
  <c r="G173" i="28"/>
  <c r="F174" i="28"/>
  <c r="G174" i="28"/>
  <c r="F175" i="28"/>
  <c r="G175" i="28"/>
  <c r="F176" i="28"/>
  <c r="G176" i="28"/>
  <c r="F177" i="28"/>
  <c r="G177" i="28"/>
  <c r="F178" i="28"/>
  <c r="G178" i="28"/>
  <c r="F179" i="28"/>
  <c r="G179" i="28"/>
  <c r="F180" i="28"/>
  <c r="G180" i="28"/>
  <c r="F181" i="28"/>
  <c r="G181" i="28"/>
  <c r="F182" i="28"/>
  <c r="G182" i="28"/>
  <c r="F183" i="28"/>
  <c r="G183" i="28"/>
  <c r="F184" i="28"/>
  <c r="G184" i="28"/>
  <c r="F185" i="28"/>
  <c r="G185" i="28"/>
  <c r="F186" i="28"/>
  <c r="G186" i="28"/>
  <c r="F187" i="28"/>
  <c r="G187" i="28"/>
  <c r="F188" i="28"/>
  <c r="G188" i="28"/>
  <c r="F189" i="28"/>
  <c r="G189" i="28"/>
  <c r="F190" i="28"/>
  <c r="G190" i="28"/>
  <c r="F191" i="28"/>
  <c r="G191" i="28"/>
  <c r="F192" i="28"/>
  <c r="G192" i="28"/>
  <c r="F193" i="28"/>
  <c r="G193" i="28"/>
  <c r="F194" i="28"/>
  <c r="G194" i="28"/>
  <c r="F195" i="28"/>
  <c r="G195" i="28"/>
  <c r="F196" i="28"/>
  <c r="G196" i="28"/>
  <c r="F197" i="28"/>
  <c r="G197" i="28"/>
  <c r="F198" i="28"/>
  <c r="G198" i="28"/>
  <c r="F199" i="28"/>
  <c r="G199" i="28"/>
  <c r="F200" i="28"/>
  <c r="G200" i="28"/>
  <c r="F201" i="28"/>
  <c r="G201" i="28"/>
  <c r="F202" i="28"/>
  <c r="G202" i="28"/>
  <c r="F203" i="28"/>
  <c r="G203" i="28"/>
  <c r="F204" i="28"/>
  <c r="G204" i="28"/>
  <c r="F205" i="28"/>
  <c r="G205" i="28"/>
  <c r="F206" i="28"/>
  <c r="G206" i="28"/>
  <c r="F207" i="28"/>
  <c r="G207" i="28"/>
  <c r="F208" i="28"/>
  <c r="G208" i="28"/>
  <c r="F209" i="28"/>
  <c r="G209" i="28"/>
  <c r="F210" i="28"/>
  <c r="G210" i="28"/>
  <c r="F211" i="28"/>
  <c r="G211" i="28"/>
  <c r="F212" i="28"/>
  <c r="G212" i="28"/>
  <c r="F213" i="28"/>
  <c r="G213" i="28"/>
  <c r="F214" i="28"/>
  <c r="G214" i="28"/>
  <c r="F215" i="28"/>
  <c r="G215" i="28"/>
  <c r="F216" i="28"/>
  <c r="G216" i="28"/>
  <c r="F217" i="28"/>
  <c r="G217" i="28"/>
  <c r="F218" i="28"/>
  <c r="G218" i="28"/>
  <c r="F219" i="28"/>
  <c r="G219" i="28"/>
  <c r="F220" i="28"/>
  <c r="G220" i="28"/>
  <c r="F221" i="28"/>
  <c r="G221" i="28"/>
  <c r="F222" i="28"/>
  <c r="G222" i="28"/>
  <c r="F223" i="28"/>
  <c r="G223" i="28"/>
  <c r="F224" i="28"/>
  <c r="G224" i="28"/>
  <c r="F225" i="28"/>
  <c r="G225" i="28"/>
  <c r="F226" i="28"/>
  <c r="G226" i="28"/>
  <c r="F227" i="28"/>
  <c r="G227" i="28"/>
  <c r="F228" i="28"/>
  <c r="G228" i="28"/>
  <c r="F229" i="28"/>
  <c r="G229" i="28"/>
  <c r="F230" i="28"/>
  <c r="G230" i="28"/>
  <c r="F231" i="28"/>
  <c r="G231" i="28"/>
  <c r="F232" i="28"/>
  <c r="G232" i="28"/>
  <c r="F233" i="28"/>
  <c r="G233" i="28"/>
  <c r="F234" i="28"/>
  <c r="G234" i="28"/>
  <c r="F235" i="28"/>
  <c r="G235" i="28"/>
  <c r="F236" i="28"/>
  <c r="G236" i="28"/>
  <c r="F237" i="28"/>
  <c r="G237" i="28"/>
  <c r="F238" i="28"/>
  <c r="G238" i="28"/>
  <c r="F239" i="28"/>
  <c r="G239" i="28"/>
  <c r="F240" i="28"/>
  <c r="G240" i="28"/>
  <c r="F241" i="28"/>
  <c r="G241" i="28"/>
  <c r="F242" i="28"/>
  <c r="G242" i="28"/>
  <c r="F243" i="28"/>
  <c r="G243" i="28"/>
  <c r="F244" i="28"/>
  <c r="G244" i="28"/>
  <c r="F245" i="28"/>
  <c r="G245" i="28"/>
  <c r="F246" i="28"/>
  <c r="G246" i="28"/>
  <c r="F247" i="28"/>
  <c r="G247" i="28"/>
  <c r="F248" i="28"/>
  <c r="G248" i="28"/>
  <c r="F249" i="28"/>
  <c r="G249" i="28"/>
  <c r="F250" i="28"/>
  <c r="G250" i="28"/>
  <c r="F251" i="28"/>
  <c r="G251" i="28"/>
  <c r="F252" i="28"/>
  <c r="G252" i="28"/>
  <c r="F253" i="28"/>
  <c r="G253" i="28"/>
  <c r="F254" i="28"/>
  <c r="G254" i="28"/>
  <c r="F255" i="28"/>
  <c r="G255" i="28"/>
  <c r="F256" i="28"/>
  <c r="G256" i="28"/>
  <c r="F257" i="28"/>
  <c r="G257" i="28"/>
  <c r="F258" i="28"/>
  <c r="G258" i="28"/>
  <c r="F259" i="28"/>
  <c r="G259" i="28"/>
  <c r="F260" i="28"/>
  <c r="G260" i="28"/>
  <c r="F261" i="28"/>
  <c r="G261" i="28"/>
  <c r="F262" i="28"/>
  <c r="G262" i="28"/>
  <c r="P10" i="28"/>
  <c r="P16" i="28"/>
  <c r="P19" i="28"/>
  <c r="P20" i="28"/>
  <c r="P28" i="28"/>
  <c r="P40" i="28"/>
  <c r="P48" i="28"/>
  <c r="O10" i="28"/>
  <c r="O16" i="28"/>
  <c r="O19" i="28"/>
  <c r="O20" i="28"/>
  <c r="O28" i="28"/>
  <c r="O40" i="28"/>
  <c r="O48" i="28"/>
  <c r="B2" i="4"/>
  <c r="C2" i="4"/>
  <c r="T2" i="4" s="1" a="1"/>
  <c r="T2" i="4" s="1"/>
  <c r="D2" i="4"/>
  <c r="G2" i="4"/>
  <c r="H2" i="4"/>
  <c r="S2" i="4" s="1"/>
  <c r="I2" i="4"/>
  <c r="J2" i="4"/>
  <c r="R2" i="4"/>
  <c r="B3" i="4"/>
  <c r="C3" i="4"/>
  <c r="T3" i="4" s="1" a="1"/>
  <c r="T3" i="4" s="1"/>
  <c r="D3" i="4"/>
  <c r="G3" i="4"/>
  <c r="H3" i="4"/>
  <c r="I3" i="4"/>
  <c r="J3" i="4"/>
  <c r="R3" i="4"/>
  <c r="S3" i="4"/>
  <c r="B2" i="69"/>
  <c r="C2" i="69"/>
  <c r="D2" i="69"/>
  <c r="E2" i="69"/>
  <c r="I2" i="69" s="1"/>
  <c r="B3" i="69"/>
  <c r="Q3" i="69" s="1"/>
  <c r="C3" i="69"/>
  <c r="D3" i="69"/>
  <c r="E3" i="69"/>
  <c r="I3" i="69"/>
  <c r="B4" i="69"/>
  <c r="Q4" i="69" s="1"/>
  <c r="C4" i="69"/>
  <c r="A4" i="69" s="1"/>
  <c r="D4" i="69"/>
  <c r="E4" i="69"/>
  <c r="I4" i="69" s="1"/>
  <c r="B2" i="88"/>
  <c r="C2" i="88"/>
  <c r="D2" i="88"/>
  <c r="A2" i="88" s="1"/>
  <c r="F2" i="88"/>
  <c r="G2" i="88"/>
  <c r="S2" i="88"/>
  <c r="W2" i="88"/>
  <c r="C2" i="92"/>
  <c r="E2" i="92"/>
  <c r="A2" i="92" s="1"/>
  <c r="F2" i="92"/>
  <c r="C3" i="92"/>
  <c r="E3" i="92"/>
  <c r="B3" i="92" s="1"/>
  <c r="F3" i="92"/>
  <c r="C2" i="95"/>
  <c r="E2" i="95"/>
  <c r="A2" i="95" s="1"/>
  <c r="F2" i="95"/>
  <c r="G2" i="95"/>
  <c r="H2" i="95"/>
  <c r="I2" i="95"/>
  <c r="J2" i="95"/>
  <c r="K2" i="95"/>
  <c r="L2" i="95"/>
  <c r="M2" i="95"/>
  <c r="N2" i="95"/>
  <c r="Q2" i="95"/>
  <c r="V2" i="95"/>
  <c r="W2" i="95"/>
  <c r="X2" i="95"/>
  <c r="C3" i="95"/>
  <c r="E3" i="95"/>
  <c r="A3" i="95" s="1"/>
  <c r="F3" i="95"/>
  <c r="G3" i="95"/>
  <c r="H3" i="95"/>
  <c r="I3" i="95"/>
  <c r="J3" i="95"/>
  <c r="K3" i="95"/>
  <c r="L3" i="95"/>
  <c r="M3" i="95"/>
  <c r="N3" i="95"/>
  <c r="Q3" i="95"/>
  <c r="V3" i="95"/>
  <c r="W3" i="95"/>
  <c r="X3" i="95"/>
  <c r="A2" i="93"/>
  <c r="C2" i="93"/>
  <c r="E2" i="93"/>
  <c r="F2" i="93"/>
  <c r="B2" i="93" s="1"/>
  <c r="H2" i="93"/>
  <c r="C3" i="93"/>
  <c r="E3" i="93"/>
  <c r="A3" i="93" s="1"/>
  <c r="F3" i="93"/>
  <c r="G3" i="93" s="1"/>
  <c r="H3" i="93"/>
  <c r="B10" i="90"/>
  <c r="B11" i="90"/>
  <c r="B2" i="59"/>
  <c r="C2" i="59"/>
  <c r="F2" i="59"/>
  <c r="J2" i="59" s="1" a="1"/>
  <c r="J2" i="59" s="1"/>
  <c r="G2" i="59"/>
  <c r="C2" i="102"/>
  <c r="E2" i="102"/>
  <c r="A2" i="102" s="1"/>
  <c r="F2" i="102"/>
  <c r="G2" i="102"/>
  <c r="C3" i="102"/>
  <c r="E3" i="102"/>
  <c r="A3" i="102" s="1"/>
  <c r="F3" i="102"/>
  <c r="G3" i="102"/>
  <c r="B2" i="87"/>
  <c r="N2" i="87" s="1"/>
  <c r="C2" i="87"/>
  <c r="D2" i="87"/>
  <c r="E2" i="87" s="1"/>
  <c r="B2" i="50"/>
  <c r="C2" i="50" s="1"/>
  <c r="D2" i="50"/>
  <c r="A2" i="50" s="1"/>
  <c r="E2" i="50"/>
  <c r="F2" i="50"/>
  <c r="G2" i="50"/>
  <c r="Q2" i="50"/>
  <c r="BV37" i="63"/>
  <c r="BV46" i="63"/>
  <c r="BV35" i="63"/>
  <c r="BV39" i="63"/>
  <c r="BV34" i="63"/>
  <c r="BV36" i="63"/>
  <c r="BV38" i="63"/>
  <c r="BV40" i="63"/>
  <c r="BV45" i="63"/>
  <c r="BV48" i="63"/>
  <c r="BV47" i="63"/>
  <c r="BV43" i="63"/>
  <c r="BV44" i="63"/>
  <c r="BV26" i="63"/>
  <c r="BV27" i="63"/>
  <c r="BV31" i="63"/>
  <c r="BV30" i="63"/>
  <c r="BV28" i="63"/>
  <c r="BV29" i="63"/>
  <c r="BV51" i="63"/>
  <c r="BV59" i="63"/>
  <c r="BV58" i="63"/>
  <c r="BV57" i="63"/>
  <c r="BV56" i="63"/>
  <c r="BV52" i="63"/>
  <c r="BV54" i="63"/>
  <c r="BV53" i="63"/>
  <c r="S2" i="24"/>
  <c r="HH2" i="24"/>
  <c r="HI2" i="24"/>
  <c r="HK2" i="24"/>
  <c r="HL2" i="24"/>
  <c r="IV2" i="24"/>
  <c r="IX2" i="24"/>
  <c r="IY2" i="24"/>
  <c r="JA2" i="24"/>
  <c r="QZ2" i="24"/>
  <c r="SL2" i="24" a="1"/>
  <c r="SL2" i="24" s="1"/>
  <c r="SM2" i="24" a="1"/>
  <c r="SM2" i="24" s="1"/>
  <c r="SN2" i="24" a="1"/>
  <c r="SN2" i="24" s="1"/>
  <c r="SO2" i="24" a="1"/>
  <c r="SO2" i="24" s="1"/>
  <c r="SP2" i="24" a="1"/>
  <c r="SP2" i="24" s="1"/>
  <c r="SQ2" i="24" a="1"/>
  <c r="SQ2" i="24" s="1"/>
  <c r="SR2" i="24" a="1"/>
  <c r="SR2" i="24" s="1"/>
  <c r="SS2" i="24" a="1"/>
  <c r="SS2" i="24" s="1"/>
  <c r="ST2" i="24" a="1"/>
  <c r="ST2" i="24" s="1"/>
  <c r="UB2" i="24"/>
  <c r="UJ2" i="24"/>
  <c r="VF2" i="24"/>
  <c r="WT2" i="24"/>
  <c r="S3" i="24"/>
  <c r="HH3" i="24"/>
  <c r="HI3" i="24"/>
  <c r="HK3" i="24"/>
  <c r="HL3" i="24"/>
  <c r="IV3" i="24"/>
  <c r="IX3" i="24"/>
  <c r="IY3" i="24"/>
  <c r="JA3" i="24"/>
  <c r="QZ3" i="24"/>
  <c r="SL3" i="24" a="1"/>
  <c r="SL3" i="24" s="1"/>
  <c r="SM3" i="24" a="1"/>
  <c r="SM3" i="24" s="1"/>
  <c r="SN3" i="24" a="1"/>
  <c r="SN3" i="24" s="1"/>
  <c r="SO3" i="24" a="1"/>
  <c r="SO3" i="24" s="1"/>
  <c r="SP3" i="24" a="1"/>
  <c r="SP3" i="24" s="1"/>
  <c r="SQ3" i="24" a="1"/>
  <c r="SQ3" i="24" s="1"/>
  <c r="SR3" i="24" a="1"/>
  <c r="SR3" i="24" s="1"/>
  <c r="SS3" i="24" a="1"/>
  <c r="SS3" i="24" s="1"/>
  <c r="ST3" i="24" a="1"/>
  <c r="ST3" i="24" s="1"/>
  <c r="UB3" i="24"/>
  <c r="UJ3" i="24"/>
  <c r="VH3" i="24"/>
  <c r="VF3" i="24"/>
  <c r="WT3" i="24"/>
  <c r="F2" i="91"/>
  <c r="G2" i="91" s="1"/>
  <c r="C2" i="91" a="1"/>
  <c r="C2" i="91" s="1"/>
  <c r="K3" i="90"/>
  <c r="K4" i="90"/>
  <c r="K5" i="90"/>
  <c r="K6" i="90"/>
  <c r="K2" i="90"/>
  <c r="J3" i="90"/>
  <c r="J4" i="90"/>
  <c r="J5" i="90"/>
  <c r="J6" i="90"/>
  <c r="J2" i="90"/>
  <c r="J28" i="13" a="1"/>
  <c r="J28" i="13" s="1"/>
  <c r="J29" i="13" a="1"/>
  <c r="J29" i="13" s="1"/>
  <c r="J30" i="13" a="1"/>
  <c r="J30" i="13" s="1"/>
  <c r="J31" i="13" a="1"/>
  <c r="J31" i="13" s="1"/>
  <c r="J32" i="13" a="1"/>
  <c r="J32" i="13" s="1"/>
  <c r="J33" i="13" a="1"/>
  <c r="J33" i="13" s="1"/>
  <c r="J34" i="13" a="1"/>
  <c r="J34" i="13" s="1"/>
  <c r="J35" i="13" a="1"/>
  <c r="J35" i="13" s="1"/>
  <c r="J36" i="13" a="1"/>
  <c r="J36" i="13" s="1"/>
  <c r="J37" i="13" a="1"/>
  <c r="J37" i="13" s="1"/>
  <c r="I28" i="13" a="1"/>
  <c r="I28" i="13" s="1"/>
  <c r="I29" i="13" a="1"/>
  <c r="I29" i="13" s="1"/>
  <c r="I30" i="13" a="1"/>
  <c r="I30" i="13" s="1"/>
  <c r="I31" i="13" a="1"/>
  <c r="I31" i="13" s="1"/>
  <c r="I32" i="13" a="1"/>
  <c r="I32" i="13" s="1"/>
  <c r="I33" i="13" a="1"/>
  <c r="I33" i="13" s="1"/>
  <c r="I34" i="13" a="1"/>
  <c r="I34" i="13"/>
  <c r="I35" i="13" a="1"/>
  <c r="I35" i="13" s="1"/>
  <c r="I36" i="13" a="1"/>
  <c r="I36" i="13" s="1"/>
  <c r="I37" i="13" a="1"/>
  <c r="I37" i="13" s="1"/>
  <c r="C3" i="90"/>
  <c r="C4" i="90"/>
  <c r="C5" i="90"/>
  <c r="C6" i="90"/>
  <c r="C7" i="90"/>
  <c r="C8" i="90"/>
  <c r="C9" i="90"/>
  <c r="C10" i="90"/>
  <c r="C11" i="90"/>
  <c r="C2" i="90"/>
  <c r="B3" i="90"/>
  <c r="B4" i="90"/>
  <c r="B5" i="90"/>
  <c r="B6" i="90"/>
  <c r="B7" i="90"/>
  <c r="B8" i="90"/>
  <c r="B9" i="90"/>
  <c r="B2" i="90"/>
  <c r="J42" i="13" a="1"/>
  <c r="J42" i="13" s="1"/>
  <c r="I42" i="13" a="1"/>
  <c r="I42" i="13" s="1"/>
  <c r="A2" i="91"/>
  <c r="B2" i="91"/>
  <c r="D2" i="91" s="1"/>
  <c r="E2" i="91"/>
  <c r="AK23" i="63"/>
  <c r="AJ12" i="63"/>
  <c r="AI12" i="63"/>
  <c r="AK12" i="63" s="1"/>
  <c r="W49" i="57" l="1" a="1"/>
  <c r="W49" i="57" s="1"/>
  <c r="X49" i="57" s="1"/>
  <c r="W63" i="57" a="1"/>
  <c r="W63" i="57" s="1"/>
  <c r="X63" i="57" s="1"/>
  <c r="W115" i="57" a="1"/>
  <c r="W115" i="57" s="1"/>
  <c r="X115" i="57" s="1"/>
  <c r="W123" i="57" a="1"/>
  <c r="W123" i="57" s="1"/>
  <c r="X123" i="57" s="1"/>
  <c r="W25" i="57" a="1"/>
  <c r="W25" i="57" s="1"/>
  <c r="X25" i="57" s="1"/>
  <c r="W33" i="57" a="1"/>
  <c r="W33" i="57" s="1"/>
  <c r="X33" i="57" s="1"/>
  <c r="W55" i="57" a="1"/>
  <c r="W55" i="57" s="1"/>
  <c r="X55" i="57" s="1"/>
  <c r="W113" i="57" a="1"/>
  <c r="W113" i="57" s="1"/>
  <c r="X113" i="57" s="1"/>
  <c r="W89" i="57" a="1"/>
  <c r="W89" i="57" s="1"/>
  <c r="X89" i="57" s="1"/>
  <c r="W121" i="57" a="1"/>
  <c r="W121" i="57" s="1"/>
  <c r="X121" i="57" s="1"/>
  <c r="W103" i="57" a="1"/>
  <c r="W103" i="57" s="1"/>
  <c r="X103" i="57" s="1"/>
  <c r="W136" i="57" a="1"/>
  <c r="W136" i="57" s="1"/>
  <c r="X136" i="57" s="1"/>
  <c r="W17" i="57" a="1"/>
  <c r="W17" i="57" s="1"/>
  <c r="X17" i="57" s="1"/>
  <c r="W39" i="57" a="1"/>
  <c r="W39" i="57" s="1"/>
  <c r="X39" i="57" s="1"/>
  <c r="W81" i="57" a="1"/>
  <c r="W81" i="57" s="1"/>
  <c r="X81" i="57" s="1"/>
  <c r="W87" i="57" a="1"/>
  <c r="W87" i="57" s="1"/>
  <c r="X87" i="57" s="1"/>
  <c r="W95" i="57" a="1"/>
  <c r="W95" i="57" s="1"/>
  <c r="X95" i="57" s="1"/>
  <c r="W101" i="57" a="1"/>
  <c r="W101" i="57" s="1"/>
  <c r="X101" i="57" s="1"/>
  <c r="W9" i="57" a="1"/>
  <c r="W9" i="57" s="1"/>
  <c r="X9" i="57" s="1"/>
  <c r="W73" i="57" a="1"/>
  <c r="W73" i="57" s="1"/>
  <c r="X73" i="57" s="1"/>
  <c r="W93" i="57" a="1"/>
  <c r="W93" i="57" s="1"/>
  <c r="X93" i="57" s="1"/>
  <c r="W109" i="57" a="1"/>
  <c r="W109" i="57" s="1"/>
  <c r="X109" i="57" s="1"/>
  <c r="W65" i="57" a="1"/>
  <c r="W65" i="57" s="1"/>
  <c r="X65" i="57" s="1"/>
  <c r="W79" i="57" a="1"/>
  <c r="W79" i="57" s="1"/>
  <c r="X79" i="57" s="1"/>
  <c r="W141" i="57" a="1"/>
  <c r="W141" i="57" s="1"/>
  <c r="X141" i="57" s="1"/>
  <c r="W57" i="57" a="1"/>
  <c r="W57" i="57" s="1"/>
  <c r="X57" i="57" s="1"/>
  <c r="W71" i="57" a="1"/>
  <c r="W71" i="57" s="1"/>
  <c r="X71" i="57" s="1"/>
  <c r="W107" i="57" a="1"/>
  <c r="W107" i="57" s="1"/>
  <c r="X107" i="57" s="1"/>
  <c r="W117" i="57" a="1"/>
  <c r="W117" i="57" s="1"/>
  <c r="X117" i="57" s="1"/>
  <c r="W125" i="57" a="1"/>
  <c r="W125" i="57" s="1"/>
  <c r="X125" i="57" s="1"/>
  <c r="N7" i="57"/>
  <c r="Q7" i="57" s="1"/>
  <c r="N15" i="57"/>
  <c r="Q15" i="57" s="1"/>
  <c r="N23" i="57"/>
  <c r="Q23" i="57" s="1"/>
  <c r="N31" i="57"/>
  <c r="Q31" i="57" s="1"/>
  <c r="N47" i="57"/>
  <c r="Q47" i="57" s="1"/>
  <c r="AA137" i="57"/>
  <c r="N137" i="57"/>
  <c r="Q137" i="57" s="1"/>
  <c r="W144" i="57" a="1"/>
  <c r="W144" i="57" s="1"/>
  <c r="X144" i="57" s="1"/>
  <c r="W154" i="57" a="1"/>
  <c r="W154" i="57" s="1"/>
  <c r="X154" i="57" s="1"/>
  <c r="AA169" i="57"/>
  <c r="N169" i="57"/>
  <c r="Q169" i="57" s="1"/>
  <c r="AA265" i="57"/>
  <c r="N265" i="57"/>
  <c r="Q265" i="57" s="1"/>
  <c r="N46" i="57"/>
  <c r="Q46" i="57" s="1"/>
  <c r="N54" i="57"/>
  <c r="Q54" i="57" s="1"/>
  <c r="N62" i="57"/>
  <c r="Q62" i="57" s="1"/>
  <c r="N70" i="57"/>
  <c r="Q70" i="57" s="1"/>
  <c r="N78" i="57"/>
  <c r="Q78" i="57" s="1"/>
  <c r="N94" i="57"/>
  <c r="Q94" i="57" s="1"/>
  <c r="N102" i="57"/>
  <c r="Q102" i="57" s="1"/>
  <c r="N110" i="57"/>
  <c r="Q110" i="57" s="1"/>
  <c r="N129" i="57"/>
  <c r="Q129" i="57" s="1"/>
  <c r="N133" i="57"/>
  <c r="Q133" i="57" s="1"/>
  <c r="W178" i="57" a="1"/>
  <c r="W178" i="57" s="1"/>
  <c r="X178" i="57" s="1"/>
  <c r="N13" i="57"/>
  <c r="W30" i="57" a="1"/>
  <c r="W30" i="57" s="1"/>
  <c r="X30" i="57" s="1"/>
  <c r="W38" i="57" a="1"/>
  <c r="W38" i="57" s="1"/>
  <c r="X38" i="57" s="1"/>
  <c r="AA149" i="57"/>
  <c r="N149" i="57"/>
  <c r="Q149" i="57" s="1"/>
  <c r="AA173" i="57"/>
  <c r="N173" i="57"/>
  <c r="Q173" i="57" s="1"/>
  <c r="Q180" i="57"/>
  <c r="AA246" i="57"/>
  <c r="N246" i="57"/>
  <c r="Q246" i="57" s="1"/>
  <c r="N4" i="57"/>
  <c r="Q4" i="57" s="1"/>
  <c r="N20" i="57"/>
  <c r="Q20" i="57" s="1"/>
  <c r="N28" i="57"/>
  <c r="Q28" i="57" s="1"/>
  <c r="N36" i="57"/>
  <c r="Q36" i="57" s="1"/>
  <c r="N44" i="57"/>
  <c r="Q44" i="57" s="1"/>
  <c r="N52" i="57"/>
  <c r="Q52" i="57" s="1"/>
  <c r="N60" i="57"/>
  <c r="Q60" i="57" s="1"/>
  <c r="N68" i="57"/>
  <c r="Q68" i="57" s="1"/>
  <c r="N76" i="57"/>
  <c r="Q76" i="57" s="1"/>
  <c r="N84" i="57"/>
  <c r="Q84" i="57" s="1"/>
  <c r="N116" i="57"/>
  <c r="Q116" i="57" s="1"/>
  <c r="N124" i="57"/>
  <c r="Q124" i="57" s="1"/>
  <c r="AA161" i="57"/>
  <c r="N161" i="57"/>
  <c r="Q161" i="57" s="1"/>
  <c r="W170" i="57" a="1"/>
  <c r="W170" i="57" s="1"/>
  <c r="X170" i="57" s="1"/>
  <c r="W208" i="57" a="1"/>
  <c r="W208" i="57" s="1"/>
  <c r="X208" i="57" s="1"/>
  <c r="AA270" i="57"/>
  <c r="N270" i="57"/>
  <c r="Q270" i="57" s="1"/>
  <c r="AA289" i="57"/>
  <c r="N289" i="57"/>
  <c r="Q289" i="57" s="1"/>
  <c r="N10" i="57"/>
  <c r="Q10" i="57" s="1"/>
  <c r="N18" i="57"/>
  <c r="Q18" i="57" s="1"/>
  <c r="N26" i="57"/>
  <c r="Q26" i="57" s="1"/>
  <c r="N34" i="57"/>
  <c r="Q34" i="57" s="1"/>
  <c r="N42" i="57"/>
  <c r="Q42" i="57" s="1"/>
  <c r="N50" i="57"/>
  <c r="Q50" i="57" s="1"/>
  <c r="N58" i="57"/>
  <c r="Q58" i="57" s="1"/>
  <c r="N66" i="57"/>
  <c r="Q66" i="57" s="1"/>
  <c r="N74" i="57"/>
  <c r="Q74" i="57" s="1"/>
  <c r="N82" i="57"/>
  <c r="Q82" i="57" s="1"/>
  <c r="N90" i="57"/>
  <c r="Q90" i="57" s="1"/>
  <c r="N98" i="57"/>
  <c r="Q98" i="57" s="1"/>
  <c r="N106" i="57"/>
  <c r="Q106" i="57" s="1"/>
  <c r="N114" i="57"/>
  <c r="Q114" i="57" s="1"/>
  <c r="AA128" i="57"/>
  <c r="N128" i="57"/>
  <c r="Q128" i="57" s="1"/>
  <c r="W150" i="57" a="1"/>
  <c r="W150" i="57" s="1"/>
  <c r="X150" i="57" s="1"/>
  <c r="AA153" i="57"/>
  <c r="N153" i="57"/>
  <c r="Q153" i="57" s="1"/>
  <c r="AA204" i="57"/>
  <c r="N204" i="57"/>
  <c r="Q204" i="57" s="1"/>
  <c r="W250" i="57" a="1"/>
  <c r="W250" i="57" s="1"/>
  <c r="X250" i="57" s="1"/>
  <c r="AA140" i="57"/>
  <c r="N140" i="57"/>
  <c r="Q140" i="57" s="1"/>
  <c r="AA145" i="57"/>
  <c r="N145" i="57"/>
  <c r="Q145" i="57" s="1"/>
  <c r="W162" i="57" a="1"/>
  <c r="W162" i="57" s="1"/>
  <c r="X162" i="57" s="1"/>
  <c r="AA177" i="57"/>
  <c r="N177" i="57"/>
  <c r="Q177" i="57" s="1"/>
  <c r="N8" i="57"/>
  <c r="Q8" i="57" s="1"/>
  <c r="N96" i="57"/>
  <c r="Q96" i="57" s="1"/>
  <c r="N104" i="57"/>
  <c r="Q104" i="57" s="1"/>
  <c r="N112" i="57"/>
  <c r="Q112" i="57" s="1"/>
  <c r="N120" i="57"/>
  <c r="Q120" i="57" s="1"/>
  <c r="Q131" i="57"/>
  <c r="AA132" i="57"/>
  <c r="N132" i="57"/>
  <c r="Q132" i="57" s="1"/>
  <c r="W167" i="57" a="1"/>
  <c r="W167" i="57" s="1"/>
  <c r="X167" i="57" s="1"/>
  <c r="AA276" i="57"/>
  <c r="N276" i="57"/>
  <c r="Q276" i="57" s="1"/>
  <c r="W300" i="57" a="1"/>
  <c r="W300" i="57" s="1"/>
  <c r="X300" i="57" s="1"/>
  <c r="N160" i="57"/>
  <c r="Q160" i="57" s="1"/>
  <c r="N176" i="57"/>
  <c r="Q176" i="57" s="1"/>
  <c r="N184" i="57"/>
  <c r="Q184" i="57" s="1"/>
  <c r="N151" i="57"/>
  <c r="Q151" i="57" s="1"/>
  <c r="N183" i="57"/>
  <c r="Q183" i="57" s="1"/>
  <c r="AA220" i="57"/>
  <c r="N220" i="57"/>
  <c r="Q220" i="57" s="1"/>
  <c r="AA207" i="57"/>
  <c r="N207" i="57"/>
  <c r="Q207" i="57" s="1"/>
  <c r="AA212" i="57"/>
  <c r="N212" i="57"/>
  <c r="Q212" i="57" s="1"/>
  <c r="W290" i="57" a="1"/>
  <c r="W290" i="57" s="1"/>
  <c r="X290" i="57" s="1"/>
  <c r="N148" i="57"/>
  <c r="Q148" i="57" s="1"/>
  <c r="AA188" i="57"/>
  <c r="N188" i="57"/>
  <c r="Q188" i="57" s="1"/>
  <c r="AA252" i="57"/>
  <c r="N252" i="57"/>
  <c r="Q252" i="57" s="1"/>
  <c r="Q185" i="57"/>
  <c r="AA249" i="57"/>
  <c r="N249" i="57"/>
  <c r="Q249" i="57" s="1"/>
  <c r="Q235" i="57"/>
  <c r="G19" i="57"/>
  <c r="M19" i="57"/>
  <c r="L19" i="57"/>
  <c r="C19" i="57" s="1"/>
  <c r="N206" i="57"/>
  <c r="Q206" i="57" s="1"/>
  <c r="N214" i="57"/>
  <c r="Q214" i="57" s="1"/>
  <c r="Q239" i="57"/>
  <c r="N242" i="57"/>
  <c r="Q242" i="57" s="1"/>
  <c r="Q267" i="57"/>
  <c r="AA273" i="57"/>
  <c r="N273" i="57"/>
  <c r="Q273" i="57" s="1"/>
  <c r="Q291" i="57"/>
  <c r="AA236" i="57"/>
  <c r="N236" i="57"/>
  <c r="Q236" i="57" s="1"/>
  <c r="AA238" i="57"/>
  <c r="N238" i="57"/>
  <c r="Q238" i="57" s="1"/>
  <c r="AA268" i="57"/>
  <c r="N268" i="57"/>
  <c r="Q268" i="57" s="1"/>
  <c r="AA292" i="57"/>
  <c r="N292" i="57"/>
  <c r="Q292" i="57" s="1"/>
  <c r="Q243" i="57"/>
  <c r="N186" i="57"/>
  <c r="Q186" i="57" s="1"/>
  <c r="N210" i="57"/>
  <c r="Q210" i="57" s="1"/>
  <c r="N218" i="57"/>
  <c r="Q218" i="57" s="1"/>
  <c r="N226" i="57"/>
  <c r="Q226" i="57" s="1"/>
  <c r="AA241" i="57"/>
  <c r="N241" i="57"/>
  <c r="Q241" i="57" s="1"/>
  <c r="Q271" i="57"/>
  <c r="N193" i="57"/>
  <c r="Q193" i="57" s="1"/>
  <c r="N201" i="57"/>
  <c r="Q201" i="57" s="1"/>
  <c r="N225" i="57"/>
  <c r="Q225" i="57" s="1"/>
  <c r="AA244" i="57"/>
  <c r="N244" i="57"/>
  <c r="Q244" i="57" s="1"/>
  <c r="AA257" i="57"/>
  <c r="N257" i="57"/>
  <c r="Q257" i="57" s="1"/>
  <c r="AA278" i="57"/>
  <c r="N278" i="57"/>
  <c r="Q278" i="57" s="1"/>
  <c r="AA281" i="57"/>
  <c r="N281" i="57"/>
  <c r="Q281" i="57" s="1"/>
  <c r="M5" i="57"/>
  <c r="L5" i="57"/>
  <c r="C5" i="57" s="1"/>
  <c r="G2" i="57"/>
  <c r="L2" i="57"/>
  <c r="L12" i="57"/>
  <c r="C12" i="57" s="1"/>
  <c r="N240" i="57"/>
  <c r="Q240" i="57" s="1"/>
  <c r="N272" i="57"/>
  <c r="Q272" i="57" s="1"/>
  <c r="Q299" i="57"/>
  <c r="AE2" i="57"/>
  <c r="K2" i="57"/>
  <c r="H2" i="57"/>
  <c r="S2" i="57" s="1"/>
  <c r="M2" i="57"/>
  <c r="L11" i="57"/>
  <c r="M11" i="57"/>
  <c r="D2" i="57"/>
  <c r="O2" i="57" s="1"/>
  <c r="AC2" i="57"/>
  <c r="AB2" i="57" s="1"/>
  <c r="L3" i="57"/>
  <c r="W3" i="57" s="1" a="1"/>
  <c r="W3" i="57" s="1"/>
  <c r="X3" i="57" s="1"/>
  <c r="G5" i="57"/>
  <c r="G12" i="57"/>
  <c r="F2" i="57"/>
  <c r="G13" i="57"/>
  <c r="M13" i="57"/>
  <c r="L13" i="57"/>
  <c r="M16" i="57"/>
  <c r="L16" i="57"/>
  <c r="C16" i="57" s="1"/>
  <c r="G16" i="57"/>
  <c r="G24" i="57"/>
  <c r="L27" i="57"/>
  <c r="G32" i="57"/>
  <c r="L35" i="57"/>
  <c r="G40" i="57"/>
  <c r="L43" i="57"/>
  <c r="G48" i="57"/>
  <c r="L51" i="57"/>
  <c r="G56" i="57"/>
  <c r="L59" i="57"/>
  <c r="G64" i="57"/>
  <c r="L67" i="57"/>
  <c r="G72" i="57"/>
  <c r="L75" i="57"/>
  <c r="G80" i="57"/>
  <c r="L83" i="57"/>
  <c r="G88" i="57"/>
  <c r="L91" i="57"/>
  <c r="M92" i="57"/>
  <c r="L97" i="57"/>
  <c r="M27" i="57"/>
  <c r="M35" i="57"/>
  <c r="G41" i="57"/>
  <c r="M43" i="57"/>
  <c r="M59" i="57"/>
  <c r="M91" i="57"/>
  <c r="L100" i="57"/>
  <c r="G111" i="57"/>
  <c r="L111" i="57"/>
  <c r="C111" i="57" s="1"/>
  <c r="M111" i="57"/>
  <c r="M118" i="57"/>
  <c r="L118" i="57"/>
  <c r="F3" i="57"/>
  <c r="L21" i="57"/>
  <c r="L29" i="57"/>
  <c r="L37" i="57"/>
  <c r="L45" i="57"/>
  <c r="L53" i="57"/>
  <c r="L61" i="57"/>
  <c r="L69" i="57"/>
  <c r="L77" i="57"/>
  <c r="L85" i="57"/>
  <c r="L99" i="57"/>
  <c r="M100" i="57"/>
  <c r="L105" i="57"/>
  <c r="L6" i="57"/>
  <c r="L14" i="57"/>
  <c r="M21" i="57"/>
  <c r="L22" i="57"/>
  <c r="M29" i="57"/>
  <c r="M37" i="57"/>
  <c r="M45" i="57"/>
  <c r="M53" i="57"/>
  <c r="M61" i="57"/>
  <c r="M69" i="57"/>
  <c r="M77" i="57"/>
  <c r="M85" i="57"/>
  <c r="L86" i="57"/>
  <c r="M99" i="57"/>
  <c r="L108" i="57"/>
  <c r="L24" i="57"/>
  <c r="C24" i="57" s="1"/>
  <c r="L32" i="57"/>
  <c r="C32" i="57" s="1"/>
  <c r="L40" i="57"/>
  <c r="C40" i="57" s="1"/>
  <c r="L48" i="57"/>
  <c r="C48" i="57" s="1"/>
  <c r="L56" i="57"/>
  <c r="C56" i="57" s="1"/>
  <c r="L64" i="57"/>
  <c r="C64" i="57" s="1"/>
  <c r="L72" i="57"/>
  <c r="C72" i="57" s="1"/>
  <c r="M79" i="57"/>
  <c r="L80" i="57"/>
  <c r="C80" i="57" s="1"/>
  <c r="L88" i="57"/>
  <c r="C88" i="57" s="1"/>
  <c r="M107" i="57"/>
  <c r="M130" i="57"/>
  <c r="L130" i="57"/>
  <c r="C130" i="57" s="1"/>
  <c r="G130" i="57"/>
  <c r="J3" i="57"/>
  <c r="T3" i="57" s="1"/>
  <c r="G110" i="57"/>
  <c r="M122" i="57"/>
  <c r="L122" i="57"/>
  <c r="C122" i="57" s="1"/>
  <c r="G122" i="57"/>
  <c r="L92" i="57"/>
  <c r="G138" i="57"/>
  <c r="G146" i="57"/>
  <c r="G164" i="57"/>
  <c r="G165" i="57"/>
  <c r="G190" i="57"/>
  <c r="L190" i="57"/>
  <c r="C190" i="57" s="1"/>
  <c r="M190" i="57"/>
  <c r="L192" i="57"/>
  <c r="C192" i="57" s="1"/>
  <c r="G192" i="57"/>
  <c r="M192" i="57"/>
  <c r="L232" i="57"/>
  <c r="M232" i="57"/>
  <c r="G251" i="57"/>
  <c r="L251" i="57"/>
  <c r="C251" i="57" s="1"/>
  <c r="M251" i="57"/>
  <c r="M255" i="57"/>
  <c r="G255" i="57"/>
  <c r="L255" i="57"/>
  <c r="C255" i="57" s="1"/>
  <c r="L126" i="57"/>
  <c r="L134" i="57"/>
  <c r="L142" i="57"/>
  <c r="M150" i="57"/>
  <c r="L155" i="57"/>
  <c r="L156" i="57"/>
  <c r="L157" i="57"/>
  <c r="L171" i="57"/>
  <c r="M177" i="57"/>
  <c r="M199" i="57"/>
  <c r="L199" i="57"/>
  <c r="C199" i="57" s="1"/>
  <c r="M227" i="57"/>
  <c r="L227" i="57"/>
  <c r="C227" i="57" s="1"/>
  <c r="M262" i="57"/>
  <c r="L262" i="57"/>
  <c r="C262" i="57" s="1"/>
  <c r="M279" i="57"/>
  <c r="L279" i="57"/>
  <c r="C279" i="57" s="1"/>
  <c r="L119" i="57"/>
  <c r="G124" i="57"/>
  <c r="L127" i="57"/>
  <c r="L135" i="57"/>
  <c r="L143" i="57"/>
  <c r="L152" i="57"/>
  <c r="C152" i="57" s="1"/>
  <c r="M153" i="57"/>
  <c r="M155" i="57"/>
  <c r="L168" i="57"/>
  <c r="C168" i="57" s="1"/>
  <c r="M169" i="57"/>
  <c r="M171" i="57"/>
  <c r="G214" i="57"/>
  <c r="L216" i="57"/>
  <c r="M216" i="57"/>
  <c r="G222" i="57"/>
  <c r="L222" i="57"/>
  <c r="C222" i="57" s="1"/>
  <c r="M222" i="57"/>
  <c r="L224" i="57"/>
  <c r="C224" i="57" s="1"/>
  <c r="G224" i="57"/>
  <c r="M224" i="57"/>
  <c r="G243" i="57"/>
  <c r="M275" i="57"/>
  <c r="L166" i="57"/>
  <c r="C166" i="57" s="1"/>
  <c r="G166" i="57"/>
  <c r="M166" i="57"/>
  <c r="M174" i="57"/>
  <c r="L174" i="57"/>
  <c r="C174" i="57" s="1"/>
  <c r="G174" i="57"/>
  <c r="G185" i="57"/>
  <c r="M231" i="57"/>
  <c r="L231" i="57"/>
  <c r="L264" i="57"/>
  <c r="C264" i="57" s="1"/>
  <c r="M264" i="57"/>
  <c r="G177" i="57"/>
  <c r="G187" i="57"/>
  <c r="L187" i="57"/>
  <c r="C187" i="57" s="1"/>
  <c r="M187" i="57"/>
  <c r="M191" i="57"/>
  <c r="G191" i="57"/>
  <c r="L191" i="57"/>
  <c r="C191" i="57" s="1"/>
  <c r="M198" i="57"/>
  <c r="L198" i="57"/>
  <c r="M215" i="57"/>
  <c r="L215" i="57"/>
  <c r="L248" i="57"/>
  <c r="M248" i="57"/>
  <c r="G254" i="57"/>
  <c r="L254" i="57"/>
  <c r="C254" i="57" s="1"/>
  <c r="M254" i="57"/>
  <c r="L256" i="57"/>
  <c r="C256" i="57" s="1"/>
  <c r="G256" i="57"/>
  <c r="M256" i="57"/>
  <c r="M259" i="57"/>
  <c r="L259" i="57"/>
  <c r="M278" i="57"/>
  <c r="M121" i="57"/>
  <c r="M129" i="57"/>
  <c r="M137" i="57"/>
  <c r="L138" i="57"/>
  <c r="C138" i="57" s="1"/>
  <c r="M145" i="57"/>
  <c r="L146" i="57"/>
  <c r="C146" i="57" s="1"/>
  <c r="G152" i="57"/>
  <c r="G153" i="57"/>
  <c r="L163" i="57"/>
  <c r="L164" i="57"/>
  <c r="C164" i="57" s="1"/>
  <c r="L165" i="57"/>
  <c r="C165" i="57" s="1"/>
  <c r="G168" i="57"/>
  <c r="G169" i="57"/>
  <c r="G199" i="57"/>
  <c r="M211" i="57"/>
  <c r="G227" i="57"/>
  <c r="G262" i="57"/>
  <c r="G275" i="57"/>
  <c r="G279" i="57"/>
  <c r="G179" i="57"/>
  <c r="L179" i="57"/>
  <c r="C179" i="57" s="1"/>
  <c r="M179" i="57"/>
  <c r="L200" i="57"/>
  <c r="M200" i="57"/>
  <c r="G219" i="57"/>
  <c r="L219" i="57"/>
  <c r="C219" i="57" s="1"/>
  <c r="M219" i="57"/>
  <c r="M223" i="57"/>
  <c r="G223" i="57"/>
  <c r="L223" i="57"/>
  <c r="C223" i="57" s="1"/>
  <c r="M230" i="57"/>
  <c r="L230" i="57"/>
  <c r="M247" i="57"/>
  <c r="L247" i="57"/>
  <c r="M263" i="57"/>
  <c r="L263" i="57"/>
  <c r="L158" i="57"/>
  <c r="C158" i="57" s="1"/>
  <c r="G158" i="57"/>
  <c r="M158" i="57"/>
  <c r="L172" i="57"/>
  <c r="M181" i="57"/>
  <c r="L181" i="57"/>
  <c r="M195" i="57"/>
  <c r="L195" i="57"/>
  <c r="G264" i="57"/>
  <c r="G278" i="57"/>
  <c r="M280" i="57"/>
  <c r="L280" i="57"/>
  <c r="G182" i="57"/>
  <c r="G196" i="57"/>
  <c r="G202" i="57"/>
  <c r="L213" i="57"/>
  <c r="G228" i="57"/>
  <c r="G234" i="57"/>
  <c r="L245" i="57"/>
  <c r="G260" i="57"/>
  <c r="G266" i="57"/>
  <c r="L277" i="57"/>
  <c r="G285" i="57"/>
  <c r="M285" i="57"/>
  <c r="L285" i="57"/>
  <c r="C285" i="57" s="1"/>
  <c r="L189" i="57"/>
  <c r="L221" i="57"/>
  <c r="L253" i="57"/>
  <c r="M180" i="57"/>
  <c r="M188" i="57"/>
  <c r="M194" i="57"/>
  <c r="L197" i="57"/>
  <c r="M220" i="57"/>
  <c r="M226" i="57"/>
  <c r="L229" i="57"/>
  <c r="M252" i="57"/>
  <c r="L261" i="57"/>
  <c r="G284" i="57"/>
  <c r="M284" i="57"/>
  <c r="L284" i="57"/>
  <c r="C284" i="57" s="1"/>
  <c r="L182" i="57"/>
  <c r="C182" i="57" s="1"/>
  <c r="L196" i="57"/>
  <c r="C196" i="57" s="1"/>
  <c r="M197" i="57"/>
  <c r="L202" i="57"/>
  <c r="C202" i="57" s="1"/>
  <c r="L228" i="57"/>
  <c r="C228" i="57" s="1"/>
  <c r="M229" i="57"/>
  <c r="L234" i="57"/>
  <c r="C234" i="57" s="1"/>
  <c r="L260" i="57"/>
  <c r="C260" i="57" s="1"/>
  <c r="M261" i="57"/>
  <c r="L266" i="57"/>
  <c r="C266" i="57" s="1"/>
  <c r="L205" i="57"/>
  <c r="L237" i="57"/>
  <c r="L269" i="57"/>
  <c r="L283" i="57"/>
  <c r="M292" i="57"/>
  <c r="L293" i="57"/>
  <c r="M300" i="57"/>
  <c r="L286" i="57"/>
  <c r="M293" i="57"/>
  <c r="L294" i="57"/>
  <c r="G299" i="57"/>
  <c r="M286" i="57"/>
  <c r="L287" i="57"/>
  <c r="M294" i="57"/>
  <c r="L295" i="57"/>
  <c r="L288" i="57"/>
  <c r="L296" i="57"/>
  <c r="L297" i="57"/>
  <c r="L298" i="57"/>
  <c r="M14" i="55"/>
  <c r="Y14" i="55" s="1"/>
  <c r="M27" i="55"/>
  <c r="Y27" i="55" s="1"/>
  <c r="N11" i="55"/>
  <c r="AB21" i="55"/>
  <c r="AM3" i="55"/>
  <c r="K3" i="55"/>
  <c r="W3" i="55" s="1"/>
  <c r="AO3" i="55"/>
  <c r="AL3" i="55" s="1"/>
  <c r="O3" i="55"/>
  <c r="I3" i="55"/>
  <c r="AN3" i="55"/>
  <c r="I4" i="55"/>
  <c r="AM4" i="55"/>
  <c r="R7" i="55"/>
  <c r="G7" i="55"/>
  <c r="J7" i="55"/>
  <c r="AN7" i="55"/>
  <c r="Q10" i="55"/>
  <c r="AM14" i="55"/>
  <c r="K14" i="55"/>
  <c r="W14" i="55" s="1"/>
  <c r="P14" i="55"/>
  <c r="I14" i="55"/>
  <c r="AO14" i="55"/>
  <c r="AL14" i="55" s="1"/>
  <c r="J27" i="55"/>
  <c r="AM27" i="55"/>
  <c r="K27" i="55"/>
  <c r="H27" i="55"/>
  <c r="Q27" i="55"/>
  <c r="R27" i="55"/>
  <c r="AB27" i="55"/>
  <c r="O27" i="55"/>
  <c r="AO36" i="55"/>
  <c r="P36" i="55"/>
  <c r="O36" i="55"/>
  <c r="AM36" i="55"/>
  <c r="J36" i="55"/>
  <c r="G36" i="55"/>
  <c r="AN36" i="55"/>
  <c r="H36" i="55"/>
  <c r="Q36" i="55"/>
  <c r="AO9" i="55"/>
  <c r="P9" i="55"/>
  <c r="G9" i="55"/>
  <c r="AN9" i="55"/>
  <c r="AN25" i="55"/>
  <c r="O25" i="55"/>
  <c r="H25" i="55"/>
  <c r="R25" i="55"/>
  <c r="P25" i="55"/>
  <c r="Q25" i="55"/>
  <c r="AB25" i="55"/>
  <c r="AN4" i="55"/>
  <c r="R10" i="55"/>
  <c r="Q12" i="55"/>
  <c r="R12" i="55"/>
  <c r="I12" i="55"/>
  <c r="U12" i="55" s="1"/>
  <c r="AM12" i="55"/>
  <c r="H21" i="55"/>
  <c r="Q21" i="55"/>
  <c r="AO21" i="55"/>
  <c r="O21" i="55"/>
  <c r="AM21" i="55"/>
  <c r="G21" i="55"/>
  <c r="K21" i="55"/>
  <c r="AO25" i="55"/>
  <c r="AB38" i="55"/>
  <c r="K4" i="55"/>
  <c r="W4" i="55" s="1"/>
  <c r="J8" i="55"/>
  <c r="V8" i="55" s="1"/>
  <c r="AN8" i="55"/>
  <c r="O8" i="55"/>
  <c r="I8" i="55"/>
  <c r="U8" i="55" s="1"/>
  <c r="AM8" i="55"/>
  <c r="H9" i="55"/>
  <c r="J12" i="55"/>
  <c r="AN12" i="55"/>
  <c r="H19" i="55"/>
  <c r="P21" i="55"/>
  <c r="G25" i="55"/>
  <c r="S25" i="55" s="1"/>
  <c r="R26" i="55"/>
  <c r="G26" i="55"/>
  <c r="S26" i="55" s="1"/>
  <c r="Q26" i="55"/>
  <c r="AO26" i="55"/>
  <c r="AL26" i="55" s="1"/>
  <c r="O26" i="55"/>
  <c r="P26" i="55"/>
  <c r="J26" i="55"/>
  <c r="V26" i="55" s="1"/>
  <c r="J19" i="55"/>
  <c r="AO19" i="55"/>
  <c r="AL19" i="55" s="1"/>
  <c r="P19" i="55"/>
  <c r="AM19" i="55"/>
  <c r="K19" i="55"/>
  <c r="W19" i="55" s="1"/>
  <c r="G19" i="55"/>
  <c r="O19" i="55"/>
  <c r="Q23" i="55"/>
  <c r="G23" i="55"/>
  <c r="P23" i="55"/>
  <c r="AN23" i="55"/>
  <c r="I23" i="55"/>
  <c r="U23" i="55" s="1"/>
  <c r="AM23" i="55"/>
  <c r="K23" i="55"/>
  <c r="J25" i="55"/>
  <c r="Q4" i="55"/>
  <c r="H4" i="55"/>
  <c r="J4" i="55"/>
  <c r="AO23" i="55"/>
  <c r="AL23" i="55" s="1"/>
  <c r="M10" i="55"/>
  <c r="Y10" i="55" s="1"/>
  <c r="O4" i="55"/>
  <c r="K8" i="55"/>
  <c r="W8" i="55" s="1"/>
  <c r="AO8" i="55"/>
  <c r="I9" i="55"/>
  <c r="AM9" i="55"/>
  <c r="K12" i="55"/>
  <c r="AO12" i="55"/>
  <c r="AL12" i="55" s="1"/>
  <c r="I19" i="55"/>
  <c r="AO20" i="55"/>
  <c r="P20" i="55"/>
  <c r="H20" i="55"/>
  <c r="R20" i="55"/>
  <c r="AM20" i="55"/>
  <c r="G20" i="55"/>
  <c r="K20" i="55"/>
  <c r="R21" i="55"/>
  <c r="J23" i="55"/>
  <c r="I25" i="55"/>
  <c r="K26" i="55"/>
  <c r="W26" i="55" s="1"/>
  <c r="K9" i="55"/>
  <c r="H10" i="55"/>
  <c r="P10" i="55"/>
  <c r="J10" i="55"/>
  <c r="AN10" i="55"/>
  <c r="Q19" i="55"/>
  <c r="O23" i="55"/>
  <c r="K25" i="55"/>
  <c r="W25" i="55" s="1"/>
  <c r="AM38" i="55"/>
  <c r="K38" i="55"/>
  <c r="W38" i="55" s="1"/>
  <c r="R38" i="55"/>
  <c r="P38" i="55"/>
  <c r="AO38" i="55"/>
  <c r="AL38" i="55" s="1"/>
  <c r="O38" i="55"/>
  <c r="AN38" i="55"/>
  <c r="G38" i="55"/>
  <c r="S38" i="55" s="1"/>
  <c r="H38" i="55"/>
  <c r="T38" i="55" s="1"/>
  <c r="Q38" i="55"/>
  <c r="AL4" i="55"/>
  <c r="H2" i="55"/>
  <c r="T2" i="55" s="1"/>
  <c r="R2" i="55"/>
  <c r="J2" i="55"/>
  <c r="AN2" i="55"/>
  <c r="G3" i="55"/>
  <c r="S3" i="55" s="1"/>
  <c r="H7" i="55"/>
  <c r="R8" i="55"/>
  <c r="O9" i="55"/>
  <c r="K10" i="55"/>
  <c r="W10" i="55" s="1"/>
  <c r="AO10" i="55"/>
  <c r="G14" i="55"/>
  <c r="R18" i="55"/>
  <c r="G18" i="55"/>
  <c r="H18" i="55"/>
  <c r="Q18" i="55"/>
  <c r="AN18" i="55"/>
  <c r="I18" i="55"/>
  <c r="O18" i="55"/>
  <c r="R19" i="55"/>
  <c r="AN21" i="55"/>
  <c r="R23" i="55"/>
  <c r="AM26" i="55"/>
  <c r="G27" i="55"/>
  <c r="AO28" i="55"/>
  <c r="P28" i="55"/>
  <c r="R28" i="55"/>
  <c r="O28" i="55"/>
  <c r="K28" i="55"/>
  <c r="Q28" i="55"/>
  <c r="I28" i="55"/>
  <c r="U28" i="55" s="1"/>
  <c r="H3" i="55"/>
  <c r="G4" i="55"/>
  <c r="I7" i="55"/>
  <c r="AM7" i="55"/>
  <c r="Q9" i="55"/>
  <c r="O10" i="55"/>
  <c r="G12" i="55"/>
  <c r="H14" i="55"/>
  <c r="T14" i="55" s="1"/>
  <c r="AN14" i="55"/>
  <c r="AN17" i="55"/>
  <c r="O17" i="55"/>
  <c r="AM17" i="55"/>
  <c r="J17" i="55"/>
  <c r="H17" i="55"/>
  <c r="T17" i="55" s="1"/>
  <c r="K17" i="55"/>
  <c r="P18" i="55"/>
  <c r="I21" i="55"/>
  <c r="AM22" i="55"/>
  <c r="K22" i="55"/>
  <c r="AN22" i="55"/>
  <c r="J22" i="55"/>
  <c r="H22" i="55"/>
  <c r="AO22" i="55"/>
  <c r="G22" i="55"/>
  <c r="P22" i="55"/>
  <c r="AN26" i="55"/>
  <c r="I27" i="55"/>
  <c r="J28" i="55"/>
  <c r="I36" i="55"/>
  <c r="AN6" i="55"/>
  <c r="O6" i="55"/>
  <c r="I6" i="55"/>
  <c r="AM11" i="55"/>
  <c r="K11" i="55"/>
  <c r="I11" i="55"/>
  <c r="AN33" i="55"/>
  <c r="O33" i="55"/>
  <c r="R33" i="55"/>
  <c r="P33" i="55"/>
  <c r="I33" i="55"/>
  <c r="AO33" i="55"/>
  <c r="AL33" i="55" s="1"/>
  <c r="J35" i="55"/>
  <c r="V35" i="55" s="1"/>
  <c r="H35" i="55"/>
  <c r="R35" i="55"/>
  <c r="K35" i="55"/>
  <c r="AO35" i="55"/>
  <c r="AL35" i="55" s="1"/>
  <c r="J43" i="55"/>
  <c r="G43" i="55"/>
  <c r="S43" i="55" s="1"/>
  <c r="R43" i="55"/>
  <c r="AO43" i="55"/>
  <c r="AL43" i="55" s="1"/>
  <c r="P43" i="55"/>
  <c r="AN43" i="55"/>
  <c r="O43" i="55"/>
  <c r="K43" i="55"/>
  <c r="H45" i="55"/>
  <c r="T45" i="55" s="1"/>
  <c r="I45" i="55"/>
  <c r="G45" i="55"/>
  <c r="S45" i="55" s="1"/>
  <c r="Z45" i="55" s="1"/>
  <c r="Q45" i="55"/>
  <c r="P45" i="55"/>
  <c r="O45" i="55"/>
  <c r="I49" i="55"/>
  <c r="U49" i="55" s="1"/>
  <c r="Q43" i="55"/>
  <c r="R45" i="55"/>
  <c r="AN49" i="55"/>
  <c r="O49" i="55"/>
  <c r="AO49" i="55"/>
  <c r="AL49" i="55" s="1"/>
  <c r="K49" i="55"/>
  <c r="W49" i="55" s="1"/>
  <c r="AM49" i="55"/>
  <c r="J49" i="55"/>
  <c r="H49" i="55"/>
  <c r="G49" i="55"/>
  <c r="S49" i="55" s="1"/>
  <c r="Q49" i="55"/>
  <c r="AM45" i="55"/>
  <c r="R49" i="55"/>
  <c r="AM30" i="55"/>
  <c r="K30" i="55"/>
  <c r="H30" i="55"/>
  <c r="T30" i="55" s="1"/>
  <c r="R30" i="55"/>
  <c r="J30" i="55"/>
  <c r="Q31" i="55"/>
  <c r="P31" i="55"/>
  <c r="AN31" i="55"/>
  <c r="K31" i="55"/>
  <c r="W31" i="55" s="1"/>
  <c r="I31" i="55"/>
  <c r="AO31" i="55"/>
  <c r="AL31" i="55" s="1"/>
  <c r="AO44" i="55"/>
  <c r="AL44" i="55" s="1"/>
  <c r="P44" i="55"/>
  <c r="AN44" i="55"/>
  <c r="K44" i="55"/>
  <c r="W44" i="55" s="1"/>
  <c r="AM44" i="55"/>
  <c r="J44" i="55"/>
  <c r="H44" i="55"/>
  <c r="T44" i="55" s="1"/>
  <c r="G44" i="55"/>
  <c r="Q44" i="55"/>
  <c r="AO45" i="55"/>
  <c r="AL45" i="55" s="1"/>
  <c r="R50" i="55"/>
  <c r="G50" i="55"/>
  <c r="I50" i="55"/>
  <c r="U50" i="55" s="1"/>
  <c r="H50" i="55"/>
  <c r="T50" i="55" s="1"/>
  <c r="Q50" i="55"/>
  <c r="P50" i="55"/>
  <c r="O50" i="55"/>
  <c r="Q57" i="55"/>
  <c r="AO57" i="55"/>
  <c r="AL57" i="55" s="1"/>
  <c r="O57" i="55"/>
  <c r="H57" i="55"/>
  <c r="G57" i="55"/>
  <c r="R57" i="55"/>
  <c r="P57" i="55"/>
  <c r="K57" i="55"/>
  <c r="AN57" i="55"/>
  <c r="J57" i="55"/>
  <c r="V57" i="55" s="1"/>
  <c r="AM57" i="55"/>
  <c r="J45" i="55"/>
  <c r="V45" i="55" s="1"/>
  <c r="P30" i="55"/>
  <c r="O31" i="55"/>
  <c r="H33" i="55"/>
  <c r="AM33" i="55"/>
  <c r="I35" i="55"/>
  <c r="AN35" i="55"/>
  <c r="I43" i="55"/>
  <c r="U43" i="55" s="1"/>
  <c r="K45" i="55"/>
  <c r="W45" i="55" s="1"/>
  <c r="R70" i="55"/>
  <c r="G70" i="55"/>
  <c r="AO70" i="55"/>
  <c r="P70" i="55"/>
  <c r="AM70" i="55"/>
  <c r="I70" i="55"/>
  <c r="Q70" i="55"/>
  <c r="K70" i="55"/>
  <c r="W70" i="55" s="1"/>
  <c r="R71" i="55"/>
  <c r="AO79" i="55"/>
  <c r="R86" i="55"/>
  <c r="G86" i="55"/>
  <c r="AO86" i="55"/>
  <c r="P86" i="55"/>
  <c r="AM86" i="55"/>
  <c r="I86" i="55"/>
  <c r="U86" i="55" s="1"/>
  <c r="Q86" i="55"/>
  <c r="O86" i="55"/>
  <c r="K86" i="55"/>
  <c r="W86" i="55" s="1"/>
  <c r="AN41" i="55"/>
  <c r="O41" i="55"/>
  <c r="I41" i="55"/>
  <c r="AM46" i="55"/>
  <c r="K46" i="55"/>
  <c r="I46" i="55"/>
  <c r="U46" i="55" s="1"/>
  <c r="I51" i="55"/>
  <c r="Q52" i="55"/>
  <c r="G54" i="55"/>
  <c r="R55" i="55"/>
  <c r="Q56" i="55"/>
  <c r="R61" i="55"/>
  <c r="Q64" i="55"/>
  <c r="R65" i="55"/>
  <c r="AN69" i="55"/>
  <c r="O69" i="55"/>
  <c r="J69" i="55"/>
  <c r="V69" i="55" s="1"/>
  <c r="AO69" i="55"/>
  <c r="AL69" i="55" s="1"/>
  <c r="K69" i="55"/>
  <c r="I69" i="55"/>
  <c r="U69" i="55" s="1"/>
  <c r="O70" i="55"/>
  <c r="AN77" i="55"/>
  <c r="O77" i="55"/>
  <c r="J77" i="55"/>
  <c r="P77" i="55"/>
  <c r="AO77" i="55"/>
  <c r="K77" i="55"/>
  <c r="I77" i="55"/>
  <c r="U77" i="55" s="1"/>
  <c r="K79" i="55"/>
  <c r="I87" i="55"/>
  <c r="U87" i="55" s="1"/>
  <c r="J29" i="55"/>
  <c r="AM29" i="55"/>
  <c r="R34" i="55"/>
  <c r="G34" i="55"/>
  <c r="S34" i="55" s="1"/>
  <c r="J34" i="55"/>
  <c r="V34" i="55" s="1"/>
  <c r="AM34" i="55"/>
  <c r="I39" i="55"/>
  <c r="U39" i="55" s="1"/>
  <c r="J41" i="55"/>
  <c r="AM41" i="55"/>
  <c r="J46" i="55"/>
  <c r="AN46" i="55"/>
  <c r="K51" i="55"/>
  <c r="W51" i="55" s="1"/>
  <c r="AM51" i="55"/>
  <c r="R56" i="55"/>
  <c r="P69" i="55"/>
  <c r="Q77" i="55"/>
  <c r="AN81" i="55"/>
  <c r="AO54" i="55"/>
  <c r="P54" i="55"/>
  <c r="Q54" i="55"/>
  <c r="I54" i="55"/>
  <c r="AM54" i="55"/>
  <c r="J79" i="55"/>
  <c r="H79" i="55"/>
  <c r="P79" i="55"/>
  <c r="AM79" i="55"/>
  <c r="I79" i="55"/>
  <c r="U79" i="55" s="1"/>
  <c r="G79" i="55"/>
  <c r="Q79" i="55"/>
  <c r="AO81" i="55"/>
  <c r="AL81" i="55" s="1"/>
  <c r="J87" i="55"/>
  <c r="H87" i="55"/>
  <c r="G87" i="55"/>
  <c r="R87" i="55"/>
  <c r="Q87" i="55"/>
  <c r="P87" i="55"/>
  <c r="AO87" i="55"/>
  <c r="O87" i="55"/>
  <c r="I15" i="55"/>
  <c r="O29" i="55"/>
  <c r="AO29" i="55"/>
  <c r="O34" i="55"/>
  <c r="AO34" i="55"/>
  <c r="AL34" i="55" s="1"/>
  <c r="J37" i="55"/>
  <c r="AM37" i="55"/>
  <c r="K39" i="55"/>
  <c r="W39" i="55" s="1"/>
  <c r="AN39" i="55"/>
  <c r="P41" i="55"/>
  <c r="R42" i="55"/>
  <c r="G42" i="55"/>
  <c r="S42" i="55" s="1"/>
  <c r="J42" i="55"/>
  <c r="V42" i="55" s="1"/>
  <c r="AM42" i="55"/>
  <c r="P46" i="55"/>
  <c r="I47" i="55"/>
  <c r="U47" i="55" s="1"/>
  <c r="P51" i="55"/>
  <c r="AO51" i="55"/>
  <c r="J54" i="55"/>
  <c r="AN54" i="55"/>
  <c r="I55" i="55"/>
  <c r="U55" i="55" s="1"/>
  <c r="H56" i="55"/>
  <c r="T56" i="55" s="1"/>
  <c r="Q59" i="55"/>
  <c r="AN59" i="55"/>
  <c r="O59" i="55"/>
  <c r="R59" i="55"/>
  <c r="I59" i="55"/>
  <c r="U59" i="55" s="1"/>
  <c r="AO59" i="55"/>
  <c r="G61" i="55"/>
  <c r="H62" i="55"/>
  <c r="AN62" i="55"/>
  <c r="K63" i="55"/>
  <c r="G64" i="55"/>
  <c r="G65" i="55"/>
  <c r="S65" i="55" s="1"/>
  <c r="AM65" i="55"/>
  <c r="R69" i="55"/>
  <c r="I71" i="55"/>
  <c r="R79" i="55"/>
  <c r="G81" i="55"/>
  <c r="R52" i="55"/>
  <c r="P52" i="55"/>
  <c r="I52" i="55"/>
  <c r="U52" i="55" s="1"/>
  <c r="AM52" i="55"/>
  <c r="K54" i="55"/>
  <c r="H55" i="55"/>
  <c r="T55" i="55" s="1"/>
  <c r="Z55" i="55" s="1"/>
  <c r="AN55" i="55"/>
  <c r="K55" i="55"/>
  <c r="W55" i="55" s="1"/>
  <c r="AL55" i="55"/>
  <c r="J55" i="55"/>
  <c r="AO55" i="55"/>
  <c r="I56" i="55"/>
  <c r="H61" i="55"/>
  <c r="T61" i="55" s="1"/>
  <c r="J63" i="55"/>
  <c r="V63" i="55" s="1"/>
  <c r="H63" i="55"/>
  <c r="T63" i="55" s="1"/>
  <c r="G63" i="55"/>
  <c r="AL63" i="55"/>
  <c r="O63" i="55"/>
  <c r="AO63" i="55"/>
  <c r="H64" i="55"/>
  <c r="T64" i="55" s="1"/>
  <c r="I65" i="55"/>
  <c r="U65" i="55" s="1"/>
  <c r="AN85" i="55"/>
  <c r="O85" i="55"/>
  <c r="J85" i="55"/>
  <c r="AO85" i="55"/>
  <c r="AL85" i="55" s="1"/>
  <c r="K85" i="55"/>
  <c r="H85" i="55"/>
  <c r="G85" i="55"/>
  <c r="R85" i="55"/>
  <c r="Q85" i="55"/>
  <c r="AM87" i="55"/>
  <c r="O54" i="55"/>
  <c r="AM56" i="55"/>
  <c r="K56" i="55"/>
  <c r="W56" i="55" s="1"/>
  <c r="G56" i="55"/>
  <c r="S56" i="55" s="1"/>
  <c r="J56" i="55"/>
  <c r="V56" i="55" s="1"/>
  <c r="AO56" i="55"/>
  <c r="AL56" i="55" s="1"/>
  <c r="AN61" i="55"/>
  <c r="O61" i="55"/>
  <c r="J61" i="55"/>
  <c r="V61" i="55" s="1"/>
  <c r="AO61" i="55"/>
  <c r="AL61" i="55" s="1"/>
  <c r="K61" i="55"/>
  <c r="W61" i="55" s="1"/>
  <c r="I61" i="55"/>
  <c r="R62" i="55"/>
  <c r="G62" i="55"/>
  <c r="AO62" i="55"/>
  <c r="AL62" i="55" s="1"/>
  <c r="P62" i="55"/>
  <c r="AM62" i="55"/>
  <c r="I62" i="55"/>
  <c r="U62" i="55" s="1"/>
  <c r="AB62" i="55"/>
  <c r="K62" i="55"/>
  <c r="AO64" i="55"/>
  <c r="AL64" i="55" s="1"/>
  <c r="P64" i="55"/>
  <c r="AM64" i="55"/>
  <c r="K64" i="55"/>
  <c r="W64" i="55" s="1"/>
  <c r="R64" i="55"/>
  <c r="AB64" i="55"/>
  <c r="I64" i="55"/>
  <c r="H65" i="55"/>
  <c r="Q65" i="55"/>
  <c r="P65" i="55"/>
  <c r="J65" i="55"/>
  <c r="AO65" i="55"/>
  <c r="AL65" i="55" s="1"/>
  <c r="J71" i="55"/>
  <c r="H71" i="55"/>
  <c r="T71" i="55" s="1"/>
  <c r="G71" i="55"/>
  <c r="P71" i="55"/>
  <c r="O71" i="55"/>
  <c r="H81" i="55"/>
  <c r="Q81" i="55"/>
  <c r="AM81" i="55"/>
  <c r="I81" i="55"/>
  <c r="U81" i="55" s="1"/>
  <c r="R81" i="55"/>
  <c r="P81" i="55"/>
  <c r="K81" i="55"/>
  <c r="W81" i="55" s="1"/>
  <c r="AN93" i="55"/>
  <c r="O93" i="55"/>
  <c r="J93" i="55"/>
  <c r="V93" i="55" s="1"/>
  <c r="I93" i="55"/>
  <c r="U93" i="55" s="1"/>
  <c r="AM93" i="55"/>
  <c r="O97" i="55"/>
  <c r="R99" i="55"/>
  <c r="G99" i="55"/>
  <c r="Q99" i="55"/>
  <c r="AN99" i="55"/>
  <c r="O99" i="55"/>
  <c r="J99" i="55"/>
  <c r="V99" i="55" s="1"/>
  <c r="I53" i="55"/>
  <c r="U53" i="55" s="1"/>
  <c r="Q67" i="55"/>
  <c r="AN67" i="55"/>
  <c r="O67" i="55"/>
  <c r="I67" i="55"/>
  <c r="AM67" i="55"/>
  <c r="AO72" i="55"/>
  <c r="AL72" i="55" s="1"/>
  <c r="P72" i="55"/>
  <c r="AM72" i="55"/>
  <c r="K72" i="55"/>
  <c r="I72" i="55"/>
  <c r="AN72" i="55"/>
  <c r="I73" i="55"/>
  <c r="U73" i="55" s="1"/>
  <c r="I78" i="55"/>
  <c r="U78" i="55" s="1"/>
  <c r="Q83" i="55"/>
  <c r="AN83" i="55"/>
  <c r="O83" i="55"/>
  <c r="I83" i="55"/>
  <c r="U83" i="55" s="1"/>
  <c r="AM83" i="55"/>
  <c r="AO88" i="55"/>
  <c r="AL88" i="55" s="1"/>
  <c r="P88" i="55"/>
  <c r="AM88" i="55"/>
  <c r="K88" i="55"/>
  <c r="W88" i="55" s="1"/>
  <c r="I88" i="55"/>
  <c r="U88" i="55" s="1"/>
  <c r="AN88" i="55"/>
  <c r="I89" i="55"/>
  <c r="K93" i="55"/>
  <c r="W93" i="55" s="1"/>
  <c r="AO93" i="55"/>
  <c r="I94" i="55"/>
  <c r="U94" i="55" s="1"/>
  <c r="G95" i="55"/>
  <c r="P97" i="55"/>
  <c r="K99" i="55"/>
  <c r="W99" i="55" s="1"/>
  <c r="H73" i="55"/>
  <c r="T73" i="55" s="1"/>
  <c r="Q73" i="55"/>
  <c r="J73" i="55"/>
  <c r="AN73" i="55"/>
  <c r="R78" i="55"/>
  <c r="G78" i="55"/>
  <c r="AO78" i="55"/>
  <c r="AL78" i="55" s="1"/>
  <c r="P78" i="55"/>
  <c r="J78" i="55"/>
  <c r="AN78" i="55"/>
  <c r="H89" i="55"/>
  <c r="T89" i="55" s="1"/>
  <c r="Q89" i="55"/>
  <c r="J89" i="55"/>
  <c r="AN89" i="55"/>
  <c r="P93" i="55"/>
  <c r="R94" i="55"/>
  <c r="G94" i="55"/>
  <c r="AO94" i="55"/>
  <c r="AL94" i="55" s="1"/>
  <c r="P94" i="55"/>
  <c r="J94" i="55"/>
  <c r="AN94" i="55"/>
  <c r="I95" i="55"/>
  <c r="R97" i="55"/>
  <c r="P99" i="55"/>
  <c r="Q93" i="55"/>
  <c r="J95" i="55"/>
  <c r="V95" i="55" s="1"/>
  <c r="H95" i="55"/>
  <c r="T95" i="55" s="1"/>
  <c r="K95" i="55"/>
  <c r="AN95" i="55"/>
  <c r="G97" i="55"/>
  <c r="P73" i="55"/>
  <c r="Q75" i="55"/>
  <c r="AN75" i="55"/>
  <c r="O75" i="55"/>
  <c r="I75" i="55"/>
  <c r="U75" i="55" s="1"/>
  <c r="AM75" i="55"/>
  <c r="Q78" i="55"/>
  <c r="AO80" i="55"/>
  <c r="AL80" i="55" s="1"/>
  <c r="P80" i="55"/>
  <c r="AM80" i="55"/>
  <c r="K80" i="55"/>
  <c r="W80" i="55" s="1"/>
  <c r="I80" i="55"/>
  <c r="U80" i="55" s="1"/>
  <c r="Z80" i="55" s="1"/>
  <c r="AN80" i="55"/>
  <c r="P89" i="55"/>
  <c r="Q91" i="55"/>
  <c r="AN91" i="55"/>
  <c r="O91" i="55"/>
  <c r="I91" i="55"/>
  <c r="U91" i="55" s="1"/>
  <c r="AM91" i="55"/>
  <c r="Q94" i="55"/>
  <c r="P95" i="55"/>
  <c r="AO96" i="55"/>
  <c r="P96" i="55"/>
  <c r="AM96" i="55"/>
  <c r="K96" i="55"/>
  <c r="I96" i="55"/>
  <c r="U96" i="55" s="1"/>
  <c r="AN96" i="55"/>
  <c r="I97" i="55"/>
  <c r="U97" i="55" s="1"/>
  <c r="AA97" i="55" s="1"/>
  <c r="H97" i="55"/>
  <c r="T97" i="55" s="1"/>
  <c r="Q97" i="55"/>
  <c r="J97" i="55"/>
  <c r="AN97" i="55"/>
  <c r="H99" i="55"/>
  <c r="T99" i="55" s="1"/>
  <c r="AM99" i="55"/>
  <c r="K97" i="55"/>
  <c r="W97" i="55" s="1"/>
  <c r="AO97" i="55"/>
  <c r="AL97" i="55" s="1"/>
  <c r="I99" i="55"/>
  <c r="AO99" i="55"/>
  <c r="AL99" i="55" s="1"/>
  <c r="G60" i="55"/>
  <c r="S60" i="55" s="1"/>
  <c r="R60" i="55"/>
  <c r="I66" i="55"/>
  <c r="U66" i="55" s="1"/>
  <c r="G68" i="55"/>
  <c r="R68" i="55"/>
  <c r="I74" i="55"/>
  <c r="G76" i="55"/>
  <c r="R76" i="55"/>
  <c r="I82" i="55"/>
  <c r="G84" i="55"/>
  <c r="R84" i="55"/>
  <c r="I90" i="55"/>
  <c r="G92" i="55"/>
  <c r="R92" i="55"/>
  <c r="I98" i="55"/>
  <c r="G100" i="55"/>
  <c r="R100" i="55"/>
  <c r="K66" i="55"/>
  <c r="W66" i="55" s="1"/>
  <c r="K74" i="55"/>
  <c r="W74" i="55" s="1"/>
  <c r="K82" i="55"/>
  <c r="W82" i="55" s="1"/>
  <c r="K90" i="55"/>
  <c r="W90" i="55" s="1"/>
  <c r="K98" i="55"/>
  <c r="W98" i="55" s="1"/>
  <c r="AM98" i="55"/>
  <c r="I100" i="55"/>
  <c r="X29" i="55"/>
  <c r="Y3" i="55"/>
  <c r="S6" i="55"/>
  <c r="W16" i="55"/>
  <c r="AL16" i="55"/>
  <c r="U16" i="55"/>
  <c r="S18" i="55"/>
  <c r="S41" i="55"/>
  <c r="W7" i="55"/>
  <c r="AL5" i="55"/>
  <c r="W5" i="55"/>
  <c r="AB5" i="55"/>
  <c r="T5" i="55"/>
  <c r="AL7" i="55"/>
  <c r="W9" i="55"/>
  <c r="AJ18" i="55"/>
  <c r="W11" i="55"/>
  <c r="AI2" i="55"/>
  <c r="V2" i="55"/>
  <c r="AL2" i="55"/>
  <c r="AB2" i="55"/>
  <c r="S14" i="55"/>
  <c r="W2" i="55"/>
  <c r="X3" i="55"/>
  <c r="U5" i="55"/>
  <c r="U7" i="55"/>
  <c r="AL17" i="55"/>
  <c r="W17" i="55"/>
  <c r="AB17" i="55"/>
  <c r="S21" i="55"/>
  <c r="W24" i="55"/>
  <c r="AB35" i="55"/>
  <c r="T35" i="55"/>
  <c r="U35" i="55"/>
  <c r="W35" i="55"/>
  <c r="V33" i="55"/>
  <c r="T33" i="55"/>
  <c r="U33" i="55"/>
  <c r="W33" i="55"/>
  <c r="AB33" i="55"/>
  <c r="S31" i="55"/>
  <c r="N43" i="55"/>
  <c r="M48" i="55"/>
  <c r="Y48" i="55" s="1"/>
  <c r="W21" i="55"/>
  <c r="S22" i="55"/>
  <c r="AJ8" i="55"/>
  <c r="V16" i="55"/>
  <c r="X18" i="55"/>
  <c r="X19" i="55"/>
  <c r="W36" i="55"/>
  <c r="AB36" i="55"/>
  <c r="AL36" i="55"/>
  <c r="T36" i="55"/>
  <c r="V36" i="55"/>
  <c r="U36" i="55"/>
  <c r="AB23" i="55"/>
  <c r="W30" i="55"/>
  <c r="S32" i="55"/>
  <c r="AJ35" i="55"/>
  <c r="S9" i="55"/>
  <c r="AL8" i="55"/>
  <c r="AB15" i="55"/>
  <c r="AL15" i="55"/>
  <c r="T15" i="55"/>
  <c r="V15" i="55"/>
  <c r="W18" i="55"/>
  <c r="AB22" i="55"/>
  <c r="W23" i="55"/>
  <c r="T27" i="55"/>
  <c r="AL27" i="55"/>
  <c r="W27" i="55"/>
  <c r="U27" i="55"/>
  <c r="AJ28" i="55"/>
  <c r="AJ39" i="55"/>
  <c r="T12" i="55"/>
  <c r="W12" i="55"/>
  <c r="S4" i="55"/>
  <c r="AB12" i="55"/>
  <c r="T13" i="55"/>
  <c r="AL13" i="55"/>
  <c r="W13" i="55"/>
  <c r="W15" i="55"/>
  <c r="S24" i="55"/>
  <c r="W32" i="55"/>
  <c r="AL32" i="55"/>
  <c r="V32" i="55"/>
  <c r="U32" i="55"/>
  <c r="AB32" i="55"/>
  <c r="AJ38" i="55"/>
  <c r="AJ46" i="55"/>
  <c r="Y36" i="55"/>
  <c r="Y39" i="55"/>
  <c r="L44" i="55"/>
  <c r="X44" i="55" s="1"/>
  <c r="AJ4" i="55"/>
  <c r="AB8" i="55"/>
  <c r="V10" i="55"/>
  <c r="AL10" i="55"/>
  <c r="AB10" i="55"/>
  <c r="AL20" i="55"/>
  <c r="U20" i="55"/>
  <c r="W20" i="55"/>
  <c r="AJ26" i="55"/>
  <c r="T28" i="55"/>
  <c r="AB28" i="55"/>
  <c r="AL28" i="55"/>
  <c r="Y37" i="55"/>
  <c r="AJ40" i="55"/>
  <c r="W22" i="55"/>
  <c r="U22" i="55"/>
  <c r="AL22" i="55"/>
  <c r="T23" i="55"/>
  <c r="AL30" i="55"/>
  <c r="U30" i="55"/>
  <c r="Y34" i="55"/>
  <c r="AL40" i="55"/>
  <c r="V30" i="55"/>
  <c r="AJ31" i="55"/>
  <c r="U40" i="55"/>
  <c r="AL41" i="55"/>
  <c r="V41" i="55"/>
  <c r="AB41" i="55"/>
  <c r="U41" i="55"/>
  <c r="AA41" i="55" s="1"/>
  <c r="W46" i="55"/>
  <c r="T46" i="55"/>
  <c r="Z46" i="55" s="1"/>
  <c r="AB46" i="55"/>
  <c r="AL46" i="55"/>
  <c r="V46" i="55"/>
  <c r="V21" i="55"/>
  <c r="V25" i="55"/>
  <c r="AL25" i="55"/>
  <c r="T25" i="55"/>
  <c r="AL29" i="55"/>
  <c r="W29" i="55"/>
  <c r="AB29" i="55"/>
  <c r="V29" i="55"/>
  <c r="U29" i="55"/>
  <c r="W40" i="55"/>
  <c r="T40" i="55"/>
  <c r="S48" i="55"/>
  <c r="AJ51" i="55"/>
  <c r="S46" i="55"/>
  <c r="U9" i="55"/>
  <c r="AB9" i="55"/>
  <c r="U14" i="55"/>
  <c r="T24" i="55"/>
  <c r="AB24" i="55"/>
  <c r="T58" i="55"/>
  <c r="AB58" i="55"/>
  <c r="AL58" i="55"/>
  <c r="V58" i="55"/>
  <c r="U58" i="55"/>
  <c r="AJ36" i="55"/>
  <c r="T4" i="55"/>
  <c r="V4" i="55"/>
  <c r="AB4" i="55"/>
  <c r="AL6" i="55"/>
  <c r="V9" i="55"/>
  <c r="AL9" i="55"/>
  <c r="V14" i="55"/>
  <c r="AB14" i="55"/>
  <c r="T19" i="55"/>
  <c r="AB19" i="55"/>
  <c r="AL21" i="55"/>
  <c r="V24" i="55"/>
  <c r="AL24" i="55"/>
  <c r="U31" i="55"/>
  <c r="V37" i="55"/>
  <c r="AL37" i="55"/>
  <c r="U37" i="55"/>
  <c r="AA37" i="55" s="1"/>
  <c r="T39" i="55"/>
  <c r="AB39" i="55"/>
  <c r="V39" i="55"/>
  <c r="V47" i="55"/>
  <c r="T47" i="55"/>
  <c r="S51" i="55"/>
  <c r="Z51" i="55" s="1"/>
  <c r="M53" i="55"/>
  <c r="Y53" i="55" s="1"/>
  <c r="Z64" i="55"/>
  <c r="AJ52" i="55"/>
  <c r="AJ57" i="55"/>
  <c r="L59" i="55"/>
  <c r="X59" i="55" s="1"/>
  <c r="W62" i="55"/>
  <c r="T62" i="55"/>
  <c r="V62" i="55"/>
  <c r="U68" i="55"/>
  <c r="W72" i="55"/>
  <c r="AB72" i="55"/>
  <c r="V72" i="55"/>
  <c r="W54" i="55"/>
  <c r="V54" i="55"/>
  <c r="U54" i="55"/>
  <c r="S61" i="55"/>
  <c r="Z61" i="55" s="1"/>
  <c r="AJ62" i="55"/>
  <c r="S64" i="55"/>
  <c r="AJ66" i="55"/>
  <c r="T68" i="55"/>
  <c r="W68" i="55"/>
  <c r="AJ68" i="55"/>
  <c r="AB53" i="55"/>
  <c r="W53" i="55"/>
  <c r="V53" i="55"/>
  <c r="AJ58" i="55"/>
  <c r="AL60" i="55"/>
  <c r="AB60" i="55"/>
  <c r="V60" i="55"/>
  <c r="U60" i="55"/>
  <c r="AL68" i="55"/>
  <c r="AB54" i="55"/>
  <c r="W60" i="55"/>
  <c r="W63" i="55"/>
  <c r="M64" i="55"/>
  <c r="Y64" i="55" s="1"/>
  <c r="AB43" i="55"/>
  <c r="T43" i="55"/>
  <c r="V43" i="55"/>
  <c r="AB44" i="55"/>
  <c r="V44" i="55"/>
  <c r="S70" i="55"/>
  <c r="T72" i="55"/>
  <c r="W43" i="55"/>
  <c r="T52" i="55"/>
  <c r="AA52" i="55" s="1"/>
  <c r="V52" i="55"/>
  <c r="AL54" i="55"/>
  <c r="T57" i="55"/>
  <c r="W57" i="55"/>
  <c r="AL59" i="55"/>
  <c r="W59" i="55"/>
  <c r="V59" i="55"/>
  <c r="AB68" i="55"/>
  <c r="U72" i="55"/>
  <c r="U70" i="55"/>
  <c r="AB70" i="55"/>
  <c r="V73" i="55"/>
  <c r="W73" i="55"/>
  <c r="AL73" i="55"/>
  <c r="AJ81" i="55"/>
  <c r="U3" i="55"/>
  <c r="U34" i="55"/>
  <c r="Z34" i="55" s="1"/>
  <c r="U42" i="55"/>
  <c r="U45" i="55"/>
  <c r="V50" i="55"/>
  <c r="AB50" i="55"/>
  <c r="V55" i="55"/>
  <c r="AB55" i="55"/>
  <c r="T65" i="55"/>
  <c r="V65" i="55"/>
  <c r="AB65" i="55"/>
  <c r="AL67" i="55"/>
  <c r="U67" i="55"/>
  <c r="AA67" i="55" s="1"/>
  <c r="V70" i="55"/>
  <c r="AA70" i="55" s="1"/>
  <c r="T75" i="55"/>
  <c r="AL75" i="55"/>
  <c r="W75" i="55"/>
  <c r="V75" i="55"/>
  <c r="AB77" i="55"/>
  <c r="AL77" i="55"/>
  <c r="V77" i="55"/>
  <c r="T77" i="55"/>
  <c r="W77" i="55"/>
  <c r="S80" i="55"/>
  <c r="W78" i="55"/>
  <c r="AB78" i="55"/>
  <c r="V78" i="55"/>
  <c r="AL70" i="55"/>
  <c r="S82" i="55"/>
  <c r="U38" i="55"/>
  <c r="T49" i="55"/>
  <c r="Z49" i="55" s="1"/>
  <c r="V49" i="55"/>
  <c r="AB49" i="55"/>
  <c r="AL51" i="55"/>
  <c r="U51" i="55"/>
  <c r="U61" i="55"/>
  <c r="V66" i="55"/>
  <c r="AB66" i="55"/>
  <c r="W69" i="55"/>
  <c r="AB71" i="55"/>
  <c r="V71" i="55"/>
  <c r="U71" i="55"/>
  <c r="S71" i="55"/>
  <c r="AB73" i="55"/>
  <c r="V79" i="55"/>
  <c r="T79" i="55"/>
  <c r="AL79" i="55"/>
  <c r="AB79" i="55"/>
  <c r="W79" i="55"/>
  <c r="L85" i="55"/>
  <c r="X85" i="55" s="1"/>
  <c r="AJ87" i="55"/>
  <c r="AL87" i="55"/>
  <c r="U48" i="55"/>
  <c r="U56" i="55"/>
  <c r="AA56" i="55" s="1"/>
  <c r="U64" i="55"/>
  <c r="AJ74" i="55"/>
  <c r="V76" i="55"/>
  <c r="S85" i="55"/>
  <c r="AB88" i="55"/>
  <c r="V88" i="55"/>
  <c r="AJ93" i="55"/>
  <c r="S94" i="55"/>
  <c r="S81" i="55"/>
  <c r="T83" i="55"/>
  <c r="AL83" i="55"/>
  <c r="W83" i="55"/>
  <c r="V83" i="55"/>
  <c r="V85" i="55"/>
  <c r="AB85" i="55"/>
  <c r="T85" i="55"/>
  <c r="W85" i="55"/>
  <c r="AA85" i="55" s="1"/>
  <c r="T91" i="55"/>
  <c r="V91" i="55"/>
  <c r="AJ91" i="55"/>
  <c r="AL76" i="55"/>
  <c r="T81" i="55"/>
  <c r="AA81" i="55" s="1"/>
  <c r="V81" i="55"/>
  <c r="AJ95" i="55"/>
  <c r="AJ86" i="55"/>
  <c r="AB87" i="55"/>
  <c r="W87" i="55"/>
  <c r="T87" i="55"/>
  <c r="V87" i="55"/>
  <c r="W96" i="55"/>
  <c r="T96" i="55"/>
  <c r="V96" i="55"/>
  <c r="U74" i="55"/>
  <c r="AA74" i="55" s="1"/>
  <c r="AB86" i="55"/>
  <c r="AL93" i="55"/>
  <c r="T86" i="55"/>
  <c r="V86" i="55"/>
  <c r="AL86" i="55"/>
  <c r="AB95" i="55"/>
  <c r="W95" i="55"/>
  <c r="U95" i="55"/>
  <c r="AB96" i="55"/>
  <c r="AL96" i="55"/>
  <c r="S98" i="55"/>
  <c r="S97" i="55"/>
  <c r="T94" i="55"/>
  <c r="AB94" i="55"/>
  <c r="V94" i="55"/>
  <c r="W94" i="55"/>
  <c r="AL95" i="55"/>
  <c r="V84" i="55"/>
  <c r="AB84" i="55"/>
  <c r="V89" i="55"/>
  <c r="U89" i="55"/>
  <c r="AB89" i="55"/>
  <c r="S99" i="55"/>
  <c r="V92" i="55"/>
  <c r="AB92" i="55"/>
  <c r="V97" i="55"/>
  <c r="AB97" i="55"/>
  <c r="V100" i="55"/>
  <c r="U82" i="55"/>
  <c r="AA82" i="55" s="1"/>
  <c r="U90" i="55"/>
  <c r="AA90" i="55" s="1"/>
  <c r="U98" i="55"/>
  <c r="U99" i="55"/>
  <c r="T100" i="55"/>
  <c r="U100" i="55"/>
  <c r="H2" i="59" a="1"/>
  <c r="H2" i="59" s="1"/>
  <c r="E2" i="59"/>
  <c r="A3" i="69"/>
  <c r="B2" i="94"/>
  <c r="D2" i="94" s="1"/>
  <c r="AB2" i="24" a="1"/>
  <c r="AB2" i="24" s="1"/>
  <c r="S3" i="94" a="1"/>
  <c r="S3" i="94" s="1"/>
  <c r="B3" i="94"/>
  <c r="D3" i="94" s="1"/>
  <c r="A3" i="94"/>
  <c r="V2" i="94" a="1"/>
  <c r="V2" i="94" s="1"/>
  <c r="AI2" i="94" a="1"/>
  <c r="AI2" i="94" s="1"/>
  <c r="AF2" i="94" a="1"/>
  <c r="AF2" i="94" s="1"/>
  <c r="AC2" i="94" a="1"/>
  <c r="AC2" i="94" s="1"/>
  <c r="AG2" i="94" a="1"/>
  <c r="AG2" i="94" s="1"/>
  <c r="P3" i="94" a="1"/>
  <c r="P3" i="94" s="1"/>
  <c r="L2" i="94" a="1"/>
  <c r="L2" i="94" s="1"/>
  <c r="S2" i="94" a="1"/>
  <c r="S2" i="94" s="1"/>
  <c r="Z2" i="94" a="1"/>
  <c r="Z2" i="94" s="1"/>
  <c r="L3" i="94" a="1"/>
  <c r="L3" i="94" s="1"/>
  <c r="Y2" i="94" a="1"/>
  <c r="Y2" i="94" s="1"/>
  <c r="AA2" i="94" s="1" a="1"/>
  <c r="AA2" i="94" s="1"/>
  <c r="Z3" i="94" a="1"/>
  <c r="Z3" i="94" s="1"/>
  <c r="U2" i="94" a="1"/>
  <c r="U2" i="94" s="1"/>
  <c r="W2" i="94" s="1" a="1"/>
  <c r="W2" i="94" s="1"/>
  <c r="V3" i="94" a="1"/>
  <c r="V3" i="94" s="1"/>
  <c r="G2" i="94"/>
  <c r="AI3" i="94" a="1"/>
  <c r="AI3" i="94" s="1"/>
  <c r="G3" i="94"/>
  <c r="AD2" i="94" a="1"/>
  <c r="AD2" i="94" s="1"/>
  <c r="Y3" i="94" a="1"/>
  <c r="Y3" i="94" s="1"/>
  <c r="AF3" i="94" a="1"/>
  <c r="AF3" i="94" s="1"/>
  <c r="AH3" i="94" s="1" a="1"/>
  <c r="AH3" i="94" s="1"/>
  <c r="AC3" i="94" a="1"/>
  <c r="AC3" i="94" s="1"/>
  <c r="AG3" i="94" a="1"/>
  <c r="AG3" i="94" s="1"/>
  <c r="U3" i="94" a="1"/>
  <c r="U3" i="94" s="1"/>
  <c r="W3" i="94" s="1" a="1"/>
  <c r="W3" i="94" s="1"/>
  <c r="AD3" i="94" a="1"/>
  <c r="AD3" i="94" s="1"/>
  <c r="AJ3" i="94"/>
  <c r="AJ2" i="94"/>
  <c r="A2" i="94"/>
  <c r="O2" i="95"/>
  <c r="G2" i="93"/>
  <c r="A3" i="92"/>
  <c r="O3" i="95"/>
  <c r="B3" i="95"/>
  <c r="D3" i="95" s="1"/>
  <c r="P4" i="69"/>
  <c r="P3" i="69"/>
  <c r="R3" i="69"/>
  <c r="R2" i="69"/>
  <c r="Q2" i="59"/>
  <c r="J2" i="50"/>
  <c r="V2" i="50"/>
  <c r="T2" i="50"/>
  <c r="U2" i="50"/>
  <c r="G2" i="87"/>
  <c r="A2" i="87"/>
  <c r="B2" i="102"/>
  <c r="D2" i="102" s="1"/>
  <c r="D2" i="93"/>
  <c r="D3" i="92"/>
  <c r="B2" i="92"/>
  <c r="D2" i="92" s="1"/>
  <c r="F3" i="4"/>
  <c r="A3" i="4"/>
  <c r="V2" i="88"/>
  <c r="U2" i="88"/>
  <c r="E2" i="88" s="1"/>
  <c r="A2" i="4"/>
  <c r="P2" i="69"/>
  <c r="Q2" i="69"/>
  <c r="F2" i="4"/>
  <c r="P2" i="95" a="1"/>
  <c r="P2" i="95" s="1"/>
  <c r="B2" i="95"/>
  <c r="D2" i="95" s="1"/>
  <c r="Q2" i="88"/>
  <c r="O2" i="88"/>
  <c r="P2" i="88" s="1"/>
  <c r="J2" i="88"/>
  <c r="F4" i="69"/>
  <c r="G4" i="69" s="1"/>
  <c r="J4" i="69" s="1"/>
  <c r="F3" i="69"/>
  <c r="G3" i="69" s="1"/>
  <c r="J3" i="69" s="1"/>
  <c r="F2" i="69"/>
  <c r="A2" i="69"/>
  <c r="R4" i="69"/>
  <c r="P3" i="95" a="1"/>
  <c r="P3" i="95" s="1"/>
  <c r="B3" i="93"/>
  <c r="D3" i="93" s="1"/>
  <c r="D2" i="59"/>
  <c r="P2" i="59"/>
  <c r="O2" i="59"/>
  <c r="A2" i="59"/>
  <c r="L2" i="59"/>
  <c r="K2" i="59"/>
  <c r="B3" i="102"/>
  <c r="D3" i="102" s="1"/>
  <c r="F2" i="87"/>
  <c r="M2" i="87" s="1" a="1"/>
  <c r="M2" i="87" s="1"/>
  <c r="L2" i="87"/>
  <c r="O2" i="50"/>
  <c r="S2" i="50" s="1"/>
  <c r="AB3" i="24" a="1"/>
  <c r="AB3" i="24" s="1"/>
  <c r="AH2" i="55" a="1"/>
  <c r="W226" i="57" l="1" a="1"/>
  <c r="W226" i="57" s="1"/>
  <c r="X226" i="57" s="1"/>
  <c r="W267" i="57" a="1"/>
  <c r="W267" i="57" s="1"/>
  <c r="X267" i="57" s="1"/>
  <c r="W188" i="57" a="1"/>
  <c r="W188" i="57" s="1"/>
  <c r="X188" i="57" s="1"/>
  <c r="W160" i="57" a="1"/>
  <c r="W160" i="57" s="1"/>
  <c r="X160" i="57" s="1"/>
  <c r="W8" i="57" a="1"/>
  <c r="W8" i="57" s="1"/>
  <c r="X8" i="57" s="1"/>
  <c r="W82" i="57" a="1"/>
  <c r="W82" i="57" s="1"/>
  <c r="X82" i="57" s="1"/>
  <c r="W18" i="57" a="1"/>
  <c r="W18" i="57" s="1"/>
  <c r="X18" i="57" s="1"/>
  <c r="W76" i="57" a="1"/>
  <c r="W76" i="57" s="1"/>
  <c r="X76" i="57" s="1"/>
  <c r="W4" i="57" a="1"/>
  <c r="W4" i="57" s="1"/>
  <c r="X4" i="57" s="1"/>
  <c r="W129" i="57" a="1"/>
  <c r="W129" i="57" s="1"/>
  <c r="X129" i="57" s="1"/>
  <c r="W46" i="57" a="1"/>
  <c r="W46" i="57" s="1"/>
  <c r="X46" i="57" s="1"/>
  <c r="W7" i="57" a="1"/>
  <c r="W7" i="57" s="1"/>
  <c r="X7" i="57" s="1"/>
  <c r="W281" i="57" a="1"/>
  <c r="W281" i="57" s="1"/>
  <c r="X281" i="57" s="1"/>
  <c r="W225" i="57" a="1"/>
  <c r="W225" i="57" s="1"/>
  <c r="X225" i="57" s="1"/>
  <c r="W218" i="57" a="1"/>
  <c r="W218" i="57" s="1"/>
  <c r="X218" i="57" s="1"/>
  <c r="W238" i="57" a="1"/>
  <c r="W238" i="57" s="1"/>
  <c r="X238" i="57" s="1"/>
  <c r="W242" i="57" a="1"/>
  <c r="W242" i="57" s="1"/>
  <c r="X242" i="57" s="1"/>
  <c r="W235" i="57" a="1"/>
  <c r="W235" i="57" s="1"/>
  <c r="X235" i="57" s="1"/>
  <c r="W220" i="57" a="1"/>
  <c r="W220" i="57" s="1"/>
  <c r="X220" i="57" s="1"/>
  <c r="W132" i="57" a="1"/>
  <c r="W132" i="57" s="1"/>
  <c r="X132" i="57" s="1"/>
  <c r="W74" i="57" a="1"/>
  <c r="W74" i="57" s="1"/>
  <c r="X74" i="57" s="1"/>
  <c r="W10" i="57" a="1"/>
  <c r="W10" i="57" s="1"/>
  <c r="X10" i="57" s="1"/>
  <c r="W68" i="57" a="1"/>
  <c r="W68" i="57" s="1"/>
  <c r="X68" i="57" s="1"/>
  <c r="W246" i="57" a="1"/>
  <c r="W246" i="57" s="1"/>
  <c r="X246" i="57" s="1"/>
  <c r="W265" i="57" a="1"/>
  <c r="W265" i="57" s="1"/>
  <c r="X265" i="57" s="1"/>
  <c r="R223" i="57"/>
  <c r="U223" i="57" s="1"/>
  <c r="C135" i="57"/>
  <c r="C61" i="57"/>
  <c r="AA16" i="57"/>
  <c r="N16" i="57"/>
  <c r="Q16" i="57" s="1"/>
  <c r="C293" i="57"/>
  <c r="R168" i="57"/>
  <c r="U168" i="57" s="1"/>
  <c r="R187" i="57"/>
  <c r="U187" i="57" s="1"/>
  <c r="AA122" i="57"/>
  <c r="N122" i="57"/>
  <c r="Q122" i="57" s="1"/>
  <c r="C53" i="57"/>
  <c r="C75" i="57"/>
  <c r="R285" i="57"/>
  <c r="U285" i="57" s="1"/>
  <c r="AA256" i="57"/>
  <c r="N256" i="57"/>
  <c r="Q256" i="57" s="1"/>
  <c r="R177" i="57"/>
  <c r="U177" i="57" s="1"/>
  <c r="Y177" i="57" s="1" a="1"/>
  <c r="Y177" i="57" s="1"/>
  <c r="Z177" i="57" s="1"/>
  <c r="W177" i="57" a="1"/>
  <c r="W177" i="57" s="1"/>
  <c r="X177" i="57" s="1"/>
  <c r="R124" i="57"/>
  <c r="U124" i="57" s="1"/>
  <c r="W124" i="57" a="1"/>
  <c r="W124" i="57" s="1"/>
  <c r="X124" i="57" s="1"/>
  <c r="AA199" i="57"/>
  <c r="N199" i="57"/>
  <c r="Q199" i="57" s="1"/>
  <c r="R251" i="57"/>
  <c r="U251" i="57" s="1"/>
  <c r="R190" i="57"/>
  <c r="U190" i="57" s="1"/>
  <c r="AA80" i="57"/>
  <c r="N80" i="57"/>
  <c r="Q80" i="57" s="1"/>
  <c r="AA24" i="57"/>
  <c r="N24" i="57"/>
  <c r="Q24" i="57" s="1"/>
  <c r="C105" i="57"/>
  <c r="C45" i="57"/>
  <c r="AA111" i="57"/>
  <c r="N111" i="57"/>
  <c r="Q111" i="57" s="1"/>
  <c r="R72" i="57"/>
  <c r="U72" i="57" s="1"/>
  <c r="R40" i="57"/>
  <c r="U40" i="57" s="1"/>
  <c r="W272" i="57" a="1"/>
  <c r="W272" i="57" s="1"/>
  <c r="X272" i="57" s="1"/>
  <c r="W201" i="57" a="1"/>
  <c r="W201" i="57" s="1"/>
  <c r="X201" i="57" s="1"/>
  <c r="W210" i="57" a="1"/>
  <c r="W210" i="57" s="1"/>
  <c r="X210" i="57" s="1"/>
  <c r="W239" i="57" a="1"/>
  <c r="W239" i="57" s="1"/>
  <c r="X239" i="57" s="1"/>
  <c r="W249" i="57" a="1"/>
  <c r="W249" i="57" s="1"/>
  <c r="X249" i="57" s="1"/>
  <c r="W148" i="57" a="1"/>
  <c r="W148" i="57" s="1"/>
  <c r="X148" i="57" s="1"/>
  <c r="W128" i="57" a="1"/>
  <c r="W128" i="57" s="1"/>
  <c r="X128" i="57" s="1"/>
  <c r="W66" i="57" a="1"/>
  <c r="W66" i="57" s="1"/>
  <c r="X66" i="57" s="1"/>
  <c r="W60" i="57" a="1"/>
  <c r="W60" i="57" s="1"/>
  <c r="X60" i="57" s="1"/>
  <c r="W102" i="57" a="1"/>
  <c r="W102" i="57" s="1"/>
  <c r="X102" i="57" s="1"/>
  <c r="W137" i="57" a="1"/>
  <c r="W137" i="57" s="1"/>
  <c r="X137" i="57" s="1"/>
  <c r="AA182" i="57"/>
  <c r="N182" i="57"/>
  <c r="Q182" i="57" s="1"/>
  <c r="R264" i="57"/>
  <c r="U264" i="57" s="1"/>
  <c r="R48" i="57"/>
  <c r="U48" i="57" s="1"/>
  <c r="AA260" i="57"/>
  <c r="N260" i="57"/>
  <c r="Q260" i="57" s="1"/>
  <c r="C263" i="57"/>
  <c r="R179" i="57"/>
  <c r="U179" i="57" s="1"/>
  <c r="C127" i="57"/>
  <c r="AA88" i="57"/>
  <c r="N88" i="57"/>
  <c r="Q88" i="57" s="1"/>
  <c r="C287" i="57"/>
  <c r="AA234" i="57"/>
  <c r="N234" i="57"/>
  <c r="Q234" i="57" s="1"/>
  <c r="R202" i="57"/>
  <c r="U202" i="57" s="1"/>
  <c r="R279" i="57"/>
  <c r="U279" i="57" s="1"/>
  <c r="AA165" i="57"/>
  <c r="N165" i="57"/>
  <c r="Q165" i="57" s="1"/>
  <c r="C198" i="57"/>
  <c r="AA224" i="57"/>
  <c r="N224" i="57"/>
  <c r="Q224" i="57" s="1"/>
  <c r="C142" i="57"/>
  <c r="C283" i="57"/>
  <c r="R284" i="57"/>
  <c r="U284" i="57" s="1"/>
  <c r="C277" i="57"/>
  <c r="R196" i="57"/>
  <c r="U196" i="57" s="1"/>
  <c r="C181" i="57"/>
  <c r="C247" i="57"/>
  <c r="AA219" i="57"/>
  <c r="N219" i="57"/>
  <c r="Q219" i="57" s="1"/>
  <c r="R275" i="57"/>
  <c r="U275" i="57" s="1"/>
  <c r="Y275" i="57" s="1" a="1"/>
  <c r="Y275" i="57" s="1"/>
  <c r="Z275" i="57" s="1"/>
  <c r="W275" i="57" a="1"/>
  <c r="W275" i="57" s="1"/>
  <c r="X275" i="57" s="1"/>
  <c r="AA164" i="57"/>
  <c r="N164" i="57"/>
  <c r="Q164" i="57" s="1"/>
  <c r="AA168" i="57"/>
  <c r="N168" i="57"/>
  <c r="Q168" i="57" s="1"/>
  <c r="Y168" i="57" s="1" a="1"/>
  <c r="Y168" i="57" s="1"/>
  <c r="Z168" i="57" s="1"/>
  <c r="C119" i="57"/>
  <c r="C134" i="57"/>
  <c r="R165" i="57"/>
  <c r="U165" i="57" s="1"/>
  <c r="R110" i="57"/>
  <c r="U110" i="57" s="1"/>
  <c r="Y110" i="57" s="1" a="1"/>
  <c r="Y110" i="57" s="1"/>
  <c r="Z110" i="57" s="1"/>
  <c r="W110" i="57" a="1"/>
  <c r="W110" i="57" s="1"/>
  <c r="X110" i="57" s="1"/>
  <c r="C108" i="57"/>
  <c r="C37" i="57"/>
  <c r="R111" i="57"/>
  <c r="U111" i="57" s="1"/>
  <c r="W111" i="57" a="1"/>
  <c r="W111" i="57" s="1"/>
  <c r="X111" i="57" s="1"/>
  <c r="C97" i="57"/>
  <c r="C67" i="57"/>
  <c r="C35" i="57"/>
  <c r="W240" i="57" a="1"/>
  <c r="W240" i="57" s="1"/>
  <c r="X240" i="57" s="1"/>
  <c r="W193" i="57" a="1"/>
  <c r="W193" i="57" s="1"/>
  <c r="X193" i="57" s="1"/>
  <c r="W186" i="57" a="1"/>
  <c r="W186" i="57" s="1"/>
  <c r="X186" i="57" s="1"/>
  <c r="W236" i="57" a="1"/>
  <c r="W236" i="57" s="1"/>
  <c r="X236" i="57" s="1"/>
  <c r="W276" i="57" a="1"/>
  <c r="W276" i="57" s="1"/>
  <c r="X276" i="57" s="1"/>
  <c r="W131" i="57" a="1"/>
  <c r="W131" i="57" s="1"/>
  <c r="X131" i="57" s="1"/>
  <c r="W58" i="57" a="1"/>
  <c r="W58" i="57" s="1"/>
  <c r="X58" i="57" s="1"/>
  <c r="W289" i="57" a="1"/>
  <c r="W289" i="57" s="1"/>
  <c r="X289" i="57" s="1"/>
  <c r="W161" i="57" a="1"/>
  <c r="W161" i="57" s="1"/>
  <c r="X161" i="57" s="1"/>
  <c r="W52" i="57" a="1"/>
  <c r="W52" i="57" s="1"/>
  <c r="X52" i="57" s="1"/>
  <c r="W180" i="57" a="1"/>
  <c r="W180" i="57" s="1"/>
  <c r="X180" i="57" s="1"/>
  <c r="W94" i="57" a="1"/>
  <c r="W94" i="57" s="1"/>
  <c r="X94" i="57" s="1"/>
  <c r="AA158" i="57"/>
  <c r="N158" i="57"/>
  <c r="Q158" i="57" s="1"/>
  <c r="C215" i="57"/>
  <c r="R214" i="57"/>
  <c r="U214" i="57" s="1"/>
  <c r="Y214" i="57" s="1" a="1"/>
  <c r="Y214" i="57" s="1"/>
  <c r="Z214" i="57" s="1"/>
  <c r="W214" i="57" a="1"/>
  <c r="W214" i="57" s="1"/>
  <c r="X214" i="57" s="1"/>
  <c r="W41" i="57" a="1"/>
  <c r="W41" i="57" s="1"/>
  <c r="X41" i="57" s="1"/>
  <c r="R41" i="57"/>
  <c r="U41" i="57" s="1"/>
  <c r="Y41" i="57" s="1" a="1"/>
  <c r="Y41" i="57" s="1"/>
  <c r="Z41" i="57" s="1"/>
  <c r="C197" i="57"/>
  <c r="C213" i="57"/>
  <c r="AA138" i="57"/>
  <c r="N138" i="57"/>
  <c r="Q138" i="57" s="1"/>
  <c r="AA174" i="57"/>
  <c r="N174" i="57"/>
  <c r="Q174" i="57" s="1"/>
  <c r="AA251" i="57"/>
  <c r="N251" i="57"/>
  <c r="Q251" i="57" s="1"/>
  <c r="Y251" i="57" s="1" a="1"/>
  <c r="Y251" i="57" s="1"/>
  <c r="Z251" i="57" s="1"/>
  <c r="AA32" i="57"/>
  <c r="N32" i="57"/>
  <c r="Q32" i="57" s="1"/>
  <c r="W32" i="57" s="1" a="1"/>
  <c r="W32" i="57" s="1"/>
  <c r="X32" i="57" s="1"/>
  <c r="C6" i="57"/>
  <c r="C43" i="57"/>
  <c r="C298" i="57"/>
  <c r="R299" i="57"/>
  <c r="U299" i="57" s="1"/>
  <c r="Y299" i="57" s="1" a="1"/>
  <c r="Y299" i="57" s="1"/>
  <c r="Z299" i="57" s="1"/>
  <c r="W299" i="57" a="1"/>
  <c r="W299" i="57" s="1"/>
  <c r="X299" i="57" s="1"/>
  <c r="C269" i="57"/>
  <c r="AA228" i="57"/>
  <c r="N228" i="57"/>
  <c r="Q228" i="57" s="1"/>
  <c r="C261" i="57"/>
  <c r="R266" i="57"/>
  <c r="U266" i="57" s="1"/>
  <c r="W182" i="57" a="1"/>
  <c r="W182" i="57" s="1"/>
  <c r="X182" i="57" s="1"/>
  <c r="R182" i="57"/>
  <c r="U182" i="57" s="1"/>
  <c r="W219" i="57" a="1"/>
  <c r="W219" i="57" s="1"/>
  <c r="X219" i="57" s="1"/>
  <c r="R219" i="57"/>
  <c r="U219" i="57" s="1"/>
  <c r="R262" i="57"/>
  <c r="U262" i="57" s="1"/>
  <c r="C163" i="57"/>
  <c r="AA254" i="57"/>
  <c r="N254" i="57"/>
  <c r="Q254" i="57" s="1"/>
  <c r="W254" i="57" s="1" a="1"/>
  <c r="W254" i="57" s="1"/>
  <c r="X254" i="57" s="1"/>
  <c r="AA191" i="57"/>
  <c r="N191" i="57"/>
  <c r="Q191" i="57" s="1"/>
  <c r="Y191" i="57" s="1" a="1"/>
  <c r="Y191" i="57" s="1"/>
  <c r="Z191" i="57" s="1"/>
  <c r="AA264" i="57"/>
  <c r="N264" i="57"/>
  <c r="Q264" i="57" s="1"/>
  <c r="Y264" i="57" s="1" a="1"/>
  <c r="Y264" i="57" s="1"/>
  <c r="Z264" i="57" s="1"/>
  <c r="R166" i="57"/>
  <c r="U166" i="57" s="1"/>
  <c r="AA222" i="57"/>
  <c r="N222" i="57"/>
  <c r="Q222" i="57" s="1"/>
  <c r="AA279" i="57"/>
  <c r="N279" i="57"/>
  <c r="Q279" i="57" s="1"/>
  <c r="Y279" i="57" s="1" a="1"/>
  <c r="Y279" i="57" s="1"/>
  <c r="Z279" i="57" s="1"/>
  <c r="C126" i="57"/>
  <c r="C232" i="57"/>
  <c r="W164" i="57" a="1"/>
  <c r="W164" i="57" s="1"/>
  <c r="X164" i="57" s="1"/>
  <c r="R164" i="57"/>
  <c r="U164" i="57" s="1"/>
  <c r="AA72" i="57"/>
  <c r="N72" i="57"/>
  <c r="Q72" i="57" s="1"/>
  <c r="Y72" i="57" s="1" a="1"/>
  <c r="Y72" i="57" s="1"/>
  <c r="Z72" i="57" s="1"/>
  <c r="C99" i="57"/>
  <c r="C29" i="57"/>
  <c r="C100" i="57"/>
  <c r="R64" i="57"/>
  <c r="U64" i="57" s="1"/>
  <c r="W64" i="57" a="1"/>
  <c r="W64" i="57" s="1"/>
  <c r="X64" i="57" s="1"/>
  <c r="R32" i="57"/>
  <c r="U32" i="57" s="1"/>
  <c r="R13" i="57"/>
  <c r="W13" i="57" a="1"/>
  <c r="W13" i="57" s="1"/>
  <c r="X13" i="57" s="1"/>
  <c r="C11" i="57"/>
  <c r="AA12" i="57"/>
  <c r="N12" i="57"/>
  <c r="Q12" i="57" s="1"/>
  <c r="W206" i="57" a="1"/>
  <c r="W206" i="57" s="1"/>
  <c r="X206" i="57" s="1"/>
  <c r="W183" i="57" a="1"/>
  <c r="W183" i="57" s="1"/>
  <c r="X183" i="57" s="1"/>
  <c r="W120" i="57" a="1"/>
  <c r="W120" i="57" s="1"/>
  <c r="X120" i="57" s="1"/>
  <c r="W204" i="57" a="1"/>
  <c r="W204" i="57" s="1"/>
  <c r="X204" i="57" s="1"/>
  <c r="W114" i="57" a="1"/>
  <c r="W114" i="57" s="1"/>
  <c r="X114" i="57" s="1"/>
  <c r="W50" i="57" a="1"/>
  <c r="W50" i="57" s="1"/>
  <c r="X50" i="57" s="1"/>
  <c r="W44" i="57" a="1"/>
  <c r="W44" i="57" s="1"/>
  <c r="X44" i="57" s="1"/>
  <c r="W173" i="57" a="1"/>
  <c r="W173" i="57" s="1"/>
  <c r="X173" i="57" s="1"/>
  <c r="W78" i="57" a="1"/>
  <c r="W78" i="57" s="1"/>
  <c r="X78" i="57" s="1"/>
  <c r="W47" i="57" a="1"/>
  <c r="W47" i="57" s="1"/>
  <c r="X47" i="57" s="1"/>
  <c r="AA285" i="57"/>
  <c r="N285" i="57"/>
  <c r="Q285" i="57" s="1"/>
  <c r="Y285" i="57" s="1" a="1"/>
  <c r="Y285" i="57" s="1"/>
  <c r="Z285" i="57" s="1"/>
  <c r="AA179" i="57"/>
  <c r="N179" i="57"/>
  <c r="Q179" i="57" s="1"/>
  <c r="Y179" i="57" s="1" a="1"/>
  <c r="Y179" i="57" s="1"/>
  <c r="Z179" i="57" s="1"/>
  <c r="AA187" i="57"/>
  <c r="N187" i="57"/>
  <c r="Q187" i="57" s="1"/>
  <c r="Y187" i="57" s="1" a="1"/>
  <c r="Y187" i="57" s="1"/>
  <c r="Z187" i="57" s="1"/>
  <c r="C155" i="57"/>
  <c r="AA40" i="57"/>
  <c r="N40" i="57"/>
  <c r="Q40" i="57" s="1"/>
  <c r="Y40" i="57" s="1" a="1"/>
  <c r="Y40" i="57" s="1"/>
  <c r="Z40" i="57" s="1"/>
  <c r="AA284" i="57"/>
  <c r="N284" i="57"/>
  <c r="Q284" i="57" s="1"/>
  <c r="Y284" i="57" s="1" a="1"/>
  <c r="Y284" i="57" s="1"/>
  <c r="Z284" i="57" s="1"/>
  <c r="C195" i="57"/>
  <c r="R256" i="57"/>
  <c r="U256" i="57" s="1"/>
  <c r="W256" i="57" a="1"/>
  <c r="W256" i="57" s="1"/>
  <c r="X256" i="57" s="1"/>
  <c r="AA190" i="57"/>
  <c r="N190" i="57"/>
  <c r="Q190" i="57" s="1"/>
  <c r="Y190" i="57" s="1" a="1"/>
  <c r="Y190" i="57" s="1"/>
  <c r="Z190" i="57" s="1"/>
  <c r="C297" i="57"/>
  <c r="C294" i="57"/>
  <c r="C237" i="57"/>
  <c r="AA202" i="57"/>
  <c r="N202" i="57"/>
  <c r="Q202" i="57" s="1"/>
  <c r="Y202" i="57" s="1" a="1"/>
  <c r="Y202" i="57" s="1"/>
  <c r="Z202" i="57" s="1"/>
  <c r="C253" i="57"/>
  <c r="R260" i="57"/>
  <c r="U260" i="57" s="1"/>
  <c r="W260" i="57" a="1"/>
  <c r="W260" i="57" s="1"/>
  <c r="X260" i="57" s="1"/>
  <c r="C280" i="57"/>
  <c r="C172" i="57"/>
  <c r="C230" i="57"/>
  <c r="R227" i="57"/>
  <c r="U227" i="57" s="1"/>
  <c r="R153" i="57"/>
  <c r="U153" i="57" s="1"/>
  <c r="W153" i="57" a="1"/>
  <c r="W153" i="57" s="1"/>
  <c r="X153" i="57" s="1"/>
  <c r="R254" i="57"/>
  <c r="U254" i="57" s="1"/>
  <c r="R191" i="57"/>
  <c r="U191" i="57" s="1"/>
  <c r="C231" i="57"/>
  <c r="AA166" i="57"/>
  <c r="N166" i="57"/>
  <c r="Q166" i="57" s="1"/>
  <c r="Y166" i="57" s="1" a="1"/>
  <c r="Y166" i="57" s="1"/>
  <c r="Z166" i="57" s="1"/>
  <c r="R222" i="57"/>
  <c r="U222" i="57" s="1"/>
  <c r="W222" i="57" a="1"/>
  <c r="W222" i="57" s="1"/>
  <c r="X222" i="57" s="1"/>
  <c r="C171" i="57"/>
  <c r="AA255" i="57"/>
  <c r="N255" i="57"/>
  <c r="Q255" i="57" s="1"/>
  <c r="R146" i="57"/>
  <c r="U146" i="57" s="1"/>
  <c r="R130" i="57"/>
  <c r="U130" i="57" s="1"/>
  <c r="AA64" i="57"/>
  <c r="N64" i="57"/>
  <c r="Q64" i="57" s="1"/>
  <c r="Y64" i="57" s="1" a="1"/>
  <c r="Y64" i="57" s="1"/>
  <c r="Z64" i="57" s="1"/>
  <c r="C86" i="57"/>
  <c r="C85" i="57"/>
  <c r="C21" i="57"/>
  <c r="C91" i="57"/>
  <c r="C59" i="57"/>
  <c r="C27" i="57"/>
  <c r="W257" i="57" a="1"/>
  <c r="W257" i="57" s="1"/>
  <c r="X257" i="57" s="1"/>
  <c r="W271" i="57" a="1"/>
  <c r="W271" i="57" s="1"/>
  <c r="X271" i="57" s="1"/>
  <c r="W292" i="57" a="1"/>
  <c r="W292" i="57" s="1"/>
  <c r="X292" i="57" s="1"/>
  <c r="W291" i="57" a="1"/>
  <c r="W291" i="57" s="1"/>
  <c r="X291" i="57" s="1"/>
  <c r="AA19" i="57"/>
  <c r="N19" i="57"/>
  <c r="Q19" i="57" s="1"/>
  <c r="W212" i="57" a="1"/>
  <c r="W212" i="57" s="1"/>
  <c r="X212" i="57" s="1"/>
  <c r="W151" i="57" a="1"/>
  <c r="W151" i="57" s="1"/>
  <c r="X151" i="57" s="1"/>
  <c r="W112" i="57" a="1"/>
  <c r="W112" i="57" s="1"/>
  <c r="X112" i="57" s="1"/>
  <c r="W145" i="57" a="1"/>
  <c r="W145" i="57" s="1"/>
  <c r="X145" i="57" s="1"/>
  <c r="W106" i="57" a="1"/>
  <c r="W106" i="57" s="1"/>
  <c r="X106" i="57" s="1"/>
  <c r="W42" i="57" a="1"/>
  <c r="W42" i="57" s="1"/>
  <c r="X42" i="57" s="1"/>
  <c r="W270" i="57" a="1"/>
  <c r="W270" i="57" s="1"/>
  <c r="X270" i="57" s="1"/>
  <c r="Y124" i="57" a="1"/>
  <c r="Y124" i="57" s="1"/>
  <c r="Z124" i="57" s="1"/>
  <c r="W36" i="57" a="1"/>
  <c r="W36" i="57" s="1"/>
  <c r="X36" i="57" s="1"/>
  <c r="W70" i="57" a="1"/>
  <c r="W70" i="57" s="1"/>
  <c r="X70" i="57" s="1"/>
  <c r="W31" i="57" a="1"/>
  <c r="W31" i="57" s="1"/>
  <c r="X31" i="57" s="1"/>
  <c r="R228" i="57"/>
  <c r="U228" i="57" s="1"/>
  <c r="W228" i="57" a="1"/>
  <c r="W228" i="57" s="1"/>
  <c r="X228" i="57" s="1"/>
  <c r="R169" i="57"/>
  <c r="U169" i="57" s="1"/>
  <c r="Y169" i="57" s="1" a="1"/>
  <c r="Y169" i="57" s="1"/>
  <c r="Z169" i="57" s="1"/>
  <c r="W169" i="57" a="1"/>
  <c r="W169" i="57" s="1"/>
  <c r="X169" i="57" s="1"/>
  <c r="W174" i="57" a="1"/>
  <c r="W174" i="57" s="1"/>
  <c r="X174" i="57" s="1"/>
  <c r="R174" i="57"/>
  <c r="U174" i="57" s="1"/>
  <c r="AA227" i="57"/>
  <c r="N227" i="57"/>
  <c r="Q227" i="57" s="1"/>
  <c r="Y227" i="57" s="1" a="1"/>
  <c r="Y227" i="57" s="1"/>
  <c r="Z227" i="57" s="1"/>
  <c r="W122" i="57" a="1"/>
  <c r="W122" i="57" s="1"/>
  <c r="X122" i="57" s="1"/>
  <c r="R122" i="57"/>
  <c r="U122" i="57" s="1"/>
  <c r="C14" i="57"/>
  <c r="R80" i="57"/>
  <c r="U80" i="57" s="1"/>
  <c r="W80" i="57" a="1"/>
  <c r="W80" i="57" s="1"/>
  <c r="X80" i="57" s="1"/>
  <c r="R224" i="57"/>
  <c r="U224" i="57" s="1"/>
  <c r="W224" i="57" a="1"/>
  <c r="W224" i="57" s="1"/>
  <c r="X224" i="57" s="1"/>
  <c r="C296" i="57"/>
  <c r="C205" i="57"/>
  <c r="C229" i="57"/>
  <c r="C245" i="57"/>
  <c r="C200" i="57"/>
  <c r="R152" i="57"/>
  <c r="U152" i="57" s="1"/>
  <c r="C259" i="57"/>
  <c r="AA152" i="57"/>
  <c r="N152" i="57"/>
  <c r="Q152" i="57" s="1"/>
  <c r="Y152" i="57" s="1" a="1"/>
  <c r="Y152" i="57" s="1"/>
  <c r="Z152" i="57" s="1"/>
  <c r="AA262" i="57"/>
  <c r="N262" i="57"/>
  <c r="Q262" i="57" s="1"/>
  <c r="Y262" i="57" s="1" a="1"/>
  <c r="Y262" i="57" s="1"/>
  <c r="Z262" i="57" s="1"/>
  <c r="C157" i="57"/>
  <c r="W255" i="57" a="1"/>
  <c r="W255" i="57" s="1"/>
  <c r="X255" i="57" s="1"/>
  <c r="R255" i="57"/>
  <c r="U255" i="57" s="1"/>
  <c r="R192" i="57"/>
  <c r="U192" i="57" s="1"/>
  <c r="W138" i="57" a="1"/>
  <c r="W138" i="57" s="1"/>
  <c r="X138" i="57" s="1"/>
  <c r="R138" i="57"/>
  <c r="U138" i="57" s="1"/>
  <c r="AA130" i="57"/>
  <c r="N130" i="57"/>
  <c r="Q130" i="57" s="1"/>
  <c r="AA56" i="57"/>
  <c r="N56" i="57"/>
  <c r="Q56" i="57" s="1"/>
  <c r="Y56" i="57" s="1" a="1"/>
  <c r="Y56" i="57" s="1"/>
  <c r="Z56" i="57" s="1"/>
  <c r="C22" i="57"/>
  <c r="C77" i="57"/>
  <c r="R88" i="57"/>
  <c r="U88" i="57" s="1"/>
  <c r="W88" i="57" a="1"/>
  <c r="W88" i="57" s="1"/>
  <c r="X88" i="57" s="1"/>
  <c r="R56" i="57"/>
  <c r="U56" i="57" s="1"/>
  <c r="W56" i="57" a="1"/>
  <c r="W56" i="57" s="1"/>
  <c r="X56" i="57" s="1"/>
  <c r="R24" i="57"/>
  <c r="U24" i="57" s="1"/>
  <c r="W24" i="57" a="1"/>
  <c r="W24" i="57" s="1"/>
  <c r="X24" i="57" s="1"/>
  <c r="R12" i="57"/>
  <c r="U12" i="57" s="1"/>
  <c r="W12" i="57" a="1"/>
  <c r="W12" i="57" s="1"/>
  <c r="X12" i="57" s="1"/>
  <c r="R300" i="57"/>
  <c r="U300" i="57" s="1"/>
  <c r="Y300" i="57" s="1" a="1"/>
  <c r="Y300" i="57" s="1"/>
  <c r="Z300" i="57" s="1"/>
  <c r="R295" i="57"/>
  <c r="U295" i="57" s="1"/>
  <c r="R288" i="57"/>
  <c r="U288" i="57" s="1"/>
  <c r="R280" i="57"/>
  <c r="U280" i="57" s="1"/>
  <c r="R272" i="57"/>
  <c r="U272" i="57" s="1"/>
  <c r="Y272" i="57" s="1" a="1"/>
  <c r="Y272" i="57" s="1"/>
  <c r="Z272" i="57" s="1"/>
  <c r="R248" i="57"/>
  <c r="U248" i="57" s="1"/>
  <c r="R240" i="57"/>
  <c r="U240" i="57" s="1"/>
  <c r="Y240" i="57" s="1" a="1"/>
  <c r="Y240" i="57" s="1"/>
  <c r="Z240" i="57" s="1"/>
  <c r="R232" i="57"/>
  <c r="U232" i="57" s="1"/>
  <c r="R290" i="57"/>
  <c r="U290" i="57" s="1"/>
  <c r="Y290" i="57" s="1" a="1"/>
  <c r="Y290" i="57" s="1"/>
  <c r="Z290" i="57" s="1"/>
  <c r="R282" i="57"/>
  <c r="U282" i="57" s="1"/>
  <c r="Y282" i="57" s="1" a="1"/>
  <c r="Y282" i="57" s="1"/>
  <c r="Z282" i="57" s="1"/>
  <c r="R274" i="57"/>
  <c r="U274" i="57" s="1"/>
  <c r="Y274" i="57" s="1" a="1"/>
  <c r="Y274" i="57" s="1"/>
  <c r="Z274" i="57" s="1"/>
  <c r="R258" i="57"/>
  <c r="U258" i="57" s="1"/>
  <c r="Y258" i="57" s="1" a="1"/>
  <c r="Y258" i="57" s="1"/>
  <c r="Z258" i="57" s="1"/>
  <c r="R250" i="57"/>
  <c r="U250" i="57" s="1"/>
  <c r="Y250" i="57" s="1" a="1"/>
  <c r="Y250" i="57" s="1"/>
  <c r="Z250" i="57" s="1"/>
  <c r="R242" i="57"/>
  <c r="U242" i="57" s="1"/>
  <c r="Y242" i="57" s="1" a="1"/>
  <c r="Y242" i="57" s="1"/>
  <c r="Z242" i="57" s="1"/>
  <c r="R226" i="57"/>
  <c r="U226" i="57" s="1"/>
  <c r="Y226" i="57" s="1" a="1"/>
  <c r="Y226" i="57" s="1"/>
  <c r="Z226" i="57" s="1"/>
  <c r="R292" i="57"/>
  <c r="U292" i="57" s="1"/>
  <c r="Y292" i="57" s="1" a="1"/>
  <c r="Y292" i="57" s="1"/>
  <c r="Z292" i="57" s="1"/>
  <c r="R276" i="57"/>
  <c r="U276" i="57" s="1"/>
  <c r="Y276" i="57" s="1" a="1"/>
  <c r="Y276" i="57" s="1"/>
  <c r="Z276" i="57" s="1"/>
  <c r="R268" i="57"/>
  <c r="U268" i="57" s="1"/>
  <c r="R252" i="57"/>
  <c r="U252" i="57" s="1"/>
  <c r="R244" i="57"/>
  <c r="U244" i="57" s="1"/>
  <c r="R236" i="57"/>
  <c r="U236" i="57" s="1"/>
  <c r="Y236" i="57" s="1" a="1"/>
  <c r="Y236" i="57" s="1"/>
  <c r="Z236" i="57" s="1"/>
  <c r="R293" i="57"/>
  <c r="U293" i="57" s="1"/>
  <c r="R277" i="57"/>
  <c r="U277" i="57" s="1"/>
  <c r="R269" i="57"/>
  <c r="U269" i="57" s="1"/>
  <c r="R261" i="57"/>
  <c r="U261" i="57" s="1"/>
  <c r="R253" i="57"/>
  <c r="U253" i="57" s="1"/>
  <c r="R245" i="57"/>
  <c r="U245" i="57" s="1"/>
  <c r="R286" i="57"/>
  <c r="U286" i="57" s="1"/>
  <c r="R246" i="57"/>
  <c r="U246" i="57" s="1"/>
  <c r="Y246" i="57" s="1" a="1"/>
  <c r="Y246" i="57" s="1"/>
  <c r="Z246" i="57" s="1"/>
  <c r="R221" i="57"/>
  <c r="U221" i="57" s="1"/>
  <c r="R213" i="57"/>
  <c r="U213" i="57" s="1"/>
  <c r="R205" i="57"/>
  <c r="U205" i="57" s="1"/>
  <c r="R197" i="57"/>
  <c r="U197" i="57" s="1"/>
  <c r="R189" i="57"/>
  <c r="U189" i="57" s="1"/>
  <c r="R289" i="57"/>
  <c r="U289" i="57" s="1"/>
  <c r="Y289" i="57" s="1" a="1"/>
  <c r="Y289" i="57" s="1"/>
  <c r="Z289" i="57" s="1"/>
  <c r="R265" i="57"/>
  <c r="U265" i="57" s="1"/>
  <c r="Y265" i="57" s="1" a="1"/>
  <c r="Y265" i="57" s="1"/>
  <c r="Z265" i="57" s="1"/>
  <c r="R249" i="57"/>
  <c r="U249" i="57" s="1"/>
  <c r="Y249" i="57" s="1" a="1"/>
  <c r="Y249" i="57" s="1"/>
  <c r="Z249" i="57" s="1"/>
  <c r="R230" i="57"/>
  <c r="U230" i="57" s="1"/>
  <c r="R206" i="57"/>
  <c r="U206" i="57" s="1"/>
  <c r="Y206" i="57" s="1" a="1"/>
  <c r="Y206" i="57" s="1"/>
  <c r="Z206" i="57" s="1"/>
  <c r="R198" i="57"/>
  <c r="U198" i="57" s="1"/>
  <c r="R291" i="57"/>
  <c r="U291" i="57" s="1"/>
  <c r="Y291" i="57" s="1" a="1"/>
  <c r="Y291" i="57" s="1"/>
  <c r="Z291" i="57" s="1"/>
  <c r="R273" i="57"/>
  <c r="U273" i="57" s="1"/>
  <c r="R267" i="57"/>
  <c r="U267" i="57" s="1"/>
  <c r="Y267" i="57" s="1" a="1"/>
  <c r="Y267" i="57" s="1"/>
  <c r="Z267" i="57" s="1"/>
  <c r="R239" i="57"/>
  <c r="U239" i="57" s="1"/>
  <c r="Y239" i="57" s="1" a="1"/>
  <c r="Y239" i="57" s="1"/>
  <c r="Z239" i="57" s="1"/>
  <c r="R215" i="57"/>
  <c r="U215" i="57" s="1"/>
  <c r="R207" i="57"/>
  <c r="U207" i="57" s="1"/>
  <c r="R298" i="57"/>
  <c r="U298" i="57" s="1"/>
  <c r="R294" i="57"/>
  <c r="U294" i="57" s="1"/>
  <c r="R270" i="57"/>
  <c r="U270" i="57" s="1"/>
  <c r="Y270" i="57" s="1" a="1"/>
  <c r="Y270" i="57" s="1"/>
  <c r="Z270" i="57" s="1"/>
  <c r="R237" i="57"/>
  <c r="U237" i="57" s="1"/>
  <c r="R235" i="57"/>
  <c r="U235" i="57" s="1"/>
  <c r="Y235" i="57" s="1" a="1"/>
  <c r="Y235" i="57" s="1"/>
  <c r="Z235" i="57" s="1"/>
  <c r="R216" i="57"/>
  <c r="U216" i="57" s="1"/>
  <c r="R208" i="57"/>
  <c r="U208" i="57" s="1"/>
  <c r="Y208" i="57" s="1" a="1"/>
  <c r="Y208" i="57" s="1"/>
  <c r="Z208" i="57" s="1"/>
  <c r="R200" i="57"/>
  <c r="U200" i="57" s="1"/>
  <c r="R184" i="57"/>
  <c r="U184" i="57" s="1"/>
  <c r="R281" i="57"/>
  <c r="U281" i="57" s="1"/>
  <c r="Y281" i="57" s="1" a="1"/>
  <c r="Y281" i="57" s="1"/>
  <c r="Z281" i="57" s="1"/>
  <c r="R257" i="57"/>
  <c r="U257" i="57" s="1"/>
  <c r="Y257" i="57" s="1" a="1"/>
  <c r="Y257" i="57" s="1"/>
  <c r="Z257" i="57" s="1"/>
  <c r="R229" i="57"/>
  <c r="U229" i="57" s="1"/>
  <c r="R218" i="57"/>
  <c r="U218" i="57" s="1"/>
  <c r="Y218" i="57" s="1" a="1"/>
  <c r="Y218" i="57" s="1"/>
  <c r="Z218" i="57" s="1"/>
  <c r="R210" i="57"/>
  <c r="U210" i="57" s="1"/>
  <c r="Y210" i="57" s="1" a="1"/>
  <c r="Y210" i="57" s="1"/>
  <c r="Z210" i="57" s="1"/>
  <c r="R194" i="57"/>
  <c r="U194" i="57" s="1"/>
  <c r="Y194" i="57" s="1" a="1"/>
  <c r="Y194" i="57" s="1"/>
  <c r="Z194" i="57" s="1"/>
  <c r="R186" i="57"/>
  <c r="U186" i="57" s="1"/>
  <c r="Y186" i="57" s="1" a="1"/>
  <c r="Y186" i="57" s="1"/>
  <c r="Z186" i="57" s="1"/>
  <c r="R296" i="57"/>
  <c r="U296" i="57" s="1"/>
  <c r="R271" i="57"/>
  <c r="U271" i="57" s="1"/>
  <c r="Y271" i="57" s="1" a="1"/>
  <c r="Y271" i="57" s="1"/>
  <c r="Z271" i="57" s="1"/>
  <c r="R241" i="57"/>
  <c r="U241" i="57" s="1"/>
  <c r="R211" i="57"/>
  <c r="U211" i="57" s="1"/>
  <c r="Y211" i="57" s="1" a="1"/>
  <c r="Y211" i="57" s="1"/>
  <c r="Z211" i="57" s="1"/>
  <c r="R203" i="57"/>
  <c r="U203" i="57" s="1"/>
  <c r="Y203" i="57" s="1" a="1"/>
  <c r="Y203" i="57" s="1"/>
  <c r="Z203" i="57" s="1"/>
  <c r="R287" i="57"/>
  <c r="U287" i="57" s="1"/>
  <c r="R259" i="57"/>
  <c r="U259" i="57" s="1"/>
  <c r="R204" i="57"/>
  <c r="U204" i="57" s="1"/>
  <c r="Y204" i="57" s="1" a="1"/>
  <c r="Y204" i="57" s="1"/>
  <c r="Z204" i="57" s="1"/>
  <c r="R193" i="57"/>
  <c r="U193" i="57" s="1"/>
  <c r="Y193" i="57" s="1" a="1"/>
  <c r="Y193" i="57" s="1"/>
  <c r="Z193" i="57" s="1"/>
  <c r="R183" i="57"/>
  <c r="U183" i="57" s="1"/>
  <c r="Y183" i="57" s="1" a="1"/>
  <c r="Y183" i="57" s="1"/>
  <c r="Z183" i="57" s="1"/>
  <c r="R175" i="57"/>
  <c r="U175" i="57" s="1"/>
  <c r="Y175" i="57" s="1" a="1"/>
  <c r="Y175" i="57" s="1"/>
  <c r="Z175" i="57" s="1"/>
  <c r="R167" i="57"/>
  <c r="U167" i="57" s="1"/>
  <c r="Y167" i="57" s="1" a="1"/>
  <c r="Y167" i="57" s="1"/>
  <c r="Z167" i="57" s="1"/>
  <c r="R159" i="57"/>
  <c r="U159" i="57" s="1"/>
  <c r="Y159" i="57" s="1" a="1"/>
  <c r="Y159" i="57" s="1"/>
  <c r="Z159" i="57" s="1"/>
  <c r="R151" i="57"/>
  <c r="U151" i="57" s="1"/>
  <c r="Y151" i="57" s="1" a="1"/>
  <c r="Y151" i="57" s="1"/>
  <c r="Z151" i="57" s="1"/>
  <c r="R143" i="57"/>
  <c r="U143" i="57" s="1"/>
  <c r="R135" i="57"/>
  <c r="U135" i="57" s="1"/>
  <c r="R127" i="57"/>
  <c r="U127" i="57" s="1"/>
  <c r="R220" i="57"/>
  <c r="U220" i="57" s="1"/>
  <c r="Y220" i="57" s="1" a="1"/>
  <c r="Y220" i="57" s="1"/>
  <c r="Z220" i="57" s="1"/>
  <c r="R176" i="57"/>
  <c r="U176" i="57" s="1"/>
  <c r="R160" i="57"/>
  <c r="U160" i="57" s="1"/>
  <c r="Y160" i="57" s="1" a="1"/>
  <c r="Y160" i="57" s="1"/>
  <c r="Z160" i="57" s="1"/>
  <c r="R144" i="57"/>
  <c r="U144" i="57" s="1"/>
  <c r="Y144" i="57" s="1" a="1"/>
  <c r="Y144" i="57" s="1"/>
  <c r="Z144" i="57" s="1"/>
  <c r="R136" i="57"/>
  <c r="U136" i="57" s="1"/>
  <c r="Y136" i="57" s="1" a="1"/>
  <c r="Y136" i="57" s="1"/>
  <c r="Z136" i="57" s="1"/>
  <c r="R128" i="57"/>
  <c r="U128" i="57" s="1"/>
  <c r="Y128" i="57" s="1" a="1"/>
  <c r="Y128" i="57" s="1"/>
  <c r="Z128" i="57" s="1"/>
  <c r="R195" i="57"/>
  <c r="U195" i="57" s="1"/>
  <c r="R161" i="57"/>
  <c r="U161" i="57" s="1"/>
  <c r="Y161" i="57" s="1" a="1"/>
  <c r="Y161" i="57" s="1"/>
  <c r="Z161" i="57" s="1"/>
  <c r="R145" i="57"/>
  <c r="U145" i="57" s="1"/>
  <c r="Y145" i="57" s="1" a="1"/>
  <c r="Y145" i="57" s="1"/>
  <c r="Z145" i="57" s="1"/>
  <c r="R297" i="57"/>
  <c r="U297" i="57" s="1"/>
  <c r="R283" i="57"/>
  <c r="U283" i="57" s="1"/>
  <c r="R263" i="57"/>
  <c r="U263" i="57" s="1"/>
  <c r="R171" i="57"/>
  <c r="U171" i="57" s="1"/>
  <c r="R163" i="57"/>
  <c r="U163" i="57" s="1"/>
  <c r="R155" i="57"/>
  <c r="U155" i="57" s="1"/>
  <c r="R147" i="57"/>
  <c r="U147" i="57" s="1"/>
  <c r="Y147" i="57" s="1" a="1"/>
  <c r="Y147" i="57" s="1"/>
  <c r="Z147" i="57" s="1"/>
  <c r="R139" i="57"/>
  <c r="U139" i="57" s="1"/>
  <c r="Y139" i="57" s="1" a="1"/>
  <c r="Y139" i="57" s="1"/>
  <c r="Z139" i="57" s="1"/>
  <c r="R131" i="57"/>
  <c r="U131" i="57" s="1"/>
  <c r="Y131" i="57" s="1" a="1"/>
  <c r="Y131" i="57" s="1"/>
  <c r="Z131" i="57" s="1"/>
  <c r="R247" i="57"/>
  <c r="U247" i="57" s="1"/>
  <c r="R233" i="57"/>
  <c r="U233" i="57" s="1"/>
  <c r="Y233" i="57" s="1" a="1"/>
  <c r="Y233" i="57" s="1"/>
  <c r="Z233" i="57" s="1"/>
  <c r="R180" i="57"/>
  <c r="U180" i="57" s="1"/>
  <c r="Y180" i="57" s="1" a="1"/>
  <c r="Y180" i="57" s="1"/>
  <c r="Z180" i="57" s="1"/>
  <c r="R172" i="57"/>
  <c r="U172" i="57" s="1"/>
  <c r="R156" i="57"/>
  <c r="U156" i="57" s="1"/>
  <c r="R148" i="57"/>
  <c r="U148" i="57" s="1"/>
  <c r="Y148" i="57" s="1" a="1"/>
  <c r="Y148" i="57" s="1"/>
  <c r="Z148" i="57" s="1"/>
  <c r="R140" i="57"/>
  <c r="U140" i="57" s="1"/>
  <c r="R132" i="57"/>
  <c r="U132" i="57" s="1"/>
  <c r="Y132" i="57" s="1" a="1"/>
  <c r="Y132" i="57" s="1"/>
  <c r="Z132" i="57" s="1"/>
  <c r="R231" i="57"/>
  <c r="U231" i="57" s="1"/>
  <c r="R188" i="57"/>
  <c r="U188" i="57" s="1"/>
  <c r="Y188" i="57" s="1" a="1"/>
  <c r="Y188" i="57" s="1"/>
  <c r="Z188" i="57" s="1"/>
  <c r="R181" i="57"/>
  <c r="U181" i="57" s="1"/>
  <c r="R173" i="57"/>
  <c r="U173" i="57" s="1"/>
  <c r="Y173" i="57" s="1" a="1"/>
  <c r="Y173" i="57" s="1"/>
  <c r="Z173" i="57" s="1"/>
  <c r="R157" i="57"/>
  <c r="U157" i="57" s="1"/>
  <c r="R149" i="57"/>
  <c r="U149" i="57" s="1"/>
  <c r="R141" i="57"/>
  <c r="U141" i="57" s="1"/>
  <c r="Y141" i="57" s="1" a="1"/>
  <c r="Y141" i="57" s="1"/>
  <c r="Z141" i="57" s="1"/>
  <c r="R133" i="57"/>
  <c r="U133" i="57" s="1"/>
  <c r="R212" i="57"/>
  <c r="U212" i="57" s="1"/>
  <c r="Y212" i="57" s="1" a="1"/>
  <c r="Y212" i="57" s="1"/>
  <c r="Z212" i="57" s="1"/>
  <c r="R201" i="57"/>
  <c r="U201" i="57" s="1"/>
  <c r="Y201" i="57" s="1" a="1"/>
  <c r="Y201" i="57" s="1"/>
  <c r="Z201" i="57" s="1"/>
  <c r="R116" i="57"/>
  <c r="U116" i="57" s="1"/>
  <c r="R108" i="57"/>
  <c r="U108" i="57" s="1"/>
  <c r="R100" i="57"/>
  <c r="U100" i="57" s="1"/>
  <c r="R92" i="57"/>
  <c r="U92" i="57" s="1"/>
  <c r="R84" i="57"/>
  <c r="U84" i="57" s="1"/>
  <c r="R76" i="57"/>
  <c r="U76" i="57" s="1"/>
  <c r="Y76" i="57" s="1" a="1"/>
  <c r="Y76" i="57" s="1"/>
  <c r="Z76" i="57" s="1"/>
  <c r="R68" i="57"/>
  <c r="U68" i="57" s="1"/>
  <c r="Y68" i="57" s="1" a="1"/>
  <c r="Y68" i="57" s="1"/>
  <c r="Z68" i="57" s="1"/>
  <c r="R60" i="57"/>
  <c r="U60" i="57" s="1"/>
  <c r="Y60" i="57" s="1" a="1"/>
  <c r="Y60" i="57" s="1"/>
  <c r="Z60" i="57" s="1"/>
  <c r="R52" i="57"/>
  <c r="U52" i="57" s="1"/>
  <c r="Y52" i="57" s="1" a="1"/>
  <c r="Y52" i="57" s="1"/>
  <c r="Z52" i="57" s="1"/>
  <c r="R44" i="57"/>
  <c r="U44" i="57" s="1"/>
  <c r="Y44" i="57" s="1" a="1"/>
  <c r="Y44" i="57" s="1"/>
  <c r="Z44" i="57" s="1"/>
  <c r="R36" i="57"/>
  <c r="U36" i="57" s="1"/>
  <c r="Y36" i="57" s="1" a="1"/>
  <c r="Y36" i="57" s="1"/>
  <c r="Z36" i="57" s="1"/>
  <c r="R28" i="57"/>
  <c r="U28" i="57" s="1"/>
  <c r="R20" i="57"/>
  <c r="U20" i="57" s="1"/>
  <c r="R4" i="57"/>
  <c r="U4" i="57" s="1"/>
  <c r="Y4" i="57" s="1" a="1"/>
  <c r="Y4" i="57" s="1"/>
  <c r="Z4" i="57" s="1"/>
  <c r="R209" i="57"/>
  <c r="U209" i="57" s="1"/>
  <c r="Y209" i="57" s="1" a="1"/>
  <c r="Y209" i="57" s="1"/>
  <c r="Z209" i="57" s="1"/>
  <c r="R170" i="57"/>
  <c r="U170" i="57" s="1"/>
  <c r="Y170" i="57" s="1" a="1"/>
  <c r="Y170" i="57" s="1"/>
  <c r="Z170" i="57" s="1"/>
  <c r="R134" i="57"/>
  <c r="U134" i="57" s="1"/>
  <c r="R125" i="57"/>
  <c r="U125" i="57" s="1"/>
  <c r="Y125" i="57" s="1" a="1"/>
  <c r="Y125" i="57" s="1"/>
  <c r="Z125" i="57" s="1"/>
  <c r="R117" i="57"/>
  <c r="U117" i="57" s="1"/>
  <c r="Y117" i="57" s="1" a="1"/>
  <c r="Y117" i="57" s="1"/>
  <c r="Z117" i="57" s="1"/>
  <c r="R109" i="57"/>
  <c r="U109" i="57" s="1"/>
  <c r="Y109" i="57" s="1" a="1"/>
  <c r="Y109" i="57" s="1"/>
  <c r="Z109" i="57" s="1"/>
  <c r="R101" i="57"/>
  <c r="U101" i="57" s="1"/>
  <c r="Y101" i="57" s="1" a="1"/>
  <c r="Y101" i="57" s="1"/>
  <c r="Z101" i="57" s="1"/>
  <c r="R93" i="57"/>
  <c r="U93" i="57" s="1"/>
  <c r="Y93" i="57" s="1" a="1"/>
  <c r="Y93" i="57" s="1"/>
  <c r="Z93" i="57" s="1"/>
  <c r="R85" i="57"/>
  <c r="U85" i="57" s="1"/>
  <c r="R77" i="57"/>
  <c r="U77" i="57" s="1"/>
  <c r="R69" i="57"/>
  <c r="U69" i="57" s="1"/>
  <c r="R61" i="57"/>
  <c r="U61" i="57" s="1"/>
  <c r="R53" i="57"/>
  <c r="U53" i="57" s="1"/>
  <c r="R45" i="57"/>
  <c r="U45" i="57" s="1"/>
  <c r="R37" i="57"/>
  <c r="U37" i="57" s="1"/>
  <c r="R29" i="57"/>
  <c r="U29" i="57" s="1"/>
  <c r="R21" i="57"/>
  <c r="U21" i="57" s="1"/>
  <c r="R142" i="57"/>
  <c r="U142" i="57" s="1"/>
  <c r="R129" i="57"/>
  <c r="U129" i="57" s="1"/>
  <c r="Y129" i="57" s="1" a="1"/>
  <c r="Y129" i="57" s="1"/>
  <c r="Z129" i="57" s="1"/>
  <c r="R126" i="57"/>
  <c r="U126" i="57" s="1"/>
  <c r="R118" i="57"/>
  <c r="U118" i="57" s="1"/>
  <c r="R102" i="57"/>
  <c r="U102" i="57" s="1"/>
  <c r="Y102" i="57" s="1" a="1"/>
  <c r="Y102" i="57" s="1"/>
  <c r="Z102" i="57" s="1"/>
  <c r="R94" i="57"/>
  <c r="U94" i="57" s="1"/>
  <c r="Y94" i="57" s="1" a="1"/>
  <c r="Y94" i="57" s="1"/>
  <c r="Z94" i="57" s="1"/>
  <c r="R86" i="57"/>
  <c r="U86" i="57" s="1"/>
  <c r="R78" i="57"/>
  <c r="U78" i="57" s="1"/>
  <c r="Y78" i="57" s="1" a="1"/>
  <c r="Y78" i="57" s="1"/>
  <c r="Z78" i="57" s="1"/>
  <c r="R70" i="57"/>
  <c r="U70" i="57" s="1"/>
  <c r="Y70" i="57" s="1" a="1"/>
  <c r="Y70" i="57" s="1"/>
  <c r="Z70" i="57" s="1"/>
  <c r="R62" i="57"/>
  <c r="U62" i="57" s="1"/>
  <c r="R54" i="57"/>
  <c r="U54" i="57" s="1"/>
  <c r="R46" i="57"/>
  <c r="U46" i="57" s="1"/>
  <c r="Y46" i="57" s="1" a="1"/>
  <c r="Y46" i="57" s="1"/>
  <c r="Z46" i="57" s="1"/>
  <c r="R38" i="57"/>
  <c r="U38" i="57" s="1"/>
  <c r="Y38" i="57" s="1" a="1"/>
  <c r="Y38" i="57" s="1"/>
  <c r="Z38" i="57" s="1"/>
  <c r="R30" i="57"/>
  <c r="U30" i="57" s="1"/>
  <c r="Y30" i="57" s="1" a="1"/>
  <c r="Y30" i="57" s="1"/>
  <c r="Z30" i="57" s="1"/>
  <c r="R22" i="57"/>
  <c r="U22" i="57" s="1"/>
  <c r="R14" i="57"/>
  <c r="U14" i="57" s="1"/>
  <c r="R6" i="57"/>
  <c r="U6" i="57" s="1"/>
  <c r="R178" i="57"/>
  <c r="U178" i="57" s="1"/>
  <c r="Y178" i="57" s="1" a="1"/>
  <c r="Y178" i="57" s="1"/>
  <c r="Z178" i="57" s="1"/>
  <c r="R137" i="57"/>
  <c r="U137" i="57" s="1"/>
  <c r="Y137" i="57" s="1" a="1"/>
  <c r="Y137" i="57" s="1"/>
  <c r="Z137" i="57" s="1"/>
  <c r="R119" i="57"/>
  <c r="U119" i="57" s="1"/>
  <c r="R103" i="57"/>
  <c r="U103" i="57" s="1"/>
  <c r="Y103" i="57" s="1" a="1"/>
  <c r="Y103" i="57" s="1"/>
  <c r="Z103" i="57" s="1"/>
  <c r="R95" i="57"/>
  <c r="U95" i="57" s="1"/>
  <c r="Y95" i="57" s="1" a="1"/>
  <c r="Y95" i="57" s="1"/>
  <c r="Z95" i="57" s="1"/>
  <c r="R87" i="57"/>
  <c r="U87" i="57" s="1"/>
  <c r="Y87" i="57" s="1" a="1"/>
  <c r="Y87" i="57" s="1"/>
  <c r="Z87" i="57" s="1"/>
  <c r="R79" i="57"/>
  <c r="U79" i="57" s="1"/>
  <c r="Y79" i="57" s="1" a="1"/>
  <c r="Y79" i="57" s="1"/>
  <c r="Z79" i="57" s="1"/>
  <c r="R71" i="57"/>
  <c r="U71" i="57" s="1"/>
  <c r="Y71" i="57" s="1" a="1"/>
  <c r="Y71" i="57" s="1"/>
  <c r="Z71" i="57" s="1"/>
  <c r="R63" i="57"/>
  <c r="U63" i="57" s="1"/>
  <c r="Y63" i="57" s="1" a="1"/>
  <c r="Y63" i="57" s="1"/>
  <c r="Z63" i="57" s="1"/>
  <c r="R55" i="57"/>
  <c r="U55" i="57" s="1"/>
  <c r="Y55" i="57" s="1" a="1"/>
  <c r="Y55" i="57" s="1"/>
  <c r="Z55" i="57" s="1"/>
  <c r="R47" i="57"/>
  <c r="U47" i="57" s="1"/>
  <c r="Y47" i="57" s="1" a="1"/>
  <c r="Y47" i="57" s="1"/>
  <c r="Z47" i="57" s="1"/>
  <c r="R39" i="57"/>
  <c r="U39" i="57" s="1"/>
  <c r="Y39" i="57" s="1" a="1"/>
  <c r="Y39" i="57" s="1"/>
  <c r="Z39" i="57" s="1"/>
  <c r="R31" i="57"/>
  <c r="U31" i="57" s="1"/>
  <c r="Y31" i="57" s="1" a="1"/>
  <c r="Y31" i="57" s="1"/>
  <c r="Z31" i="57" s="1"/>
  <c r="R23" i="57"/>
  <c r="U23" i="57" s="1"/>
  <c r="R15" i="57"/>
  <c r="U15" i="57" s="1"/>
  <c r="R7" i="57"/>
  <c r="U7" i="57" s="1"/>
  <c r="Y7" i="57" s="1" a="1"/>
  <c r="Y7" i="57" s="1"/>
  <c r="Z7" i="57" s="1"/>
  <c r="R154" i="57"/>
  <c r="U154" i="57" s="1"/>
  <c r="Y154" i="57" s="1" a="1"/>
  <c r="Y154" i="57" s="1"/>
  <c r="Z154" i="57" s="1"/>
  <c r="R120" i="57"/>
  <c r="U120" i="57" s="1"/>
  <c r="Y120" i="57" s="1" a="1"/>
  <c r="Y120" i="57" s="1"/>
  <c r="Z120" i="57" s="1"/>
  <c r="R112" i="57"/>
  <c r="U112" i="57" s="1"/>
  <c r="Y112" i="57" s="1" a="1"/>
  <c r="Y112" i="57" s="1"/>
  <c r="Z112" i="57" s="1"/>
  <c r="R104" i="57"/>
  <c r="U104" i="57" s="1"/>
  <c r="R96" i="57"/>
  <c r="U96" i="57" s="1"/>
  <c r="R8" i="57"/>
  <c r="U8" i="57" s="1"/>
  <c r="Y8" i="57" s="1" a="1"/>
  <c r="Y8" i="57" s="1"/>
  <c r="Z8" i="57" s="1"/>
  <c r="R238" i="57"/>
  <c r="U238" i="57" s="1"/>
  <c r="Y238" i="57" s="1" a="1"/>
  <c r="Y238" i="57" s="1"/>
  <c r="Z238" i="57" s="1"/>
  <c r="R217" i="57"/>
  <c r="U217" i="57" s="1"/>
  <c r="Y217" i="57" s="1" a="1"/>
  <c r="Y217" i="57" s="1"/>
  <c r="Z217" i="57" s="1"/>
  <c r="R121" i="57"/>
  <c r="U121" i="57" s="1"/>
  <c r="Y121" i="57" s="1" a="1"/>
  <c r="Y121" i="57" s="1"/>
  <c r="Z121" i="57" s="1"/>
  <c r="R113" i="57"/>
  <c r="U113" i="57" s="1"/>
  <c r="Y113" i="57" s="1" a="1"/>
  <c r="Y113" i="57" s="1"/>
  <c r="Z113" i="57" s="1"/>
  <c r="R105" i="57"/>
  <c r="U105" i="57" s="1"/>
  <c r="R97" i="57"/>
  <c r="U97" i="57" s="1"/>
  <c r="R89" i="57"/>
  <c r="U89" i="57" s="1"/>
  <c r="Y89" i="57" s="1" a="1"/>
  <c r="Y89" i="57" s="1"/>
  <c r="Z89" i="57" s="1"/>
  <c r="R81" i="57"/>
  <c r="U81" i="57" s="1"/>
  <c r="Y81" i="57" s="1" a="1"/>
  <c r="Y81" i="57" s="1"/>
  <c r="Z81" i="57" s="1"/>
  <c r="R73" i="57"/>
  <c r="U73" i="57" s="1"/>
  <c r="Y73" i="57" s="1" a="1"/>
  <c r="Y73" i="57" s="1"/>
  <c r="Z73" i="57" s="1"/>
  <c r="R65" i="57"/>
  <c r="U65" i="57" s="1"/>
  <c r="Y65" i="57" s="1" a="1"/>
  <c r="Y65" i="57" s="1"/>
  <c r="Z65" i="57" s="1"/>
  <c r="R57" i="57"/>
  <c r="U57" i="57" s="1"/>
  <c r="Y57" i="57" s="1" a="1"/>
  <c r="Y57" i="57" s="1"/>
  <c r="Z57" i="57" s="1"/>
  <c r="R49" i="57"/>
  <c r="U49" i="57" s="1"/>
  <c r="Y49" i="57" s="1" a="1"/>
  <c r="Y49" i="57" s="1"/>
  <c r="Z49" i="57" s="1"/>
  <c r="R33" i="57"/>
  <c r="U33" i="57" s="1"/>
  <c r="Y33" i="57" s="1" a="1"/>
  <c r="Y33" i="57" s="1"/>
  <c r="Z33" i="57" s="1"/>
  <c r="R25" i="57"/>
  <c r="U25" i="57" s="1"/>
  <c r="Y25" i="57" s="1" a="1"/>
  <c r="Y25" i="57" s="1"/>
  <c r="Z25" i="57" s="1"/>
  <c r="R17" i="57"/>
  <c r="U17" i="57" s="1"/>
  <c r="Y17" i="57" s="1" a="1"/>
  <c r="Y17" i="57" s="1"/>
  <c r="Z17" i="57" s="1"/>
  <c r="R9" i="57"/>
  <c r="U9" i="57" s="1"/>
  <c r="Y9" i="57" s="1" a="1"/>
  <c r="Y9" i="57" s="1"/>
  <c r="Z9" i="57" s="1"/>
  <c r="R225" i="57"/>
  <c r="U225" i="57" s="1"/>
  <c r="Y225" i="57" s="1" a="1"/>
  <c r="Y225" i="57" s="1"/>
  <c r="Z225" i="57" s="1"/>
  <c r="R162" i="57"/>
  <c r="U162" i="57" s="1"/>
  <c r="Y162" i="57" s="1" a="1"/>
  <c r="Y162" i="57" s="1"/>
  <c r="Z162" i="57" s="1"/>
  <c r="R114" i="57"/>
  <c r="U114" i="57" s="1"/>
  <c r="Y114" i="57" s="1" a="1"/>
  <c r="Y114" i="57" s="1"/>
  <c r="Z114" i="57" s="1"/>
  <c r="R106" i="57"/>
  <c r="U106" i="57" s="1"/>
  <c r="Y106" i="57" s="1" a="1"/>
  <c r="Y106" i="57" s="1"/>
  <c r="Z106" i="57" s="1"/>
  <c r="R98" i="57"/>
  <c r="U98" i="57" s="1"/>
  <c r="R90" i="57"/>
  <c r="U90" i="57" s="1"/>
  <c r="Y90" i="57" s="1" a="1"/>
  <c r="Y90" i="57" s="1"/>
  <c r="Z90" i="57" s="1"/>
  <c r="R82" i="57"/>
  <c r="U82" i="57" s="1"/>
  <c r="Y82" i="57" s="1" a="1"/>
  <c r="Y82" i="57" s="1"/>
  <c r="Z82" i="57" s="1"/>
  <c r="R74" i="57"/>
  <c r="U74" i="57" s="1"/>
  <c r="Y74" i="57" s="1" a="1"/>
  <c r="Y74" i="57" s="1"/>
  <c r="Z74" i="57" s="1"/>
  <c r="R66" i="57"/>
  <c r="U66" i="57" s="1"/>
  <c r="Y66" i="57" s="1" a="1"/>
  <c r="Y66" i="57" s="1"/>
  <c r="Z66" i="57" s="1"/>
  <c r="R58" i="57"/>
  <c r="U58" i="57" s="1"/>
  <c r="Y58" i="57" s="1" a="1"/>
  <c r="Y58" i="57" s="1"/>
  <c r="Z58" i="57" s="1"/>
  <c r="R50" i="57"/>
  <c r="U50" i="57" s="1"/>
  <c r="Y50" i="57" s="1" a="1"/>
  <c r="Y50" i="57" s="1"/>
  <c r="Z50" i="57" s="1"/>
  <c r="R42" i="57"/>
  <c r="U42" i="57" s="1"/>
  <c r="Y42" i="57" s="1" a="1"/>
  <c r="Y42" i="57" s="1"/>
  <c r="Z42" i="57" s="1"/>
  <c r="R34" i="57"/>
  <c r="U34" i="57" s="1"/>
  <c r="R26" i="57"/>
  <c r="U26" i="57" s="1"/>
  <c r="Y26" i="57" s="1" a="1"/>
  <c r="Y26" i="57" s="1"/>
  <c r="Z26" i="57" s="1"/>
  <c r="R18" i="57"/>
  <c r="U18" i="57" s="1"/>
  <c r="Y18" i="57" s="1" a="1"/>
  <c r="Y18" i="57" s="1"/>
  <c r="Z18" i="57" s="1"/>
  <c r="R10" i="57"/>
  <c r="U10" i="57" s="1"/>
  <c r="Y10" i="57" s="1" a="1"/>
  <c r="Y10" i="57" s="1"/>
  <c r="Z10" i="57" s="1"/>
  <c r="R2" i="57"/>
  <c r="R150" i="57"/>
  <c r="U150" i="57" s="1"/>
  <c r="Y150" i="57" s="1" a="1"/>
  <c r="Y150" i="57" s="1"/>
  <c r="Z150" i="57" s="1"/>
  <c r="R123" i="57"/>
  <c r="U123" i="57" s="1"/>
  <c r="Y123" i="57" s="1" a="1"/>
  <c r="Y123" i="57" s="1"/>
  <c r="Z123" i="57" s="1"/>
  <c r="R115" i="57"/>
  <c r="U115" i="57" s="1"/>
  <c r="Y115" i="57" s="1" a="1"/>
  <c r="Y115" i="57" s="1"/>
  <c r="Z115" i="57" s="1"/>
  <c r="R107" i="57"/>
  <c r="U107" i="57" s="1"/>
  <c r="Y107" i="57" s="1" a="1"/>
  <c r="Y107" i="57" s="1"/>
  <c r="Z107" i="57" s="1"/>
  <c r="R99" i="57"/>
  <c r="U99" i="57" s="1"/>
  <c r="R91" i="57"/>
  <c r="U91" i="57" s="1"/>
  <c r="R83" i="57"/>
  <c r="U83" i="57" s="1"/>
  <c r="R75" i="57"/>
  <c r="U75" i="57" s="1"/>
  <c r="R67" i="57"/>
  <c r="U67" i="57" s="1"/>
  <c r="R59" i="57"/>
  <c r="U59" i="57" s="1"/>
  <c r="R51" i="57"/>
  <c r="U51" i="57" s="1"/>
  <c r="R43" i="57"/>
  <c r="U43" i="57" s="1"/>
  <c r="R35" i="57"/>
  <c r="U35" i="57" s="1"/>
  <c r="R27" i="57"/>
  <c r="U27" i="57" s="1"/>
  <c r="R11" i="57"/>
  <c r="U11" i="57" s="1"/>
  <c r="R3" i="57"/>
  <c r="Y241" i="57" a="1"/>
  <c r="Y241" i="57" s="1"/>
  <c r="Z241" i="57" s="1"/>
  <c r="W241" i="57" a="1"/>
  <c r="W241" i="57" s="1"/>
  <c r="X241" i="57" s="1"/>
  <c r="Y273" i="57" a="1"/>
  <c r="Y273" i="57" s="1"/>
  <c r="Z273" i="57" s="1"/>
  <c r="W273" i="57" a="1"/>
  <c r="W273" i="57" s="1"/>
  <c r="X273" i="57" s="1"/>
  <c r="Y252" i="57" a="1"/>
  <c r="Y252" i="57" s="1"/>
  <c r="Z252" i="57" s="1"/>
  <c r="W252" i="57" a="1"/>
  <c r="W252" i="57" s="1"/>
  <c r="X252" i="57" s="1"/>
  <c r="W184" i="57" a="1"/>
  <c r="W184" i="57" s="1"/>
  <c r="X184" i="57" s="1"/>
  <c r="Y184" i="57" a="1"/>
  <c r="Y184" i="57" s="1"/>
  <c r="Z184" i="57" s="1"/>
  <c r="Y104" i="57" a="1"/>
  <c r="Y104" i="57" s="1"/>
  <c r="Z104" i="57" s="1"/>
  <c r="W104" i="57" a="1"/>
  <c r="W104" i="57" s="1"/>
  <c r="X104" i="57" s="1"/>
  <c r="Y153" i="57" a="1"/>
  <c r="Y153" i="57" s="1"/>
  <c r="Z153" i="57" s="1"/>
  <c r="W98" i="57" a="1"/>
  <c r="W98" i="57" s="1"/>
  <c r="X98" i="57" s="1"/>
  <c r="Y98" i="57" a="1"/>
  <c r="Y98" i="57" s="1"/>
  <c r="Z98" i="57" s="1"/>
  <c r="W34" i="57" a="1"/>
  <c r="W34" i="57" s="1"/>
  <c r="X34" i="57" s="1"/>
  <c r="Y34" i="57" a="1"/>
  <c r="Y34" i="57" s="1"/>
  <c r="Z34" i="57" s="1"/>
  <c r="Y116" i="57" a="1"/>
  <c r="Y116" i="57" s="1"/>
  <c r="Z116" i="57" s="1"/>
  <c r="W116" i="57" a="1"/>
  <c r="W116" i="57" s="1"/>
  <c r="X116" i="57" s="1"/>
  <c r="Y28" i="57" a="1"/>
  <c r="Y28" i="57" s="1"/>
  <c r="Z28" i="57" s="1"/>
  <c r="W28" i="57" a="1"/>
  <c r="W28" i="57" s="1"/>
  <c r="X28" i="57" s="1"/>
  <c r="Y62" i="57" a="1"/>
  <c r="Y62" i="57" s="1"/>
  <c r="Z62" i="57" s="1"/>
  <c r="W62" i="57" a="1"/>
  <c r="W62" i="57" s="1"/>
  <c r="X62" i="57" s="1"/>
  <c r="Y23" i="57" a="1"/>
  <c r="Y23" i="57" s="1"/>
  <c r="Z23" i="57" s="1"/>
  <c r="W23" i="57" a="1"/>
  <c r="W23" i="57" s="1"/>
  <c r="X23" i="57" s="1"/>
  <c r="C295" i="57"/>
  <c r="C221" i="57"/>
  <c r="C288" i="57"/>
  <c r="C286" i="57"/>
  <c r="AA266" i="57"/>
  <c r="N266" i="57"/>
  <c r="Q266" i="57" s="1"/>
  <c r="Y266" i="57" s="1" a="1"/>
  <c r="Y266" i="57" s="1"/>
  <c r="Z266" i="57" s="1"/>
  <c r="AA196" i="57"/>
  <c r="N196" i="57"/>
  <c r="Q196" i="57" s="1"/>
  <c r="Y196" i="57" s="1" a="1"/>
  <c r="Y196" i="57" s="1"/>
  <c r="Z196" i="57" s="1"/>
  <c r="C189" i="57"/>
  <c r="R234" i="57"/>
  <c r="U234" i="57" s="1"/>
  <c r="W234" i="57" a="1"/>
  <c r="W234" i="57" s="1"/>
  <c r="X234" i="57" s="1"/>
  <c r="R278" i="57"/>
  <c r="U278" i="57" s="1"/>
  <c r="Y278" i="57" s="1" a="1"/>
  <c r="Y278" i="57" s="1"/>
  <c r="Z278" i="57" s="1"/>
  <c r="W278" i="57" a="1"/>
  <c r="W278" i="57" s="1"/>
  <c r="X278" i="57" s="1"/>
  <c r="W158" i="57" a="1"/>
  <c r="W158" i="57" s="1"/>
  <c r="X158" i="57" s="1"/>
  <c r="R158" i="57"/>
  <c r="U158" i="57" s="1"/>
  <c r="AA223" i="57"/>
  <c r="N223" i="57"/>
  <c r="Q223" i="57" s="1"/>
  <c r="Y223" i="57" s="1" a="1"/>
  <c r="Y223" i="57" s="1"/>
  <c r="Z223" i="57" s="1"/>
  <c r="R199" i="57"/>
  <c r="U199" i="57" s="1"/>
  <c r="W199" i="57" a="1"/>
  <c r="W199" i="57" s="1"/>
  <c r="X199" i="57" s="1"/>
  <c r="AA146" i="57"/>
  <c r="N146" i="57"/>
  <c r="Q146" i="57" s="1"/>
  <c r="Y146" i="57" s="1" a="1"/>
  <c r="Y146" i="57" s="1"/>
  <c r="Z146" i="57" s="1"/>
  <c r="C248" i="57"/>
  <c r="W185" i="57" a="1"/>
  <c r="W185" i="57" s="1"/>
  <c r="X185" i="57" s="1"/>
  <c r="R185" i="57"/>
  <c r="U185" i="57" s="1"/>
  <c r="Y185" i="57" s="1" a="1"/>
  <c r="Y185" i="57" s="1"/>
  <c r="Z185" i="57" s="1"/>
  <c r="W243" i="57" a="1"/>
  <c r="W243" i="57" s="1"/>
  <c r="X243" i="57" s="1"/>
  <c r="R243" i="57"/>
  <c r="U243" i="57" s="1"/>
  <c r="Y243" i="57" s="1" a="1"/>
  <c r="Y243" i="57" s="1"/>
  <c r="Z243" i="57" s="1"/>
  <c r="C216" i="57"/>
  <c r="C143" i="57"/>
  <c r="C156" i="57"/>
  <c r="AA192" i="57"/>
  <c r="N192" i="57"/>
  <c r="Q192" i="57" s="1"/>
  <c r="Y192" i="57" s="1" a="1"/>
  <c r="Y192" i="57" s="1"/>
  <c r="Z192" i="57" s="1"/>
  <c r="C92" i="57"/>
  <c r="AA48" i="57"/>
  <c r="N48" i="57"/>
  <c r="Q48" i="57" s="1"/>
  <c r="Y48" i="57" s="1" a="1"/>
  <c r="Y48" i="57" s="1"/>
  <c r="Z48" i="57" s="1"/>
  <c r="C69" i="57"/>
  <c r="C118" i="57"/>
  <c r="C83" i="57"/>
  <c r="C51" i="57"/>
  <c r="R16" i="57"/>
  <c r="U16" i="57" s="1"/>
  <c r="W16" i="57" a="1"/>
  <c r="W16" i="57" s="1"/>
  <c r="X16" i="57" s="1"/>
  <c r="R5" i="57"/>
  <c r="U5" i="57" s="1"/>
  <c r="U2" i="57"/>
  <c r="C2" i="57"/>
  <c r="AA5" i="57"/>
  <c r="N5" i="57"/>
  <c r="Q5" i="57" s="1"/>
  <c r="W5" i="57" s="1" a="1"/>
  <c r="W5" i="57" s="1"/>
  <c r="X5" i="57" s="1"/>
  <c r="Y244" i="57" a="1"/>
  <c r="Y244" i="57" s="1"/>
  <c r="Z244" i="57" s="1"/>
  <c r="W244" i="57" a="1"/>
  <c r="W244" i="57" s="1"/>
  <c r="X244" i="57" s="1"/>
  <c r="Y268" i="57" a="1"/>
  <c r="Y268" i="57" s="1"/>
  <c r="Z268" i="57" s="1"/>
  <c r="W268" i="57" a="1"/>
  <c r="W268" i="57" s="1"/>
  <c r="X268" i="57" s="1"/>
  <c r="W19" i="57" a="1"/>
  <c r="W19" i="57" s="1"/>
  <c r="X19" i="57" s="1"/>
  <c r="R19" i="57"/>
  <c r="U19" i="57" s="1"/>
  <c r="Y207" i="57" a="1"/>
  <c r="Y207" i="57" s="1"/>
  <c r="Z207" i="57" s="1"/>
  <c r="W207" i="57" a="1"/>
  <c r="W207" i="57" s="1"/>
  <c r="X207" i="57" s="1"/>
  <c r="Y176" i="57" a="1"/>
  <c r="Y176" i="57" s="1"/>
  <c r="Z176" i="57" s="1"/>
  <c r="W176" i="57" a="1"/>
  <c r="W176" i="57" s="1"/>
  <c r="X176" i="57" s="1"/>
  <c r="Y96" i="57" a="1"/>
  <c r="Y96" i="57" s="1"/>
  <c r="Z96" i="57" s="1"/>
  <c r="W96" i="57" a="1"/>
  <c r="W96" i="57" s="1"/>
  <c r="X96" i="57" s="1"/>
  <c r="W140" i="57" a="1"/>
  <c r="W140" i="57" s="1"/>
  <c r="X140" i="57" s="1"/>
  <c r="Y140" i="57" a="1"/>
  <c r="Y140" i="57" s="1"/>
  <c r="Z140" i="57" s="1"/>
  <c r="W90" i="57" a="1"/>
  <c r="W90" i="57" s="1"/>
  <c r="X90" i="57" s="1"/>
  <c r="W26" i="57" a="1"/>
  <c r="W26" i="57" s="1"/>
  <c r="X26" i="57" s="1"/>
  <c r="Y84" i="57" a="1"/>
  <c r="Y84" i="57" s="1"/>
  <c r="Z84" i="57" s="1"/>
  <c r="W84" i="57" a="1"/>
  <c r="W84" i="57" s="1"/>
  <c r="X84" i="57" s="1"/>
  <c r="Y20" i="57" a="1"/>
  <c r="Y20" i="57" s="1"/>
  <c r="Z20" i="57" s="1"/>
  <c r="W20" i="57" a="1"/>
  <c r="W20" i="57" s="1"/>
  <c r="X20" i="57" s="1"/>
  <c r="W149" i="57" a="1"/>
  <c r="W149" i="57" s="1"/>
  <c r="X149" i="57" s="1"/>
  <c r="Y149" i="57" a="1"/>
  <c r="Y149" i="57" s="1"/>
  <c r="Z149" i="57" s="1"/>
  <c r="W133" i="57" a="1"/>
  <c r="W133" i="57" s="1"/>
  <c r="X133" i="57" s="1"/>
  <c r="Y133" i="57" a="1"/>
  <c r="Y133" i="57" s="1"/>
  <c r="Z133" i="57" s="1"/>
  <c r="Y54" i="57" a="1"/>
  <c r="Y54" i="57" s="1"/>
  <c r="Z54" i="57" s="1"/>
  <c r="W54" i="57" a="1"/>
  <c r="W54" i="57" s="1"/>
  <c r="X54" i="57" s="1"/>
  <c r="Y15" i="57" a="1"/>
  <c r="Y15" i="57" s="1"/>
  <c r="Z15" i="57" s="1"/>
  <c r="W15" i="57" a="1"/>
  <c r="W15" i="57" s="1"/>
  <c r="X15" i="57" s="1"/>
  <c r="AA14" i="55"/>
  <c r="AE14" i="55" s="1"/>
  <c r="AF14" i="55" s="1"/>
  <c r="Z89" i="55"/>
  <c r="Z81" i="55"/>
  <c r="AA60" i="55"/>
  <c r="Z56" i="55"/>
  <c r="Z14" i="55"/>
  <c r="Z94" i="55"/>
  <c r="AA39" i="55"/>
  <c r="AA34" i="55"/>
  <c r="Z99" i="55"/>
  <c r="Z48" i="55"/>
  <c r="AA65" i="55"/>
  <c r="Z42" i="55"/>
  <c r="AI42" i="55" s="1"/>
  <c r="AA46" i="55"/>
  <c r="Z41" i="55"/>
  <c r="Z98" i="55"/>
  <c r="Z83" i="55"/>
  <c r="AA64" i="55"/>
  <c r="Y2" i="55"/>
  <c r="AA99" i="55"/>
  <c r="Z82" i="55"/>
  <c r="AI82" i="55" s="1"/>
  <c r="Z77" i="55"/>
  <c r="Z75" i="55"/>
  <c r="Z43" i="55"/>
  <c r="Z85" i="55"/>
  <c r="AA71" i="55"/>
  <c r="AA77" i="55"/>
  <c r="AA49" i="55"/>
  <c r="AH2" i="55"/>
  <c r="AJ2" i="55" s="1"/>
  <c r="AC42" i="55"/>
  <c r="AD42" i="55" s="1"/>
  <c r="AC89" i="55"/>
  <c r="AD89" i="55" s="1"/>
  <c r="AI89" i="55"/>
  <c r="AE89" i="55"/>
  <c r="AF89" i="55" s="1"/>
  <c r="AC80" i="55"/>
  <c r="AD80" i="55" s="1"/>
  <c r="AI80" i="55"/>
  <c r="AE80" i="55"/>
  <c r="AF80" i="55" s="1"/>
  <c r="AC81" i="55"/>
  <c r="AD81" i="55" s="1"/>
  <c r="AI81" i="55"/>
  <c r="AE81" i="55"/>
  <c r="AF81" i="55" s="1"/>
  <c r="AI43" i="55"/>
  <c r="AC43" i="55"/>
  <c r="AD43" i="55" s="1"/>
  <c r="AC94" i="55"/>
  <c r="AD94" i="55" s="1"/>
  <c r="AE94" i="55"/>
  <c r="AF94" i="55" s="1"/>
  <c r="AI94" i="55"/>
  <c r="AC75" i="55"/>
  <c r="AD75" i="55" s="1"/>
  <c r="AE75" i="55"/>
  <c r="AF75" i="55" s="1"/>
  <c r="AI75" i="55"/>
  <c r="AE83" i="55"/>
  <c r="AF83" i="55" s="1"/>
  <c r="AI83" i="55"/>
  <c r="AC83" i="55"/>
  <c r="AD83" i="55" s="1"/>
  <c r="AI51" i="55"/>
  <c r="AC51" i="55"/>
  <c r="AD51" i="55" s="1"/>
  <c r="AE85" i="55"/>
  <c r="AF85" i="55" s="1"/>
  <c r="AC85" i="55"/>
  <c r="AD85" i="55" s="1"/>
  <c r="AI85" i="55"/>
  <c r="AC82" i="55"/>
  <c r="AD82" i="55" s="1"/>
  <c r="AE82" i="55"/>
  <c r="AF82" i="55" s="1"/>
  <c r="AE99" i="55"/>
  <c r="AF99" i="55" s="1"/>
  <c r="AC99" i="55"/>
  <c r="AD99" i="55" s="1"/>
  <c r="AI99" i="55"/>
  <c r="AE98" i="55"/>
  <c r="AF98" i="55" s="1"/>
  <c r="AC98" i="55"/>
  <c r="AD98" i="55" s="1"/>
  <c r="AI98" i="55"/>
  <c r="AE49" i="55"/>
  <c r="AF49" i="55" s="1"/>
  <c r="AC49" i="55"/>
  <c r="AD49" i="55" s="1"/>
  <c r="AI49" i="55"/>
  <c r="AC41" i="55"/>
  <c r="AD41" i="55" s="1"/>
  <c r="AI41" i="55"/>
  <c r="AE41" i="55"/>
  <c r="AF41" i="55" s="1"/>
  <c r="AC48" i="55"/>
  <c r="AD48" i="55" s="1"/>
  <c r="AI48" i="55"/>
  <c r="AI77" i="55"/>
  <c r="AC77" i="55"/>
  <c r="AD77" i="55" s="1"/>
  <c r="AE77" i="55"/>
  <c r="AF77" i="55" s="1"/>
  <c r="AC34" i="55"/>
  <c r="AD34" i="55" s="1"/>
  <c r="AI34" i="55"/>
  <c r="AE34" i="55"/>
  <c r="AF34" i="55" s="1"/>
  <c r="AI61" i="55"/>
  <c r="AC61" i="55"/>
  <c r="AD61" i="55" s="1"/>
  <c r="AE61" i="55"/>
  <c r="AF61" i="55" s="1"/>
  <c r="Y35" i="55"/>
  <c r="AA43" i="55"/>
  <c r="AE43" i="55" s="1"/>
  <c r="AF43" i="55" s="1"/>
  <c r="V13" i="55"/>
  <c r="X25" i="55"/>
  <c r="U2" i="55"/>
  <c r="X13" i="55"/>
  <c r="Y18" i="55"/>
  <c r="Y21" i="55"/>
  <c r="X22" i="55"/>
  <c r="V23" i="55"/>
  <c r="S92" i="55"/>
  <c r="Z92" i="55" s="1"/>
  <c r="AA98" i="55"/>
  <c r="Z90" i="55"/>
  <c r="U18" i="55"/>
  <c r="T18" i="55"/>
  <c r="Z18" i="55" s="1"/>
  <c r="Z67" i="55"/>
  <c r="AA48" i="55"/>
  <c r="AE48" i="55" s="1"/>
  <c r="AF48" i="55" s="1"/>
  <c r="U25" i="55"/>
  <c r="AA25" i="55" s="1"/>
  <c r="S19" i="55"/>
  <c r="X27" i="55"/>
  <c r="S13" i="55"/>
  <c r="Z13" i="55" s="1"/>
  <c r="S12" i="55"/>
  <c r="Z39" i="55"/>
  <c r="S27" i="55"/>
  <c r="Y16" i="55"/>
  <c r="AA86" i="55"/>
  <c r="S86" i="55"/>
  <c r="Z86" i="55" s="1"/>
  <c r="AA94" i="55"/>
  <c r="AA75" i="55"/>
  <c r="S59" i="55"/>
  <c r="Z59" i="55" s="1"/>
  <c r="Z70" i="55"/>
  <c r="S63" i="55"/>
  <c r="Z63" i="55" s="1"/>
  <c r="Z52" i="55"/>
  <c r="AA51" i="55"/>
  <c r="AE51" i="55" s="1"/>
  <c r="AF51" i="55" s="1"/>
  <c r="V19" i="55"/>
  <c r="U19" i="55"/>
  <c r="V22" i="55"/>
  <c r="AA42" i="55"/>
  <c r="AE42" i="55" s="1"/>
  <c r="AF42" i="55" s="1"/>
  <c r="X10" i="55"/>
  <c r="X15" i="55"/>
  <c r="X24" i="55"/>
  <c r="X11" i="55"/>
  <c r="S7" i="55"/>
  <c r="U15" i="55"/>
  <c r="V12" i="55"/>
  <c r="X4" i="55"/>
  <c r="AA4" i="55" s="1"/>
  <c r="X30" i="55"/>
  <c r="AA30" i="55" s="1"/>
  <c r="S33" i="55"/>
  <c r="AI13" i="55"/>
  <c r="AJ13" i="55" s="1"/>
  <c r="AC13" i="55"/>
  <c r="AD13" i="55" s="1"/>
  <c r="T9" i="55"/>
  <c r="Z9" i="55" s="1"/>
  <c r="X6" i="55"/>
  <c r="V27" i="55"/>
  <c r="U4" i="55"/>
  <c r="Z4" i="55" s="1"/>
  <c r="Y29" i="55"/>
  <c r="AA93" i="55"/>
  <c r="S93" i="55"/>
  <c r="Z93" i="55" s="1"/>
  <c r="AA89" i="55"/>
  <c r="U11" i="55"/>
  <c r="T11" i="55"/>
  <c r="S44" i="55"/>
  <c r="Z44" i="55" s="1"/>
  <c r="S29" i="55"/>
  <c r="AI46" i="55"/>
  <c r="AE46" i="55"/>
  <c r="AF46" i="55" s="1"/>
  <c r="AC46" i="55"/>
  <c r="AD46" i="55" s="1"/>
  <c r="Y40" i="55"/>
  <c r="V20" i="55"/>
  <c r="T3" i="55"/>
  <c r="AA3" i="55" s="1"/>
  <c r="V17" i="55"/>
  <c r="AA17" i="55" s="1"/>
  <c r="T22" i="55"/>
  <c r="Z22" i="55" s="1"/>
  <c r="X9" i="55"/>
  <c r="V7" i="55"/>
  <c r="S16" i="55"/>
  <c r="V5" i="55"/>
  <c r="T20" i="55"/>
  <c r="S96" i="55"/>
  <c r="Z96" i="55" s="1"/>
  <c r="Z97" i="55"/>
  <c r="AA83" i="55"/>
  <c r="Z74" i="55"/>
  <c r="S69" i="55"/>
  <c r="Z69" i="55" s="1"/>
  <c r="S50" i="55"/>
  <c r="Z50" i="55" s="1"/>
  <c r="Z71" i="55"/>
  <c r="AA80" i="55"/>
  <c r="AA61" i="55"/>
  <c r="Z60" i="55"/>
  <c r="AA45" i="55"/>
  <c r="U24" i="55"/>
  <c r="Z24" i="55" s="1"/>
  <c r="S28" i="55"/>
  <c r="U10" i="55"/>
  <c r="Z37" i="55"/>
  <c r="AA73" i="55"/>
  <c r="S73" i="55"/>
  <c r="Z73" i="55" s="1"/>
  <c r="S62" i="55"/>
  <c r="Z62" i="55" s="1"/>
  <c r="Z65" i="55"/>
  <c r="AA53" i="55"/>
  <c r="S53" i="55"/>
  <c r="Z53" i="55" s="1"/>
  <c r="AE55" i="55"/>
  <c r="AF55" i="55" s="1"/>
  <c r="AC55" i="55"/>
  <c r="AD55" i="55" s="1"/>
  <c r="AI55" i="55"/>
  <c r="AE56" i="55"/>
  <c r="AF56" i="55" s="1"/>
  <c r="AC56" i="55"/>
  <c r="AD56" i="55" s="1"/>
  <c r="AI56" i="55"/>
  <c r="W28" i="55"/>
  <c r="V28" i="55"/>
  <c r="S8" i="55"/>
  <c r="X33" i="55"/>
  <c r="T29" i="55"/>
  <c r="S100" i="55"/>
  <c r="Z100" i="55" s="1"/>
  <c r="AA100" i="55"/>
  <c r="S84" i="55"/>
  <c r="Z84" i="55" s="1"/>
  <c r="AA84" i="55"/>
  <c r="S95" i="55"/>
  <c r="Z95" i="55" s="1"/>
  <c r="S66" i="55"/>
  <c r="Z66" i="55" s="1"/>
  <c r="AA66" i="55"/>
  <c r="U26" i="55"/>
  <c r="T26" i="55"/>
  <c r="S68" i="55"/>
  <c r="Z68" i="55" s="1"/>
  <c r="S47" i="55"/>
  <c r="Z47" i="55" s="1"/>
  <c r="T21" i="55"/>
  <c r="AA21" i="55" s="1"/>
  <c r="U21" i="55"/>
  <c r="S58" i="55"/>
  <c r="Z58" i="55" s="1"/>
  <c r="S40" i="55"/>
  <c r="Z40" i="55" s="1"/>
  <c r="X20" i="55"/>
  <c r="X31" i="55"/>
  <c r="Z31" i="55" s="1"/>
  <c r="U17" i="55"/>
  <c r="Y19" i="55"/>
  <c r="S15" i="55"/>
  <c r="Z15" i="55" s="1"/>
  <c r="S23" i="55"/>
  <c r="Z23" i="55" s="1"/>
  <c r="AA23" i="55"/>
  <c r="AE23" i="55" s="1"/>
  <c r="AF23" i="55" s="1"/>
  <c r="X28" i="55"/>
  <c r="S91" i="55"/>
  <c r="Z91" i="55" s="1"/>
  <c r="S88" i="55"/>
  <c r="Z88" i="55" s="1"/>
  <c r="S76" i="55"/>
  <c r="Z76" i="55" s="1"/>
  <c r="AC64" i="55"/>
  <c r="AD64" i="55" s="1"/>
  <c r="AI64" i="55"/>
  <c r="AE64" i="55"/>
  <c r="AF64" i="55" s="1"/>
  <c r="AI45" i="55"/>
  <c r="AE45" i="55"/>
  <c r="AF45" i="55" s="1"/>
  <c r="AC45" i="55"/>
  <c r="AD45" i="55" s="1"/>
  <c r="U6" i="55"/>
  <c r="T6" i="55"/>
  <c r="Z6" i="55" s="1"/>
  <c r="X32" i="55"/>
  <c r="AA32" i="55" s="1"/>
  <c r="S2" i="55"/>
  <c r="AA2" i="55"/>
  <c r="AE2" i="55" s="1"/>
  <c r="AF2" i="55" s="1"/>
  <c r="T7" i="55"/>
  <c r="S87" i="55"/>
  <c r="Z87" i="55" s="1"/>
  <c r="S79" i="55"/>
  <c r="Z79" i="55" s="1"/>
  <c r="S78" i="55"/>
  <c r="Z78" i="55" s="1"/>
  <c r="AA55" i="55"/>
  <c r="S57" i="55"/>
  <c r="Z57" i="55" s="1"/>
  <c r="S54" i="55"/>
  <c r="Z54" i="55" s="1"/>
  <c r="Y38" i="55"/>
  <c r="Z38" i="55" s="1"/>
  <c r="S72" i="55"/>
  <c r="Z72" i="55" s="1"/>
  <c r="S20" i="55"/>
  <c r="S36" i="55"/>
  <c r="Z36" i="55" s="1"/>
  <c r="S35" i="55"/>
  <c r="Z35" i="55" s="1"/>
  <c r="S5" i="55"/>
  <c r="S17" i="55"/>
  <c r="T16" i="55"/>
  <c r="T10" i="55"/>
  <c r="Y12" i="55"/>
  <c r="AA12" i="55" s="1"/>
  <c r="AL3" i="94" a="1"/>
  <c r="AL3" i="94" s="1"/>
  <c r="AA3" i="94" a="1"/>
  <c r="AA3" i="94" s="1"/>
  <c r="AH2" i="94" a="1"/>
  <c r="AH2" i="94" s="1"/>
  <c r="AL2" i="94" a="1"/>
  <c r="AL2" i="94" s="1"/>
  <c r="J3" i="94" a="1"/>
  <c r="J3" i="94" s="1"/>
  <c r="N2" i="94" a="1"/>
  <c r="N2" i="94" s="1"/>
  <c r="M2" i="94" a="1"/>
  <c r="M2" i="94" s="1"/>
  <c r="M3" i="94" a="1"/>
  <c r="M3" i="94" s="1"/>
  <c r="K3" i="94" a="1"/>
  <c r="K3" i="94" s="1"/>
  <c r="I3" i="94" a="1"/>
  <c r="I3" i="94" s="1"/>
  <c r="J2" i="94" a="1"/>
  <c r="J2" i="94" s="1"/>
  <c r="I2" i="94" a="1"/>
  <c r="I2" i="94" s="1"/>
  <c r="K2" i="94" a="1"/>
  <c r="K2" i="94" s="1"/>
  <c r="AE3" i="94" a="1"/>
  <c r="AE3" i="94" s="1"/>
  <c r="O2" i="94" a="1"/>
  <c r="O2" i="94" s="1"/>
  <c r="O3" i="94" a="1"/>
  <c r="O3" i="94" s="1"/>
  <c r="AE2" i="94" a="1"/>
  <c r="AE2" i="94" s="1"/>
  <c r="AK2" i="94" s="1" a="1"/>
  <c r="AK2" i="94" s="1"/>
  <c r="N3" i="94" a="1"/>
  <c r="N3" i="94" s="1"/>
  <c r="K2" i="88" a="1"/>
  <c r="K2" i="88" s="1"/>
  <c r="G2" i="69"/>
  <c r="J2" i="69" s="1"/>
  <c r="T2" i="88"/>
  <c r="M2" i="59"/>
  <c r="N2" i="59" a="1"/>
  <c r="N2" i="59" s="1"/>
  <c r="J2" i="87"/>
  <c r="K2" i="87" s="1"/>
  <c r="H2" i="87"/>
  <c r="I2" i="87" s="1"/>
  <c r="RT3" i="24"/>
  <c r="RO3" i="24"/>
  <c r="RO2" i="24"/>
  <c r="RT2" i="24"/>
  <c r="SC3" i="24"/>
  <c r="SC2" i="24"/>
  <c r="RP2" i="24"/>
  <c r="RP3" i="24"/>
  <c r="RU2" i="24"/>
  <c r="RU3" i="24"/>
  <c r="SD2" i="24"/>
  <c r="SD3" i="24"/>
  <c r="AH15" i="55" a="1"/>
  <c r="AH14" i="55" a="1"/>
  <c r="AH23" i="55" a="1"/>
  <c r="AH22" i="55" a="1"/>
  <c r="AH9" i="55" a="1"/>
  <c r="AH6" i="55" a="1"/>
  <c r="AH24" i="55" a="1"/>
  <c r="AH4" i="55" a="1"/>
  <c r="AH18" i="55" a="1"/>
  <c r="AH77" i="55" a="1"/>
  <c r="AH61" i="55" a="1"/>
  <c r="AH56" i="55" a="1"/>
  <c r="AH55" i="55" a="1"/>
  <c r="AH85" i="55" a="1"/>
  <c r="AH80" i="55" a="1"/>
  <c r="AH43" i="55" a="1"/>
  <c r="AH46" i="55" a="1"/>
  <c r="AH42" i="55" a="1"/>
  <c r="AH51" i="55" a="1"/>
  <c r="AH48" i="55" a="1"/>
  <c r="AH34" i="55" a="1"/>
  <c r="AH64" i="55" a="1"/>
  <c r="AH89" i="55" a="1"/>
  <c r="AH81" i="55" a="1"/>
  <c r="AH75" i="55" a="1"/>
  <c r="AH98" i="55" a="1"/>
  <c r="AH82" i="55" a="1"/>
  <c r="AH41" i="55" a="1"/>
  <c r="AH13" i="55" a="1"/>
  <c r="AH94" i="55" a="1"/>
  <c r="AH83" i="55" a="1"/>
  <c r="AH45" i="55" a="1"/>
  <c r="AH99" i="55" a="1"/>
  <c r="AH49" i="55" a="1"/>
  <c r="AA69" i="57" l="1"/>
  <c r="N69" i="57"/>
  <c r="Q69" i="57" s="1"/>
  <c r="AA92" i="57"/>
  <c r="N92" i="57"/>
  <c r="Q92" i="57" s="1"/>
  <c r="AA216" i="57"/>
  <c r="N216" i="57"/>
  <c r="Q216" i="57" s="1"/>
  <c r="AA295" i="57"/>
  <c r="N295" i="57"/>
  <c r="Q295" i="57" s="1"/>
  <c r="AA259" i="57"/>
  <c r="N259" i="57"/>
  <c r="Q259" i="57" s="1"/>
  <c r="W166" i="57" a="1"/>
  <c r="W166" i="57" s="1"/>
  <c r="X166" i="57" s="1"/>
  <c r="AA163" i="57"/>
  <c r="N163" i="57"/>
  <c r="Q163" i="57" s="1"/>
  <c r="AA119" i="57"/>
  <c r="N119" i="57"/>
  <c r="Q119" i="57" s="1"/>
  <c r="W202" i="57" a="1"/>
  <c r="W202" i="57" s="1"/>
  <c r="X202" i="57" s="1"/>
  <c r="AA127" i="57"/>
  <c r="N127" i="57"/>
  <c r="Q127" i="57" s="1"/>
  <c r="AA135" i="57"/>
  <c r="N135" i="57"/>
  <c r="Q135" i="57" s="1"/>
  <c r="AA118" i="57"/>
  <c r="N118" i="57"/>
  <c r="Q118" i="57" s="1"/>
  <c r="AA286" i="57"/>
  <c r="N286" i="57"/>
  <c r="Q286" i="57" s="1"/>
  <c r="Y130" i="57" a="1"/>
  <c r="Y130" i="57" s="1"/>
  <c r="Z130" i="57" s="1"/>
  <c r="AA157" i="57"/>
  <c r="N157" i="57"/>
  <c r="Q157" i="57" s="1"/>
  <c r="W152" i="57" a="1"/>
  <c r="W152" i="57" s="1"/>
  <c r="X152" i="57" s="1"/>
  <c r="AA205" i="57"/>
  <c r="N205" i="57"/>
  <c r="Q205" i="57" s="1"/>
  <c r="AA14" i="57"/>
  <c r="N14" i="57"/>
  <c r="Q14" i="57" s="1"/>
  <c r="AA91" i="57"/>
  <c r="N91" i="57"/>
  <c r="Q91" i="57" s="1"/>
  <c r="W191" i="57" a="1"/>
  <c r="W191" i="57" s="1"/>
  <c r="X191" i="57" s="1"/>
  <c r="AA253" i="57"/>
  <c r="N253" i="57"/>
  <c r="Q253" i="57" s="1"/>
  <c r="AA99" i="57"/>
  <c r="N99" i="57"/>
  <c r="Q99" i="57" s="1"/>
  <c r="AA126" i="57"/>
  <c r="N126" i="57"/>
  <c r="Q126" i="57" s="1"/>
  <c r="W262" i="57" a="1"/>
  <c r="W262" i="57" s="1"/>
  <c r="X262" i="57" s="1"/>
  <c r="AA261" i="57"/>
  <c r="N261" i="57"/>
  <c r="Q261" i="57" s="1"/>
  <c r="AA197" i="57"/>
  <c r="N197" i="57"/>
  <c r="Q197" i="57" s="1"/>
  <c r="Y158" i="57" a="1"/>
  <c r="Y158" i="57" s="1"/>
  <c r="Z158" i="57" s="1"/>
  <c r="AA97" i="57"/>
  <c r="N97" i="57"/>
  <c r="Q97" i="57" s="1"/>
  <c r="AA247" i="57"/>
  <c r="N247" i="57"/>
  <c r="Q247" i="57" s="1"/>
  <c r="W284" i="57" a="1"/>
  <c r="W284" i="57" s="1"/>
  <c r="X284" i="57" s="1"/>
  <c r="Y234" i="57" a="1"/>
  <c r="Y234" i="57" s="1"/>
  <c r="Z234" i="57" s="1"/>
  <c r="W179" i="57" a="1"/>
  <c r="W179" i="57" s="1"/>
  <c r="X179" i="57" s="1"/>
  <c r="W264" i="57" a="1"/>
  <c r="W264" i="57" s="1"/>
  <c r="X264" i="57" s="1"/>
  <c r="AA45" i="57"/>
  <c r="N45" i="57"/>
  <c r="Q45" i="57" s="1"/>
  <c r="W190" i="57" a="1"/>
  <c r="W190" i="57" s="1"/>
  <c r="X190" i="57" s="1"/>
  <c r="AA53" i="57"/>
  <c r="N53" i="57"/>
  <c r="Q53" i="57" s="1"/>
  <c r="AA293" i="57"/>
  <c r="N293" i="57"/>
  <c r="Q293" i="57" s="1"/>
  <c r="W223" i="57" a="1"/>
  <c r="W223" i="57" s="1"/>
  <c r="X223" i="57" s="1"/>
  <c r="AA83" i="57"/>
  <c r="N83" i="57"/>
  <c r="Q83" i="57" s="1"/>
  <c r="AA171" i="57"/>
  <c r="N171" i="57"/>
  <c r="Q171" i="57" s="1"/>
  <c r="AA230" i="57"/>
  <c r="N230" i="57"/>
  <c r="Q230" i="57" s="1"/>
  <c r="AA297" i="57"/>
  <c r="N297" i="57"/>
  <c r="Q297" i="57" s="1"/>
  <c r="AA298" i="57"/>
  <c r="N298" i="57"/>
  <c r="Q298" i="57" s="1"/>
  <c r="AA198" i="57"/>
  <c r="N198" i="57"/>
  <c r="Q198" i="57" s="1"/>
  <c r="AA156" i="57"/>
  <c r="N156" i="57"/>
  <c r="Q156" i="57" s="1"/>
  <c r="AA77" i="57"/>
  <c r="N77" i="57"/>
  <c r="Q77" i="57" s="1"/>
  <c r="AA296" i="57"/>
  <c r="N296" i="57"/>
  <c r="Q296" i="57" s="1"/>
  <c r="Y19" i="57" a="1"/>
  <c r="Y19" i="57" s="1"/>
  <c r="Z19" i="57" s="1"/>
  <c r="AA21" i="57"/>
  <c r="N21" i="57"/>
  <c r="Q21" i="57" s="1"/>
  <c r="AA172" i="57"/>
  <c r="N172" i="57"/>
  <c r="Q172" i="57" s="1"/>
  <c r="Y12" i="57" a="1"/>
  <c r="Y12" i="57" s="1"/>
  <c r="Z12" i="57" s="1"/>
  <c r="Y228" i="57" a="1"/>
  <c r="Y228" i="57" s="1"/>
  <c r="Z228" i="57" s="1"/>
  <c r="AA43" i="57"/>
  <c r="N43" i="57"/>
  <c r="Q43" i="57" s="1"/>
  <c r="Y174" i="57" a="1"/>
  <c r="Y174" i="57" s="1"/>
  <c r="Z174" i="57" s="1"/>
  <c r="Y164" i="57" a="1"/>
  <c r="Y164" i="57" s="1"/>
  <c r="Z164" i="57" s="1"/>
  <c r="AA181" i="57"/>
  <c r="N181" i="57"/>
  <c r="Q181" i="57" s="1"/>
  <c r="Y165" i="57" a="1"/>
  <c r="Y165" i="57" s="1"/>
  <c r="Z165" i="57" s="1"/>
  <c r="AA287" i="57"/>
  <c r="N287" i="57"/>
  <c r="Q287" i="57" s="1"/>
  <c r="AA263" i="57"/>
  <c r="N263" i="57"/>
  <c r="Q263" i="57" s="1"/>
  <c r="Y182" i="57" a="1"/>
  <c r="Y182" i="57" s="1"/>
  <c r="Z182" i="57" s="1"/>
  <c r="W40" i="57" a="1"/>
  <c r="W40" i="57" s="1"/>
  <c r="X40" i="57" s="1"/>
  <c r="AA105" i="57"/>
  <c r="N105" i="57"/>
  <c r="Q105" i="57" s="1"/>
  <c r="W251" i="57" a="1"/>
  <c r="W251" i="57" s="1"/>
  <c r="X251" i="57" s="1"/>
  <c r="Y256" i="57" a="1"/>
  <c r="Y256" i="57" s="1"/>
  <c r="Z256" i="57" s="1"/>
  <c r="Y122" i="57" a="1"/>
  <c r="Y122" i="57" s="1"/>
  <c r="Z122" i="57" s="1"/>
  <c r="Y16" i="57" a="1"/>
  <c r="Y16" i="57" s="1"/>
  <c r="Z16" i="57" s="1"/>
  <c r="AA189" i="57"/>
  <c r="N189" i="57"/>
  <c r="Q189" i="57" s="1"/>
  <c r="Y5" i="57" a="1"/>
  <c r="Y5" i="57" s="1"/>
  <c r="Z5" i="57" s="1"/>
  <c r="AA288" i="57"/>
  <c r="N288" i="57"/>
  <c r="Q288" i="57" s="1"/>
  <c r="AA200" i="57"/>
  <c r="N200" i="57"/>
  <c r="Q200" i="57" s="1"/>
  <c r="W130" i="57" a="1"/>
  <c r="W130" i="57" s="1"/>
  <c r="X130" i="57" s="1"/>
  <c r="W165" i="57" a="1"/>
  <c r="W165" i="57" s="1"/>
  <c r="X165" i="57" s="1"/>
  <c r="AA283" i="57"/>
  <c r="N283" i="57"/>
  <c r="Q283" i="57" s="1"/>
  <c r="AA51" i="57"/>
  <c r="N51" i="57"/>
  <c r="Q51" i="57" s="1"/>
  <c r="AA221" i="57"/>
  <c r="N221" i="57"/>
  <c r="Q221" i="57" s="1"/>
  <c r="AA22" i="57"/>
  <c r="N22" i="57"/>
  <c r="Q22" i="57" s="1"/>
  <c r="W192" i="57" a="1"/>
  <c r="W192" i="57" s="1"/>
  <c r="X192" i="57" s="1"/>
  <c r="AA245" i="57"/>
  <c r="N245" i="57"/>
  <c r="Q245" i="57" s="1"/>
  <c r="AA27" i="57"/>
  <c r="N27" i="57"/>
  <c r="Q27" i="57" s="1"/>
  <c r="AA85" i="57"/>
  <c r="N85" i="57"/>
  <c r="Q85" i="57" s="1"/>
  <c r="AA237" i="57"/>
  <c r="N237" i="57"/>
  <c r="Q237" i="57" s="1"/>
  <c r="AA11" i="57"/>
  <c r="N11" i="57"/>
  <c r="Q11" i="57" s="1"/>
  <c r="AA100" i="57"/>
  <c r="N100" i="57"/>
  <c r="Q100" i="57" s="1"/>
  <c r="Y222" i="57" a="1"/>
  <c r="Y222" i="57" s="1"/>
  <c r="Z222" i="57" s="1"/>
  <c r="Y254" i="57" a="1"/>
  <c r="Y254" i="57" s="1"/>
  <c r="Z254" i="57" s="1"/>
  <c r="AA269" i="57"/>
  <c r="N269" i="57"/>
  <c r="Q269" i="57" s="1"/>
  <c r="AA6" i="57"/>
  <c r="N6" i="57"/>
  <c r="Q6" i="57" s="1"/>
  <c r="Y138" i="57" a="1"/>
  <c r="Y138" i="57" s="1"/>
  <c r="Z138" i="57" s="1"/>
  <c r="AA35" i="57"/>
  <c r="N35" i="57"/>
  <c r="Q35" i="57" s="1"/>
  <c r="AA37" i="57"/>
  <c r="N37" i="57"/>
  <c r="Q37" i="57" s="1"/>
  <c r="Y88" i="57" a="1"/>
  <c r="Y88" i="57" s="1"/>
  <c r="Z88" i="57" s="1"/>
  <c r="Y260" i="57" a="1"/>
  <c r="Y260" i="57" s="1"/>
  <c r="Z260" i="57" s="1"/>
  <c r="W72" i="57" a="1"/>
  <c r="W72" i="57" s="1"/>
  <c r="X72" i="57" s="1"/>
  <c r="Y24" i="57" a="1"/>
  <c r="Y24" i="57" s="1"/>
  <c r="Z24" i="57" s="1"/>
  <c r="Y199" i="57" a="1"/>
  <c r="Y199" i="57" s="1"/>
  <c r="Z199" i="57" s="1"/>
  <c r="AA61" i="57"/>
  <c r="N61" i="57"/>
  <c r="Q61" i="57" s="1"/>
  <c r="AA143" i="57"/>
  <c r="N143" i="57"/>
  <c r="Q143" i="57" s="1"/>
  <c r="AA248" i="57"/>
  <c r="N248" i="57"/>
  <c r="Q248" i="57" s="1"/>
  <c r="W146" i="57" a="1"/>
  <c r="W146" i="57" s="1"/>
  <c r="X146" i="57" s="1"/>
  <c r="AA280" i="57"/>
  <c r="N280" i="57"/>
  <c r="Q280" i="57" s="1"/>
  <c r="AA155" i="57"/>
  <c r="N155" i="57"/>
  <c r="Q155" i="57" s="1"/>
  <c r="AA134" i="57"/>
  <c r="N134" i="57"/>
  <c r="Q134" i="57" s="1"/>
  <c r="W196" i="57" a="1"/>
  <c r="W196" i="57" s="1"/>
  <c r="X196" i="57" s="1"/>
  <c r="AA142" i="57"/>
  <c r="N142" i="57"/>
  <c r="Q142" i="57" s="1"/>
  <c r="W279" i="57" a="1"/>
  <c r="W279" i="57" s="1"/>
  <c r="X279" i="57" s="1"/>
  <c r="W285" i="57" a="1"/>
  <c r="W285" i="57" s="1"/>
  <c r="X285" i="57" s="1"/>
  <c r="W187" i="57" a="1"/>
  <c r="W187" i="57" s="1"/>
  <c r="X187" i="57" s="1"/>
  <c r="AA2" i="57"/>
  <c r="N2" i="57"/>
  <c r="Q2" i="57" s="1"/>
  <c r="AA229" i="57"/>
  <c r="N229" i="57"/>
  <c r="Q229" i="57" s="1"/>
  <c r="AA59" i="57"/>
  <c r="N59" i="57"/>
  <c r="Q59" i="57" s="1"/>
  <c r="AA86" i="57"/>
  <c r="N86" i="57"/>
  <c r="Q86" i="57" s="1"/>
  <c r="Y255" i="57" a="1"/>
  <c r="Y255" i="57" s="1"/>
  <c r="Z255" i="57" s="1"/>
  <c r="AA231" i="57"/>
  <c r="N231" i="57"/>
  <c r="Q231" i="57" s="1"/>
  <c r="W227" i="57" a="1"/>
  <c r="W227" i="57" s="1"/>
  <c r="X227" i="57" s="1"/>
  <c r="AA294" i="57"/>
  <c r="N294" i="57"/>
  <c r="Q294" i="57" s="1"/>
  <c r="AA195" i="57"/>
  <c r="N195" i="57"/>
  <c r="Q195" i="57" s="1"/>
  <c r="AA29" i="57"/>
  <c r="N29" i="57"/>
  <c r="Q29" i="57" s="1"/>
  <c r="AA232" i="57"/>
  <c r="N232" i="57"/>
  <c r="Q232" i="57" s="1"/>
  <c r="W266" i="57" a="1"/>
  <c r="W266" i="57" s="1"/>
  <c r="X266" i="57" s="1"/>
  <c r="Y32" i="57" a="1"/>
  <c r="Y32" i="57" s="1"/>
  <c r="Z32" i="57" s="1"/>
  <c r="AA213" i="57"/>
  <c r="N213" i="57"/>
  <c r="Q213" i="57" s="1"/>
  <c r="AA215" i="57"/>
  <c r="N215" i="57"/>
  <c r="Q215" i="57" s="1"/>
  <c r="AA67" i="57"/>
  <c r="N67" i="57"/>
  <c r="Q67" i="57" s="1"/>
  <c r="AA108" i="57"/>
  <c r="N108" i="57"/>
  <c r="Q108" i="57" s="1"/>
  <c r="Y219" i="57" a="1"/>
  <c r="Y219" i="57" s="1"/>
  <c r="Z219" i="57" s="1"/>
  <c r="AA277" i="57"/>
  <c r="N277" i="57"/>
  <c r="Q277" i="57" s="1"/>
  <c r="Y224" i="57" a="1"/>
  <c r="Y224" i="57" s="1"/>
  <c r="Z224" i="57" s="1"/>
  <c r="W48" i="57" a="1"/>
  <c r="W48" i="57" s="1"/>
  <c r="X48" i="57" s="1"/>
  <c r="Y111" i="57" a="1"/>
  <c r="Y111" i="57" s="1"/>
  <c r="Z111" i="57" s="1"/>
  <c r="Y80" i="57" a="1"/>
  <c r="Y80" i="57" s="1"/>
  <c r="Z80" i="57" s="1"/>
  <c r="AA75" i="57"/>
  <c r="N75" i="57"/>
  <c r="Q75" i="57" s="1"/>
  <c r="W168" i="57" a="1"/>
  <c r="W168" i="57" s="1"/>
  <c r="X168" i="57" s="1"/>
  <c r="AH18" i="55"/>
  <c r="AH4" i="55"/>
  <c r="AH24" i="55"/>
  <c r="AH6" i="55"/>
  <c r="AH9" i="55"/>
  <c r="AH22" i="55"/>
  <c r="AH23" i="55"/>
  <c r="AH14" i="55"/>
  <c r="AH15" i="55"/>
  <c r="AI18" i="55"/>
  <c r="AC18" i="55"/>
  <c r="AD18" i="55" s="1"/>
  <c r="AC4" i="55"/>
  <c r="AD4" i="55" s="1"/>
  <c r="AI4" i="55"/>
  <c r="AI24" i="55"/>
  <c r="AJ24" i="55" s="1"/>
  <c r="AC24" i="55"/>
  <c r="AD24" i="55" s="1"/>
  <c r="AC6" i="55"/>
  <c r="AD6" i="55" s="1"/>
  <c r="AI6" i="55"/>
  <c r="AJ6" i="55" s="1"/>
  <c r="AC9" i="55"/>
  <c r="AD9" i="55" s="1"/>
  <c r="AI9" i="55"/>
  <c r="AJ9" i="55" s="1"/>
  <c r="AC22" i="55"/>
  <c r="AD22" i="55" s="1"/>
  <c r="AI22" i="55"/>
  <c r="AJ22" i="55" s="1"/>
  <c r="AA5" i="55"/>
  <c r="AE5" i="55" s="1"/>
  <c r="AF5" i="55" s="1"/>
  <c r="Z5" i="55"/>
  <c r="AA57" i="55"/>
  <c r="AA22" i="55"/>
  <c r="AE22" i="55" s="1"/>
  <c r="AF22" i="55" s="1"/>
  <c r="Z25" i="55"/>
  <c r="AA16" i="55"/>
  <c r="AE16" i="55" s="1"/>
  <c r="AF16" i="55" s="1"/>
  <c r="AA38" i="55"/>
  <c r="AA35" i="55"/>
  <c r="AI23" i="55"/>
  <c r="AJ23" i="55" s="1"/>
  <c r="AC23" i="55"/>
  <c r="AD23" i="55" s="1"/>
  <c r="AA29" i="55"/>
  <c r="Z29" i="55"/>
  <c r="AA33" i="55"/>
  <c r="AA27" i="55"/>
  <c r="AE27" i="55" s="1"/>
  <c r="AF27" i="55" s="1"/>
  <c r="Z27" i="55"/>
  <c r="Z30" i="55"/>
  <c r="AA44" i="55"/>
  <c r="AC14" i="55"/>
  <c r="AD14" i="55" s="1"/>
  <c r="AI14" i="55"/>
  <c r="AJ14" i="55" s="1"/>
  <c r="Z3" i="55"/>
  <c r="AE3" i="55" s="1"/>
  <c r="AF3" i="55" s="1"/>
  <c r="AA10" i="55"/>
  <c r="AE10" i="55" s="1"/>
  <c r="AF10" i="55" s="1"/>
  <c r="Z10" i="55"/>
  <c r="AA96" i="55"/>
  <c r="AE4" i="55"/>
  <c r="AF4" i="55" s="1"/>
  <c r="Z12" i="55"/>
  <c r="AA13" i="55"/>
  <c r="AE13" i="55" s="1"/>
  <c r="AF13" i="55" s="1"/>
  <c r="AC15" i="55"/>
  <c r="AD15" i="55" s="1"/>
  <c r="AI15" i="55"/>
  <c r="AJ15" i="55" s="1"/>
  <c r="AA8" i="55"/>
  <c r="Z8" i="55"/>
  <c r="AA79" i="55"/>
  <c r="Z11" i="55"/>
  <c r="AE12" i="55"/>
  <c r="AF12" i="55" s="1"/>
  <c r="AA20" i="55"/>
  <c r="AE20" i="55" s="1"/>
  <c r="AF20" i="55" s="1"/>
  <c r="Z20" i="55"/>
  <c r="Z17" i="55"/>
  <c r="AA87" i="55"/>
  <c r="AA88" i="55"/>
  <c r="AA26" i="55"/>
  <c r="AA28" i="55"/>
  <c r="AE28" i="55" s="1"/>
  <c r="AF28" i="55" s="1"/>
  <c r="Z28" i="55"/>
  <c r="AA69" i="55"/>
  <c r="AA31" i="55"/>
  <c r="AA24" i="55"/>
  <c r="AE24" i="55" s="1"/>
  <c r="AF24" i="55" s="1"/>
  <c r="Z16" i="55"/>
  <c r="AA9" i="55"/>
  <c r="AE9" i="55" s="1"/>
  <c r="AF9" i="55" s="1"/>
  <c r="AA7" i="55"/>
  <c r="Z7" i="55"/>
  <c r="Z19" i="55"/>
  <c r="Z26" i="55"/>
  <c r="Z21" i="55"/>
  <c r="AH49" i="55"/>
  <c r="AH99" i="55"/>
  <c r="AH45" i="55"/>
  <c r="AH83" i="55"/>
  <c r="AH94" i="55"/>
  <c r="AH13" i="55"/>
  <c r="AH41" i="55"/>
  <c r="AH82" i="55"/>
  <c r="AH98" i="55"/>
  <c r="AH75" i="55"/>
  <c r="AH81" i="55"/>
  <c r="AH89" i="55"/>
  <c r="AH64" i="55"/>
  <c r="AH34" i="55"/>
  <c r="AH48" i="55"/>
  <c r="AH51" i="55"/>
  <c r="AH42" i="55"/>
  <c r="AH46" i="55"/>
  <c r="AH43" i="55"/>
  <c r="AH80" i="55"/>
  <c r="AH85" i="55"/>
  <c r="AH55" i="55"/>
  <c r="AH56" i="55"/>
  <c r="AH61" i="55"/>
  <c r="AH77" i="55"/>
  <c r="AI31" i="55"/>
  <c r="AE31" i="55"/>
  <c r="AF31" i="55" s="1"/>
  <c r="AC31" i="55"/>
  <c r="AD31" i="55" s="1"/>
  <c r="AC68" i="55"/>
  <c r="AD68" i="55" s="1"/>
  <c r="AE68" i="55"/>
  <c r="AF68" i="55" s="1"/>
  <c r="AI68" i="55"/>
  <c r="AI63" i="55"/>
  <c r="AE63" i="55"/>
  <c r="AF63" i="55" s="1"/>
  <c r="AC63" i="55"/>
  <c r="AD63" i="55" s="1"/>
  <c r="AA68" i="55"/>
  <c r="AI37" i="55"/>
  <c r="AC37" i="55"/>
  <c r="AD37" i="55" s="1"/>
  <c r="AE37" i="55"/>
  <c r="AF37" i="55" s="1"/>
  <c r="AA63" i="55"/>
  <c r="AI87" i="55"/>
  <c r="AC87" i="55"/>
  <c r="AD87" i="55" s="1"/>
  <c r="AE87" i="55"/>
  <c r="AF87" i="55" s="1"/>
  <c r="AI57" i="55"/>
  <c r="AE57" i="55"/>
  <c r="AF57" i="55" s="1"/>
  <c r="AC57" i="55"/>
  <c r="AD57" i="55" s="1"/>
  <c r="AE88" i="55"/>
  <c r="AF88" i="55" s="1"/>
  <c r="AC88" i="55"/>
  <c r="AD88" i="55" s="1"/>
  <c r="AI88" i="55"/>
  <c r="AA58" i="55"/>
  <c r="AE100" i="55"/>
  <c r="AF100" i="55" s="1"/>
  <c r="AC100" i="55"/>
  <c r="AD100" i="55" s="1"/>
  <c r="AI100" i="55"/>
  <c r="AA50" i="55"/>
  <c r="AE50" i="55" s="1"/>
  <c r="AF50" i="55" s="1"/>
  <c r="AA59" i="55"/>
  <c r="AE92" i="55"/>
  <c r="AF92" i="55" s="1"/>
  <c r="AI92" i="55"/>
  <c r="AC92" i="55"/>
  <c r="AD92" i="55" s="1"/>
  <c r="AC36" i="55"/>
  <c r="AD36" i="55" s="1"/>
  <c r="AI36" i="55"/>
  <c r="AC59" i="55"/>
  <c r="AD59" i="55" s="1"/>
  <c r="AE59" i="55"/>
  <c r="AF59" i="55" s="1"/>
  <c r="AI59" i="55"/>
  <c r="AI39" i="55"/>
  <c r="AE39" i="55"/>
  <c r="AF39" i="55" s="1"/>
  <c r="AC39" i="55"/>
  <c r="AD39" i="55" s="1"/>
  <c r="AC78" i="55"/>
  <c r="AD78" i="55" s="1"/>
  <c r="AI78" i="55"/>
  <c r="AE78" i="55"/>
  <c r="AF78" i="55" s="1"/>
  <c r="AC91" i="55"/>
  <c r="AD91" i="55" s="1"/>
  <c r="AE91" i="55"/>
  <c r="AF91" i="55" s="1"/>
  <c r="AI91" i="55"/>
  <c r="AE66" i="55"/>
  <c r="AF66" i="55" s="1"/>
  <c r="AI66" i="55"/>
  <c r="AC66" i="55"/>
  <c r="AD66" i="55" s="1"/>
  <c r="AE62" i="55"/>
  <c r="AF62" i="55" s="1"/>
  <c r="AI62" i="55"/>
  <c r="AC62" i="55"/>
  <c r="AD62" i="55" s="1"/>
  <c r="AE67" i="55"/>
  <c r="AF67" i="55" s="1"/>
  <c r="AC67" i="55"/>
  <c r="AD67" i="55" s="1"/>
  <c r="AI67" i="55"/>
  <c r="AC54" i="55"/>
  <c r="AD54" i="55" s="1"/>
  <c r="AI54" i="55"/>
  <c r="AC65" i="55"/>
  <c r="AD65" i="55" s="1"/>
  <c r="AI65" i="55"/>
  <c r="AE65" i="55"/>
  <c r="AF65" i="55" s="1"/>
  <c r="AI50" i="55"/>
  <c r="AC50" i="55"/>
  <c r="AD50" i="55" s="1"/>
  <c r="AE72" i="55"/>
  <c r="AF72" i="55" s="1"/>
  <c r="AI72" i="55"/>
  <c r="AC72" i="55"/>
  <c r="AD72" i="55" s="1"/>
  <c r="AA72" i="55"/>
  <c r="AA78" i="55"/>
  <c r="AA91" i="55"/>
  <c r="AA47" i="55"/>
  <c r="AA95" i="55"/>
  <c r="AA62" i="55"/>
  <c r="AI69" i="55"/>
  <c r="AC69" i="55"/>
  <c r="AD69" i="55" s="1"/>
  <c r="AE69" i="55"/>
  <c r="AF69" i="55" s="1"/>
  <c r="AC44" i="55"/>
  <c r="AD44" i="55" s="1"/>
  <c r="AE44" i="55"/>
  <c r="AF44" i="55" s="1"/>
  <c r="AI44" i="55"/>
  <c r="AA18" i="55"/>
  <c r="AE18" i="55" s="1"/>
  <c r="AF18" i="55" s="1"/>
  <c r="AC90" i="55"/>
  <c r="AD90" i="55" s="1"/>
  <c r="AE90" i="55"/>
  <c r="AF90" i="55" s="1"/>
  <c r="AI90" i="55"/>
  <c r="AI35" i="55"/>
  <c r="AE35" i="55"/>
  <c r="AF35" i="55" s="1"/>
  <c r="AC35" i="55"/>
  <c r="AD35" i="55" s="1"/>
  <c r="AC38" i="55"/>
  <c r="AD38" i="55" s="1"/>
  <c r="AI38" i="55"/>
  <c r="AE38" i="55"/>
  <c r="AF38" i="55" s="1"/>
  <c r="AI79" i="55"/>
  <c r="AE79" i="55"/>
  <c r="AF79" i="55" s="1"/>
  <c r="AC79" i="55"/>
  <c r="AD79" i="55" s="1"/>
  <c r="AA6" i="55"/>
  <c r="AE6" i="55" s="1"/>
  <c r="AF6" i="55" s="1"/>
  <c r="AE47" i="55"/>
  <c r="AF47" i="55" s="1"/>
  <c r="AI47" i="55"/>
  <c r="AC47" i="55"/>
  <c r="AD47" i="55" s="1"/>
  <c r="AI95" i="55"/>
  <c r="AE95" i="55"/>
  <c r="AF95" i="55" s="1"/>
  <c r="AC95" i="55"/>
  <c r="AD95" i="55" s="1"/>
  <c r="AI73" i="55"/>
  <c r="AE73" i="55"/>
  <c r="AF73" i="55" s="1"/>
  <c r="AC73" i="55"/>
  <c r="AD73" i="55" s="1"/>
  <c r="AC60" i="55"/>
  <c r="AD60" i="55" s="1"/>
  <c r="AI60" i="55"/>
  <c r="AE60" i="55"/>
  <c r="AF60" i="55" s="1"/>
  <c r="AC74" i="55"/>
  <c r="AD74" i="55" s="1"/>
  <c r="AI74" i="55"/>
  <c r="AE74" i="55"/>
  <c r="AF74" i="55" s="1"/>
  <c r="AA11" i="55"/>
  <c r="Z33" i="55"/>
  <c r="AC52" i="55"/>
  <c r="AD52" i="55" s="1"/>
  <c r="AE52" i="55"/>
  <c r="AF52" i="55" s="1"/>
  <c r="AI52" i="55"/>
  <c r="AC86" i="55"/>
  <c r="AD86" i="55" s="1"/>
  <c r="AE86" i="55"/>
  <c r="AF86" i="55" s="1"/>
  <c r="AI86" i="55"/>
  <c r="Z32" i="55"/>
  <c r="AC30" i="55"/>
  <c r="AD30" i="55" s="1"/>
  <c r="AE30" i="55"/>
  <c r="AF30" i="55" s="1"/>
  <c r="AI30" i="55"/>
  <c r="AI40" i="55"/>
  <c r="AC40" i="55"/>
  <c r="AD40" i="55" s="1"/>
  <c r="AA54" i="55"/>
  <c r="AE54" i="55" s="1"/>
  <c r="AF54" i="55" s="1"/>
  <c r="AC76" i="55"/>
  <c r="AD76" i="55" s="1"/>
  <c r="AE76" i="55"/>
  <c r="AF76" i="55" s="1"/>
  <c r="AI76" i="55"/>
  <c r="AA40" i="55"/>
  <c r="AE40" i="55" s="1"/>
  <c r="AF40" i="55" s="1"/>
  <c r="AE84" i="55"/>
  <c r="AF84" i="55" s="1"/>
  <c r="AC84" i="55"/>
  <c r="AD84" i="55" s="1"/>
  <c r="AI84" i="55"/>
  <c r="AI97" i="55"/>
  <c r="AC97" i="55"/>
  <c r="AD97" i="55" s="1"/>
  <c r="AE97" i="55"/>
  <c r="AF97" i="55" s="1"/>
  <c r="AA36" i="55"/>
  <c r="AE36" i="55" s="1"/>
  <c r="AF36" i="55" s="1"/>
  <c r="AA76" i="55"/>
  <c r="AA15" i="55"/>
  <c r="AE15" i="55" s="1"/>
  <c r="AF15" i="55" s="1"/>
  <c r="AE58" i="55"/>
  <c r="AF58" i="55" s="1"/>
  <c r="AC58" i="55"/>
  <c r="AD58" i="55" s="1"/>
  <c r="AI58" i="55"/>
  <c r="AI53" i="55"/>
  <c r="AE53" i="55"/>
  <c r="AF53" i="55" s="1"/>
  <c r="AC53" i="55"/>
  <c r="AD53" i="55" s="1"/>
  <c r="AI71" i="55"/>
  <c r="AC71" i="55"/>
  <c r="AD71" i="55" s="1"/>
  <c r="AE71" i="55"/>
  <c r="AF71" i="55" s="1"/>
  <c r="AI96" i="55"/>
  <c r="AE96" i="55"/>
  <c r="AF96" i="55" s="1"/>
  <c r="AC96" i="55"/>
  <c r="AD96" i="55" s="1"/>
  <c r="AC93" i="55"/>
  <c r="AD93" i="55" s="1"/>
  <c r="AI93" i="55"/>
  <c r="AE93" i="55"/>
  <c r="AF93" i="55" s="1"/>
  <c r="AE70" i="55"/>
  <c r="AF70" i="55" s="1"/>
  <c r="AC70" i="55"/>
  <c r="AD70" i="55" s="1"/>
  <c r="AI70" i="55"/>
  <c r="AA19" i="55"/>
  <c r="AE19" i="55" s="1"/>
  <c r="AF19" i="55" s="1"/>
  <c r="AA92" i="55"/>
  <c r="AK3" i="94" a="1"/>
  <c r="AK3" i="94" s="1"/>
  <c r="AH11" i="55" a="1"/>
  <c r="AH7" i="55" a="1"/>
  <c r="AH12" i="55" a="1"/>
  <c r="AH28" i="55" a="1"/>
  <c r="AH19" i="55" a="1"/>
  <c r="AH29" i="55" a="1"/>
  <c r="AH3" i="55" a="1"/>
  <c r="AH26" i="55" a="1"/>
  <c r="AH25" i="55" a="1"/>
  <c r="AH20" i="55" a="1"/>
  <c r="AH21" i="55" a="1"/>
  <c r="AH17" i="55" a="1"/>
  <c r="AH27" i="55" a="1"/>
  <c r="AH10" i="55" a="1"/>
  <c r="AH16" i="55" a="1"/>
  <c r="AH8" i="55" a="1"/>
  <c r="AH5" i="55" a="1"/>
  <c r="AH68" i="55" a="1"/>
  <c r="AH37" i="55" a="1"/>
  <c r="AH78" i="55" a="1"/>
  <c r="AH59" i="55" a="1"/>
  <c r="AH35" i="55" a="1"/>
  <c r="AH57" i="55" a="1"/>
  <c r="AH66" i="55" a="1"/>
  <c r="AH65" i="55" a="1"/>
  <c r="AH72" i="55" a="1"/>
  <c r="AH60" i="55" a="1"/>
  <c r="AH84" i="55" a="1"/>
  <c r="AH70" i="55" a="1"/>
  <c r="AH63" i="55" a="1"/>
  <c r="AH92" i="55" a="1"/>
  <c r="AH67" i="55" a="1"/>
  <c r="AH31" i="55" a="1"/>
  <c r="AH100" i="55" a="1"/>
  <c r="AH69" i="55" a="1"/>
  <c r="AH38" i="55" a="1"/>
  <c r="AH47" i="55" a="1"/>
  <c r="AH73" i="55" a="1"/>
  <c r="AH74" i="55" a="1"/>
  <c r="AH52" i="55" a="1"/>
  <c r="AH93" i="55" a="1"/>
  <c r="AH30" i="55" a="1"/>
  <c r="AH53" i="55" a="1"/>
  <c r="AH96" i="55" a="1"/>
  <c r="AH88" i="55" a="1"/>
  <c r="AH39" i="55" a="1"/>
  <c r="AH91" i="55" a="1"/>
  <c r="AH76" i="55" a="1"/>
  <c r="AH97" i="55" a="1"/>
  <c r="AH71" i="55" a="1"/>
  <c r="AH40" i="55" a="1"/>
  <c r="AH54" i="55" a="1"/>
  <c r="AH50" i="55" a="1"/>
  <c r="AH90" i="55" a="1"/>
  <c r="AH58" i="55" a="1"/>
  <c r="AH87" i="55" a="1"/>
  <c r="AH36" i="55" a="1"/>
  <c r="AH62" i="55" a="1"/>
  <c r="AH44" i="55" a="1"/>
  <c r="AH79" i="55" a="1"/>
  <c r="AH95" i="55" a="1"/>
  <c r="AH86" i="55" a="1"/>
  <c r="Y294" i="57" l="1" a="1"/>
  <c r="Y294" i="57" s="1"/>
  <c r="Z294" i="57" s="1"/>
  <c r="W294" i="57" a="1"/>
  <c r="W294" i="57" s="1"/>
  <c r="X294" i="57" s="1"/>
  <c r="Y67" i="57" a="1"/>
  <c r="Y67" i="57" s="1"/>
  <c r="Z67" i="57" s="1"/>
  <c r="W67" i="57" a="1"/>
  <c r="W67" i="57" s="1"/>
  <c r="X67" i="57" s="1"/>
  <c r="Y232" i="57" a="1"/>
  <c r="Y232" i="57" s="1"/>
  <c r="Z232" i="57" s="1"/>
  <c r="W232" i="57" a="1"/>
  <c r="W232" i="57" s="1"/>
  <c r="X232" i="57" s="1"/>
  <c r="Y229" i="57" a="1"/>
  <c r="Y229" i="57" s="1"/>
  <c r="Z229" i="57" s="1"/>
  <c r="W229" i="57" a="1"/>
  <c r="W229" i="57" s="1"/>
  <c r="X229" i="57" s="1"/>
  <c r="Y51" i="57" a="1"/>
  <c r="Y51" i="57" s="1"/>
  <c r="Z51" i="57" s="1"/>
  <c r="W51" i="57" a="1"/>
  <c r="W51" i="57" s="1"/>
  <c r="X51" i="57" s="1"/>
  <c r="Y288" i="57" a="1"/>
  <c r="Y288" i="57" s="1"/>
  <c r="Z288" i="57" s="1"/>
  <c r="W288" i="57" a="1"/>
  <c r="W288" i="57" s="1"/>
  <c r="X288" i="57" s="1"/>
  <c r="Y14" i="57" a="1"/>
  <c r="Y14" i="57" s="1"/>
  <c r="Z14" i="57" s="1"/>
  <c r="W14" i="57" a="1"/>
  <c r="W14" i="57" s="1"/>
  <c r="X14" i="57" s="1"/>
  <c r="Y286" i="57" a="1"/>
  <c r="Y286" i="57" s="1"/>
  <c r="Z286" i="57" s="1"/>
  <c r="W286" i="57" a="1"/>
  <c r="W286" i="57" s="1"/>
  <c r="X286" i="57" s="1"/>
  <c r="Y295" i="57" a="1"/>
  <c r="Y295" i="57" s="1"/>
  <c r="Z295" i="57" s="1"/>
  <c r="W295" i="57" a="1"/>
  <c r="W295" i="57" s="1"/>
  <c r="X295" i="57" s="1"/>
  <c r="Y231" i="57" a="1"/>
  <c r="Y231" i="57" s="1"/>
  <c r="Z231" i="57" s="1"/>
  <c r="W231" i="57" a="1"/>
  <c r="W231" i="57" s="1"/>
  <c r="X231" i="57" s="1"/>
  <c r="Y248" i="57" a="1"/>
  <c r="Y248" i="57" s="1"/>
  <c r="Z248" i="57" s="1"/>
  <c r="W248" i="57" a="1"/>
  <c r="W248" i="57" s="1"/>
  <c r="X248" i="57" s="1"/>
  <c r="Y6" i="57" a="1"/>
  <c r="Y6" i="57" s="1"/>
  <c r="Z6" i="57" s="1"/>
  <c r="W6" i="57" a="1"/>
  <c r="W6" i="57" s="1"/>
  <c r="X6" i="57" s="1"/>
  <c r="Y11" i="57" a="1"/>
  <c r="Y11" i="57" s="1"/>
  <c r="Z11" i="57" s="1"/>
  <c r="W11" i="57" a="1"/>
  <c r="W11" i="57" s="1"/>
  <c r="X11" i="57" s="1"/>
  <c r="Y245" i="57" a="1"/>
  <c r="Y245" i="57" s="1"/>
  <c r="Z245" i="57" s="1"/>
  <c r="W245" i="57" a="1"/>
  <c r="W245" i="57" s="1"/>
  <c r="X245" i="57" s="1"/>
  <c r="Y105" i="57" a="1"/>
  <c r="Y105" i="57" s="1"/>
  <c r="Z105" i="57" s="1"/>
  <c r="W105" i="57" a="1"/>
  <c r="W105" i="57" s="1"/>
  <c r="X105" i="57" s="1"/>
  <c r="Y77" i="57" a="1"/>
  <c r="Y77" i="57" s="1"/>
  <c r="Z77" i="57" s="1"/>
  <c r="W77" i="57" a="1"/>
  <c r="W77" i="57" s="1"/>
  <c r="X77" i="57" s="1"/>
  <c r="Y297" i="57" a="1"/>
  <c r="Y297" i="57" s="1"/>
  <c r="Z297" i="57" s="1"/>
  <c r="W297" i="57" a="1"/>
  <c r="W297" i="57" s="1"/>
  <c r="X297" i="57" s="1"/>
  <c r="Y99" i="57" a="1"/>
  <c r="Y99" i="57" s="1"/>
  <c r="Z99" i="57" s="1"/>
  <c r="W99" i="57" a="1"/>
  <c r="W99" i="57" s="1"/>
  <c r="X99" i="57" s="1"/>
  <c r="Y119" i="57" a="1"/>
  <c r="Y119" i="57" s="1"/>
  <c r="Z119" i="57" s="1"/>
  <c r="W119" i="57" a="1"/>
  <c r="W119" i="57" s="1"/>
  <c r="X119" i="57" s="1"/>
  <c r="Y108" i="57" a="1"/>
  <c r="Y108" i="57" s="1"/>
  <c r="Z108" i="57" s="1"/>
  <c r="W108" i="57" a="1"/>
  <c r="W108" i="57" s="1"/>
  <c r="X108" i="57" s="1"/>
  <c r="Y215" i="57" a="1"/>
  <c r="Y215" i="57" s="1"/>
  <c r="Z215" i="57" s="1"/>
  <c r="W215" i="57" a="1"/>
  <c r="W215" i="57" s="1"/>
  <c r="X215" i="57" s="1"/>
  <c r="Y29" i="57" a="1"/>
  <c r="Y29" i="57" s="1"/>
  <c r="Z29" i="57" s="1"/>
  <c r="W29" i="57" a="1"/>
  <c r="W29" i="57" s="1"/>
  <c r="X29" i="57" s="1"/>
  <c r="Y283" i="57" a="1"/>
  <c r="Y283" i="57" s="1"/>
  <c r="Z283" i="57" s="1"/>
  <c r="W283" i="57" a="1"/>
  <c r="W283" i="57" s="1"/>
  <c r="X283" i="57" s="1"/>
  <c r="Y172" i="57" a="1"/>
  <c r="Y172" i="57" s="1"/>
  <c r="Z172" i="57" s="1"/>
  <c r="W172" i="57" a="1"/>
  <c r="W172" i="57" s="1"/>
  <c r="X172" i="57" s="1"/>
  <c r="Y197" i="57" a="1"/>
  <c r="Y197" i="57" s="1"/>
  <c r="Z197" i="57" s="1"/>
  <c r="W197" i="57" a="1"/>
  <c r="W197" i="57" s="1"/>
  <c r="X197" i="57" s="1"/>
  <c r="Y205" i="57" a="1"/>
  <c r="Y205" i="57" s="1"/>
  <c r="Z205" i="57" s="1"/>
  <c r="W205" i="57" a="1"/>
  <c r="W205" i="57" s="1"/>
  <c r="X205" i="57" s="1"/>
  <c r="Y118" i="57" a="1"/>
  <c r="Y118" i="57" s="1"/>
  <c r="Z118" i="57" s="1"/>
  <c r="W118" i="57" a="1"/>
  <c r="W118" i="57" s="1"/>
  <c r="X118" i="57" s="1"/>
  <c r="Y216" i="57" a="1"/>
  <c r="Y216" i="57" s="1"/>
  <c r="Z216" i="57" s="1"/>
  <c r="W216" i="57" a="1"/>
  <c r="W216" i="57" s="1"/>
  <c r="X216" i="57" s="1"/>
  <c r="Y75" i="57" a="1"/>
  <c r="Y75" i="57" s="1"/>
  <c r="Z75" i="57" s="1"/>
  <c r="W75" i="57" a="1"/>
  <c r="W75" i="57" s="1"/>
  <c r="X75" i="57" s="1"/>
  <c r="Y2" i="57" a="1"/>
  <c r="Y2" i="57" s="1"/>
  <c r="Z2" i="57" s="1"/>
  <c r="W2" i="57" a="1"/>
  <c r="W2" i="57" s="1"/>
  <c r="X2" i="57" s="1"/>
  <c r="Y134" i="57" a="1"/>
  <c r="Y134" i="57" s="1"/>
  <c r="Z134" i="57" s="1"/>
  <c r="W134" i="57" a="1"/>
  <c r="W134" i="57" s="1"/>
  <c r="X134" i="57" s="1"/>
  <c r="Y181" i="57" a="1"/>
  <c r="Y181" i="57" s="1"/>
  <c r="Z181" i="57" s="1"/>
  <c r="W181" i="57" a="1"/>
  <c r="W181" i="57" s="1"/>
  <c r="X181" i="57" s="1"/>
  <c r="Y293" i="57" a="1"/>
  <c r="Y293" i="57" s="1"/>
  <c r="Z293" i="57" s="1"/>
  <c r="W293" i="57" a="1"/>
  <c r="W293" i="57" s="1"/>
  <c r="X293" i="57" s="1"/>
  <c r="Y277" i="57" a="1"/>
  <c r="Y277" i="57" s="1"/>
  <c r="Z277" i="57" s="1"/>
  <c r="W277" i="57" a="1"/>
  <c r="W277" i="57" s="1"/>
  <c r="X277" i="57" s="1"/>
  <c r="Y143" i="57" a="1"/>
  <c r="Y143" i="57" s="1"/>
  <c r="Z143" i="57" s="1"/>
  <c r="W143" i="57" a="1"/>
  <c r="W143" i="57" s="1"/>
  <c r="X143" i="57" s="1"/>
  <c r="Y269" i="57" a="1"/>
  <c r="Y269" i="57" s="1"/>
  <c r="Z269" i="57" s="1"/>
  <c r="W269" i="57" a="1"/>
  <c r="W269" i="57" s="1"/>
  <c r="X269" i="57" s="1"/>
  <c r="Y237" i="57" a="1"/>
  <c r="Y237" i="57" s="1"/>
  <c r="Z237" i="57" s="1"/>
  <c r="W237" i="57" a="1"/>
  <c r="W237" i="57" s="1"/>
  <c r="X237" i="57" s="1"/>
  <c r="Y189" i="57" a="1"/>
  <c r="Y189" i="57" s="1"/>
  <c r="Z189" i="57" s="1"/>
  <c r="W189" i="57" a="1"/>
  <c r="W189" i="57" s="1"/>
  <c r="X189" i="57" s="1"/>
  <c r="Y156" i="57" a="1"/>
  <c r="Y156" i="57" s="1"/>
  <c r="Z156" i="57" s="1"/>
  <c r="W156" i="57" a="1"/>
  <c r="W156" i="57" s="1"/>
  <c r="X156" i="57" s="1"/>
  <c r="Y230" i="57" a="1"/>
  <c r="Y230" i="57" s="1"/>
  <c r="Z230" i="57" s="1"/>
  <c r="W230" i="57" a="1"/>
  <c r="W230" i="57" s="1"/>
  <c r="X230" i="57" s="1"/>
  <c r="Y253" i="57" a="1"/>
  <c r="Y253" i="57" s="1"/>
  <c r="Z253" i="57" s="1"/>
  <c r="W253" i="57" a="1"/>
  <c r="W253" i="57" s="1"/>
  <c r="X253" i="57" s="1"/>
  <c r="Y163" i="57" a="1"/>
  <c r="Y163" i="57" s="1"/>
  <c r="Z163" i="57" s="1"/>
  <c r="W163" i="57" a="1"/>
  <c r="W163" i="57" s="1"/>
  <c r="X163" i="57" s="1"/>
  <c r="Y213" i="57" a="1"/>
  <c r="Y213" i="57" s="1"/>
  <c r="Z213" i="57" s="1"/>
  <c r="W213" i="57" a="1"/>
  <c r="W213" i="57" s="1"/>
  <c r="X213" i="57" s="1"/>
  <c r="Y195" i="57" a="1"/>
  <c r="Y195" i="57" s="1"/>
  <c r="Z195" i="57" s="1"/>
  <c r="W195" i="57" a="1"/>
  <c r="W195" i="57" s="1"/>
  <c r="X195" i="57" s="1"/>
  <c r="Y86" i="57" a="1"/>
  <c r="Y86" i="57" s="1"/>
  <c r="Z86" i="57" s="1"/>
  <c r="W86" i="57" a="1"/>
  <c r="W86" i="57" s="1"/>
  <c r="X86" i="57" s="1"/>
  <c r="Y155" i="57" a="1"/>
  <c r="Y155" i="57" s="1"/>
  <c r="Z155" i="57" s="1"/>
  <c r="W155" i="57" a="1"/>
  <c r="W155" i="57" s="1"/>
  <c r="X155" i="57" s="1"/>
  <c r="Y37" i="57" a="1"/>
  <c r="Y37" i="57" s="1"/>
  <c r="Z37" i="57" s="1"/>
  <c r="W37" i="57" a="1"/>
  <c r="W37" i="57" s="1"/>
  <c r="X37" i="57" s="1"/>
  <c r="Y22" i="57" a="1"/>
  <c r="Y22" i="57" s="1"/>
  <c r="Z22" i="57" s="1"/>
  <c r="W22" i="57" a="1"/>
  <c r="W22" i="57" s="1"/>
  <c r="X22" i="57" s="1"/>
  <c r="Y21" i="57" a="1"/>
  <c r="Y21" i="57" s="1"/>
  <c r="Z21" i="57" s="1"/>
  <c r="W21" i="57" a="1"/>
  <c r="W21" i="57" s="1"/>
  <c r="X21" i="57" s="1"/>
  <c r="Y53" i="57" a="1"/>
  <c r="Y53" i="57" s="1"/>
  <c r="Z53" i="57" s="1"/>
  <c r="W53" i="57" a="1"/>
  <c r="W53" i="57" s="1"/>
  <c r="X53" i="57" s="1"/>
  <c r="Y261" i="57" a="1"/>
  <c r="Y261" i="57" s="1"/>
  <c r="Z261" i="57" s="1"/>
  <c r="W261" i="57" a="1"/>
  <c r="W261" i="57" s="1"/>
  <c r="X261" i="57" s="1"/>
  <c r="Y135" i="57" a="1"/>
  <c r="Y135" i="57" s="1"/>
  <c r="Z135" i="57" s="1"/>
  <c r="W135" i="57" a="1"/>
  <c r="W135" i="57" s="1"/>
  <c r="X135" i="57" s="1"/>
  <c r="Y92" i="57" a="1"/>
  <c r="Y92" i="57" s="1"/>
  <c r="Z92" i="57" s="1"/>
  <c r="W92" i="57" a="1"/>
  <c r="W92" i="57" s="1"/>
  <c r="X92" i="57" s="1"/>
  <c r="Y61" i="57" a="1"/>
  <c r="Y61" i="57" s="1"/>
  <c r="Z61" i="57" s="1"/>
  <c r="W61" i="57" a="1"/>
  <c r="W61" i="57" s="1"/>
  <c r="X61" i="57" s="1"/>
  <c r="Y85" i="57" a="1"/>
  <c r="Y85" i="57" s="1"/>
  <c r="Z85" i="57" s="1"/>
  <c r="W85" i="57" a="1"/>
  <c r="W85" i="57" s="1"/>
  <c r="X85" i="57" s="1"/>
  <c r="Y263" i="57" a="1"/>
  <c r="Y263" i="57" s="1"/>
  <c r="Z263" i="57" s="1"/>
  <c r="W263" i="57" a="1"/>
  <c r="W263" i="57" s="1"/>
  <c r="X263" i="57" s="1"/>
  <c r="Y198" i="57" a="1"/>
  <c r="Y198" i="57" s="1"/>
  <c r="Z198" i="57" s="1"/>
  <c r="W198" i="57" a="1"/>
  <c r="W198" i="57" s="1"/>
  <c r="X198" i="57" s="1"/>
  <c r="Y171" i="57" a="1"/>
  <c r="Y171" i="57" s="1"/>
  <c r="Z171" i="57" s="1"/>
  <c r="W171" i="57" a="1"/>
  <c r="W171" i="57" s="1"/>
  <c r="X171" i="57" s="1"/>
  <c r="Y247" i="57" a="1"/>
  <c r="Y247" i="57" s="1"/>
  <c r="Z247" i="57" s="1"/>
  <c r="W247" i="57" a="1"/>
  <c r="W247" i="57" s="1"/>
  <c r="X247" i="57" s="1"/>
  <c r="Y157" i="57" a="1"/>
  <c r="Y157" i="57" s="1"/>
  <c r="Z157" i="57" s="1"/>
  <c r="W157" i="57" a="1"/>
  <c r="W157" i="57" s="1"/>
  <c r="X157" i="57" s="1"/>
  <c r="Y59" i="57" a="1"/>
  <c r="Y59" i="57" s="1"/>
  <c r="Z59" i="57" s="1"/>
  <c r="W59" i="57" a="1"/>
  <c r="W59" i="57" s="1"/>
  <c r="X59" i="57" s="1"/>
  <c r="Y221" i="57" a="1"/>
  <c r="Y221" i="57" s="1"/>
  <c r="Z221" i="57" s="1"/>
  <c r="W221" i="57" a="1"/>
  <c r="W221" i="57" s="1"/>
  <c r="X221" i="57" s="1"/>
  <c r="Y200" i="57" a="1"/>
  <c r="Y200" i="57" s="1"/>
  <c r="Z200" i="57" s="1"/>
  <c r="W200" i="57" a="1"/>
  <c r="W200" i="57" s="1"/>
  <c r="X200" i="57" s="1"/>
  <c r="Y43" i="57" a="1"/>
  <c r="Y43" i="57" s="1"/>
  <c r="Z43" i="57" s="1"/>
  <c r="W43" i="57" a="1"/>
  <c r="W43" i="57" s="1"/>
  <c r="X43" i="57" s="1"/>
  <c r="Y91" i="57" a="1"/>
  <c r="Y91" i="57" s="1"/>
  <c r="Z91" i="57" s="1"/>
  <c r="W91" i="57" a="1"/>
  <c r="W91" i="57" s="1"/>
  <c r="X91" i="57" s="1"/>
  <c r="Y127" i="57" a="1"/>
  <c r="Y127" i="57" s="1"/>
  <c r="Z127" i="57" s="1"/>
  <c r="W127" i="57" a="1"/>
  <c r="W127" i="57" s="1"/>
  <c r="X127" i="57" s="1"/>
  <c r="Y259" i="57" a="1"/>
  <c r="Y259" i="57" s="1"/>
  <c r="Z259" i="57" s="1"/>
  <c r="W259" i="57" a="1"/>
  <c r="W259" i="57" s="1"/>
  <c r="X259" i="57" s="1"/>
  <c r="Y69" i="57" a="1"/>
  <c r="Y69" i="57" s="1"/>
  <c r="Z69" i="57" s="1"/>
  <c r="W69" i="57" a="1"/>
  <c r="W69" i="57" s="1"/>
  <c r="X69" i="57" s="1"/>
  <c r="Y280" i="57" a="1"/>
  <c r="Y280" i="57" s="1"/>
  <c r="Z280" i="57" s="1"/>
  <c r="W280" i="57" a="1"/>
  <c r="W280" i="57" s="1"/>
  <c r="X280" i="57" s="1"/>
  <c r="Y35" i="57" a="1"/>
  <c r="Y35" i="57" s="1"/>
  <c r="Z35" i="57" s="1"/>
  <c r="W35" i="57" a="1"/>
  <c r="W35" i="57" s="1"/>
  <c r="X35" i="57" s="1"/>
  <c r="Y142" i="57" a="1"/>
  <c r="Y142" i="57" s="1"/>
  <c r="Z142" i="57" s="1"/>
  <c r="W142" i="57" a="1"/>
  <c r="W142" i="57" s="1"/>
  <c r="X142" i="57" s="1"/>
  <c r="Y100" i="57" a="1"/>
  <c r="Y100" i="57" s="1"/>
  <c r="Z100" i="57" s="1"/>
  <c r="W100" i="57" a="1"/>
  <c r="W100" i="57" s="1"/>
  <c r="X100" i="57" s="1"/>
  <c r="Y27" i="57" a="1"/>
  <c r="Y27" i="57" s="1"/>
  <c r="Z27" i="57" s="1"/>
  <c r="W27" i="57" a="1"/>
  <c r="W27" i="57" s="1"/>
  <c r="X27" i="57" s="1"/>
  <c r="Y287" i="57" a="1"/>
  <c r="Y287" i="57" s="1"/>
  <c r="Z287" i="57" s="1"/>
  <c r="W287" i="57" a="1"/>
  <c r="W287" i="57" s="1"/>
  <c r="X287" i="57" s="1"/>
  <c r="Y296" i="57" a="1"/>
  <c r="Y296" i="57" s="1"/>
  <c r="Z296" i="57" s="1"/>
  <c r="W296" i="57" a="1"/>
  <c r="W296" i="57" s="1"/>
  <c r="X296" i="57" s="1"/>
  <c r="Y298" i="57" a="1"/>
  <c r="Y298" i="57" s="1"/>
  <c r="Z298" i="57" s="1"/>
  <c r="W298" i="57" a="1"/>
  <c r="W298" i="57" s="1"/>
  <c r="X298" i="57" s="1"/>
  <c r="Y83" i="57" a="1"/>
  <c r="Y83" i="57" s="1"/>
  <c r="Z83" i="57" s="1"/>
  <c r="W83" i="57" a="1"/>
  <c r="W83" i="57" s="1"/>
  <c r="X83" i="57" s="1"/>
  <c r="Y45" i="57" a="1"/>
  <c r="Y45" i="57" s="1"/>
  <c r="Z45" i="57" s="1"/>
  <c r="W45" i="57" a="1"/>
  <c r="W45" i="57" s="1"/>
  <c r="X45" i="57" s="1"/>
  <c r="Y97" i="57" a="1"/>
  <c r="Y97" i="57" s="1"/>
  <c r="Z97" i="57" s="1"/>
  <c r="W97" i="57" a="1"/>
  <c r="W97" i="57" s="1"/>
  <c r="X97" i="57" s="1"/>
  <c r="Y126" i="57" a="1"/>
  <c r="Y126" i="57" s="1"/>
  <c r="Z126" i="57" s="1"/>
  <c r="W126" i="57" a="1"/>
  <c r="W126" i="57" s="1"/>
  <c r="X126" i="57" s="1"/>
  <c r="AH5" i="55"/>
  <c r="AH8" i="55"/>
  <c r="AH16" i="55"/>
  <c r="AH10" i="55"/>
  <c r="AH27" i="55"/>
  <c r="AH17" i="55"/>
  <c r="AH21" i="55"/>
  <c r="AH20" i="55"/>
  <c r="AH25" i="55"/>
  <c r="AH26" i="55"/>
  <c r="AH3" i="55"/>
  <c r="AH29" i="55"/>
  <c r="AH19" i="55"/>
  <c r="AH28" i="55"/>
  <c r="AH12" i="55"/>
  <c r="AH7" i="55"/>
  <c r="AH11" i="55"/>
  <c r="AE7" i="55"/>
  <c r="AF7" i="55" s="1"/>
  <c r="AE26" i="55"/>
  <c r="AF26" i="55" s="1"/>
  <c r="AC5" i="55"/>
  <c r="AD5" i="55" s="1"/>
  <c r="AI5" i="55"/>
  <c r="AJ5" i="55" s="1"/>
  <c r="AI8" i="55"/>
  <c r="AC8" i="55"/>
  <c r="AD8" i="55" s="1"/>
  <c r="AC16" i="55"/>
  <c r="AD16" i="55" s="1"/>
  <c r="AI16" i="55"/>
  <c r="AJ16" i="55" s="1"/>
  <c r="AE8" i="55"/>
  <c r="AF8" i="55" s="1"/>
  <c r="AC10" i="55"/>
  <c r="AD10" i="55" s="1"/>
  <c r="AI10" i="55"/>
  <c r="AJ10" i="55" s="1"/>
  <c r="AI27" i="55"/>
  <c r="AJ27" i="55" s="1"/>
  <c r="AC27" i="55"/>
  <c r="AD27" i="55" s="1"/>
  <c r="AC17" i="55"/>
  <c r="AD17" i="55" s="1"/>
  <c r="AI17" i="55"/>
  <c r="AJ17" i="55" s="1"/>
  <c r="AC21" i="55"/>
  <c r="AD21" i="55" s="1"/>
  <c r="AI21" i="55"/>
  <c r="AJ21" i="55" s="1"/>
  <c r="AI20" i="55"/>
  <c r="AJ20" i="55" s="1"/>
  <c r="AC20" i="55"/>
  <c r="AD20" i="55" s="1"/>
  <c r="AE21" i="55"/>
  <c r="AF21" i="55" s="1"/>
  <c r="AC25" i="55"/>
  <c r="AD25" i="55" s="1"/>
  <c r="AI25" i="55"/>
  <c r="AJ25" i="55" s="1"/>
  <c r="AC26" i="55"/>
  <c r="AD26" i="55" s="1"/>
  <c r="AI26" i="55"/>
  <c r="AC3" i="55"/>
  <c r="AD3" i="55" s="1"/>
  <c r="AI3" i="55"/>
  <c r="AJ3" i="55" s="1"/>
  <c r="AC29" i="55"/>
  <c r="AD29" i="55" s="1"/>
  <c r="AI29" i="55"/>
  <c r="AJ29" i="55" s="1"/>
  <c r="AE11" i="55"/>
  <c r="AF11" i="55" s="1"/>
  <c r="AC19" i="55"/>
  <c r="AD19" i="55" s="1"/>
  <c r="AI19" i="55"/>
  <c r="AJ19" i="55" s="1"/>
  <c r="AC28" i="55"/>
  <c r="AD28" i="55" s="1"/>
  <c r="AI28" i="55"/>
  <c r="AC12" i="55"/>
  <c r="AD12" i="55" s="1"/>
  <c r="AI12" i="55"/>
  <c r="AJ12" i="55" s="1"/>
  <c r="AE29" i="55"/>
  <c r="AF29" i="55" s="1"/>
  <c r="AE25" i="55"/>
  <c r="AF25" i="55" s="1"/>
  <c r="AE17" i="55"/>
  <c r="AF17" i="55" s="1"/>
  <c r="AC7" i="55"/>
  <c r="AD7" i="55" s="1"/>
  <c r="AI7" i="55"/>
  <c r="AJ7" i="55" s="1"/>
  <c r="AI11" i="55"/>
  <c r="AJ11" i="55" s="1"/>
  <c r="AC11" i="55"/>
  <c r="AD11" i="55" s="1"/>
  <c r="AH86" i="55"/>
  <c r="AH95" i="55"/>
  <c r="AH79" i="55"/>
  <c r="AH44" i="55"/>
  <c r="AH62" i="55"/>
  <c r="AH36" i="55"/>
  <c r="AH87" i="55"/>
  <c r="AH58" i="55"/>
  <c r="AH90" i="55"/>
  <c r="AH50" i="55"/>
  <c r="AH54" i="55"/>
  <c r="AH40" i="55"/>
  <c r="AH71" i="55"/>
  <c r="AH97" i="55"/>
  <c r="AH76" i="55"/>
  <c r="AH91" i="55"/>
  <c r="AH39" i="55"/>
  <c r="AH88" i="55"/>
  <c r="AH96" i="55"/>
  <c r="AH53" i="55"/>
  <c r="AH30" i="55"/>
  <c r="AH93" i="55"/>
  <c r="AH52" i="55"/>
  <c r="AH74" i="55"/>
  <c r="AH73" i="55"/>
  <c r="AH47" i="55"/>
  <c r="AH38" i="55"/>
  <c r="AH69" i="55"/>
  <c r="AH100" i="55"/>
  <c r="AH31" i="55"/>
  <c r="AH67" i="55"/>
  <c r="AH92" i="55"/>
  <c r="AH63" i="55"/>
  <c r="AH70" i="55"/>
  <c r="AH84" i="55"/>
  <c r="AH60" i="55"/>
  <c r="AH72" i="55"/>
  <c r="AH65" i="55"/>
  <c r="AH66" i="55"/>
  <c r="AH57" i="55"/>
  <c r="AH35" i="55"/>
  <c r="AH59" i="55"/>
  <c r="AH78" i="55"/>
  <c r="AH37" i="55"/>
  <c r="AH68" i="55"/>
  <c r="AC33" i="55"/>
  <c r="AD33" i="55" s="1"/>
  <c r="AI33" i="55"/>
  <c r="AE33" i="55"/>
  <c r="AF33" i="55" s="1"/>
  <c r="AE32" i="55"/>
  <c r="AF32" i="55" s="1"/>
  <c r="AI32" i="55"/>
  <c r="AC32" i="55"/>
  <c r="AD32" i="55" s="1"/>
  <c r="K2" i="50" a="1"/>
  <c r="K2" i="50" s="1"/>
  <c r="H2" i="50" s="1" a="1"/>
  <c r="H2" i="50" s="1"/>
  <c r="AH32" i="55" a="1"/>
  <c r="AH33" i="55" a="1"/>
  <c r="AH33" i="55" l="1"/>
  <c r="AH32" i="55"/>
  <c r="I2" i="50" a="1"/>
  <c r="I2" i="50" s="1"/>
  <c r="L2" i="50" s="1"/>
  <c r="M2" i="50" l="1"/>
  <c r="R2" i="50" s="1"/>
  <c r="N2" i="50" l="1"/>
  <c r="P2" i="50" s="1"/>
  <c r="Y1" i="69" l="1"/>
  <c r="AJ17" i="63"/>
  <c r="AI17" i="63"/>
  <c r="AK17" i="63" s="1"/>
  <c r="QA1" i="24"/>
  <c r="EI2" i="13" a="1"/>
  <c r="EI2" i="13" s="1"/>
  <c r="QB1" i="24"/>
  <c r="EK2" i="13" a="1"/>
  <c r="EK2" i="13" s="1"/>
  <c r="QC1" i="24"/>
  <c r="EM2" i="13" a="1"/>
  <c r="EM2" i="13" s="1"/>
  <c r="PZ1" i="24"/>
  <c r="EG2" i="13" a="1"/>
  <c r="EG2" i="13" s="1"/>
  <c r="N39" i="13"/>
  <c r="J39" i="13" a="1"/>
  <c r="J39" i="13" s="1"/>
  <c r="I39" i="13" a="1"/>
  <c r="I39" i="13" s="1"/>
  <c r="J38" i="13" a="1"/>
  <c r="J38" i="13" s="1"/>
  <c r="I38" i="13" a="1"/>
  <c r="I38" i="13" s="1"/>
  <c r="QD1" i="24"/>
  <c r="PY1" i="24"/>
  <c r="EE2" i="13" a="1"/>
  <c r="EE2" i="13" s="1"/>
  <c r="AJ18" i="63"/>
  <c r="AI18" i="63"/>
  <c r="AK18" i="63" s="1"/>
  <c r="AK24" i="63"/>
  <c r="AJ21" i="63"/>
  <c r="AI21" i="63"/>
  <c r="AK21" i="63" s="1"/>
  <c r="AJ20" i="63"/>
  <c r="AI20" i="63"/>
  <c r="AK20" i="63" s="1"/>
  <c r="AJ19" i="63"/>
  <c r="AI19" i="63"/>
  <c r="AK19" i="63" s="1"/>
  <c r="AJ16" i="63"/>
  <c r="AI16" i="63"/>
  <c r="AK16" i="63" s="1"/>
  <c r="AJ13" i="63"/>
  <c r="AI13" i="63"/>
  <c r="AK13" i="63" s="1"/>
  <c r="AJ15" i="63"/>
  <c r="AI15" i="63"/>
  <c r="AK15" i="63" s="1"/>
  <c r="AJ14" i="63"/>
  <c r="AI14" i="63"/>
  <c r="AK14" i="63" s="1"/>
  <c r="AI9" i="63"/>
  <c r="AK9" i="63" s="1"/>
  <c r="AJ9" i="63"/>
  <c r="OA1" i="24"/>
  <c r="AI2" i="13" a="1"/>
  <c r="AI2" i="13" s="1"/>
  <c r="OB1" i="24"/>
  <c r="AK2" i="13" a="1"/>
  <c r="AK2" i="13" s="1"/>
  <c r="OC1" i="24"/>
  <c r="AM2" i="13" a="1"/>
  <c r="AM2" i="13" s="1"/>
  <c r="AB30" i="28" a="1"/>
  <c r="AB30" i="28" s="1"/>
  <c r="AB31" i="28" s="1"/>
  <c r="L3" i="90" s="1"/>
  <c r="OV1" i="24"/>
  <c r="BY2" i="13" a="1"/>
  <c r="BY2" i="13" s="1"/>
  <c r="OW1" i="24"/>
  <c r="CA2" i="13" a="1"/>
  <c r="CA2" i="13" s="1"/>
  <c r="H3" i="69" l="1"/>
  <c r="H4" i="69"/>
  <c r="O3" i="69" a="1"/>
  <c r="O3" i="69" s="1"/>
  <c r="H2" i="69"/>
  <c r="O4" i="69" a="1"/>
  <c r="O4" i="69" s="1"/>
  <c r="O2" i="69" a="1"/>
  <c r="O2" i="69" s="1"/>
  <c r="L5" i="90"/>
  <c r="L4" i="90"/>
  <c r="L2" i="90"/>
  <c r="AN2" i="28"/>
  <c r="D5" i="90"/>
  <c r="D11" i="90"/>
  <c r="D3" i="90"/>
  <c r="D2" i="90"/>
  <c r="D4" i="90"/>
  <c r="D6" i="90"/>
  <c r="D7" i="90"/>
  <c r="D8" i="90"/>
  <c r="D9" i="90"/>
  <c r="D10" i="90"/>
  <c r="AH3" i="28"/>
  <c r="AH7" i="28"/>
  <c r="T1" i="87" s="1"/>
  <c r="AH6" i="28"/>
  <c r="AH4" i="28"/>
  <c r="M3" i="69" l="1" a="1"/>
  <c r="M3" i="69" s="1"/>
  <c r="N3" i="69" s="1"/>
  <c r="K3" i="69" a="1"/>
  <c r="K3" i="69" s="1"/>
  <c r="L3" i="69" s="1"/>
  <c r="K2" i="69" a="1"/>
  <c r="K2" i="69" s="1"/>
  <c r="L2" i="69" s="1"/>
  <c r="M2" i="69" a="1"/>
  <c r="M2" i="69" s="1"/>
  <c r="N2" i="69" s="1"/>
  <c r="K4" i="69" a="1"/>
  <c r="K4" i="69" s="1"/>
  <c r="L4" i="69" s="1"/>
  <c r="M4" i="69" a="1"/>
  <c r="M4" i="69" s="1"/>
  <c r="N4" i="69" s="1"/>
  <c r="AB27" i="28"/>
  <c r="O1" i="36" s="1"/>
  <c r="AB28" i="28"/>
  <c r="Q1" i="36" s="1"/>
  <c r="AN3" i="28"/>
  <c r="AS3" i="28" s="1"/>
  <c r="AN8" i="28"/>
  <c r="AS8" i="28" s="1"/>
  <c r="AN4" i="28"/>
  <c r="AP4" i="28" s="1"/>
  <c r="AS2" i="28"/>
  <c r="AN6" i="28"/>
  <c r="AS6" i="28" s="1"/>
  <c r="AN7" i="28"/>
  <c r="AS7" i="28" s="1"/>
  <c r="AN5" i="28"/>
  <c r="AO5" i="28" s="1"/>
  <c r="AR5" i="28" s="1"/>
  <c r="AQ2" i="28"/>
  <c r="AO2" i="28"/>
  <c r="AR2" i="28" s="1"/>
  <c r="AP2" i="28"/>
  <c r="AB1" i="65"/>
  <c r="D26" i="10"/>
  <c r="F26" i="10"/>
  <c r="F3" i="10"/>
  <c r="F4" i="10"/>
  <c r="F5" i="10"/>
  <c r="F6" i="10"/>
  <c r="F7" i="10"/>
  <c r="F8" i="10"/>
  <c r="F9" i="10"/>
  <c r="F10" i="10"/>
  <c r="F11" i="10"/>
  <c r="F12" i="10"/>
  <c r="F13" i="10"/>
  <c r="F14" i="10"/>
  <c r="F15" i="10"/>
  <c r="F16" i="10"/>
  <c r="F17" i="10"/>
  <c r="F18" i="10"/>
  <c r="F19" i="10"/>
  <c r="F20" i="10"/>
  <c r="F21" i="10"/>
  <c r="F22" i="10"/>
  <c r="F23" i="10"/>
  <c r="F24" i="10"/>
  <c r="F25" i="10"/>
  <c r="F27" i="10"/>
  <c r="F28" i="10"/>
  <c r="F29" i="10"/>
  <c r="F30" i="10"/>
  <c r="F31" i="10"/>
  <c r="F32" i="10"/>
  <c r="F33" i="10"/>
  <c r="F34" i="10"/>
  <c r="F35" i="10"/>
  <c r="F36" i="10"/>
  <c r="F37" i="10"/>
  <c r="F38" i="10"/>
  <c r="F39" i="10"/>
  <c r="F40" i="10"/>
  <c r="F41" i="10"/>
  <c r="F42" i="10"/>
  <c r="F2" i="10"/>
  <c r="AP7" i="28" l="1"/>
  <c r="AO7" i="28"/>
  <c r="AR7" i="28" s="1"/>
  <c r="AS4" i="28"/>
  <c r="AO4" i="28"/>
  <c r="AR4" i="28" s="1"/>
  <c r="AQ7" i="28"/>
  <c r="AO3" i="28"/>
  <c r="AR3" i="28" s="1"/>
  <c r="AP3" i="28"/>
  <c r="AP5" i="28"/>
  <c r="AQ3" i="28"/>
  <c r="AQ4" i="28"/>
  <c r="AP8" i="28"/>
  <c r="AO8" i="28"/>
  <c r="AR8" i="28" s="1"/>
  <c r="AS5" i="28"/>
  <c r="AQ6" i="28"/>
  <c r="AP6" i="28"/>
  <c r="AO6" i="28"/>
  <c r="AR6" i="28" s="1"/>
  <c r="AQ8" i="28"/>
  <c r="AQ5" i="28"/>
  <c r="H26" i="10"/>
  <c r="G26" i="10"/>
  <c r="E26" i="10" s="1"/>
  <c r="PA1" i="24"/>
  <c r="CI2" i="13" a="1"/>
  <c r="CI2" i="13" s="1"/>
  <c r="J24" i="13" a="1"/>
  <c r="J24" i="13" s="1"/>
  <c r="I24" i="13" a="1"/>
  <c r="I24" i="13" s="1"/>
  <c r="PL1" i="24"/>
  <c r="DE2" i="13" a="1"/>
  <c r="DE2" i="13" s="1"/>
  <c r="PN1" i="24"/>
  <c r="OH1" i="24"/>
  <c r="AW2" i="13" a="1"/>
  <c r="AW2" i="13" s="1"/>
  <c r="NZ1" i="24"/>
  <c r="AG2" i="13" a="1"/>
  <c r="AG2" i="13" s="1"/>
  <c r="NY1" i="24"/>
  <c r="PR1" i="24"/>
  <c r="DQ2" i="13" a="1"/>
  <c r="DQ2" i="13" s="1"/>
  <c r="PJ1" i="24"/>
  <c r="DA2" i="13" a="1"/>
  <c r="DA2" i="13" s="1"/>
  <c r="PV1" i="24"/>
  <c r="DY2" i="13" a="1"/>
  <c r="DY2" i="13" s="1"/>
  <c r="R3" i="95" l="1"/>
  <c r="R2" i="95"/>
  <c r="I26" i="10"/>
  <c r="PX1" i="24"/>
  <c r="EC2" i="13" a="1"/>
  <c r="EC2" i="13" s="1"/>
  <c r="OS1" i="24"/>
  <c r="BS2" i="13" a="1"/>
  <c r="BS2" i="13" s="1"/>
  <c r="PW1" i="24"/>
  <c r="EA2" i="13" a="1"/>
  <c r="EA2" i="13" s="1"/>
  <c r="AE2" i="13" a="1"/>
  <c r="AE2" i="13" s="1"/>
  <c r="S2" i="95" l="1" a="1"/>
  <c r="S2" i="95" s="1"/>
  <c r="T2" i="95" s="1"/>
  <c r="U2" i="95" s="1" a="1"/>
  <c r="U2" i="95" s="1"/>
  <c r="S3" i="95" a="1"/>
  <c r="S3" i="95" s="1"/>
  <c r="T3" i="95" s="1"/>
  <c r="U3" i="95" s="1" a="1"/>
  <c r="U3" i="95" s="1"/>
  <c r="NV1" i="24" l="1"/>
  <c r="Y2" i="13" a="1"/>
  <c r="Y2" i="13" s="1"/>
  <c r="PU1" i="24"/>
  <c r="DW2" i="13" a="1"/>
  <c r="DW2" i="13" s="1"/>
  <c r="PT1" i="24"/>
  <c r="DU2" i="13" a="1"/>
  <c r="DU2" i="13" s="1"/>
  <c r="N32" i="13"/>
  <c r="N31" i="13"/>
  <c r="PS1" i="24"/>
  <c r="DS2" i="13" a="1"/>
  <c r="DS2" i="13" s="1"/>
  <c r="K22" i="36" l="1"/>
  <c r="L22" i="36" s="1" a="1"/>
  <c r="L22" i="36" s="1"/>
  <c r="I21" i="36" l="1"/>
  <c r="J21" i="36" s="1" a="1"/>
  <c r="J21" i="36" s="1"/>
  <c r="I22" i="36"/>
  <c r="J22" i="36" s="1" a="1"/>
  <c r="J22" i="36" s="1"/>
  <c r="K20" i="36"/>
  <c r="K21" i="36"/>
  <c r="L21" i="36" s="1" a="1"/>
  <c r="L21" i="36" s="1"/>
  <c r="I38" i="36"/>
  <c r="J38" i="36" s="1" a="1"/>
  <c r="J38" i="36" s="1"/>
  <c r="I20" i="36"/>
  <c r="K9" i="36"/>
  <c r="L9" i="36" s="1" a="1"/>
  <c r="L9" i="36" s="1"/>
  <c r="K38" i="36"/>
  <c r="L38" i="36" s="1" a="1"/>
  <c r="L38" i="36" s="1"/>
  <c r="I8" i="36"/>
  <c r="J8" i="36" s="1" a="1"/>
  <c r="J8" i="36" s="1"/>
  <c r="I9" i="36"/>
  <c r="J9" i="36" s="1" a="1"/>
  <c r="J9" i="36" s="1"/>
  <c r="AG3" i="28"/>
  <c r="I50" i="36"/>
  <c r="J50" i="36" s="1" a="1"/>
  <c r="J50" i="36" s="1"/>
  <c r="I44" i="36"/>
  <c r="J44" i="36" s="1" a="1"/>
  <c r="J44" i="36" s="1"/>
  <c r="I31" i="36"/>
  <c r="J31" i="36" s="1" a="1"/>
  <c r="J31" i="36" s="1"/>
  <c r="I25" i="36"/>
  <c r="J25" i="36" s="1" a="1"/>
  <c r="J25" i="36" s="1"/>
  <c r="I12" i="36"/>
  <c r="I5" i="36"/>
  <c r="J5" i="36" s="1" a="1"/>
  <c r="J5" i="36" s="1"/>
  <c r="I27" i="36"/>
  <c r="J27" i="36" s="1" a="1"/>
  <c r="J27" i="36" s="1"/>
  <c r="I52" i="36"/>
  <c r="J52" i="36" s="1" a="1"/>
  <c r="J52" i="36" s="1"/>
  <c r="I14" i="36"/>
  <c r="I46" i="36"/>
  <c r="J46" i="36" s="1" a="1"/>
  <c r="J46" i="36" s="1"/>
  <c r="I7" i="36"/>
  <c r="J7" i="36" s="1" a="1"/>
  <c r="J7" i="36" s="1"/>
  <c r="I33" i="36"/>
  <c r="J33" i="36" s="1" a="1"/>
  <c r="J33" i="36" s="1"/>
  <c r="I45" i="36"/>
  <c r="J45" i="36" s="1" a="1"/>
  <c r="J45" i="36" s="1"/>
  <c r="I26" i="36"/>
  <c r="J26" i="36" s="1" a="1"/>
  <c r="J26" i="36" s="1"/>
  <c r="I6" i="36"/>
  <c r="J6" i="36" s="1" a="1"/>
  <c r="J6" i="36" s="1"/>
  <c r="I42" i="36"/>
  <c r="J42" i="36" s="1" a="1"/>
  <c r="J42" i="36" s="1"/>
  <c r="I23" i="36"/>
  <c r="J23" i="36" s="1" a="1"/>
  <c r="J23" i="36" s="1"/>
  <c r="I3" i="36"/>
  <c r="J3" i="36" s="1" a="1"/>
  <c r="J3" i="36" s="1"/>
  <c r="I2" i="36"/>
  <c r="J2" i="36" s="1" a="1"/>
  <c r="J2" i="36" s="1"/>
  <c r="I37" i="36"/>
  <c r="J37" i="36" s="1" a="1"/>
  <c r="J37" i="36" s="1"/>
  <c r="I16" i="36"/>
  <c r="I53" i="36"/>
  <c r="J53" i="36" s="1" a="1"/>
  <c r="J53" i="36" s="1"/>
  <c r="I34" i="36"/>
  <c r="J34" i="36" s="1" a="1"/>
  <c r="J34" i="36" s="1"/>
  <c r="I15" i="36"/>
  <c r="I51" i="36"/>
  <c r="J51" i="36" s="1" a="1"/>
  <c r="J51" i="36" s="1"/>
  <c r="I43" i="36"/>
  <c r="J43" i="36" s="1" a="1"/>
  <c r="J43" i="36" s="1"/>
  <c r="I32" i="36"/>
  <c r="J32" i="36" s="1" a="1"/>
  <c r="J32" i="36" s="1"/>
  <c r="I24" i="36"/>
  <c r="J24" i="36" s="1" a="1"/>
  <c r="J24" i="36" s="1"/>
  <c r="I13" i="36"/>
  <c r="I4" i="36"/>
  <c r="J4" i="36" s="1" a="1"/>
  <c r="J4" i="36" s="1"/>
  <c r="I49" i="36"/>
  <c r="J49" i="36" s="1" a="1"/>
  <c r="J49" i="36" s="1"/>
  <c r="I41" i="36"/>
  <c r="J41" i="36" s="1" a="1"/>
  <c r="J41" i="36" s="1"/>
  <c r="I30" i="36"/>
  <c r="J30" i="36" s="1" a="1"/>
  <c r="J30" i="36" s="1"/>
  <c r="I19" i="36"/>
  <c r="I11" i="36"/>
  <c r="I48" i="36"/>
  <c r="J48" i="36" s="1" a="1"/>
  <c r="J48" i="36" s="1"/>
  <c r="I40" i="36"/>
  <c r="J40" i="36" s="1" a="1"/>
  <c r="J40" i="36" s="1"/>
  <c r="I29" i="36"/>
  <c r="J29" i="36" s="1" a="1"/>
  <c r="J29" i="36" s="1"/>
  <c r="I18" i="36"/>
  <c r="I10" i="36"/>
  <c r="I47" i="36"/>
  <c r="J47" i="36" s="1" a="1"/>
  <c r="J47" i="36" s="1"/>
  <c r="I39" i="36"/>
  <c r="J39" i="36" s="1" a="1"/>
  <c r="J39" i="36" s="1"/>
  <c r="I28" i="36"/>
  <c r="J28" i="36" s="1" a="1"/>
  <c r="J28" i="36" s="1"/>
  <c r="I17" i="36"/>
  <c r="DY3" i="24" l="1"/>
  <c r="RR2" i="24"/>
  <c r="RR3" i="24"/>
  <c r="SF2" i="24"/>
  <c r="SF3" i="24"/>
  <c r="DY2" i="24"/>
  <c r="RD3" i="24"/>
  <c r="RD2" i="24"/>
  <c r="DX3" i="24"/>
  <c r="DZ3" i="24" s="1"/>
  <c r="RW3" i="24"/>
  <c r="RW2" i="24"/>
  <c r="DX2" i="24"/>
  <c r="DZ2" i="24" s="1"/>
  <c r="RC3" i="24"/>
  <c r="RC2" i="24"/>
  <c r="RV3" i="24"/>
  <c r="RV2" i="24"/>
  <c r="SE3" i="24"/>
  <c r="RQ2" i="24"/>
  <c r="RB2" i="24"/>
  <c r="RQ3" i="24"/>
  <c r="SE2" i="24"/>
  <c r="RB3" i="24"/>
  <c r="IF3" i="24"/>
  <c r="VW3" i="24" s="1"/>
  <c r="IF2" i="24"/>
  <c r="VW2" i="24" s="1"/>
  <c r="U19" i="28"/>
  <c r="Z19" i="28" a="1"/>
  <c r="Z19" i="28" s="1"/>
  <c r="T19" i="28"/>
  <c r="J18" i="36" a="1"/>
  <c r="J18" i="36" s="1"/>
  <c r="J13" i="36" a="1"/>
  <c r="J13" i="36" s="1"/>
  <c r="J16" i="36" a="1"/>
  <c r="J16" i="36" s="1"/>
  <c r="J17" i="36" a="1"/>
  <c r="J17" i="36" s="1"/>
  <c r="J14" i="36" a="1"/>
  <c r="J14" i="36" s="1"/>
  <c r="J11" i="36" a="1"/>
  <c r="J11" i="36" s="1"/>
  <c r="J10" i="36" a="1"/>
  <c r="J10" i="36" s="1"/>
  <c r="J19" i="36" a="1"/>
  <c r="J19" i="36" s="1"/>
  <c r="J15" i="36" a="1"/>
  <c r="J15" i="36" s="1"/>
  <c r="J12" i="36" a="1"/>
  <c r="J12" i="36" s="1"/>
  <c r="J20" i="36" a="1"/>
  <c r="J20" i="36" s="1"/>
  <c r="L20" i="36" a="1"/>
  <c r="L20" i="36" s="1"/>
  <c r="Q41" i="28" l="1"/>
  <c r="Q22" i="28"/>
  <c r="Q43" i="28"/>
  <c r="Q45" i="28"/>
  <c r="Q17" i="28"/>
  <c r="Q18" i="28"/>
  <c r="Q44" i="28"/>
  <c r="Q23" i="28"/>
  <c r="Q21" i="28"/>
  <c r="R58" i="28"/>
  <c r="Q24" i="28"/>
  <c r="Q46" i="28"/>
  <c r="Q42" i="28"/>
  <c r="Q58" i="28" l="1"/>
  <c r="Q25" i="28"/>
  <c r="OG1" i="24" l="1"/>
  <c r="AU2" i="13" a="1"/>
  <c r="AU2" i="13" s="1"/>
  <c r="N29" i="13" l="1"/>
  <c r="N30" i="13"/>
  <c r="NW1" i="24" l="1"/>
  <c r="AA2" i="13" a="1"/>
  <c r="AA2" i="13" s="1"/>
  <c r="AB9" i="28"/>
  <c r="AB12" i="28" l="1"/>
  <c r="AB10" i="28"/>
  <c r="AB1" i="4" s="1"/>
  <c r="H2" i="88" l="1" a="1"/>
  <c r="H2" i="88" s="1"/>
  <c r="I2" i="88" a="1"/>
  <c r="I2" i="88" s="1"/>
  <c r="L2" i="88" s="1"/>
  <c r="E2" i="4"/>
  <c r="K2" i="4" s="1"/>
  <c r="L2" i="4" s="1"/>
  <c r="M2" i="4" s="1" a="1"/>
  <c r="M2" i="4" s="1"/>
  <c r="E3" i="4"/>
  <c r="K3" i="4" s="1"/>
  <c r="L3" i="4" s="1"/>
  <c r="M3" i="4" s="1" a="1"/>
  <c r="M3" i="4" s="1"/>
  <c r="AB14" i="28"/>
  <c r="AB11" i="28"/>
  <c r="NU1" i="24"/>
  <c r="W2" i="13" a="1"/>
  <c r="W2" i="13" s="1"/>
  <c r="OF1" i="24"/>
  <c r="AS2" i="13" a="1"/>
  <c r="AS2" i="13" s="1"/>
  <c r="M2" i="88" l="1"/>
  <c r="N2" i="4" a="1"/>
  <c r="N2" i="4" s="1"/>
  <c r="O2" i="4" s="1"/>
  <c r="P2" i="4" a="1"/>
  <c r="P2" i="4" s="1"/>
  <c r="Q2" i="4" s="1"/>
  <c r="N3" i="4" a="1"/>
  <c r="N3" i="4" s="1"/>
  <c r="O3" i="4" s="1"/>
  <c r="P3" i="4" a="1"/>
  <c r="P3" i="4" s="1"/>
  <c r="Q3" i="4" s="1"/>
  <c r="R2" i="88" l="1"/>
  <c r="N2" i="88"/>
  <c r="C3" i="28" l="1"/>
  <c r="J26" i="10" s="1"/>
  <c r="D42" i="10"/>
  <c r="D40" i="10"/>
  <c r="D41" i="10" s="1"/>
  <c r="D38" i="10"/>
  <c r="D39" i="10" s="1"/>
  <c r="D36" i="10"/>
  <c r="D37" i="10" s="1"/>
  <c r="D34" i="10"/>
  <c r="D35" i="10" s="1"/>
  <c r="D33" i="10"/>
  <c r="D32" i="10"/>
  <c r="D31" i="10"/>
  <c r="D30" i="10"/>
  <c r="H30" i="10" s="1"/>
  <c r="D29" i="10"/>
  <c r="G29" i="10" s="1"/>
  <c r="E29" i="10" s="1"/>
  <c r="D28" i="10"/>
  <c r="G28" i="10" s="1"/>
  <c r="E28" i="10" s="1"/>
  <c r="H27" i="10"/>
  <c r="D27" i="10"/>
  <c r="D25" i="10"/>
  <c r="H25" i="10" s="1"/>
  <c r="D24" i="10"/>
  <c r="G24" i="10" s="1"/>
  <c r="E24" i="10" s="1"/>
  <c r="D23" i="10"/>
  <c r="G23" i="10" s="1"/>
  <c r="E23" i="10" s="1"/>
  <c r="D22" i="10"/>
  <c r="D21" i="10"/>
  <c r="H21" i="10" s="1"/>
  <c r="D20" i="10"/>
  <c r="G20" i="10" s="1"/>
  <c r="E20" i="10" s="1"/>
  <c r="D19" i="10"/>
  <c r="H19" i="10" s="1"/>
  <c r="D18" i="10"/>
  <c r="D17" i="10"/>
  <c r="H17" i="10" s="1"/>
  <c r="D16" i="10"/>
  <c r="G16" i="10" s="1"/>
  <c r="E16" i="10" s="1"/>
  <c r="D15" i="10"/>
  <c r="G15" i="10" s="1"/>
  <c r="E15" i="10" s="1"/>
  <c r="D14" i="10"/>
  <c r="D13" i="10"/>
  <c r="H13" i="10" s="1"/>
  <c r="D12" i="10"/>
  <c r="G12" i="10" s="1"/>
  <c r="E12" i="10" s="1"/>
  <c r="D11" i="10"/>
  <c r="G11" i="10" s="1"/>
  <c r="E11" i="10" s="1"/>
  <c r="D10" i="10"/>
  <c r="D9" i="10"/>
  <c r="H9" i="10" s="1"/>
  <c r="D8" i="10"/>
  <c r="G8" i="10" s="1"/>
  <c r="E8" i="10" s="1"/>
  <c r="D7" i="10"/>
  <c r="G7" i="10" s="1"/>
  <c r="E7" i="10" s="1"/>
  <c r="D6" i="10"/>
  <c r="D5" i="10"/>
  <c r="H5" i="10" s="1"/>
  <c r="D4" i="10"/>
  <c r="G4" i="10" s="1"/>
  <c r="E4" i="10" s="1"/>
  <c r="D3" i="10"/>
  <c r="G3" i="10" s="1"/>
  <c r="E3" i="10" s="1"/>
  <c r="D2" i="10"/>
  <c r="K3" i="36"/>
  <c r="L3" i="36" s="1" a="1"/>
  <c r="L3" i="36" s="1"/>
  <c r="K4" i="36"/>
  <c r="L4" i="36" s="1" a="1"/>
  <c r="L4" i="36" s="1"/>
  <c r="K5" i="36"/>
  <c r="L5" i="36" s="1" a="1"/>
  <c r="L5" i="36" s="1"/>
  <c r="K6" i="36"/>
  <c r="L6" i="36" s="1" a="1"/>
  <c r="L6" i="36" s="1"/>
  <c r="K7" i="36"/>
  <c r="L7" i="36" s="1" a="1"/>
  <c r="L7" i="36" s="1"/>
  <c r="K8" i="36"/>
  <c r="L8" i="36" s="1" a="1"/>
  <c r="L8" i="36" s="1"/>
  <c r="K10" i="36"/>
  <c r="K11" i="36"/>
  <c r="K12" i="36"/>
  <c r="K13" i="36"/>
  <c r="K14" i="36"/>
  <c r="K15" i="36"/>
  <c r="K16" i="36"/>
  <c r="K17" i="36"/>
  <c r="K18" i="36"/>
  <c r="K19" i="36"/>
  <c r="K23" i="36"/>
  <c r="L23" i="36" s="1" a="1"/>
  <c r="L23" i="36" s="1"/>
  <c r="K24" i="36"/>
  <c r="L24" i="36" s="1" a="1"/>
  <c r="L24" i="36" s="1"/>
  <c r="K25" i="36"/>
  <c r="L25" i="36" s="1" a="1"/>
  <c r="L25" i="36" s="1"/>
  <c r="K26" i="36"/>
  <c r="L26" i="36" s="1" a="1"/>
  <c r="L26" i="36" s="1"/>
  <c r="K27" i="36"/>
  <c r="L27" i="36" s="1" a="1"/>
  <c r="L27" i="36" s="1"/>
  <c r="K28" i="36"/>
  <c r="L28" i="36" s="1" a="1"/>
  <c r="L28" i="36" s="1"/>
  <c r="K29" i="36"/>
  <c r="L29" i="36" s="1" a="1"/>
  <c r="L29" i="36" s="1"/>
  <c r="K30" i="36"/>
  <c r="L30" i="36" s="1" a="1"/>
  <c r="L30" i="36" s="1"/>
  <c r="K31" i="36"/>
  <c r="L31" i="36" s="1" a="1"/>
  <c r="L31" i="36" s="1"/>
  <c r="K32" i="36"/>
  <c r="L32" i="36" s="1" a="1"/>
  <c r="L32" i="36" s="1"/>
  <c r="K33" i="36"/>
  <c r="L33" i="36" s="1" a="1"/>
  <c r="L33" i="36" s="1"/>
  <c r="K34" i="36"/>
  <c r="L34" i="36" s="1" a="1"/>
  <c r="L34" i="36" s="1"/>
  <c r="K37" i="36"/>
  <c r="L37" i="36" s="1" a="1"/>
  <c r="L37" i="36" s="1"/>
  <c r="K39" i="36"/>
  <c r="L39" i="36" s="1" a="1"/>
  <c r="L39" i="36" s="1"/>
  <c r="K40" i="36"/>
  <c r="L40" i="36" s="1" a="1"/>
  <c r="L40" i="36" s="1"/>
  <c r="K41" i="36"/>
  <c r="L41" i="36" s="1" a="1"/>
  <c r="L41" i="36" s="1"/>
  <c r="K42" i="36"/>
  <c r="L42" i="36" s="1" a="1"/>
  <c r="L42" i="36" s="1"/>
  <c r="K43" i="36"/>
  <c r="L43" i="36" s="1" a="1"/>
  <c r="L43" i="36" s="1"/>
  <c r="K44" i="36"/>
  <c r="L44" i="36" s="1" a="1"/>
  <c r="L44" i="36" s="1"/>
  <c r="K45" i="36"/>
  <c r="L45" i="36" s="1" a="1"/>
  <c r="L45" i="36" s="1"/>
  <c r="K46" i="36"/>
  <c r="L46" i="36" s="1" a="1"/>
  <c r="L46" i="36" s="1"/>
  <c r="K47" i="36"/>
  <c r="L47" i="36" s="1" a="1"/>
  <c r="L47" i="36" s="1"/>
  <c r="K48" i="36"/>
  <c r="L48" i="36" s="1" a="1"/>
  <c r="L48" i="36" s="1"/>
  <c r="K49" i="36"/>
  <c r="L49" i="36" s="1" a="1"/>
  <c r="L49" i="36" s="1"/>
  <c r="K50" i="36"/>
  <c r="L50" i="36" s="1" a="1"/>
  <c r="L50" i="36" s="1"/>
  <c r="K51" i="36"/>
  <c r="L51" i="36" s="1" a="1"/>
  <c r="L51" i="36" s="1"/>
  <c r="K52" i="36"/>
  <c r="L52" i="36" s="1" a="1"/>
  <c r="L52" i="36" s="1"/>
  <c r="K53" i="36"/>
  <c r="L53" i="36" s="1" a="1"/>
  <c r="L53" i="36" s="1"/>
  <c r="K2" i="36"/>
  <c r="L2" i="36" s="1" a="1"/>
  <c r="L2" i="36" s="1"/>
  <c r="IR3" i="24" l="1"/>
  <c r="WA3" i="24" s="1"/>
  <c r="IR2" i="24"/>
  <c r="WA2" i="24" s="1"/>
  <c r="L15" i="36" a="1"/>
  <c r="L15" i="36" s="1"/>
  <c r="L14" i="36" a="1"/>
  <c r="L14" i="36" s="1"/>
  <c r="L17" i="36" a="1"/>
  <c r="L17" i="36" s="1"/>
  <c r="L13" i="36" a="1"/>
  <c r="L13" i="36" s="1"/>
  <c r="L16" i="36" a="1"/>
  <c r="L16" i="36" s="1"/>
  <c r="L12" i="36" a="1"/>
  <c r="L12" i="36" s="1"/>
  <c r="L19" i="36" a="1"/>
  <c r="L19" i="36" s="1"/>
  <c r="L11" i="36" a="1"/>
  <c r="L11" i="36" s="1"/>
  <c r="L18" i="36" a="1"/>
  <c r="L18" i="36" s="1"/>
  <c r="L10" i="36" a="1"/>
  <c r="L10" i="36" s="1"/>
  <c r="G37" i="10"/>
  <c r="E37" i="10" s="1"/>
  <c r="H37" i="10"/>
  <c r="H41" i="10"/>
  <c r="G41" i="10"/>
  <c r="E41" i="10" s="1"/>
  <c r="G32" i="10"/>
  <c r="E32" i="10" s="1"/>
  <c r="H32" i="10"/>
  <c r="H33" i="10"/>
  <c r="G33" i="10"/>
  <c r="E33" i="10" s="1"/>
  <c r="G35" i="10"/>
  <c r="E35" i="10" s="1"/>
  <c r="H35" i="10"/>
  <c r="G40" i="10"/>
  <c r="E40" i="10" s="1"/>
  <c r="H40" i="10"/>
  <c r="H42" i="10"/>
  <c r="G42" i="10"/>
  <c r="E42" i="10" s="1"/>
  <c r="G39" i="10"/>
  <c r="E39" i="10" s="1"/>
  <c r="H39" i="10"/>
  <c r="H34" i="10"/>
  <c r="G34" i="10"/>
  <c r="E34" i="10" s="1"/>
  <c r="H36" i="10"/>
  <c r="G36" i="10"/>
  <c r="E36" i="10" s="1"/>
  <c r="G38" i="10"/>
  <c r="E38" i="10" s="1"/>
  <c r="H38" i="10"/>
  <c r="E3" i="28"/>
  <c r="J37" i="10"/>
  <c r="J35" i="10"/>
  <c r="J6" i="10"/>
  <c r="J14" i="10"/>
  <c r="J22" i="10"/>
  <c r="J39" i="10"/>
  <c r="J31" i="10"/>
  <c r="J41" i="10"/>
  <c r="J2" i="10"/>
  <c r="J10" i="10"/>
  <c r="J36" i="10"/>
  <c r="J27" i="10"/>
  <c r="J18" i="10"/>
  <c r="J34" i="10"/>
  <c r="J25" i="10"/>
  <c r="J17" i="10"/>
  <c r="J9" i="10"/>
  <c r="J33" i="10"/>
  <c r="J24" i="10"/>
  <c r="J16" i="10"/>
  <c r="J8" i="10"/>
  <c r="J42" i="10"/>
  <c r="J32" i="10"/>
  <c r="J23" i="10"/>
  <c r="J15" i="10"/>
  <c r="J7" i="10"/>
  <c r="J30" i="10"/>
  <c r="J21" i="10"/>
  <c r="J13" i="10"/>
  <c r="J5" i="10"/>
  <c r="J40" i="10"/>
  <c r="J29" i="10"/>
  <c r="J20" i="10"/>
  <c r="J12" i="10"/>
  <c r="J4" i="10"/>
  <c r="J38" i="10"/>
  <c r="J28" i="10"/>
  <c r="J19" i="10"/>
  <c r="J11" i="10"/>
  <c r="J3" i="10"/>
  <c r="G22" i="10"/>
  <c r="E22" i="10" s="1"/>
  <c r="H29" i="10"/>
  <c r="I29" i="10" s="1"/>
  <c r="H8" i="10"/>
  <c r="I8" i="10" s="1"/>
  <c r="H15" i="10"/>
  <c r="I15" i="10" s="1"/>
  <c r="H4" i="10"/>
  <c r="I4" i="10" s="1"/>
  <c r="H12" i="10"/>
  <c r="I12" i="10" s="1"/>
  <c r="H23" i="10"/>
  <c r="I23" i="10" s="1"/>
  <c r="G31" i="10"/>
  <c r="E31" i="10" s="1"/>
  <c r="G2" i="10"/>
  <c r="H16" i="10"/>
  <c r="I16" i="10" s="1"/>
  <c r="H20" i="10"/>
  <c r="I20" i="10" s="1"/>
  <c r="G6" i="10"/>
  <c r="E6" i="10" s="1"/>
  <c r="H24" i="10"/>
  <c r="I24" i="10" s="1"/>
  <c r="H28" i="10"/>
  <c r="I28" i="10" s="1"/>
  <c r="G10" i="10"/>
  <c r="E10" i="10" s="1"/>
  <c r="H3" i="10"/>
  <c r="I3" i="10" s="1"/>
  <c r="G14" i="10"/>
  <c r="E14" i="10" s="1"/>
  <c r="H7" i="10"/>
  <c r="I7" i="10" s="1"/>
  <c r="G18" i="10"/>
  <c r="E18" i="10" s="1"/>
  <c r="H11" i="10"/>
  <c r="I11" i="10" s="1"/>
  <c r="G27" i="10"/>
  <c r="H2" i="10"/>
  <c r="H6" i="10"/>
  <c r="H10" i="10"/>
  <c r="H14" i="10"/>
  <c r="H18" i="10"/>
  <c r="H22" i="10"/>
  <c r="H31" i="10"/>
  <c r="G5" i="10"/>
  <c r="G9" i="10"/>
  <c r="G13" i="10"/>
  <c r="G17" i="10"/>
  <c r="G21" i="10"/>
  <c r="G25" i="10"/>
  <c r="G30" i="10"/>
  <c r="G19" i="10"/>
  <c r="R46" i="28" l="1"/>
  <c r="R21" i="28"/>
  <c r="R18" i="28"/>
  <c r="R22" i="28"/>
  <c r="R44" i="28"/>
  <c r="R23" i="28"/>
  <c r="R41" i="28"/>
  <c r="R45" i="28"/>
  <c r="R42" i="28"/>
  <c r="R24" i="28"/>
  <c r="R17" i="28"/>
  <c r="R43" i="28"/>
  <c r="R25" i="28"/>
  <c r="I25" i="10"/>
  <c r="E25" i="10"/>
  <c r="I21" i="10"/>
  <c r="E21" i="10"/>
  <c r="I17" i="10"/>
  <c r="E17" i="10"/>
  <c r="I13" i="10"/>
  <c r="E13" i="10"/>
  <c r="I9" i="10"/>
  <c r="E9" i="10"/>
  <c r="I5" i="10"/>
  <c r="E5" i="10"/>
  <c r="I27" i="10"/>
  <c r="E27" i="10"/>
  <c r="I19" i="10"/>
  <c r="E19" i="10"/>
  <c r="I30" i="10"/>
  <c r="E30" i="10"/>
  <c r="E2" i="10"/>
  <c r="I40" i="10"/>
  <c r="I39" i="10"/>
  <c r="I38" i="10"/>
  <c r="I33" i="10"/>
  <c r="I35" i="10"/>
  <c r="I34" i="10"/>
  <c r="I41" i="10"/>
  <c r="I32" i="10"/>
  <c r="I37" i="10"/>
  <c r="I42" i="10"/>
  <c r="I36" i="10"/>
  <c r="I22" i="10"/>
  <c r="I10" i="10"/>
  <c r="I14" i="10"/>
  <c r="I31" i="10"/>
  <c r="I18" i="10"/>
  <c r="I6" i="10"/>
  <c r="I2" i="10"/>
  <c r="PB1" i="24"/>
  <c r="CK2" i="13" a="1"/>
  <c r="CK2" i="13" s="1"/>
  <c r="PK1" i="24"/>
  <c r="DC2" i="13" a="1"/>
  <c r="DC2" i="13" s="1"/>
  <c r="C16" i="28" l="1" a="1"/>
  <c r="C16" i="28" s="1"/>
  <c r="C14" i="28" a="1"/>
  <c r="C14" i="28" s="1"/>
  <c r="C15" i="28" a="1"/>
  <c r="C15" i="28" s="1"/>
  <c r="C12" i="28" a="1"/>
  <c r="C12" i="28" s="1"/>
  <c r="C13" i="28" a="1"/>
  <c r="C13" i="28" s="1"/>
  <c r="C10" i="28" a="1"/>
  <c r="C10" i="28" s="1"/>
  <c r="C11" i="28" a="1"/>
  <c r="C11" i="28" s="1"/>
  <c r="C8" i="28" a="1"/>
  <c r="C8" i="28" s="1"/>
  <c r="C9" i="28" a="1"/>
  <c r="C9" i="28" s="1"/>
  <c r="C6" i="28" a="1"/>
  <c r="C6" i="28" s="1"/>
  <c r="C7" i="28" a="1"/>
  <c r="C7" i="28" s="1"/>
  <c r="C4" i="28" a="1"/>
  <c r="C4" i="28" s="1"/>
  <c r="C5" i="28" a="1"/>
  <c r="C5" i="28" s="1"/>
  <c r="AB13" i="28" l="1"/>
  <c r="AG5" i="28" l="1"/>
  <c r="AB15" i="28" l="1"/>
  <c r="AG2" i="28"/>
  <c r="AG4" i="28"/>
  <c r="AG6" i="28"/>
  <c r="W2" i="24" l="1"/>
  <c r="UE2" i="24" s="1"/>
  <c r="W3" i="24"/>
  <c r="UE3" i="24" s="1"/>
  <c r="X2" i="24"/>
  <c r="UF2" i="24" s="1"/>
  <c r="X3" i="24"/>
  <c r="UF3" i="24" s="1"/>
  <c r="AB17" i="28"/>
  <c r="AB21" i="28" s="1"/>
  <c r="AB16" i="28"/>
  <c r="AB20" i="28" s="1"/>
  <c r="AJ6" i="63"/>
  <c r="AI6" i="63"/>
  <c r="AK6" i="63" s="1"/>
  <c r="OZ1" i="24"/>
  <c r="CG2" i="13" a="1"/>
  <c r="CG2" i="13" s="1"/>
  <c r="OQ1" i="24"/>
  <c r="BO2" i="13" a="1"/>
  <c r="BO2" i="13" s="1"/>
  <c r="J6" i="13" a="1"/>
  <c r="J6" i="13" s="1"/>
  <c r="J7" i="13" a="1"/>
  <c r="J7" i="13" s="1"/>
  <c r="J8" i="13" a="1"/>
  <c r="J8" i="13" s="1"/>
  <c r="J9" i="13" a="1"/>
  <c r="J9" i="13" s="1"/>
  <c r="J10" i="13" a="1"/>
  <c r="J10" i="13" s="1"/>
  <c r="J11" i="13" a="1"/>
  <c r="J11" i="13" s="1"/>
  <c r="J12" i="13" a="1"/>
  <c r="J12" i="13" s="1"/>
  <c r="J13" i="13" a="1"/>
  <c r="J13" i="13" s="1"/>
  <c r="J14" i="13" a="1"/>
  <c r="J14" i="13" s="1"/>
  <c r="J15" i="13" a="1"/>
  <c r="J15" i="13" s="1"/>
  <c r="J16" i="13" a="1"/>
  <c r="J16" i="13" s="1"/>
  <c r="J17" i="13" a="1"/>
  <c r="J17" i="13" s="1"/>
  <c r="J18" i="13" a="1"/>
  <c r="J18" i="13" s="1"/>
  <c r="J19" i="13" a="1"/>
  <c r="J19" i="13" s="1"/>
  <c r="J20" i="13" a="1"/>
  <c r="J20" i="13" s="1"/>
  <c r="J21" i="13" a="1"/>
  <c r="J21" i="13" s="1"/>
  <c r="J22" i="13" a="1"/>
  <c r="J22" i="13" s="1"/>
  <c r="J25" i="13" a="1"/>
  <c r="J25" i="13" s="1"/>
  <c r="J26" i="13" a="1"/>
  <c r="J26" i="13" s="1"/>
  <c r="J27" i="13" a="1"/>
  <c r="J27" i="13" s="1"/>
  <c r="J43" i="13" a="1"/>
  <c r="J43" i="13" s="1"/>
  <c r="J40" i="13" a="1"/>
  <c r="J40" i="13" s="1"/>
  <c r="J41" i="13" a="1"/>
  <c r="J41" i="13" s="1"/>
  <c r="J45" i="13" a="1"/>
  <c r="J45" i="13" s="1"/>
  <c r="J46" i="13" a="1"/>
  <c r="J46" i="13" s="1"/>
  <c r="J47" i="13" a="1"/>
  <c r="J47" i="13" s="1"/>
  <c r="J48" i="13" a="1"/>
  <c r="J48" i="13" s="1"/>
  <c r="J49" i="13" a="1"/>
  <c r="J49" i="13" s="1"/>
  <c r="J50" i="13" a="1"/>
  <c r="J50" i="13" s="1"/>
  <c r="J51" i="13" a="1"/>
  <c r="J51" i="13" s="1"/>
  <c r="J52" i="13" a="1"/>
  <c r="J52" i="13" s="1"/>
  <c r="J53" i="13" a="1"/>
  <c r="J53" i="13" s="1"/>
  <c r="J54" i="13" a="1"/>
  <c r="J54" i="13" s="1"/>
  <c r="J55" i="13" a="1"/>
  <c r="J55" i="13" s="1"/>
  <c r="J56" i="13" a="1"/>
  <c r="J56" i="13" s="1"/>
  <c r="J57" i="13" a="1"/>
  <c r="J57" i="13" s="1"/>
  <c r="J58" i="13" a="1"/>
  <c r="J58" i="13" s="1"/>
  <c r="J59" i="13" a="1"/>
  <c r="J59" i="13" s="1"/>
  <c r="J60" i="13" a="1"/>
  <c r="J60" i="13" s="1"/>
  <c r="J61" i="13" a="1"/>
  <c r="J61" i="13" s="1"/>
  <c r="J62" i="13" a="1"/>
  <c r="J62" i="13" s="1"/>
  <c r="J63" i="13" a="1"/>
  <c r="J63" i="13" s="1"/>
  <c r="J64" i="13" a="1"/>
  <c r="J64" i="13" s="1"/>
  <c r="J65" i="13" a="1"/>
  <c r="J65" i="13" s="1"/>
  <c r="J66" i="13" a="1"/>
  <c r="J66" i="13" s="1"/>
  <c r="J67" i="13" a="1"/>
  <c r="J67" i="13" s="1"/>
  <c r="J68" i="13" a="1"/>
  <c r="J68" i="13" s="1"/>
  <c r="J69" i="13" a="1"/>
  <c r="J69" i="13" s="1"/>
  <c r="J70" i="13" a="1"/>
  <c r="J70" i="13" s="1"/>
  <c r="J71" i="13" a="1"/>
  <c r="J71" i="13" s="1"/>
  <c r="J72" i="13" a="1"/>
  <c r="J72" i="13" s="1"/>
  <c r="J73" i="13" a="1"/>
  <c r="J73" i="13" s="1"/>
  <c r="J74" i="13" a="1"/>
  <c r="J74" i="13" s="1"/>
  <c r="J75" i="13" a="1"/>
  <c r="J75" i="13" s="1"/>
  <c r="J76" i="13" a="1"/>
  <c r="J76" i="13" s="1"/>
  <c r="J77" i="13" a="1"/>
  <c r="J77" i="13" s="1"/>
  <c r="J78" i="13" a="1"/>
  <c r="J78" i="13" s="1"/>
  <c r="J79" i="13" a="1"/>
  <c r="J79" i="13" s="1"/>
  <c r="J80" i="13" a="1"/>
  <c r="J80" i="13" s="1"/>
  <c r="J81" i="13" a="1"/>
  <c r="J81" i="13" s="1"/>
  <c r="J82" i="13" a="1"/>
  <c r="J82" i="13" s="1"/>
  <c r="J83" i="13" a="1"/>
  <c r="J83" i="13" s="1"/>
  <c r="J84" i="13" a="1"/>
  <c r="J84" i="13" s="1"/>
  <c r="J85" i="13" a="1"/>
  <c r="J85" i="13" s="1"/>
  <c r="J86" i="13" a="1"/>
  <c r="J86" i="13" s="1"/>
  <c r="J87" i="13" a="1"/>
  <c r="J87" i="13" s="1"/>
  <c r="J88" i="13" a="1"/>
  <c r="J88" i="13" s="1"/>
  <c r="J89" i="13" a="1"/>
  <c r="J89" i="13" s="1"/>
  <c r="J90" i="13" a="1"/>
  <c r="J90" i="13" s="1"/>
  <c r="J91" i="13" a="1"/>
  <c r="J91" i="13" s="1"/>
  <c r="J92" i="13" a="1"/>
  <c r="J92" i="13" s="1"/>
  <c r="J93" i="13" a="1"/>
  <c r="J93" i="13" s="1"/>
  <c r="J94" i="13" a="1"/>
  <c r="J94" i="13" s="1"/>
  <c r="J95" i="13" a="1"/>
  <c r="J95" i="13" s="1"/>
  <c r="J96" i="13" a="1"/>
  <c r="J96" i="13" s="1"/>
  <c r="J97" i="13" a="1"/>
  <c r="J97" i="13" s="1"/>
  <c r="J98" i="13" a="1"/>
  <c r="J98" i="13" s="1"/>
  <c r="J99" i="13" a="1"/>
  <c r="J99" i="13" s="1"/>
  <c r="J100" i="13" a="1"/>
  <c r="J100" i="13" s="1"/>
  <c r="J101" i="13" a="1"/>
  <c r="J101" i="13" s="1"/>
  <c r="J102" i="13" a="1"/>
  <c r="J102" i="13" s="1"/>
  <c r="J105" i="13" a="1"/>
  <c r="J105" i="13" s="1"/>
  <c r="J106" i="13" a="1"/>
  <c r="J106" i="13" s="1"/>
  <c r="J107" i="13" a="1"/>
  <c r="J107" i="13" s="1"/>
  <c r="J108" i="13" a="1"/>
  <c r="J108" i="13" s="1"/>
  <c r="J109" i="13" a="1"/>
  <c r="J109" i="13" s="1"/>
  <c r="J110" i="13" a="1"/>
  <c r="J110" i="13" s="1"/>
  <c r="J111" i="13" a="1"/>
  <c r="J111" i="13" s="1"/>
  <c r="J112" i="13" a="1"/>
  <c r="J112" i="13" s="1"/>
  <c r="J113" i="13" a="1"/>
  <c r="J113" i="13" s="1"/>
  <c r="J114" i="13" a="1"/>
  <c r="J114" i="13" s="1"/>
  <c r="J115" i="13" a="1"/>
  <c r="J115" i="13" s="1"/>
  <c r="J116" i="13" a="1"/>
  <c r="J116" i="13" s="1"/>
  <c r="J117" i="13" a="1"/>
  <c r="J117" i="13" s="1"/>
  <c r="J118" i="13" a="1"/>
  <c r="J118" i="13" s="1"/>
  <c r="J5" i="13" a="1"/>
  <c r="J5" i="13" s="1"/>
  <c r="I67" i="13" a="1"/>
  <c r="I67" i="13" s="1"/>
  <c r="I6" i="13" a="1"/>
  <c r="I6" i="13" s="1"/>
  <c r="I7" i="13" a="1"/>
  <c r="I7" i="13" s="1"/>
  <c r="I8" i="13" a="1"/>
  <c r="I8" i="13" s="1"/>
  <c r="I9" i="13" a="1"/>
  <c r="I9" i="13" s="1"/>
  <c r="I10" i="13" a="1"/>
  <c r="I10" i="13" s="1"/>
  <c r="I11" i="13" a="1"/>
  <c r="I11" i="13" s="1"/>
  <c r="I12" i="13" a="1"/>
  <c r="I12" i="13" s="1"/>
  <c r="I13" i="13" a="1"/>
  <c r="I13" i="13" s="1"/>
  <c r="I14" i="13" a="1"/>
  <c r="I14" i="13" s="1"/>
  <c r="I15" i="13" a="1"/>
  <c r="I15" i="13" s="1"/>
  <c r="I16" i="13" a="1"/>
  <c r="I16" i="13" s="1"/>
  <c r="I17" i="13" a="1"/>
  <c r="I17" i="13" s="1"/>
  <c r="I18" i="13" a="1"/>
  <c r="I18" i="13" s="1"/>
  <c r="I19" i="13" a="1"/>
  <c r="I19" i="13" s="1"/>
  <c r="I20" i="13" a="1"/>
  <c r="I20" i="13" s="1"/>
  <c r="I21" i="13" a="1"/>
  <c r="I21" i="13" s="1"/>
  <c r="I22" i="13" a="1"/>
  <c r="I22" i="13" s="1"/>
  <c r="I25" i="13" a="1"/>
  <c r="I25" i="13" s="1"/>
  <c r="I26" i="13" a="1"/>
  <c r="I26" i="13" s="1"/>
  <c r="I27" i="13" a="1"/>
  <c r="I27" i="13" s="1"/>
  <c r="I43" i="13" a="1"/>
  <c r="I43" i="13" s="1"/>
  <c r="I40" i="13" a="1"/>
  <c r="I40" i="13" s="1"/>
  <c r="I41" i="13" a="1"/>
  <c r="I41" i="13" s="1"/>
  <c r="I45" i="13" a="1"/>
  <c r="I45" i="13" s="1"/>
  <c r="I46" i="13" a="1"/>
  <c r="I46" i="13" s="1"/>
  <c r="I47" i="13" a="1"/>
  <c r="I47" i="13" s="1"/>
  <c r="I48" i="13" a="1"/>
  <c r="I48" i="13" s="1"/>
  <c r="I49" i="13" a="1"/>
  <c r="I49" i="13" s="1"/>
  <c r="I50" i="13" a="1"/>
  <c r="I50" i="13" s="1"/>
  <c r="I51" i="13" a="1"/>
  <c r="I51" i="13" s="1"/>
  <c r="I52" i="13" a="1"/>
  <c r="I52" i="13" s="1"/>
  <c r="I53" i="13" a="1"/>
  <c r="I53" i="13" s="1"/>
  <c r="I54" i="13" a="1"/>
  <c r="I54" i="13" s="1"/>
  <c r="I55" i="13" a="1"/>
  <c r="I55" i="13" s="1"/>
  <c r="I56" i="13" a="1"/>
  <c r="I56" i="13" s="1"/>
  <c r="I57" i="13" a="1"/>
  <c r="I57" i="13" s="1"/>
  <c r="I58" i="13" a="1"/>
  <c r="I58" i="13" s="1"/>
  <c r="I59" i="13" a="1"/>
  <c r="I59" i="13" s="1"/>
  <c r="I60" i="13" a="1"/>
  <c r="I60" i="13" s="1"/>
  <c r="I61" i="13" a="1"/>
  <c r="I61" i="13" s="1"/>
  <c r="I62" i="13" a="1"/>
  <c r="I62" i="13" s="1"/>
  <c r="I63" i="13" a="1"/>
  <c r="I63" i="13" s="1"/>
  <c r="I64" i="13" a="1"/>
  <c r="I64" i="13" s="1"/>
  <c r="I65" i="13" a="1"/>
  <c r="I65" i="13" s="1"/>
  <c r="I66" i="13" a="1"/>
  <c r="I66" i="13" s="1"/>
  <c r="I68" i="13" a="1"/>
  <c r="I68" i="13" s="1"/>
  <c r="I69" i="13" a="1"/>
  <c r="I69" i="13" s="1"/>
  <c r="I70" i="13" a="1"/>
  <c r="I70" i="13" s="1"/>
  <c r="I71" i="13" a="1"/>
  <c r="I71" i="13" s="1"/>
  <c r="I72" i="13" a="1"/>
  <c r="I72" i="13" s="1"/>
  <c r="I73" i="13" a="1"/>
  <c r="I73" i="13" s="1"/>
  <c r="I74" i="13" a="1"/>
  <c r="I74" i="13" s="1"/>
  <c r="I75" i="13" a="1"/>
  <c r="I75" i="13" s="1"/>
  <c r="I76" i="13" a="1"/>
  <c r="I76" i="13" s="1"/>
  <c r="I77" i="13" a="1"/>
  <c r="I77" i="13" s="1"/>
  <c r="I78" i="13" a="1"/>
  <c r="I78" i="13" s="1"/>
  <c r="I79" i="13" a="1"/>
  <c r="I79" i="13" s="1"/>
  <c r="I80" i="13" a="1"/>
  <c r="I80" i="13" s="1"/>
  <c r="I81" i="13" a="1"/>
  <c r="I81" i="13" s="1"/>
  <c r="I82" i="13" a="1"/>
  <c r="I82" i="13" s="1"/>
  <c r="I83" i="13" a="1"/>
  <c r="I83" i="13" s="1"/>
  <c r="I84" i="13" a="1"/>
  <c r="I84" i="13" s="1"/>
  <c r="I85" i="13" a="1"/>
  <c r="I85" i="13" s="1"/>
  <c r="I86" i="13" a="1"/>
  <c r="I86" i="13" s="1"/>
  <c r="I87" i="13" a="1"/>
  <c r="I87" i="13" s="1"/>
  <c r="I88" i="13" a="1"/>
  <c r="I88" i="13" s="1"/>
  <c r="I89" i="13" a="1"/>
  <c r="I89" i="13" s="1"/>
  <c r="I90" i="13" a="1"/>
  <c r="I90" i="13" s="1"/>
  <c r="I91" i="13" a="1"/>
  <c r="I91" i="13" s="1"/>
  <c r="I92" i="13" a="1"/>
  <c r="I92" i="13" s="1"/>
  <c r="I93" i="13" a="1"/>
  <c r="I93" i="13" s="1"/>
  <c r="I94" i="13" a="1"/>
  <c r="I94" i="13" s="1"/>
  <c r="I95" i="13" a="1"/>
  <c r="I95" i="13" s="1"/>
  <c r="I96" i="13" a="1"/>
  <c r="I96" i="13" s="1"/>
  <c r="I97" i="13" a="1"/>
  <c r="I97" i="13" s="1"/>
  <c r="I98" i="13" a="1"/>
  <c r="I98" i="13" s="1"/>
  <c r="I99" i="13" a="1"/>
  <c r="I99" i="13" s="1"/>
  <c r="I100" i="13" a="1"/>
  <c r="I100" i="13" s="1"/>
  <c r="I101" i="13" a="1"/>
  <c r="I101" i="13" s="1"/>
  <c r="I102" i="13" a="1"/>
  <c r="I102" i="13" s="1"/>
  <c r="I105" i="13" a="1"/>
  <c r="I105" i="13" s="1"/>
  <c r="I106" i="13" a="1"/>
  <c r="I106" i="13" s="1"/>
  <c r="I107" i="13" a="1"/>
  <c r="I107" i="13" s="1"/>
  <c r="I108" i="13" a="1"/>
  <c r="I108" i="13" s="1"/>
  <c r="I109" i="13" a="1"/>
  <c r="I109" i="13" s="1"/>
  <c r="I110" i="13" a="1"/>
  <c r="I110" i="13" s="1"/>
  <c r="I111" i="13" a="1"/>
  <c r="I111" i="13" s="1"/>
  <c r="I112" i="13" a="1"/>
  <c r="I112" i="13" s="1"/>
  <c r="I113" i="13" a="1"/>
  <c r="I113" i="13" s="1"/>
  <c r="I114" i="13" a="1"/>
  <c r="I114" i="13" s="1"/>
  <c r="I115" i="13" a="1"/>
  <c r="I115" i="13" s="1"/>
  <c r="I116" i="13" a="1"/>
  <c r="I116" i="13" s="1"/>
  <c r="I117" i="13" a="1"/>
  <c r="I117" i="13" s="1"/>
  <c r="I118" i="13" a="1"/>
  <c r="I118" i="13" s="1"/>
  <c r="I5" i="13" a="1"/>
  <c r="I5" i="13" s="1"/>
  <c r="OP1" i="24"/>
  <c r="BM2" i="13" a="1"/>
  <c r="BM2" i="13" s="1"/>
  <c r="NT1" i="24"/>
  <c r="U2" i="13" a="1"/>
  <c r="U2" i="13" s="1"/>
  <c r="OR1" i="24"/>
  <c r="BQ2" i="13" a="1"/>
  <c r="BQ2" i="13" s="1"/>
  <c r="OO1" i="24"/>
  <c r="BK2" i="13" a="1"/>
  <c r="BK2" i="13" s="1"/>
  <c r="H61" i="13" a="1"/>
  <c r="H61" i="13" s="1"/>
  <c r="N61" i="13"/>
  <c r="H62" i="13" a="1"/>
  <c r="H62" i="13" s="1"/>
  <c r="N62" i="13"/>
  <c r="H63" i="13" a="1"/>
  <c r="H63" i="13" s="1"/>
  <c r="N63" i="13"/>
  <c r="N65" i="13"/>
  <c r="N68" i="13"/>
  <c r="N69" i="13"/>
  <c r="N70" i="13"/>
  <c r="N71" i="13"/>
  <c r="N72" i="13"/>
  <c r="H73" i="13" a="1"/>
  <c r="H73" i="13" s="1"/>
  <c r="N73" i="13"/>
  <c r="H74" i="13" a="1"/>
  <c r="H74" i="13" s="1"/>
  <c r="N74" i="13"/>
  <c r="N75" i="13"/>
  <c r="N76" i="13"/>
  <c r="N77" i="13"/>
  <c r="N78" i="13"/>
  <c r="H79" i="13" a="1"/>
  <c r="H79" i="13" s="1"/>
  <c r="N79" i="13"/>
  <c r="OJ1" i="24"/>
  <c r="OI1" i="24"/>
  <c r="BA2" i="13" a="1"/>
  <c r="BA2" i="13" s="1"/>
  <c r="OE1" i="24"/>
  <c r="N10" i="13"/>
  <c r="AQ2" i="13" a="1"/>
  <c r="AQ2" i="13" s="1"/>
  <c r="N9" i="13"/>
  <c r="N11" i="13"/>
  <c r="N13" i="13"/>
  <c r="N14" i="13"/>
  <c r="N16" i="13"/>
  <c r="N17" i="13"/>
  <c r="N18" i="13"/>
  <c r="N19" i="13"/>
  <c r="N20" i="13"/>
  <c r="N22" i="13"/>
  <c r="N25" i="13"/>
  <c r="N26" i="13"/>
  <c r="N27" i="13"/>
  <c r="N28" i="13"/>
  <c r="N41" i="13"/>
  <c r="N46" i="13"/>
  <c r="N47" i="13"/>
  <c r="N49" i="13"/>
  <c r="N50" i="13"/>
  <c r="N51" i="13"/>
  <c r="N52" i="13"/>
  <c r="N80" i="13"/>
  <c r="N81" i="13"/>
  <c r="N82" i="13"/>
  <c r="N83" i="13"/>
  <c r="N84" i="13"/>
  <c r="N85" i="13"/>
  <c r="N86" i="13"/>
  <c r="N87" i="13"/>
  <c r="N88" i="13"/>
  <c r="N89" i="13"/>
  <c r="N90" i="13"/>
  <c r="N91" i="13"/>
  <c r="N92" i="13"/>
  <c r="N93" i="13"/>
  <c r="N94" i="13"/>
  <c r="N95" i="13"/>
  <c r="N96" i="13"/>
  <c r="N98" i="13"/>
  <c r="N100" i="13"/>
  <c r="N102" i="13"/>
  <c r="N105" i="13"/>
  <c r="N106" i="13"/>
  <c r="N107" i="13"/>
  <c r="N108" i="13"/>
  <c r="N109" i="13"/>
  <c r="N110" i="13"/>
  <c r="N111" i="13"/>
  <c r="N113" i="13"/>
  <c r="N114" i="13"/>
  <c r="N115" i="13"/>
  <c r="N116" i="13"/>
  <c r="N117" i="13"/>
  <c r="N118" i="13"/>
  <c r="ES2" i="13"/>
  <c r="ON1" i="24"/>
  <c r="OM1" i="24"/>
  <c r="BI2" i="13" a="1"/>
  <c r="BI2" i="13" s="1"/>
  <c r="NX1" i="24"/>
  <c r="AC2" i="13" a="1"/>
  <c r="AC2" i="13" s="1"/>
  <c r="PG1" i="24"/>
  <c r="CU2" i="13" a="1"/>
  <c r="CU2" i="13" s="1"/>
  <c r="PD1" i="24"/>
  <c r="CO2" i="13" a="1"/>
  <c r="CO2" i="13" s="1"/>
  <c r="PC1" i="24"/>
  <c r="CM2" i="13" a="1"/>
  <c r="CM2" i="13" s="1"/>
  <c r="H14" i="13" a="1"/>
  <c r="H14" i="13" s="1"/>
  <c r="H13" i="13" a="1"/>
  <c r="H13" i="13" s="1"/>
  <c r="H16" i="13" a="1"/>
  <c r="H16" i="13" s="1"/>
  <c r="H17" i="13" a="1"/>
  <c r="H17" i="13" s="1"/>
  <c r="H18" i="13" a="1"/>
  <c r="H18" i="13" s="1"/>
  <c r="H19" i="13" a="1"/>
  <c r="H19" i="13" s="1"/>
  <c r="H28" i="13" a="1"/>
  <c r="H28" i="13" s="1"/>
  <c r="H52" i="13" a="1"/>
  <c r="H52" i="13" s="1"/>
  <c r="H82" i="13" a="1"/>
  <c r="H82" i="13" s="1"/>
  <c r="H86" i="13" a="1"/>
  <c r="H86" i="13" s="1"/>
  <c r="H91" i="13" a="1"/>
  <c r="H91" i="13" s="1"/>
  <c r="H92" i="13" a="1"/>
  <c r="H92" i="13" s="1"/>
  <c r="H93" i="13" a="1"/>
  <c r="H93" i="13" s="1"/>
  <c r="H94" i="13" a="1"/>
  <c r="H94" i="13" s="1"/>
  <c r="H95" i="13" a="1"/>
  <c r="H95" i="13" s="1"/>
  <c r="H96" i="13" a="1"/>
  <c r="H96" i="13" s="1"/>
  <c r="H98" i="13" a="1"/>
  <c r="H98" i="13" s="1"/>
  <c r="H100" i="13" a="1"/>
  <c r="H100" i="13" s="1"/>
  <c r="H105" i="13" a="1"/>
  <c r="H105" i="13" s="1"/>
  <c r="H106" i="13" a="1"/>
  <c r="H106" i="13" s="1"/>
  <c r="H118" i="13" a="1"/>
  <c r="H118" i="13" s="1"/>
  <c r="PP1" i="24"/>
  <c r="DM2" i="13" a="1"/>
  <c r="DM2" i="13" s="1"/>
  <c r="OX1" i="24"/>
  <c r="OU1" i="24"/>
  <c r="CC2" i="13" a="1"/>
  <c r="CC2" i="13" s="1"/>
  <c r="DI2" i="13" a="1"/>
  <c r="DI2" i="13" s="1"/>
  <c r="OD1" i="24"/>
  <c r="OL1" i="24"/>
  <c r="OK1" i="24"/>
  <c r="OT1" i="24"/>
  <c r="NS1" i="24"/>
  <c r="NR1" i="24"/>
  <c r="NQ1" i="24"/>
  <c r="PQ1" i="24"/>
  <c r="PO1" i="24"/>
  <c r="PM1" i="24"/>
  <c r="PI1" i="24"/>
  <c r="PF1" i="24"/>
  <c r="PE1" i="24"/>
  <c r="PH1" i="24"/>
  <c r="OY1" i="24"/>
  <c r="AJ7" i="63"/>
  <c r="AI7" i="63"/>
  <c r="AK7" i="63" s="1"/>
  <c r="AJ5" i="63"/>
  <c r="AI5" i="63"/>
  <c r="AK5" i="63" s="1"/>
  <c r="AJ4" i="63"/>
  <c r="AI4" i="63"/>
  <c r="AJ11" i="63"/>
  <c r="AI11" i="63"/>
  <c r="AK11" i="63" s="1"/>
  <c r="AJ10" i="63"/>
  <c r="AI10" i="63"/>
  <c r="AK10" i="63" s="1"/>
  <c r="AJ8" i="63"/>
  <c r="AI8" i="63"/>
  <c r="AJ3" i="63"/>
  <c r="AI3" i="63"/>
  <c r="AJ2" i="63"/>
  <c r="AI2" i="63"/>
  <c r="AK2" i="63" s="1"/>
  <c r="AP1" i="50"/>
  <c r="S2" i="13" a="1"/>
  <c r="S2" i="13" s="1"/>
  <c r="AY2" i="13" a="1"/>
  <c r="AY2" i="13" s="1"/>
  <c r="AO2" i="13" a="1"/>
  <c r="AO2" i="13" s="1"/>
  <c r="BE2" i="13" a="1"/>
  <c r="BE2" i="13" s="1"/>
  <c r="BC2" i="13" a="1"/>
  <c r="BC2" i="13" s="1"/>
  <c r="BU2" i="13" a="1"/>
  <c r="BU2" i="13" s="1"/>
  <c r="BG2" i="13" a="1"/>
  <c r="BG2" i="13" s="1"/>
  <c r="O2" i="13" a="1"/>
  <c r="O2" i="13" s="1"/>
  <c r="Q2" i="13" a="1"/>
  <c r="Q2" i="13" s="1"/>
  <c r="EO2" i="13" a="1"/>
  <c r="EO2" i="13" s="1"/>
  <c r="DO2" i="13" a="1"/>
  <c r="DO2" i="13" s="1"/>
  <c r="DK2" i="13" a="1"/>
  <c r="DK2" i="13" s="1"/>
  <c r="DG2" i="13" a="1"/>
  <c r="DG2" i="13" s="1"/>
  <c r="CY2" i="13" a="1"/>
  <c r="CY2" i="13" s="1"/>
  <c r="CS2" i="13" a="1"/>
  <c r="CS2" i="13" s="1"/>
  <c r="CQ2" i="13" a="1"/>
  <c r="CQ2" i="13" s="1"/>
  <c r="CW2" i="13" a="1"/>
  <c r="CW2" i="13" s="1"/>
  <c r="CE2" i="13" a="1"/>
  <c r="CE2" i="13" s="1"/>
  <c r="BW2" i="13" a="1"/>
  <c r="BW2" i="13" s="1"/>
  <c r="QU2" i="24" l="1"/>
  <c r="QV2" i="24" s="1" a="1"/>
  <c r="QV2" i="24" s="1"/>
  <c r="QW2" i="24"/>
  <c r="QU3" i="24"/>
  <c r="QV3" i="24" s="1" a="1"/>
  <c r="QV3" i="24" s="1"/>
  <c r="QW3" i="24"/>
  <c r="VJ3" i="24"/>
  <c r="VC3" i="24"/>
  <c r="VC2" i="24"/>
  <c r="VJ2" i="24"/>
  <c r="P2" i="24"/>
  <c r="P3" i="24"/>
  <c r="VI3" i="24"/>
  <c r="UG3" i="24"/>
  <c r="UI3" i="24" s="1"/>
  <c r="VB3" i="24"/>
  <c r="O2" i="24"/>
  <c r="O3" i="24"/>
  <c r="VI2" i="24"/>
  <c r="UG2" i="24"/>
  <c r="UI2" i="24" s="1"/>
  <c r="VB2" i="24"/>
  <c r="AB22" i="28"/>
  <c r="AB18" i="28"/>
  <c r="AB19" i="28"/>
  <c r="AB23" i="28"/>
  <c r="AK3" i="63"/>
  <c r="AK4" i="63"/>
  <c r="AK8" i="63"/>
  <c r="L3" i="13"/>
  <c r="RS2" i="24" l="1"/>
  <c r="RN3" i="24"/>
  <c r="RS3" i="24"/>
  <c r="SB2" i="24"/>
  <c r="SB3" i="24"/>
  <c r="RN2" i="24"/>
  <c r="Q2" i="24"/>
  <c r="Q3" i="24"/>
  <c r="WS2" i="24"/>
  <c r="HD2" i="24"/>
  <c r="GY2" i="24"/>
  <c r="HP2" i="24" s="1" a="1"/>
  <c r="HP2" i="24" s="1"/>
  <c r="HB2" i="24"/>
  <c r="HC2" i="24"/>
  <c r="HE2" i="24"/>
  <c r="HT2" i="24" s="1" a="1"/>
  <c r="HT2" i="24" s="1"/>
  <c r="HF2" i="24"/>
  <c r="HJ2" i="24" s="1"/>
  <c r="HG2" i="24"/>
  <c r="GX2" i="24"/>
  <c r="GZ2" i="24"/>
  <c r="HQ2" i="24" s="1" a="1"/>
  <c r="HQ2" i="24" s="1"/>
  <c r="HA2" i="24"/>
  <c r="N2" i="24"/>
  <c r="N3" i="24"/>
  <c r="R2" i="24"/>
  <c r="R3" i="24"/>
  <c r="CY3" i="24"/>
  <c r="DC3" i="24"/>
  <c r="DD3" i="24"/>
  <c r="FS3" i="24"/>
  <c r="DE3" i="24"/>
  <c r="DB3" i="24"/>
  <c r="CZ3" i="24"/>
  <c r="DA3" i="24"/>
  <c r="DF3" i="24"/>
  <c r="DC2" i="24"/>
  <c r="DA2" i="24"/>
  <c r="DB2" i="24"/>
  <c r="DD2" i="24"/>
  <c r="FS2" i="24"/>
  <c r="DE2" i="24"/>
  <c r="CY2" i="24"/>
  <c r="CZ2" i="24"/>
  <c r="DF2" i="24"/>
  <c r="WS3" i="24"/>
  <c r="M3" i="24"/>
  <c r="M2" i="24"/>
  <c r="GZ3" i="24"/>
  <c r="HQ3" i="24" s="1" a="1"/>
  <c r="HQ3" i="24" s="1"/>
  <c r="GY3" i="24"/>
  <c r="HP3" i="24" s="1" a="1"/>
  <c r="HP3" i="24" s="1"/>
  <c r="HD3" i="24"/>
  <c r="HE3" i="24"/>
  <c r="HT3" i="24" s="1" a="1"/>
  <c r="HT3" i="24" s="1"/>
  <c r="HB3" i="24"/>
  <c r="HC3" i="24"/>
  <c r="HF3" i="24"/>
  <c r="HJ3" i="24" s="1"/>
  <c r="HG3" i="24"/>
  <c r="GX3" i="24"/>
  <c r="HA3" i="24"/>
  <c r="S19" i="28"/>
  <c r="V19" i="28" s="1"/>
  <c r="AB25" i="28"/>
  <c r="AB4" i="28"/>
  <c r="AB24" i="28"/>
  <c r="AB5" i="28"/>
  <c r="L19" i="28"/>
  <c r="SG2" i="24" l="1"/>
  <c r="RX2" i="24"/>
  <c r="SH2" i="24" s="1"/>
  <c r="TC2" i="24" s="1"/>
  <c r="XA2" i="24" s="1"/>
  <c r="RX3" i="24"/>
  <c r="SH3" i="24" s="1"/>
  <c r="TC3" i="24" s="1"/>
  <c r="XA3" i="24" s="1"/>
  <c r="SG3" i="24"/>
  <c r="QI2" i="24"/>
  <c r="QH2" i="24"/>
  <c r="QI3" i="24"/>
  <c r="QH3" i="24"/>
  <c r="HR2" i="24" a="1"/>
  <c r="HR2" i="24" s="1"/>
  <c r="IM2" i="24" s="1"/>
  <c r="HM2" i="24" a="1"/>
  <c r="HM2" i="24" s="1"/>
  <c r="IS2" i="24"/>
  <c r="WB2" i="24" s="1"/>
  <c r="VS2" i="24"/>
  <c r="IG2" i="24"/>
  <c r="VX2" i="24" s="1"/>
  <c r="IO3" i="24"/>
  <c r="IC3" i="24"/>
  <c r="IO2" i="24"/>
  <c r="IC2" i="24"/>
  <c r="HS2" i="24" a="1"/>
  <c r="HS2" i="24" s="1"/>
  <c r="HR3" i="24" a="1"/>
  <c r="HR3" i="24" s="1"/>
  <c r="IK3" i="24"/>
  <c r="HY3" i="24"/>
  <c r="HW3" i="24" a="1"/>
  <c r="HW3" i="24" s="1"/>
  <c r="HN3" i="24" a="1"/>
  <c r="HN3" i="24" s="1"/>
  <c r="IL3" i="24"/>
  <c r="HZ3" i="24"/>
  <c r="IK2" i="24"/>
  <c r="HY2" i="24"/>
  <c r="BD3" i="24"/>
  <c r="BF3" i="24" s="1"/>
  <c r="LA3" i="24" s="1" a="1"/>
  <c r="LA3" i="24" s="1"/>
  <c r="BL3" i="24"/>
  <c r="CI3" i="24"/>
  <c r="FT3" i="24"/>
  <c r="FU3" i="24" s="1"/>
  <c r="AA3" i="24"/>
  <c r="AC3" i="24" s="1"/>
  <c r="BX3" i="24"/>
  <c r="CF3" i="24"/>
  <c r="FW3" i="24"/>
  <c r="GE3" i="24"/>
  <c r="BA3" i="24"/>
  <c r="BC3" i="24" s="1"/>
  <c r="KY3" i="24" s="1" a="1"/>
  <c r="KY3" i="24" s="1"/>
  <c r="CK3" i="24"/>
  <c r="CC3" i="24"/>
  <c r="BV3" i="24"/>
  <c r="CD3" i="24"/>
  <c r="CM3" i="24"/>
  <c r="BR3" i="24"/>
  <c r="FZ3" i="24"/>
  <c r="BH3" i="24"/>
  <c r="FF3" i="24"/>
  <c r="FV3" i="24"/>
  <c r="CG3" i="24"/>
  <c r="IZ3" i="24"/>
  <c r="JB3" i="24"/>
  <c r="NE3" i="24" s="1" a="1"/>
  <c r="NE3" i="24" s="1"/>
  <c r="CH3" i="24"/>
  <c r="IL2" i="24"/>
  <c r="HZ2" i="24"/>
  <c r="IS3" i="24"/>
  <c r="WB3" i="24" s="1"/>
  <c r="HM3" i="24" a="1"/>
  <c r="HM3" i="24" s="1"/>
  <c r="IG3" i="24"/>
  <c r="VX3" i="24" s="1"/>
  <c r="VS3" i="24"/>
  <c r="Y2" i="24"/>
  <c r="CU2" i="24"/>
  <c r="DT2" i="24" s="1"/>
  <c r="CO2" i="24"/>
  <c r="CX2" i="24"/>
  <c r="T2" i="24"/>
  <c r="QY2" i="24" s="1"/>
  <c r="RA2" i="24" s="1"/>
  <c r="AP2" i="24"/>
  <c r="CR2" i="24"/>
  <c r="EH2" i="24" s="1"/>
  <c r="U2" i="24"/>
  <c r="CS2" i="24"/>
  <c r="EI2" i="24" s="1"/>
  <c r="DU2" i="24"/>
  <c r="V2" i="24"/>
  <c r="AE2" i="24"/>
  <c r="AJ2" i="24"/>
  <c r="AS2" i="24"/>
  <c r="CT2" i="24"/>
  <c r="DS2" i="24" s="1"/>
  <c r="DV2" i="24"/>
  <c r="AF2" i="24"/>
  <c r="CV2" i="24"/>
  <c r="KL2" i="24" s="1" a="1"/>
  <c r="KL2" i="24" s="1"/>
  <c r="CP2" i="24"/>
  <c r="FO2" i="24"/>
  <c r="CQ2" i="24"/>
  <c r="EG2" i="24" s="1"/>
  <c r="CW2" i="24"/>
  <c r="CN2" i="24"/>
  <c r="EF2" i="24" s="1"/>
  <c r="FN2" i="24"/>
  <c r="WG2" i="24" s="1"/>
  <c r="A2" i="24"/>
  <c r="E3" i="24"/>
  <c r="DG3" i="24"/>
  <c r="DM3" i="24" s="1"/>
  <c r="JD3" i="24"/>
  <c r="DH3" i="24"/>
  <c r="DN3" i="24" s="1"/>
  <c r="G3" i="24" s="1"/>
  <c r="DL3" i="24"/>
  <c r="DR3" i="24" s="1"/>
  <c r="DJ3" i="24"/>
  <c r="DP3" i="24" s="1"/>
  <c r="EJ3" i="24" s="1"/>
  <c r="JE3" i="24"/>
  <c r="DK3" i="24"/>
  <c r="DQ3" i="24" s="1"/>
  <c r="JC3" i="24"/>
  <c r="DI3" i="24"/>
  <c r="DO3" i="24" s="1"/>
  <c r="H3" i="24" s="1"/>
  <c r="BH2" i="24"/>
  <c r="BX2" i="24"/>
  <c r="CM2" i="24"/>
  <c r="GE2" i="24"/>
  <c r="AA2" i="24"/>
  <c r="AC2" i="24" s="1"/>
  <c r="CF2" i="24"/>
  <c r="FV2" i="24"/>
  <c r="BR2" i="24"/>
  <c r="CI2" i="24"/>
  <c r="FZ2" i="24"/>
  <c r="BA2" i="24"/>
  <c r="BC2" i="24" s="1"/>
  <c r="KY2" i="24" s="1" a="1"/>
  <c r="KY2" i="24" s="1"/>
  <c r="CK2" i="24"/>
  <c r="BL2" i="24"/>
  <c r="CC2" i="24"/>
  <c r="FT2" i="24"/>
  <c r="FU2" i="24" s="1"/>
  <c r="BV2" i="24"/>
  <c r="FW2" i="24"/>
  <c r="BD2" i="24"/>
  <c r="BF2" i="24" s="1"/>
  <c r="LA2" i="24" s="1" a="1"/>
  <c r="LA2" i="24" s="1"/>
  <c r="CD2" i="24"/>
  <c r="CG2" i="24"/>
  <c r="FF2" i="24"/>
  <c r="IZ2" i="24"/>
  <c r="CH2" i="24"/>
  <c r="JB2" i="24"/>
  <c r="NE2" i="24" s="1" a="1"/>
  <c r="NE2" i="24" s="1"/>
  <c r="HW2" i="24" a="1"/>
  <c r="HW2" i="24" s="1"/>
  <c r="HN2" i="24" a="1"/>
  <c r="HN2" i="24" s="1"/>
  <c r="HS3" i="24" a="1"/>
  <c r="HS3" i="24" s="1"/>
  <c r="U3" i="24"/>
  <c r="CQ3" i="24"/>
  <c r="EG3" i="24" s="1"/>
  <c r="CO3" i="24"/>
  <c r="CX3" i="24"/>
  <c r="FN3" i="24"/>
  <c r="WG3" i="24" s="1"/>
  <c r="V3" i="24"/>
  <c r="AE3" i="24"/>
  <c r="AJ3" i="24"/>
  <c r="CT3" i="24"/>
  <c r="DS3" i="24" s="1"/>
  <c r="DU3" i="24"/>
  <c r="AF3" i="24"/>
  <c r="AS3" i="24"/>
  <c r="CU3" i="24"/>
  <c r="DT3" i="24" s="1"/>
  <c r="DV3" i="24"/>
  <c r="CV3" i="24"/>
  <c r="KL3" i="24" s="1" a="1"/>
  <c r="KL3" i="24" s="1"/>
  <c r="T3" i="24"/>
  <c r="QY3" i="24" s="1"/>
  <c r="RA3" i="24" s="1"/>
  <c r="AP3" i="24"/>
  <c r="CR3" i="24"/>
  <c r="EH3" i="24" s="1"/>
  <c r="CS3" i="24"/>
  <c r="EI3" i="24" s="1"/>
  <c r="CW3" i="24"/>
  <c r="CP3" i="24"/>
  <c r="FO3" i="24"/>
  <c r="Y3" i="24"/>
  <c r="CN3" i="24"/>
  <c r="EF3" i="24" s="1"/>
  <c r="A3" i="24"/>
  <c r="DK2" i="24"/>
  <c r="DQ2" i="24" s="1"/>
  <c r="DG2" i="24"/>
  <c r="DM2" i="24" s="1"/>
  <c r="DJ2" i="24"/>
  <c r="DP2" i="24" s="1"/>
  <c r="EJ2" i="24" s="1"/>
  <c r="JD2" i="24"/>
  <c r="DL2" i="24"/>
  <c r="DR2" i="24" s="1"/>
  <c r="JE2" i="24"/>
  <c r="E2" i="24"/>
  <c r="JC2" i="24"/>
  <c r="DH2" i="24"/>
  <c r="DN2" i="24" s="1"/>
  <c r="G2" i="24" s="1"/>
  <c r="DI2" i="24"/>
  <c r="DO2" i="24" s="1"/>
  <c r="H2" i="24" s="1"/>
  <c r="IA2" i="24" l="1"/>
  <c r="QJ2" i="24" a="1"/>
  <c r="QJ2" i="24" s="1"/>
  <c r="QJ3" i="24" a="1"/>
  <c r="QJ3" i="24" s="1"/>
  <c r="TL2" i="24"/>
  <c r="TB2" i="24"/>
  <c r="WZ2" i="24" s="1"/>
  <c r="TL3" i="24"/>
  <c r="TB3" i="24"/>
  <c r="WZ3" i="24" s="1"/>
  <c r="HO3" i="24"/>
  <c r="HX3" i="24" s="1"/>
  <c r="KW3" i="24" a="1"/>
  <c r="KW3" i="24" s="1"/>
  <c r="KU3" i="24" a="1"/>
  <c r="KU3" i="24" s="1"/>
  <c r="KV3" i="24" a="1"/>
  <c r="KV3" i="24" s="1"/>
  <c r="FX2" i="24"/>
  <c r="GA2" i="24"/>
  <c r="GB2" i="24" s="1"/>
  <c r="NL2" i="24" s="1" a="1"/>
  <c r="NL2" i="24" s="1"/>
  <c r="FR3" i="24"/>
  <c r="KS3" i="24" s="1" a="1"/>
  <c r="KS3" i="24" s="1"/>
  <c r="KN3" i="24" a="1"/>
  <c r="KN3" i="24" s="1"/>
  <c r="KM3" i="24" a="1"/>
  <c r="KM3" i="24" s="1"/>
  <c r="KO3" i="24" a="1"/>
  <c r="KO3" i="24" s="1"/>
  <c r="KP3" i="24" a="1"/>
  <c r="KP3" i="24" s="1"/>
  <c r="KQ3" i="24" a="1"/>
  <c r="KQ3" i="24" s="1"/>
  <c r="NM3" i="24" a="1"/>
  <c r="NM3" i="24" s="1"/>
  <c r="KV2" i="24" a="1"/>
  <c r="KV2" i="24" s="1"/>
  <c r="KW2" i="24" a="1"/>
  <c r="KW2" i="24" s="1"/>
  <c r="KU2" i="24" a="1"/>
  <c r="KU2" i="24" s="1"/>
  <c r="FR2" i="24"/>
  <c r="KS2" i="24" s="1" a="1"/>
  <c r="KS2" i="24" s="1"/>
  <c r="KN2" i="24" a="1"/>
  <c r="KN2" i="24" s="1"/>
  <c r="KO2" i="24" a="1"/>
  <c r="KO2" i="24" s="1"/>
  <c r="KQ2" i="24" a="1"/>
  <c r="KQ2" i="24" s="1"/>
  <c r="NM2" i="24" a="1"/>
  <c r="NM2" i="24" s="1"/>
  <c r="KM2" i="24" a="1"/>
  <c r="KM2" i="24" s="1"/>
  <c r="KP2" i="24" a="1"/>
  <c r="KP2" i="24" s="1"/>
  <c r="GA3" i="24"/>
  <c r="GB3" i="24" s="1"/>
  <c r="NL3" i="24" s="1" a="1"/>
  <c r="NL3" i="24" s="1"/>
  <c r="FX3" i="24"/>
  <c r="ED3" i="24" a="1"/>
  <c r="ED3" i="24" s="1"/>
  <c r="ES3" i="24" s="1"/>
  <c r="KI3" i="24" s="1" a="1"/>
  <c r="KI3" i="24" s="1"/>
  <c r="JT3" i="24"/>
  <c r="JU3" i="24" s="1"/>
  <c r="EA3" i="24"/>
  <c r="QX3" i="24"/>
  <c r="EB3" i="24"/>
  <c r="ED2" i="24" a="1"/>
  <c r="ED2" i="24" s="1"/>
  <c r="ES2" i="24" s="1"/>
  <c r="KI2" i="24" s="1" a="1"/>
  <c r="KI2" i="24" s="1"/>
  <c r="GF3" i="24"/>
  <c r="WI3" i="24" s="1"/>
  <c r="GG3" i="24"/>
  <c r="WJ3" i="24" s="1"/>
  <c r="F3" i="24"/>
  <c r="D3" i="24" s="1"/>
  <c r="CE3" i="24" s="1"/>
  <c r="IA3" i="24"/>
  <c r="IM3" i="24"/>
  <c r="IN3" i="24"/>
  <c r="IB3" i="24"/>
  <c r="FG2" i="24"/>
  <c r="FH2" i="24" s="1"/>
  <c r="BM2" i="24"/>
  <c r="BO2" i="24"/>
  <c r="MN2" i="24" s="1" a="1"/>
  <c r="MN2" i="24" s="1"/>
  <c r="MP2" i="24" s="1"/>
  <c r="EA2" i="24"/>
  <c r="QX2" i="24"/>
  <c r="EB2" i="24"/>
  <c r="IE3" i="24"/>
  <c r="IQ3" i="24"/>
  <c r="EL2" i="24"/>
  <c r="J2" i="24"/>
  <c r="IB2" i="24"/>
  <c r="IN2" i="24"/>
  <c r="HO2" i="24"/>
  <c r="AT3" i="24"/>
  <c r="AZ3" i="24" s="1"/>
  <c r="JG2" i="24"/>
  <c r="CL2" i="24"/>
  <c r="GF2" i="24"/>
  <c r="WI2" i="24" s="1"/>
  <c r="GG2" i="24"/>
  <c r="WJ2" i="24" s="1"/>
  <c r="AT2" i="24"/>
  <c r="AZ2" i="24" s="1"/>
  <c r="MG3" i="24" a="1"/>
  <c r="MG3" i="24" s="1"/>
  <c r="MH3" i="24" a="1"/>
  <c r="MH3" i="24" s="1"/>
  <c r="EK3" i="24"/>
  <c r="I3" i="24"/>
  <c r="AQ3" i="24"/>
  <c r="LY3" i="24" s="1" a="1"/>
  <c r="LY3" i="24" s="1"/>
  <c r="AI3" i="24"/>
  <c r="NB3" i="24"/>
  <c r="NA3" i="24"/>
  <c r="MH2" i="24" a="1"/>
  <c r="MH2" i="24" s="1"/>
  <c r="MG2" i="24" a="1"/>
  <c r="MG2" i="24" s="1"/>
  <c r="FP2" i="24"/>
  <c r="FQ2" i="24"/>
  <c r="WH2" i="24"/>
  <c r="AK2" i="24"/>
  <c r="AL2" i="24" s="1"/>
  <c r="I2" i="24"/>
  <c r="EK2" i="24"/>
  <c r="JT2" i="24"/>
  <c r="JU2" i="24" s="1"/>
  <c r="AQ2" i="24"/>
  <c r="LY2" i="24" s="1" a="1"/>
  <c r="LY2" i="24" s="1"/>
  <c r="EL3" i="24"/>
  <c r="J3" i="24"/>
  <c r="FQ3" i="24"/>
  <c r="FP3" i="24"/>
  <c r="WH3" i="24"/>
  <c r="EC3" i="24" a="1"/>
  <c r="EC3" i="24" s="1"/>
  <c r="EU3" i="24" s="1"/>
  <c r="KK3" i="24" s="1" a="1"/>
  <c r="KK3" i="24" s="1"/>
  <c r="IE2" i="24"/>
  <c r="IQ2" i="24"/>
  <c r="CJ2" i="24"/>
  <c r="JH2" i="24"/>
  <c r="BI2" i="24"/>
  <c r="BK2" i="24"/>
  <c r="ML2" i="24" s="1" a="1"/>
  <c r="ML2" i="24" s="1"/>
  <c r="CA2" i="24"/>
  <c r="FG3" i="24"/>
  <c r="FH3" i="24" s="1"/>
  <c r="JG3" i="24"/>
  <c r="CL3" i="24"/>
  <c r="JH3" i="24"/>
  <c r="CJ3" i="24"/>
  <c r="F2" i="24"/>
  <c r="D2" i="24" s="1"/>
  <c r="DW2" i="24" s="1"/>
  <c r="AK3" i="24"/>
  <c r="AL3" i="24" s="1"/>
  <c r="AI2" i="24"/>
  <c r="NB2" i="24"/>
  <c r="NA2" i="24"/>
  <c r="EC2" i="24" a="1"/>
  <c r="EC2" i="24" s="1"/>
  <c r="EU2" i="24" s="1"/>
  <c r="KK2" i="24" s="1" a="1"/>
  <c r="KK2" i="24" s="1"/>
  <c r="BK3" i="24"/>
  <c r="ML3" i="24" s="1" a="1"/>
  <c r="ML3" i="24" s="1"/>
  <c r="BI3" i="24"/>
  <c r="BO3" i="24"/>
  <c r="MN3" i="24" s="1" a="1"/>
  <c r="MN3" i="24" s="1"/>
  <c r="MP3" i="24" s="1"/>
  <c r="BM3" i="24"/>
  <c r="CA3" i="24"/>
  <c r="U35" i="28"/>
  <c r="U37" i="28"/>
  <c r="U5" i="28"/>
  <c r="L27" i="28"/>
  <c r="L58" i="28"/>
  <c r="L23" i="28"/>
  <c r="L36" i="28"/>
  <c r="L35" i="28"/>
  <c r="L46" i="28"/>
  <c r="L7" i="28"/>
  <c r="L5" i="28"/>
  <c r="L29" i="28"/>
  <c r="L6" i="28"/>
  <c r="L41" i="28"/>
  <c r="L44" i="28"/>
  <c r="L21" i="28"/>
  <c r="L17" i="28"/>
  <c r="L18" i="28"/>
  <c r="L45" i="28"/>
  <c r="L25" i="28"/>
  <c r="L37" i="28"/>
  <c r="L43" i="28"/>
  <c r="L8" i="28"/>
  <c r="L3" i="28"/>
  <c r="L24" i="28"/>
  <c r="L4" i="28"/>
  <c r="L2" i="28"/>
  <c r="L13" i="28"/>
  <c r="L50" i="28"/>
  <c r="L34" i="28"/>
  <c r="L12" i="28"/>
  <c r="L11" i="28"/>
  <c r="L22" i="28"/>
  <c r="L9" i="28"/>
  <c r="L26" i="28"/>
  <c r="T17" i="28"/>
  <c r="U17" i="28"/>
  <c r="L42" i="28"/>
  <c r="U36" i="28"/>
  <c r="U27" i="28"/>
  <c r="U13" i="28"/>
  <c r="U22" i="28"/>
  <c r="U21" i="28"/>
  <c r="U41" i="28"/>
  <c r="U43" i="28"/>
  <c r="U12" i="28"/>
  <c r="U46" i="28"/>
  <c r="U45" i="28"/>
  <c r="U2" i="28"/>
  <c r="U24" i="28"/>
  <c r="U44" i="28"/>
  <c r="U58" i="28"/>
  <c r="M3" i="13"/>
  <c r="H36" i="13" a="1"/>
  <c r="R64" i="28" l="1"/>
  <c r="Q64" i="28"/>
  <c r="R14" i="28"/>
  <c r="Q14" i="28"/>
  <c r="U4" i="28"/>
  <c r="QK3" i="24"/>
  <c r="QK2" i="24"/>
  <c r="IJ3" i="24"/>
  <c r="DW3" i="24"/>
  <c r="AD3" i="24"/>
  <c r="BY3" i="24" s="1"/>
  <c r="LJ3" i="24" s="1" a="1"/>
  <c r="LJ3" i="24" s="1"/>
  <c r="U66" i="28"/>
  <c r="U3" i="28"/>
  <c r="U33" i="28"/>
  <c r="NC3" i="24"/>
  <c r="L69" i="28"/>
  <c r="ND3" i="24"/>
  <c r="KR3" i="24" a="1"/>
  <c r="KR3" i="24" s="1"/>
  <c r="KT3" i="24" s="1" a="1"/>
  <c r="KT3" i="24" s="1"/>
  <c r="EP3" i="24"/>
  <c r="KF3" i="24" s="1" a="1"/>
  <c r="KF3" i="24" s="1"/>
  <c r="AR3" i="24"/>
  <c r="LZ3" i="24" s="1" a="1"/>
  <c r="LZ3" i="24" s="1"/>
  <c r="KR2" i="24" a="1"/>
  <c r="KR2" i="24" s="1"/>
  <c r="KT2" i="24" s="1" a="1"/>
  <c r="KT2" i="24" s="1"/>
  <c r="AM3" i="24"/>
  <c r="LO3" i="24" s="1" a="1"/>
  <c r="LO3" i="24" s="1"/>
  <c r="AR2" i="24"/>
  <c r="LZ2" i="24" s="1" a="1"/>
  <c r="LZ2" i="24" s="1"/>
  <c r="AM2" i="24"/>
  <c r="LO2" i="24" s="1" a="1"/>
  <c r="LO2" i="24" s="1"/>
  <c r="EP2" i="24"/>
  <c r="KF2" i="24" s="1" a="1"/>
  <c r="KF2" i="24" s="1"/>
  <c r="L53" i="28"/>
  <c r="ET3" i="24"/>
  <c r="KJ3" i="24" s="1" a="1"/>
  <c r="KJ3" i="24" s="1"/>
  <c r="LU2" i="24" a="1"/>
  <c r="LU2" i="24" s="1"/>
  <c r="LV2" i="24" a="1"/>
  <c r="LV2" i="24" s="1"/>
  <c r="LS2" i="24" a="1"/>
  <c r="LS2" i="24" s="1"/>
  <c r="LT2" i="24" a="1"/>
  <c r="LT2" i="24" s="1"/>
  <c r="AG2" i="24"/>
  <c r="BP2" i="24"/>
  <c r="BE2" i="24"/>
  <c r="KZ2" i="24" s="1" a="1"/>
  <c r="KZ2" i="24" s="1"/>
  <c r="BN2" i="24"/>
  <c r="MM2" i="24" s="1" a="1"/>
  <c r="MM2" i="24" s="1"/>
  <c r="MO2" i="24" s="1"/>
  <c r="MW2" i="24" a="1"/>
  <c r="MW2" i="24" s="1"/>
  <c r="BJ2" i="24"/>
  <c r="MK2" i="24" s="1" a="1"/>
  <c r="MK2" i="24" s="1"/>
  <c r="BB2" i="24"/>
  <c r="KX2" i="24" s="1" a="1"/>
  <c r="KX2" i="24" s="1"/>
  <c r="BT2" i="24"/>
  <c r="JM2" i="24" a="1"/>
  <c r="JM2" i="24" s="1"/>
  <c r="BU2" i="24"/>
  <c r="LE2" i="24" s="1" a="1"/>
  <c r="LE2" i="24" s="1"/>
  <c r="BQ2" i="24"/>
  <c r="MU2" i="24" a="1"/>
  <c r="MU2" i="24" s="1"/>
  <c r="AH2" i="24"/>
  <c r="BZ2" i="24"/>
  <c r="MV2" i="24" s="1" a="1"/>
  <c r="MV2" i="24" s="1"/>
  <c r="BG2" i="24"/>
  <c r="MY2" i="24" a="1"/>
  <c r="MY2" i="24" s="1"/>
  <c r="AO2" i="24"/>
  <c r="LN2" i="24" s="1" a="1"/>
  <c r="LN2" i="24" s="1"/>
  <c r="MZ2" i="24" a="1"/>
  <c r="MZ2" i="24" s="1"/>
  <c r="MB3" i="24" a="1"/>
  <c r="MB3" i="24" s="1"/>
  <c r="ME3" i="24" a="1"/>
  <c r="ME3" i="24" s="1"/>
  <c r="MD2" i="24" a="1"/>
  <c r="MD2" i="24" s="1"/>
  <c r="MA2" i="24" a="1"/>
  <c r="MA2" i="24" s="1"/>
  <c r="NC2" i="24"/>
  <c r="CE2" i="24"/>
  <c r="AD2" i="24"/>
  <c r="BT3" i="24"/>
  <c r="MW3" i="24" a="1"/>
  <c r="MW3" i="24" s="1"/>
  <c r="BJ3" i="24"/>
  <c r="MK3" i="24" s="1" a="1"/>
  <c r="MK3" i="24" s="1"/>
  <c r="BB3" i="24"/>
  <c r="KX3" i="24" s="1" a="1"/>
  <c r="KX3" i="24" s="1"/>
  <c r="BU3" i="24"/>
  <c r="LE3" i="24" s="1" a="1"/>
  <c r="LE3" i="24" s="1"/>
  <c r="AG3" i="24"/>
  <c r="JM3" i="24" a="1"/>
  <c r="JM3" i="24" s="1"/>
  <c r="MY3" i="24" a="1"/>
  <c r="MY3" i="24" s="1"/>
  <c r="BZ3" i="24"/>
  <c r="MX3" i="24" s="1" a="1"/>
  <c r="MX3" i="24" s="1"/>
  <c r="MU3" i="24" a="1"/>
  <c r="MU3" i="24" s="1"/>
  <c r="AH3" i="24"/>
  <c r="BN3" i="24"/>
  <c r="MM3" i="24" s="1" a="1"/>
  <c r="MM3" i="24" s="1"/>
  <c r="MO3" i="24" s="1"/>
  <c r="BP3" i="24"/>
  <c r="BE3" i="24"/>
  <c r="KZ3" i="24" s="1" a="1"/>
  <c r="KZ3" i="24" s="1"/>
  <c r="BG3" i="24"/>
  <c r="MZ3" i="24" a="1"/>
  <c r="MZ3" i="24" s="1"/>
  <c r="BQ3" i="24"/>
  <c r="AO3" i="24"/>
  <c r="LN3" i="24" s="1" a="1"/>
  <c r="LN3" i="24" s="1"/>
  <c r="ET2" i="24"/>
  <c r="KJ2" i="24" s="1" a="1"/>
  <c r="KJ2" i="24" s="1"/>
  <c r="LH2" i="24" a="1"/>
  <c r="LH2" i="24" s="1"/>
  <c r="EM2" i="24"/>
  <c r="EN2" i="24" a="1"/>
  <c r="EN2" i="24" s="1"/>
  <c r="ME2" i="24" a="1"/>
  <c r="ME2" i="24" s="1"/>
  <c r="MB2" i="24" a="1"/>
  <c r="MB2" i="24" s="1"/>
  <c r="ND2" i="24"/>
  <c r="EO3" i="24"/>
  <c r="KE3" i="24" s="1" a="1"/>
  <c r="KE3" i="24" s="1"/>
  <c r="L3" i="24"/>
  <c r="EQ3" i="24"/>
  <c r="KG3" i="24" s="1"/>
  <c r="JV2" i="24" a="1"/>
  <c r="JV2" i="24" s="1"/>
  <c r="VO2" i="24"/>
  <c r="FL3" i="24"/>
  <c r="NH3" i="24" s="1" a="1"/>
  <c r="NH3" i="24" s="1"/>
  <c r="FI3" i="24"/>
  <c r="NG3" i="24" s="1" a="1"/>
  <c r="NG3" i="24" s="1"/>
  <c r="FJ3" i="24"/>
  <c r="FM3" i="24"/>
  <c r="NI3" i="24" s="1" a="1"/>
  <c r="NI3" i="24" s="1"/>
  <c r="EO2" i="24"/>
  <c r="KE2" i="24" s="1" a="1"/>
  <c r="KE2" i="24" s="1"/>
  <c r="L2" i="24"/>
  <c r="EQ2" i="24"/>
  <c r="KG2" i="24" s="1"/>
  <c r="GC3" i="24" a="1"/>
  <c r="GC3" i="24" s="1"/>
  <c r="GD3" i="24" s="1"/>
  <c r="WK3" i="24" s="1"/>
  <c r="FY3" i="24"/>
  <c r="GC2" i="24" a="1"/>
  <c r="GC2" i="24" s="1"/>
  <c r="GD2" i="24" s="1"/>
  <c r="WK2" i="24" s="1"/>
  <c r="FY2" i="24"/>
  <c r="ER3" i="24"/>
  <c r="KH3" i="24" s="1"/>
  <c r="K3" i="24"/>
  <c r="EE3" i="24"/>
  <c r="JV3" i="24" a="1"/>
  <c r="JV3" i="24" s="1"/>
  <c r="VO3" i="24"/>
  <c r="LU3" i="24" a="1"/>
  <c r="LU3" i="24" s="1"/>
  <c r="LV3" i="24" a="1"/>
  <c r="LV3" i="24" s="1"/>
  <c r="LS3" i="24" a="1"/>
  <c r="LS3" i="24" s="1"/>
  <c r="LT3" i="24" a="1"/>
  <c r="LT3" i="24" s="1"/>
  <c r="FM2" i="24"/>
  <c r="NI2" i="24" s="1" a="1"/>
  <c r="NI2" i="24" s="1"/>
  <c r="FI2" i="24"/>
  <c r="NG2" i="24" s="1" a="1"/>
  <c r="NG2" i="24" s="1"/>
  <c r="FJ2" i="24"/>
  <c r="FL2" i="24"/>
  <c r="NH2" i="24" s="1" a="1"/>
  <c r="NH2" i="24" s="1"/>
  <c r="EM3" i="24"/>
  <c r="EN3" i="24" a="1"/>
  <c r="EN3" i="24" s="1"/>
  <c r="LH3" i="24" a="1"/>
  <c r="LH3" i="24" s="1"/>
  <c r="AY3" i="24"/>
  <c r="AU3" i="24" s="1"/>
  <c r="IJ2" i="24"/>
  <c r="HX2" i="24"/>
  <c r="K2" i="24"/>
  <c r="ER2" i="24"/>
  <c r="KH2" i="24" s="1"/>
  <c r="EE2" i="24"/>
  <c r="MD3" i="24" a="1"/>
  <c r="MD3" i="24" s="1"/>
  <c r="MA3" i="24" a="1"/>
  <c r="MA3" i="24" s="1"/>
  <c r="AY2" i="24"/>
  <c r="AU2" i="24" s="1"/>
  <c r="U54" i="28"/>
  <c r="U9" i="28"/>
  <c r="U47" i="28"/>
  <c r="U68" i="28"/>
  <c r="U52" i="28"/>
  <c r="U7" i="28"/>
  <c r="U8" i="28"/>
  <c r="U38" i="28"/>
  <c r="U34" i="28"/>
  <c r="L56" i="28"/>
  <c r="U15" i="28"/>
  <c r="U14" i="28"/>
  <c r="L51" i="28"/>
  <c r="U6" i="28"/>
  <c r="L54" i="28"/>
  <c r="L59" i="28"/>
  <c r="U62" i="28"/>
  <c r="L68" i="28"/>
  <c r="L57" i="28"/>
  <c r="L47" i="28"/>
  <c r="L64" i="28"/>
  <c r="L15" i="28"/>
  <c r="L55" i="28"/>
  <c r="L52" i="28"/>
  <c r="L60" i="28"/>
  <c r="L62" i="28"/>
  <c r="L14" i="28"/>
  <c r="L49" i="28"/>
  <c r="U65" i="28"/>
  <c r="U39" i="28"/>
  <c r="U63" i="28"/>
  <c r="U31" i="28"/>
  <c r="U67" i="28"/>
  <c r="T63" i="28"/>
  <c r="T31" i="28"/>
  <c r="L61" i="28"/>
  <c r="L38" i="28"/>
  <c r="L70" i="28"/>
  <c r="L30" i="28"/>
  <c r="L33" i="28"/>
  <c r="L67" i="28"/>
  <c r="L63" i="28"/>
  <c r="L31" i="28"/>
  <c r="L39" i="28"/>
  <c r="L65" i="28"/>
  <c r="L66" i="28"/>
  <c r="L32" i="28"/>
  <c r="S26" i="28"/>
  <c r="Q26" i="28"/>
  <c r="R26" i="28"/>
  <c r="Q36" i="28"/>
  <c r="R36" i="28"/>
  <c r="Q35" i="28"/>
  <c r="R35" i="28"/>
  <c r="R57" i="28"/>
  <c r="Q57" i="28"/>
  <c r="R50" i="28"/>
  <c r="Q50" i="28"/>
  <c r="Q53" i="28"/>
  <c r="R53" i="28"/>
  <c r="Q68" i="28"/>
  <c r="R68" i="28"/>
  <c r="Q55" i="28"/>
  <c r="R55" i="28"/>
  <c r="Q54" i="28"/>
  <c r="R54" i="28"/>
  <c r="R37" i="28"/>
  <c r="Q37" i="28"/>
  <c r="R52" i="28"/>
  <c r="Q52" i="28"/>
  <c r="Q62" i="28"/>
  <c r="R62" i="28"/>
  <c r="R69" i="28"/>
  <c r="Q69" i="28"/>
  <c r="R56" i="28"/>
  <c r="Q56" i="28"/>
  <c r="Q60" i="28"/>
  <c r="R60" i="28"/>
  <c r="R12" i="28"/>
  <c r="Q12" i="28"/>
  <c r="Q11" i="28"/>
  <c r="R11" i="28"/>
  <c r="Q47" i="28"/>
  <c r="R47" i="28"/>
  <c r="Q49" i="28"/>
  <c r="R49" i="28"/>
  <c r="Q29" i="28"/>
  <c r="R29" i="28"/>
  <c r="R34" i="28"/>
  <c r="Q34" i="28"/>
  <c r="R59" i="28"/>
  <c r="Q59" i="28"/>
  <c r="Q27" i="28"/>
  <c r="R27" i="28"/>
  <c r="R15" i="28"/>
  <c r="Q15" i="28"/>
  <c r="R13" i="28"/>
  <c r="Q13" i="28"/>
  <c r="R51" i="28"/>
  <c r="Q51" i="28"/>
  <c r="T4" i="28"/>
  <c r="H36" i="13"/>
  <c r="U25" i="28"/>
  <c r="U49" i="28"/>
  <c r="U56" i="28"/>
  <c r="U53" i="28"/>
  <c r="U18" i="28"/>
  <c r="T11" i="28"/>
  <c r="T45" i="28"/>
  <c r="H34" i="13" a="1"/>
  <c r="H35" i="13" a="1"/>
  <c r="H42" i="13" a="1"/>
  <c r="H37" i="13" a="1"/>
  <c r="H33" i="13" a="1"/>
  <c r="Q65" i="28" l="1"/>
  <c r="Q39" i="28"/>
  <c r="R32" i="28"/>
  <c r="R66" i="28"/>
  <c r="Q33" i="28"/>
  <c r="Q67" i="28"/>
  <c r="R65" i="28"/>
  <c r="R39" i="28"/>
  <c r="Q32" i="28"/>
  <c r="Q66" i="28"/>
  <c r="R33" i="28"/>
  <c r="R67" i="28"/>
  <c r="R30" i="28"/>
  <c r="R70" i="28"/>
  <c r="Q30" i="28"/>
  <c r="Q70" i="28"/>
  <c r="Q61" i="28"/>
  <c r="Q38" i="28"/>
  <c r="R61" i="28"/>
  <c r="R38" i="28"/>
  <c r="Q31" i="28"/>
  <c r="Q63" i="28"/>
  <c r="R31" i="28"/>
  <c r="R63" i="28"/>
  <c r="QE3" i="24" a="1"/>
  <c r="QE3" i="24" s="1"/>
  <c r="QE2" i="24" a="1"/>
  <c r="QE2" i="24" s="1"/>
  <c r="BS3" i="24"/>
  <c r="U61" i="28"/>
  <c r="U32" i="28"/>
  <c r="U64" i="28"/>
  <c r="FK3" i="24"/>
  <c r="NF3" i="24" s="1" a="1"/>
  <c r="NF3" i="24" s="1"/>
  <c r="NJ3" i="24" s="1" a="1"/>
  <c r="NJ3" i="24" s="1"/>
  <c r="NK3" i="24" a="1"/>
  <c r="NK3" i="24" s="1"/>
  <c r="NO3" i="24" s="1" a="1"/>
  <c r="NO3" i="24" s="1"/>
  <c r="LG3" i="24" a="1"/>
  <c r="LG3" i="24" s="1"/>
  <c r="LM3" i="24" s="1"/>
  <c r="AN2" i="24" a="1"/>
  <c r="AN2" i="24" s="1"/>
  <c r="JI2" i="24" s="1"/>
  <c r="BW3" i="24"/>
  <c r="LF3" i="24" s="1" a="1"/>
  <c r="LF3" i="24" s="1"/>
  <c r="MF3" i="24"/>
  <c r="FK2" i="24"/>
  <c r="NF2" i="24" s="1" a="1"/>
  <c r="NF2" i="24" s="1"/>
  <c r="NJ2" i="24" s="1" a="1"/>
  <c r="NJ2" i="24" s="1"/>
  <c r="MC3" i="24"/>
  <c r="JP2" i="24" a="1"/>
  <c r="JP2" i="24" s="1"/>
  <c r="U60" i="28"/>
  <c r="LB3" i="24" a="1"/>
  <c r="LB3" i="24" s="1"/>
  <c r="AN3" i="24" a="1"/>
  <c r="AN3" i="24" s="1"/>
  <c r="JI3" i="24" s="1"/>
  <c r="GP2" i="24"/>
  <c r="GQ2" i="24" s="1" a="1"/>
  <c r="GQ2" i="24" s="1"/>
  <c r="GR2" i="24" s="1"/>
  <c r="LB2" i="24" a="1"/>
  <c r="LB2" i="24" s="1"/>
  <c r="MV3" i="24" a="1"/>
  <c r="MV3" i="24" s="1"/>
  <c r="AV2" i="24"/>
  <c r="AW2" i="24" s="1"/>
  <c r="AX2" i="24"/>
  <c r="AV3" i="24"/>
  <c r="AW3" i="24" s="1"/>
  <c r="AX3" i="24"/>
  <c r="GN3" i="24" a="1"/>
  <c r="GN3" i="24" s="1"/>
  <c r="GO3" i="24" s="1"/>
  <c r="GJ3" i="24" a="1"/>
  <c r="GJ3" i="24" s="1"/>
  <c r="GH3" i="24" a="1"/>
  <c r="GH3" i="24" s="1"/>
  <c r="GI3" i="24" s="1"/>
  <c r="WL3" i="24" s="1"/>
  <c r="JW3" i="24" a="1"/>
  <c r="JW3" i="24" s="1"/>
  <c r="JY3" i="24" a="1"/>
  <c r="JY3" i="24" s="1"/>
  <c r="KC3" i="24" a="1"/>
  <c r="KC3" i="24" s="1"/>
  <c r="JZ3" i="24" a="1"/>
  <c r="JZ3" i="24" s="1"/>
  <c r="KA3" i="24" a="1"/>
  <c r="KA3" i="24" s="1"/>
  <c r="KB3" i="24" a="1"/>
  <c r="KB3" i="24" s="1"/>
  <c r="VR3" i="24"/>
  <c r="JX3" i="24" a="1"/>
  <c r="JX3" i="24" s="1"/>
  <c r="LC3" i="24" a="1"/>
  <c r="LC3" i="24" s="1"/>
  <c r="MC2" i="24"/>
  <c r="LC2" i="24" a="1"/>
  <c r="LC2" i="24" s="1"/>
  <c r="JP3" i="24" a="1"/>
  <c r="JP3" i="24" s="1"/>
  <c r="MF2" i="24"/>
  <c r="U55" i="28"/>
  <c r="JW2" i="24" a="1"/>
  <c r="JW2" i="24" s="1"/>
  <c r="KA2" i="24" a="1"/>
  <c r="KA2" i="24" s="1"/>
  <c r="JX2" i="24" a="1"/>
  <c r="JX2" i="24" s="1"/>
  <c r="KB2" i="24" a="1"/>
  <c r="KB2" i="24" s="1"/>
  <c r="JZ2" i="24" a="1"/>
  <c r="JZ2" i="24" s="1"/>
  <c r="KC2" i="24" a="1"/>
  <c r="KC2" i="24" s="1"/>
  <c r="JY2" i="24" a="1"/>
  <c r="JY2" i="24" s="1"/>
  <c r="VR2" i="24"/>
  <c r="MI3" i="24" a="1"/>
  <c r="MI3" i="24" s="1"/>
  <c r="MJ3" i="24" s="1"/>
  <c r="MX2" i="24" a="1"/>
  <c r="MX2" i="24" s="1"/>
  <c r="MI2" i="24" a="1"/>
  <c r="MI2" i="24" s="1"/>
  <c r="MJ2" i="24" s="1"/>
  <c r="GP3" i="24"/>
  <c r="GQ3" i="24" s="1" a="1"/>
  <c r="GQ3" i="24" s="1"/>
  <c r="JQ2" i="24" a="1"/>
  <c r="JQ2" i="24" s="1"/>
  <c r="JR2" i="24" s="1"/>
  <c r="VM2" i="24"/>
  <c r="U59" i="28"/>
  <c r="JQ3" i="24" a="1"/>
  <c r="JQ3" i="24" s="1"/>
  <c r="JR3" i="24" s="1"/>
  <c r="VM3" i="24"/>
  <c r="LQ2" i="24" a="1"/>
  <c r="LQ2" i="24" s="1"/>
  <c r="LR2" i="24" a="1"/>
  <c r="LR2" i="24" s="1"/>
  <c r="LP2" i="24" a="1"/>
  <c r="LP2" i="24" s="1"/>
  <c r="LW2" i="24" s="1" a="1"/>
  <c r="LW2" i="24" s="1"/>
  <c r="LX2" i="24" s="1"/>
  <c r="LD3" i="24" a="1"/>
  <c r="LD3" i="24" s="1"/>
  <c r="GH2" i="24" a="1"/>
  <c r="GH2" i="24" s="1"/>
  <c r="GI2" i="24" s="1"/>
  <c r="WL2" i="24" s="1"/>
  <c r="GN2" i="24" a="1"/>
  <c r="GN2" i="24" s="1"/>
  <c r="GO2" i="24" s="1"/>
  <c r="GJ2" i="24" a="1"/>
  <c r="GJ2" i="24" s="1"/>
  <c r="JN2" i="24" a="1"/>
  <c r="JN2" i="24" s="1"/>
  <c r="QM2" i="24" s="1" a="1"/>
  <c r="QM2" i="24" s="1"/>
  <c r="VN2" i="24"/>
  <c r="GL3" i="24" a="1"/>
  <c r="GL3" i="24" s="1"/>
  <c r="GM3" i="24" s="1"/>
  <c r="LI3" i="24"/>
  <c r="LI2" i="24"/>
  <c r="LQ3" i="24" a="1"/>
  <c r="LQ3" i="24" s="1"/>
  <c r="LP3" i="24" a="1"/>
  <c r="LP3" i="24" s="1"/>
  <c r="LW3" i="24" s="1" a="1"/>
  <c r="LW3" i="24" s="1"/>
  <c r="LX3" i="24" s="1"/>
  <c r="LR3" i="24" a="1"/>
  <c r="LR3" i="24" s="1"/>
  <c r="JN3" i="24" a="1"/>
  <c r="JN3" i="24" s="1"/>
  <c r="QM3" i="24" s="1" a="1"/>
  <c r="QM3" i="24" s="1"/>
  <c r="VN3" i="24"/>
  <c r="BS2" i="24"/>
  <c r="NK2" i="24" a="1"/>
  <c r="NK2" i="24" s="1"/>
  <c r="BY2" i="24"/>
  <c r="BW2" i="24"/>
  <c r="LF2" i="24" s="1" a="1"/>
  <c r="LF2" i="24" s="1"/>
  <c r="H33" i="13"/>
  <c r="H34" i="13"/>
  <c r="H35" i="13"/>
  <c r="S50" i="28"/>
  <c r="S58" i="28"/>
  <c r="S18" i="28"/>
  <c r="S17" i="28"/>
  <c r="S42" i="28"/>
  <c r="S11" i="28"/>
  <c r="S12" i="28"/>
  <c r="S24" i="28"/>
  <c r="S37" i="28"/>
  <c r="S5" i="28"/>
  <c r="S23" i="28"/>
  <c r="S36" i="28"/>
  <c r="S2" i="28"/>
  <c r="S4" i="28"/>
  <c r="S22" i="28"/>
  <c r="S46" i="28"/>
  <c r="S6" i="28"/>
  <c r="S7" i="28"/>
  <c r="S44" i="28"/>
  <c r="S27" i="28"/>
  <c r="S25" i="28"/>
  <c r="S3" i="28"/>
  <c r="S45" i="28"/>
  <c r="V45" i="28" s="1"/>
  <c r="S13" i="28"/>
  <c r="S8" i="28"/>
  <c r="S29" i="28"/>
  <c r="S43" i="28"/>
  <c r="S35" i="28"/>
  <c r="S21" i="28"/>
  <c r="S41" i="28"/>
  <c r="S9" i="28"/>
  <c r="S34" i="28"/>
  <c r="T46" i="28"/>
  <c r="T21" i="28"/>
  <c r="T25" i="28"/>
  <c r="U23" i="28"/>
  <c r="T12" i="28"/>
  <c r="T22" i="28"/>
  <c r="T44" i="28"/>
  <c r="T58" i="28"/>
  <c r="U29" i="28"/>
  <c r="T27" i="28"/>
  <c r="T8" i="28"/>
  <c r="T23" i="28"/>
  <c r="T29" i="28"/>
  <c r="T6" i="28"/>
  <c r="T5" i="28"/>
  <c r="T50" i="28"/>
  <c r="T54" i="28"/>
  <c r="T7" i="28"/>
  <c r="T2" i="28"/>
  <c r="T26" i="28"/>
  <c r="T42" i="28"/>
  <c r="T43" i="28"/>
  <c r="T34" i="28"/>
  <c r="T24" i="28"/>
  <c r="T13" i="28"/>
  <c r="T41" i="28"/>
  <c r="H37" i="13"/>
  <c r="H42" i="13"/>
  <c r="T36" i="28"/>
  <c r="T18" i="28"/>
  <c r="U42" i="28"/>
  <c r="U26" i="28"/>
  <c r="U11" i="28"/>
  <c r="U50" i="28"/>
  <c r="U57" i="28"/>
  <c r="U51" i="28"/>
  <c r="T35" i="28"/>
  <c r="T9" i="28"/>
  <c r="T37" i="28"/>
  <c r="T3" i="28"/>
  <c r="QN2" i="24" l="1" a="1"/>
  <c r="QN2" i="24" s="1"/>
  <c r="QN3" i="24" a="1"/>
  <c r="QN3" i="24" s="1"/>
  <c r="QQ2" i="24"/>
  <c r="QP2" i="24" s="1"/>
  <c r="QO2" i="24"/>
  <c r="UX3" i="24" a="1"/>
  <c r="UX3" i="24" s="1"/>
  <c r="VL3" i="24" s="1"/>
  <c r="NN3" i="24" a="1"/>
  <c r="NN3" i="24" s="1"/>
  <c r="QF3" i="24"/>
  <c r="QR3" i="24" s="1" a="1"/>
  <c r="QR3" i="24" s="1"/>
  <c r="QF2" i="24"/>
  <c r="CB3" i="24" a="1"/>
  <c r="CB3" i="24" s="1"/>
  <c r="HU3" i="24"/>
  <c r="HV3" i="24" s="1"/>
  <c r="IP3" i="24" s="1"/>
  <c r="KD3" i="24" a="1"/>
  <c r="KD3" i="24" s="1"/>
  <c r="HU2" i="24"/>
  <c r="HV2" i="24" s="1"/>
  <c r="ID2" i="24" s="1"/>
  <c r="T62" i="28"/>
  <c r="U69" i="28"/>
  <c r="S57" i="28"/>
  <c r="QG2" i="24"/>
  <c r="WM2" i="24" s="1"/>
  <c r="VQ2" i="24"/>
  <c r="LK3" i="24" a="1"/>
  <c r="LK3" i="24" s="1"/>
  <c r="JL3" i="24" a="1"/>
  <c r="JL3" i="24" s="1"/>
  <c r="JK3" i="24" a="1"/>
  <c r="JK3" i="24" s="1"/>
  <c r="JJ3" i="24"/>
  <c r="IW2" i="24"/>
  <c r="IW3" i="24"/>
  <c r="GK2" i="24"/>
  <c r="GS3" i="24" a="1"/>
  <c r="GS3" i="24" s="1"/>
  <c r="GK3" i="24"/>
  <c r="JL2" i="24" a="1"/>
  <c r="JL2" i="24" s="1"/>
  <c r="JJ2" i="24"/>
  <c r="JK2" i="24" a="1"/>
  <c r="JK2" i="24" s="1"/>
  <c r="T69" i="28"/>
  <c r="GL2" i="24" a="1"/>
  <c r="GL2" i="24" s="1"/>
  <c r="GM2" i="24" s="1"/>
  <c r="LG2" i="24" a="1"/>
  <c r="LG2" i="24" s="1"/>
  <c r="LJ2" i="24" a="1"/>
  <c r="LJ2" i="24" s="1"/>
  <c r="QG3" i="24"/>
  <c r="WM3" i="24" s="1"/>
  <c r="VQ3" i="24"/>
  <c r="T57" i="28"/>
  <c r="NO2" i="24" a="1"/>
  <c r="NO2" i="24" s="1"/>
  <c r="NN2" i="24" a="1"/>
  <c r="NN2" i="24" s="1"/>
  <c r="UX2" i="24" a="1"/>
  <c r="UX2" i="24" s="1"/>
  <c r="VL2" i="24" s="1"/>
  <c r="CB2" i="24" a="1"/>
  <c r="CB2" i="24" s="1"/>
  <c r="LD2" i="24" a="1"/>
  <c r="LD2" i="24" s="1"/>
  <c r="GR3" i="24"/>
  <c r="JO2" i="24"/>
  <c r="MQ2" i="24" a="1"/>
  <c r="MQ2" i="24" s="1"/>
  <c r="MR2" i="24" s="1"/>
  <c r="JS2" i="24"/>
  <c r="MQ3" i="24" a="1"/>
  <c r="MQ3" i="24" s="1"/>
  <c r="MR3" i="24" s="1"/>
  <c r="JO3" i="24"/>
  <c r="JS3" i="24"/>
  <c r="T59" i="28"/>
  <c r="S53" i="28"/>
  <c r="S62" i="28"/>
  <c r="T52" i="28"/>
  <c r="T55" i="28"/>
  <c r="T15" i="28"/>
  <c r="T51" i="28"/>
  <c r="T14" i="28"/>
  <c r="T53" i="28"/>
  <c r="T56" i="28"/>
  <c r="T49" i="28"/>
  <c r="T47" i="28"/>
  <c r="S55" i="28"/>
  <c r="V55" i="28" s="1"/>
  <c r="T64" i="28"/>
  <c r="S49" i="28"/>
  <c r="S60" i="28"/>
  <c r="S59" i="28"/>
  <c r="S52" i="28"/>
  <c r="S64" i="28"/>
  <c r="S68" i="28"/>
  <c r="S56" i="28"/>
  <c r="S51" i="28"/>
  <c r="S54" i="28"/>
  <c r="V54" i="28" s="1"/>
  <c r="T60" i="28"/>
  <c r="S69" i="28"/>
  <c r="S47" i="28"/>
  <c r="T68" i="28"/>
  <c r="S15" i="28"/>
  <c r="S14" i="28"/>
  <c r="V37" i="28"/>
  <c r="V3" i="28"/>
  <c r="V4" i="28"/>
  <c r="V8" i="28"/>
  <c r="V26" i="28"/>
  <c r="T39" i="28"/>
  <c r="T65" i="28"/>
  <c r="V41" i="28"/>
  <c r="V25" i="28"/>
  <c r="V46" i="28"/>
  <c r="V12" i="28"/>
  <c r="V58" i="28"/>
  <c r="V21" i="28"/>
  <c r="V22" i="28"/>
  <c r="V11" i="28"/>
  <c r="V50" i="28"/>
  <c r="V35" i="28"/>
  <c r="V24" i="28"/>
  <c r="V27" i="28"/>
  <c r="V2" i="28"/>
  <c r="V43" i="28"/>
  <c r="V44" i="28"/>
  <c r="V23" i="28"/>
  <c r="V13" i="28"/>
  <c r="V42" i="28"/>
  <c r="V36" i="28"/>
  <c r="V34" i="28"/>
  <c r="V5" i="28"/>
  <c r="V7" i="28"/>
  <c r="V6" i="28"/>
  <c r="V9" i="28"/>
  <c r="V29" i="28"/>
  <c r="U70" i="28"/>
  <c r="U30" i="28"/>
  <c r="S33" i="28"/>
  <c r="S67" i="28"/>
  <c r="S39" i="28"/>
  <c r="S65" i="28"/>
  <c r="T32" i="28"/>
  <c r="T66" i="28"/>
  <c r="S32" i="28"/>
  <c r="S66" i="28"/>
  <c r="T61" i="28"/>
  <c r="T38" i="28"/>
  <c r="T70" i="28"/>
  <c r="T30" i="28"/>
  <c r="S63" i="28"/>
  <c r="V63" i="28" s="1"/>
  <c r="S31" i="28"/>
  <c r="V31" i="28" s="1"/>
  <c r="T33" i="28"/>
  <c r="T67" i="28"/>
  <c r="S70" i="28"/>
  <c r="S30" i="28"/>
  <c r="S61" i="28"/>
  <c r="S38" i="28"/>
  <c r="Z8" i="28"/>
  <c r="V17" i="28"/>
  <c r="Z3" i="28"/>
  <c r="Z7" i="28"/>
  <c r="Z6" i="28"/>
  <c r="Z4" i="28"/>
  <c r="V18" i="28"/>
  <c r="V47" i="28" l="1"/>
  <c r="QR2" i="24" a="1"/>
  <c r="QR2" i="24" s="1"/>
  <c r="QT2" i="24" s="1"/>
  <c r="VA2" i="24" s="1"/>
  <c r="WP2" i="24"/>
  <c r="WO2" i="24"/>
  <c r="QQ3" i="24"/>
  <c r="QP3" i="24" s="1"/>
  <c r="QO3" i="24"/>
  <c r="ID3" i="24"/>
  <c r="IH3" i="24" s="1"/>
  <c r="VY3" i="24" s="1"/>
  <c r="V14" i="28"/>
  <c r="V51" i="28"/>
  <c r="V57" i="28"/>
  <c r="LK2" i="24" a="1"/>
  <c r="LK2" i="24" s="1"/>
  <c r="LL2" i="24" s="1"/>
  <c r="V69" i="28"/>
  <c r="V62" i="28"/>
  <c r="IP2" i="24"/>
  <c r="IU2" i="24" s="1"/>
  <c r="WD2" i="24" s="1"/>
  <c r="V59" i="28"/>
  <c r="GT3" i="24"/>
  <c r="GV3" i="24" s="1" a="1"/>
  <c r="GV3" i="24" s="1"/>
  <c r="GW3" i="24" s="1"/>
  <c r="WF3" i="24" s="1"/>
  <c r="GU3" i="24"/>
  <c r="WE3" i="24" s="1"/>
  <c r="IU3" i="24"/>
  <c r="WD3" i="24" s="1"/>
  <c r="IT3" i="24"/>
  <c r="WC3" i="24" s="1"/>
  <c r="LM2" i="24"/>
  <c r="KD2" i="24" a="1"/>
  <c r="KD2" i="24" s="1"/>
  <c r="VV2" i="24"/>
  <c r="VV3" i="24"/>
  <c r="LL3" i="24"/>
  <c r="MS3" i="24" a="1"/>
  <c r="MS3" i="24" s="1"/>
  <c r="MT3" i="24" s="1"/>
  <c r="IH2" i="24"/>
  <c r="VY2" i="24" s="1"/>
  <c r="II2" i="24"/>
  <c r="VZ2" i="24" s="1"/>
  <c r="GS2" i="24" a="1"/>
  <c r="GS2" i="24" s="1"/>
  <c r="V60" i="28"/>
  <c r="V53" i="28"/>
  <c r="V56" i="28"/>
  <c r="V49" i="28"/>
  <c r="V68" i="28"/>
  <c r="V52" i="28"/>
  <c r="V15" i="28"/>
  <c r="V64" i="28"/>
  <c r="V39" i="28"/>
  <c r="V65" i="28"/>
  <c r="V33" i="28"/>
  <c r="V67" i="28"/>
  <c r="V32" i="28"/>
  <c r="V30" i="28"/>
  <c r="V66" i="28"/>
  <c r="V70" i="28"/>
  <c r="V38" i="28"/>
  <c r="V61" i="28"/>
  <c r="Z9" i="28"/>
  <c r="QT3" i="24" l="1"/>
  <c r="VA3" i="24" s="1"/>
  <c r="WP3" i="24"/>
  <c r="WO3" i="24"/>
  <c r="QS3" i="24"/>
  <c r="QS2" i="24"/>
  <c r="II3" i="24"/>
  <c r="VZ3" i="24" s="1"/>
  <c r="P21" i="28"/>
  <c r="P51" i="28"/>
  <c r="IT2" i="24"/>
  <c r="WC2" i="24" s="1"/>
  <c r="P15" i="28"/>
  <c r="MS2" i="24" a="1"/>
  <c r="MS2" i="24" s="1"/>
  <c r="MT2" i="24" s="1"/>
  <c r="NZ2" i="24" s="1" a="1"/>
  <c r="NZ2" i="24" s="1"/>
  <c r="P45" i="28"/>
  <c r="NS3" i="24" a="1"/>
  <c r="NS3" i="24" s="1"/>
  <c r="NR3" i="24" a="1"/>
  <c r="NR3" i="24" s="1"/>
  <c r="PY3" i="24" a="1"/>
  <c r="PY3" i="24" s="1"/>
  <c r="PK3" i="24" a="1"/>
  <c r="PK3" i="24" s="1"/>
  <c r="PB3" i="24" a="1"/>
  <c r="PB3" i="24" s="1"/>
  <c r="OS3" i="24" a="1"/>
  <c r="OS3" i="24" s="1"/>
  <c r="OX3" i="24" a="1"/>
  <c r="OX3" i="24" s="1"/>
  <c r="PW3" i="24" a="1"/>
  <c r="PW3" i="24" s="1"/>
  <c r="OI3" i="24" a="1"/>
  <c r="OI3" i="24" s="1"/>
  <c r="PX3" i="24" a="1"/>
  <c r="PX3" i="24" s="1"/>
  <c r="PT3" i="24" a="1"/>
  <c r="PT3" i="24" s="1"/>
  <c r="PP3" i="24" a="1"/>
  <c r="PP3" i="24" s="1"/>
  <c r="PL3" i="24" a="1"/>
  <c r="PL3" i="24" s="1"/>
  <c r="PH3" i="24" a="1"/>
  <c r="PH3" i="24" s="1"/>
  <c r="OE3" i="24" a="1"/>
  <c r="OE3" i="24" s="1"/>
  <c r="OO3" i="24" a="1"/>
  <c r="OO3" i="24" s="1"/>
  <c r="PE3" i="24" a="1"/>
  <c r="PE3" i="24" s="1"/>
  <c r="OR3" i="24" a="1"/>
  <c r="OR3" i="24" s="1"/>
  <c r="ON3" i="24" a="1"/>
  <c r="ON3" i="24" s="1"/>
  <c r="OJ3" i="24" a="1"/>
  <c r="OJ3" i="24" s="1"/>
  <c r="OF3" i="24" a="1"/>
  <c r="OF3" i="24" s="1"/>
  <c r="OB3" i="24" a="1"/>
  <c r="OB3" i="24" s="1"/>
  <c r="PD3" i="24" a="1"/>
  <c r="PD3" i="24" s="1"/>
  <c r="NV3" i="24" a="1"/>
  <c r="NV3" i="24" s="1"/>
  <c r="OA3" i="24" a="1"/>
  <c r="OA3" i="24" s="1"/>
  <c r="OM3" i="24" a="1"/>
  <c r="OM3" i="24" s="1"/>
  <c r="PR3" i="24" a="1"/>
  <c r="PR3" i="24" s="1"/>
  <c r="OL3" i="24" a="1"/>
  <c r="OL3" i="24" s="1"/>
  <c r="NU3" i="24" a="1"/>
  <c r="NU3" i="24" s="1"/>
  <c r="QD3" i="24" a="1"/>
  <c r="QD3" i="24" s="1"/>
  <c r="PJ3" i="24" a="1"/>
  <c r="PJ3" i="24" s="1"/>
  <c r="NX3" i="24" a="1"/>
  <c r="NX3" i="24" s="1"/>
  <c r="OZ3" i="24" a="1"/>
  <c r="OZ3" i="24" s="1"/>
  <c r="QB3" i="24" a="1"/>
  <c r="QB3" i="24" s="1"/>
  <c r="PM3" i="24" a="1"/>
  <c r="PM3" i="24" s="1"/>
  <c r="QA3" i="24" a="1"/>
  <c r="QA3" i="24" s="1"/>
  <c r="PV3" i="24" a="1"/>
  <c r="PV3" i="24" s="1"/>
  <c r="PO3" i="24" a="1"/>
  <c r="PO3" i="24" s="1"/>
  <c r="OW3" i="24" a="1"/>
  <c r="OW3" i="24" s="1"/>
  <c r="PQ3" i="24" a="1"/>
  <c r="PQ3" i="24" s="1"/>
  <c r="OT3" i="24" a="1"/>
  <c r="OT3" i="24" s="1"/>
  <c r="NT3" i="24" a="1"/>
  <c r="NT3" i="24" s="1"/>
  <c r="OV3" i="24" a="1"/>
  <c r="OV3" i="24" s="1"/>
  <c r="PI3" i="24" a="1"/>
  <c r="PI3" i="24" s="1"/>
  <c r="PC3" i="24" a="1"/>
  <c r="PC3" i="24" s="1"/>
  <c r="OK3" i="24" a="1"/>
  <c r="OK3" i="24" s="1"/>
  <c r="OD3" i="24" a="1"/>
  <c r="OD3" i="24" s="1"/>
  <c r="PZ3" i="24" a="1"/>
  <c r="PZ3" i="24" s="1"/>
  <c r="OQ3" i="24" a="1"/>
  <c r="OQ3" i="24" s="1"/>
  <c r="OH3" i="24" a="1"/>
  <c r="OH3" i="24" s="1"/>
  <c r="PF3" i="24" a="1"/>
  <c r="PF3" i="24" s="1"/>
  <c r="NQ3" i="24" a="1"/>
  <c r="NQ3" i="24" s="1"/>
  <c r="PS3" i="24" a="1"/>
  <c r="PS3" i="24" s="1"/>
  <c r="PA3" i="24" a="1"/>
  <c r="PA3" i="24" s="1"/>
  <c r="OU3" i="24" a="1"/>
  <c r="OU3" i="24" s="1"/>
  <c r="OC3" i="24" a="1"/>
  <c r="OC3" i="24" s="1"/>
  <c r="PN3" i="24" a="1"/>
  <c r="PN3" i="24" s="1"/>
  <c r="NY3" i="24" a="1"/>
  <c r="NY3" i="24" s="1"/>
  <c r="QC3" i="24" a="1"/>
  <c r="QC3" i="24" s="1"/>
  <c r="GT2" i="24"/>
  <c r="GV2" i="24" s="1" a="1"/>
  <c r="GV2" i="24" s="1"/>
  <c r="GW2" i="24" s="1"/>
  <c r="WF2" i="24" s="1"/>
  <c r="GU2" i="24"/>
  <c r="WE2" i="24" s="1"/>
  <c r="OY3" i="24" a="1"/>
  <c r="OY3" i="24" s="1"/>
  <c r="OG3" i="24" a="1"/>
  <c r="OG3" i="24" s="1"/>
  <c r="NZ3" i="24" a="1"/>
  <c r="NZ3" i="24" s="1"/>
  <c r="PU3" i="24" a="1"/>
  <c r="PU3" i="24" s="1"/>
  <c r="PG3" i="24" a="1"/>
  <c r="PG3" i="24" s="1"/>
  <c r="NW3" i="24" a="1"/>
  <c r="NW3" i="24" s="1"/>
  <c r="OP3" i="24" a="1"/>
  <c r="OP3" i="24" s="1"/>
  <c r="P41" i="28"/>
  <c r="P12" i="28"/>
  <c r="P7" i="28"/>
  <c r="P22" i="28"/>
  <c r="P3" i="28"/>
  <c r="P25" i="28"/>
  <c r="P50" i="28"/>
  <c r="P2" i="28"/>
  <c r="P64" i="28"/>
  <c r="P59" i="28"/>
  <c r="P24" i="28"/>
  <c r="P13" i="28"/>
  <c r="P52" i="28"/>
  <c r="P49" i="28"/>
  <c r="P36" i="28"/>
  <c r="P42" i="28"/>
  <c r="P14" i="28"/>
  <c r="P68" i="28"/>
  <c r="P69" i="28"/>
  <c r="P55" i="28"/>
  <c r="P8" i="28"/>
  <c r="P53" i="28"/>
  <c r="P44" i="28"/>
  <c r="P4" i="28"/>
  <c r="P29" i="28"/>
  <c r="P56" i="28"/>
  <c r="P57" i="28"/>
  <c r="P18" i="28"/>
  <c r="P6" i="28"/>
  <c r="P62" i="28"/>
  <c r="P17" i="28"/>
  <c r="P9" i="28"/>
  <c r="P47" i="28"/>
  <c r="P46" i="28"/>
  <c r="P11" i="28"/>
  <c r="P34" i="28"/>
  <c r="P23" i="28"/>
  <c r="P60" i="28"/>
  <c r="P58" i="28"/>
  <c r="P27" i="28"/>
  <c r="P37" i="28"/>
  <c r="P54" i="28"/>
  <c r="P43" i="28"/>
  <c r="P35" i="28"/>
  <c r="OB2" i="24" l="1" a="1"/>
  <c r="OB2" i="24" s="1"/>
  <c r="P30" i="28"/>
  <c r="P70" i="28"/>
  <c r="P33" i="28"/>
  <c r="P67" i="28"/>
  <c r="P38" i="28"/>
  <c r="P61" i="28"/>
  <c r="P31" i="28"/>
  <c r="P63" i="28"/>
  <c r="P39" i="28"/>
  <c r="P65" i="28"/>
  <c r="P32" i="28"/>
  <c r="P66" i="28"/>
  <c r="WU2" i="24"/>
  <c r="UU2" i="24"/>
  <c r="WU3" i="24"/>
  <c r="UU3" i="24"/>
  <c r="PX2" i="24" a="1"/>
  <c r="PX2" i="24" s="1"/>
  <c r="OE2" i="24" a="1"/>
  <c r="OE2" i="24" s="1"/>
  <c r="OA2" i="24" a="1"/>
  <c r="OA2" i="24" s="1"/>
  <c r="OY2" i="24" a="1"/>
  <c r="OY2" i="24" s="1"/>
  <c r="PK2" i="24" a="1"/>
  <c r="PK2" i="24" s="1"/>
  <c r="NS2" i="24" a="1"/>
  <c r="NS2" i="24" s="1"/>
  <c r="OI2" i="24" a="1"/>
  <c r="OI2" i="24" s="1"/>
  <c r="OJ2" i="24" a="1"/>
  <c r="OJ2" i="24" s="1"/>
  <c r="PW2" i="24" a="1"/>
  <c r="PW2" i="24" s="1"/>
  <c r="PT2" i="24" a="1"/>
  <c r="PT2" i="24" s="1"/>
  <c r="NX2" i="24" a="1"/>
  <c r="NX2" i="24" s="1"/>
  <c r="OR2" i="24" a="1"/>
  <c r="OR2" i="24" s="1"/>
  <c r="OF2" i="24" a="1"/>
  <c r="OF2" i="24" s="1"/>
  <c r="OK2" i="24" a="1"/>
  <c r="OK2" i="24" s="1"/>
  <c r="OL2" i="24" a="1"/>
  <c r="OL2" i="24" s="1"/>
  <c r="QB2" i="24" a="1"/>
  <c r="QB2" i="24" s="1"/>
  <c r="OP2" i="24" a="1"/>
  <c r="OP2" i="24" s="1"/>
  <c r="QA2" i="24" a="1"/>
  <c r="QA2" i="24" s="1"/>
  <c r="NQ2" i="24" a="1"/>
  <c r="NQ2" i="24" s="1"/>
  <c r="PR2" i="24" a="1"/>
  <c r="PR2" i="24" s="1"/>
  <c r="OV2" i="24" a="1"/>
  <c r="OV2" i="24" s="1"/>
  <c r="PJ2" i="24" a="1"/>
  <c r="PJ2" i="24" s="1"/>
  <c r="OW2" i="24" a="1"/>
  <c r="OW2" i="24" s="1"/>
  <c r="PG2" i="24" a="1"/>
  <c r="PG2" i="24" s="1"/>
  <c r="ON2" i="24" a="1"/>
  <c r="ON2" i="24" s="1"/>
  <c r="PP2" i="24" a="1"/>
  <c r="PP2" i="24" s="1"/>
  <c r="PU2" i="24" a="1"/>
  <c r="PU2" i="24" s="1"/>
  <c r="OH2" i="24" a="1"/>
  <c r="OH2" i="24" s="1"/>
  <c r="PS2" i="24" a="1"/>
  <c r="PS2" i="24" s="1"/>
  <c r="OZ2" i="24" a="1"/>
  <c r="OZ2" i="24" s="1"/>
  <c r="OG2" i="24" a="1"/>
  <c r="OG2" i="24" s="1"/>
  <c r="QC2" i="24" a="1"/>
  <c r="QC2" i="24" s="1"/>
  <c r="QD2" i="24" a="1"/>
  <c r="QD2" i="24" s="1"/>
  <c r="PY2" i="24" a="1"/>
  <c r="PY2" i="24" s="1"/>
  <c r="PD2" i="24" a="1"/>
  <c r="PD2" i="24" s="1"/>
  <c r="PM2" i="24" a="1"/>
  <c r="PM2" i="24" s="1"/>
  <c r="PQ2" i="24" a="1"/>
  <c r="PQ2" i="24" s="1"/>
  <c r="PB2" i="24" a="1"/>
  <c r="PB2" i="24" s="1"/>
  <c r="NU2" i="24" a="1"/>
  <c r="NU2" i="24" s="1"/>
  <c r="PH2" i="24" a="1"/>
  <c r="PH2" i="24" s="1"/>
  <c r="PO2" i="24" a="1"/>
  <c r="PO2" i="24" s="1"/>
  <c r="PA2" i="24" a="1"/>
  <c r="PA2" i="24" s="1"/>
  <c r="PI2" i="24" a="1"/>
  <c r="PI2" i="24" s="1"/>
  <c r="PL2" i="24" a="1"/>
  <c r="PL2" i="24" s="1"/>
  <c r="OT2" i="24" a="1"/>
  <c r="OT2" i="24" s="1"/>
  <c r="OC2" i="24" a="1"/>
  <c r="OC2" i="24" s="1"/>
  <c r="OQ2" i="24" a="1"/>
  <c r="OQ2" i="24" s="1"/>
  <c r="PE2" i="24" a="1"/>
  <c r="PE2" i="24" s="1"/>
  <c r="PV2" i="24" a="1"/>
  <c r="PV2" i="24" s="1"/>
  <c r="NY2" i="24" a="1"/>
  <c r="NY2" i="24" s="1"/>
  <c r="OS2" i="24" a="1"/>
  <c r="OS2" i="24" s="1"/>
  <c r="OO2" i="24" a="1"/>
  <c r="OO2" i="24" s="1"/>
  <c r="OU2" i="24" a="1"/>
  <c r="OU2" i="24" s="1"/>
  <c r="PC2" i="24" a="1"/>
  <c r="PC2" i="24" s="1"/>
  <c r="PZ2" i="24" a="1"/>
  <c r="PZ2" i="24" s="1"/>
  <c r="NV2" i="24" a="1"/>
  <c r="NV2" i="24" s="1"/>
  <c r="OX2" i="24" a="1"/>
  <c r="OX2" i="24" s="1"/>
  <c r="NW2" i="24" a="1"/>
  <c r="NW2" i="24" s="1"/>
  <c r="OM2" i="24" a="1"/>
  <c r="OM2" i="24" s="1"/>
  <c r="NT2" i="24" a="1"/>
  <c r="NT2" i="24" s="1"/>
  <c r="NR2" i="24" a="1"/>
  <c r="NR2" i="24" s="1"/>
  <c r="PN2" i="24" a="1"/>
  <c r="PN2" i="24" s="1"/>
  <c r="OD2" i="24" a="1"/>
  <c r="OD2" i="24" s="1"/>
  <c r="PF2" i="24" a="1"/>
  <c r="PF2" i="24" s="1"/>
  <c r="XG3" i="24" a="1"/>
  <c r="VU2" i="24"/>
  <c r="VU3" i="24"/>
  <c r="XG3" i="24" l="1"/>
  <c r="SJ3" i="24" s="1" a="1"/>
  <c r="SJ3" i="24" s="1"/>
  <c r="SK3" i="24" a="1"/>
  <c r="SK3" i="24" s="1"/>
  <c r="XG2" i="24" a="1"/>
  <c r="SU3" i="24" l="1"/>
  <c r="SV3" i="24" s="1"/>
  <c r="SX3" i="24" s="1"/>
  <c r="TZ3" i="24"/>
  <c r="VG3" i="24" s="1"/>
  <c r="XG2" i="24"/>
  <c r="TZ2" i="24" s="1"/>
  <c r="VG2" i="24" s="1"/>
  <c r="SK2" i="24" a="1"/>
  <c r="SK2" i="24" s="1"/>
  <c r="SW3" i="24" l="1"/>
  <c r="SY3" i="24" s="1"/>
  <c r="SZ3" i="24" s="1" a="1"/>
  <c r="SZ3" i="24" s="1"/>
  <c r="TN3" i="24" s="1"/>
  <c r="SJ2" i="24" a="1"/>
  <c r="SJ2" i="24" s="1"/>
  <c r="SU2" i="24" s="1"/>
  <c r="SW2" i="24" s="1"/>
  <c r="SY2" i="24" s="1"/>
  <c r="SV2" i="24" l="1"/>
  <c r="SX2" i="24" s="1"/>
  <c r="SZ2" i="24" s="1" a="1"/>
  <c r="SZ2" i="24" s="1"/>
  <c r="TN2" i="24" s="1"/>
  <c r="TE3" i="24"/>
  <c r="XC3" i="24" s="1"/>
  <c r="TE2" i="24" l="1"/>
  <c r="XC2" i="24" s="1"/>
  <c r="H32" i="13" l="1" a="1"/>
  <c r="H31" i="13" a="1"/>
  <c r="H31" i="13" l="1"/>
  <c r="H32" i="13"/>
  <c r="H24" i="13" a="1"/>
  <c r="H23" i="13" a="1"/>
  <c r="H23" i="13" l="1"/>
  <c r="H24" i="13"/>
  <c r="H39" i="13" a="1"/>
  <c r="H38" i="13" a="1"/>
  <c r="H39" i="13" l="1"/>
  <c r="H38" i="13"/>
  <c r="Z2" i="28"/>
  <c r="AQ1" i="50" l="1"/>
  <c r="O7" i="28" l="1"/>
  <c r="O9" i="28"/>
  <c r="O22" i="28"/>
  <c r="O37" i="28"/>
  <c r="O50" i="28"/>
  <c r="O13" i="28"/>
  <c r="O5" i="28"/>
  <c r="O24" i="28"/>
  <c r="O29" i="28"/>
  <c r="O4" i="28"/>
  <c r="O58" i="28"/>
  <c r="O44" i="28"/>
  <c r="O34" i="28"/>
  <c r="O6" i="28"/>
  <c r="O11" i="28"/>
  <c r="O42" i="28"/>
  <c r="O45" i="28"/>
  <c r="O12" i="28"/>
  <c r="O18" i="28"/>
  <c r="O25" i="28"/>
  <c r="O23" i="28"/>
  <c r="O51" i="28"/>
  <c r="O8" i="28"/>
  <c r="O17" i="28"/>
  <c r="O41" i="28"/>
  <c r="O43" i="28"/>
  <c r="O35" i="28"/>
  <c r="O27" i="28"/>
  <c r="O2" i="28"/>
  <c r="O46" i="28"/>
  <c r="O36" i="28"/>
  <c r="O3" i="28"/>
  <c r="O15" i="28"/>
  <c r="O49" i="28"/>
  <c r="O64" i="28"/>
  <c r="O53" i="28"/>
  <c r="O60" i="28"/>
  <c r="O62" i="28"/>
  <c r="O69" i="28"/>
  <c r="O68" i="28"/>
  <c r="O52" i="28"/>
  <c r="O56" i="28"/>
  <c r="O57" i="28"/>
  <c r="O55" i="28"/>
  <c r="O59" i="28"/>
  <c r="O47" i="28"/>
  <c r="O21" i="28"/>
  <c r="O14" i="28"/>
  <c r="O54" i="28"/>
  <c r="O39" i="28" l="1"/>
  <c r="O65" i="28"/>
  <c r="O30" i="28"/>
  <c r="O70" i="28"/>
  <c r="O61" i="28"/>
  <c r="O38" i="28"/>
  <c r="O67" i="28"/>
  <c r="O33" i="28"/>
  <c r="O66" i="28"/>
  <c r="O32" i="28"/>
  <c r="O31" i="28"/>
  <c r="O63" i="28"/>
  <c r="VT2" i="24"/>
  <c r="VT3" i="24"/>
  <c r="O26" i="28"/>
  <c r="Z17" i="28" l="1" a="1"/>
  <c r="Z17" i="28" s="1"/>
  <c r="Z18" i="28" a="1"/>
  <c r="Z18" i="28" s="1"/>
  <c r="Z65" i="28" a="1"/>
  <c r="Z65" i="28" s="1"/>
  <c r="Z67" i="28" a="1"/>
  <c r="Z67" i="28" s="1"/>
  <c r="Z66" i="28" a="1"/>
  <c r="Z66" i="28" s="1"/>
  <c r="Z63" i="28" a="1"/>
  <c r="Z63" i="28" s="1"/>
  <c r="Z70" i="28" a="1"/>
  <c r="Z70" i="28" s="1"/>
  <c r="Z61" i="28" a="1"/>
  <c r="Z61" i="28" s="1"/>
  <c r="C2" i="28" l="1"/>
  <c r="E2" i="28" s="1"/>
  <c r="A2" i="26" l="1"/>
  <c r="B3" i="26"/>
  <c r="A3" i="26" s="1"/>
  <c r="A15" i="26"/>
  <c r="B16" i="26"/>
  <c r="A16" i="26" s="1"/>
  <c r="A28" i="26"/>
  <c r="B41" i="26"/>
  <c r="A41" i="26" s="1"/>
  <c r="B42" i="26"/>
  <c r="A42" i="26" s="1"/>
  <c r="B43" i="26"/>
  <c r="A43" i="26" s="1"/>
  <c r="B44" i="26"/>
  <c r="A44" i="26" s="1"/>
  <c r="B45" i="26"/>
  <c r="A45" i="26" s="1"/>
  <c r="B46" i="26"/>
  <c r="A46" i="26" s="1"/>
  <c r="B47" i="26"/>
  <c r="A47" i="26" s="1"/>
  <c r="B48" i="26"/>
  <c r="A48" i="26" s="1"/>
  <c r="B49" i="26"/>
  <c r="A49" i="26" s="1"/>
  <c r="B50" i="26"/>
  <c r="A50" i="26" s="1"/>
  <c r="B51" i="26"/>
  <c r="A51" i="26" s="1"/>
  <c r="B52" i="26"/>
  <c r="A52" i="26" s="1"/>
  <c r="B53" i="26"/>
  <c r="A53" i="26" s="1"/>
  <c r="B54" i="26"/>
  <c r="A54" i="26" s="1"/>
  <c r="B55" i="26"/>
  <c r="A55" i="26" s="1"/>
  <c r="B56" i="26"/>
  <c r="A56" i="26" s="1"/>
  <c r="B57" i="26"/>
  <c r="A57" i="26" s="1"/>
  <c r="B58" i="26"/>
  <c r="A58" i="26" s="1"/>
  <c r="B59" i="26"/>
  <c r="A59" i="26" s="1"/>
  <c r="B60" i="26"/>
  <c r="A60" i="26" s="1"/>
  <c r="B61" i="26"/>
  <c r="A61" i="26" s="1"/>
  <c r="B62" i="26"/>
  <c r="A62" i="26" s="1"/>
  <c r="B63" i="26"/>
  <c r="A63" i="26" s="1"/>
  <c r="B64" i="26"/>
  <c r="A64" i="26" s="1"/>
  <c r="B65" i="26"/>
  <c r="A65" i="26" s="1"/>
  <c r="B66" i="26"/>
  <c r="A66" i="26" s="1"/>
  <c r="B67" i="26"/>
  <c r="A67" i="26" s="1"/>
  <c r="B68" i="26"/>
  <c r="A68" i="26" s="1"/>
  <c r="B69" i="26"/>
  <c r="A69" i="26" s="1"/>
  <c r="B70" i="26"/>
  <c r="A70" i="26" s="1"/>
  <c r="B71" i="26"/>
  <c r="A71" i="26" s="1"/>
  <c r="B72" i="26"/>
  <c r="A72" i="26" s="1"/>
  <c r="B73" i="26"/>
  <c r="A73" i="26" s="1"/>
  <c r="B74" i="26"/>
  <c r="A74" i="26" s="1"/>
  <c r="B75" i="26"/>
  <c r="A75" i="26" s="1"/>
  <c r="B76" i="26"/>
  <c r="A76" i="26" s="1"/>
  <c r="B77" i="26"/>
  <c r="A77" i="26" s="1"/>
  <c r="B78" i="26"/>
  <c r="A78" i="26" s="1"/>
  <c r="B79" i="26"/>
  <c r="A79" i="26" s="1"/>
  <c r="B80" i="26"/>
  <c r="A80" i="26" s="1"/>
  <c r="B81" i="26"/>
  <c r="A81" i="26" s="1"/>
  <c r="B82" i="26"/>
  <c r="A82" i="26" s="1"/>
  <c r="B83" i="26"/>
  <c r="A83" i="26" s="1"/>
  <c r="B84" i="26"/>
  <c r="A84" i="26" s="1"/>
  <c r="B85" i="26"/>
  <c r="A85" i="26" s="1"/>
  <c r="B86" i="26"/>
  <c r="A86" i="26" s="1"/>
  <c r="B87" i="26"/>
  <c r="A87" i="26" s="1"/>
  <c r="B88" i="26"/>
  <c r="A88" i="26" s="1"/>
  <c r="B89" i="26"/>
  <c r="A89" i="26" s="1"/>
  <c r="B90" i="26"/>
  <c r="A90" i="26" s="1"/>
  <c r="B91" i="26"/>
  <c r="A91" i="26" s="1"/>
  <c r="B92" i="26"/>
  <c r="A92" i="26" s="1"/>
  <c r="B93" i="26"/>
  <c r="A93" i="26" s="1"/>
  <c r="B94" i="26"/>
  <c r="A94" i="26" s="1"/>
  <c r="B95" i="26"/>
  <c r="A95" i="26" s="1"/>
  <c r="B96" i="26"/>
  <c r="A96" i="26" s="1"/>
  <c r="B97" i="26"/>
  <c r="A97" i="26" s="1"/>
  <c r="B98" i="26"/>
  <c r="A98" i="26" s="1"/>
  <c r="B99" i="26"/>
  <c r="A99" i="26" s="1"/>
  <c r="B100" i="26"/>
  <c r="A100" i="26" s="1"/>
  <c r="B101" i="26"/>
  <c r="A101" i="26" s="1"/>
  <c r="B102" i="26"/>
  <c r="A102" i="26" s="1"/>
  <c r="B103" i="26"/>
  <c r="A103" i="26" s="1"/>
  <c r="B104" i="26"/>
  <c r="A104" i="26" s="1"/>
  <c r="B105" i="26"/>
  <c r="A105" i="26" s="1"/>
  <c r="B106" i="26"/>
  <c r="A106" i="26" s="1"/>
  <c r="B107" i="26"/>
  <c r="A107" i="26" s="1"/>
  <c r="B108" i="26"/>
  <c r="A108" i="26" s="1"/>
  <c r="B109" i="26"/>
  <c r="A109" i="26" s="1"/>
  <c r="B110" i="26"/>
  <c r="A110" i="26" s="1"/>
  <c r="B111" i="26"/>
  <c r="A111" i="26" s="1"/>
  <c r="B112" i="26"/>
  <c r="A112" i="26" s="1"/>
  <c r="B113" i="26"/>
  <c r="A113" i="26" s="1"/>
  <c r="B114" i="26"/>
  <c r="A114" i="26" s="1"/>
  <c r="B115" i="26"/>
  <c r="A115" i="26" s="1"/>
  <c r="B116" i="26"/>
  <c r="A116" i="26" s="1"/>
  <c r="B117" i="26"/>
  <c r="A117" i="26" s="1"/>
  <c r="B118" i="26"/>
  <c r="A118" i="26" s="1"/>
  <c r="B119" i="26"/>
  <c r="A119" i="26" s="1"/>
  <c r="B120" i="26"/>
  <c r="A120" i="26" s="1"/>
  <c r="B121" i="26"/>
  <c r="A121" i="26" s="1"/>
  <c r="B122" i="26"/>
  <c r="A122" i="26" s="1"/>
  <c r="B123" i="26"/>
  <c r="A123" i="26" s="1"/>
  <c r="B124" i="26"/>
  <c r="A124" i="26" s="1"/>
  <c r="B125" i="26"/>
  <c r="A125" i="26" s="1"/>
  <c r="B126" i="26"/>
  <c r="A126" i="26" s="1"/>
  <c r="B127" i="26"/>
  <c r="A127" i="26" s="1"/>
  <c r="B128" i="26"/>
  <c r="A128" i="26" s="1"/>
  <c r="B129" i="26"/>
  <c r="A129" i="26" s="1"/>
  <c r="B130" i="26"/>
  <c r="A130" i="26" s="1"/>
  <c r="B131" i="26"/>
  <c r="A131" i="26" s="1"/>
  <c r="B132" i="26"/>
  <c r="A132" i="26" s="1"/>
  <c r="B133" i="26"/>
  <c r="A133" i="26" s="1"/>
  <c r="B134" i="26"/>
  <c r="A134" i="26" s="1"/>
  <c r="B135" i="26"/>
  <c r="A135" i="26" s="1"/>
  <c r="B136" i="26"/>
  <c r="A136" i="26" s="1"/>
  <c r="B137" i="26"/>
  <c r="A137" i="26" s="1"/>
  <c r="B138" i="26"/>
  <c r="A138" i="26" s="1"/>
  <c r="B139" i="26"/>
  <c r="A139" i="26" s="1"/>
  <c r="B140" i="26"/>
  <c r="A140" i="26" s="1"/>
  <c r="B141" i="26"/>
  <c r="A141" i="26" s="1"/>
  <c r="B142" i="26"/>
  <c r="A142" i="26" s="1"/>
  <c r="B143" i="26"/>
  <c r="A143" i="26" s="1"/>
  <c r="B144" i="26"/>
  <c r="A144" i="26" s="1"/>
  <c r="B145" i="26"/>
  <c r="A145" i="26" s="1"/>
  <c r="B146" i="26"/>
  <c r="A146" i="26" s="1"/>
  <c r="B147" i="26"/>
  <c r="A147" i="26" s="1"/>
  <c r="B148" i="26"/>
  <c r="A148" i="26" s="1"/>
  <c r="B149" i="26"/>
  <c r="A149" i="26" s="1"/>
  <c r="B150" i="26"/>
  <c r="A150" i="26" s="1"/>
  <c r="B151" i="26"/>
  <c r="A151" i="26" s="1"/>
  <c r="B152" i="26"/>
  <c r="A152" i="26" s="1"/>
  <c r="B153" i="26"/>
  <c r="A153" i="26" s="1"/>
  <c r="B154" i="26"/>
  <c r="A154" i="26" s="1"/>
  <c r="B155" i="26"/>
  <c r="A155" i="26" s="1"/>
  <c r="B156" i="26"/>
  <c r="A156" i="26" s="1"/>
  <c r="B157" i="26"/>
  <c r="A157" i="26" s="1"/>
  <c r="B158" i="26"/>
  <c r="A158" i="26" s="1"/>
  <c r="B159" i="26"/>
  <c r="A159" i="26" s="1"/>
  <c r="B160" i="26"/>
  <c r="A160" i="26" s="1"/>
  <c r="B161" i="26"/>
  <c r="A161" i="26" s="1"/>
  <c r="B162" i="26"/>
  <c r="A162" i="26" s="1"/>
  <c r="B163" i="26"/>
  <c r="A163" i="26" s="1"/>
  <c r="B164" i="26"/>
  <c r="A164" i="26" s="1"/>
  <c r="B165" i="26"/>
  <c r="A165" i="26" s="1"/>
  <c r="B166" i="26"/>
  <c r="A166" i="26" s="1"/>
  <c r="B167" i="26"/>
  <c r="A167" i="26" s="1"/>
  <c r="B168" i="26"/>
  <c r="A168" i="26" s="1"/>
  <c r="B169" i="26"/>
  <c r="A169" i="26" s="1"/>
  <c r="B170" i="26"/>
  <c r="A170" i="26" s="1"/>
  <c r="B171" i="26"/>
  <c r="A171" i="26" s="1"/>
  <c r="B172" i="26"/>
  <c r="A172" i="26" s="1"/>
  <c r="B173" i="26"/>
  <c r="A173" i="26" s="1"/>
  <c r="B174" i="26"/>
  <c r="A174" i="26" s="1"/>
  <c r="B175" i="26"/>
  <c r="A175" i="26" s="1"/>
  <c r="B176" i="26"/>
  <c r="A176" i="26" s="1"/>
  <c r="B177" i="26"/>
  <c r="A177" i="26" s="1"/>
  <c r="B178" i="26"/>
  <c r="A178" i="26" s="1"/>
  <c r="B179" i="26"/>
  <c r="A179" i="26" s="1"/>
  <c r="B180" i="26"/>
  <c r="A180" i="26" s="1"/>
  <c r="B181" i="26"/>
  <c r="A181" i="26" s="1"/>
  <c r="B182" i="26"/>
  <c r="A182" i="26" s="1"/>
  <c r="B183" i="26"/>
  <c r="A183" i="26" s="1"/>
  <c r="B184" i="26"/>
  <c r="A184" i="26" s="1"/>
  <c r="B185" i="26"/>
  <c r="A185" i="26" s="1"/>
  <c r="B186" i="26"/>
  <c r="A186" i="26" s="1"/>
  <c r="B187" i="26"/>
  <c r="A187" i="26" s="1"/>
  <c r="B188" i="26"/>
  <c r="A188" i="26" s="1"/>
  <c r="B189" i="26"/>
  <c r="A189" i="26" s="1"/>
  <c r="B190" i="26"/>
  <c r="A190" i="26" s="1"/>
  <c r="B191" i="26"/>
  <c r="A191" i="26" s="1"/>
  <c r="B192" i="26"/>
  <c r="A192" i="26" s="1"/>
  <c r="B193" i="26"/>
  <c r="A193" i="26" s="1"/>
  <c r="B194" i="26"/>
  <c r="A194" i="26" s="1"/>
  <c r="B195" i="26"/>
  <c r="A195" i="26" s="1"/>
  <c r="B196" i="26"/>
  <c r="A196" i="26" s="1"/>
  <c r="B197" i="26"/>
  <c r="A197" i="26" s="1"/>
  <c r="B198" i="26"/>
  <c r="A198" i="26" s="1"/>
  <c r="B199" i="26"/>
  <c r="A199" i="26" s="1"/>
  <c r="B200" i="26"/>
  <c r="A200" i="26" s="1"/>
  <c r="B201" i="26"/>
  <c r="A201" i="26" s="1"/>
  <c r="B202" i="26"/>
  <c r="A202" i="26" s="1"/>
  <c r="B203" i="26"/>
  <c r="A203" i="26" s="1"/>
  <c r="B204" i="26"/>
  <c r="A204" i="26" s="1"/>
  <c r="B205" i="26"/>
  <c r="A205" i="26" s="1"/>
  <c r="B206" i="26"/>
  <c r="A206" i="26" s="1"/>
  <c r="B207" i="26"/>
  <c r="A207" i="26" s="1"/>
  <c r="B208" i="26"/>
  <c r="A208" i="26" s="1"/>
  <c r="B209" i="26"/>
  <c r="A209" i="26" s="1"/>
  <c r="B210" i="26"/>
  <c r="A210" i="26" s="1"/>
  <c r="B211" i="26"/>
  <c r="A211" i="26" s="1"/>
  <c r="B212" i="26"/>
  <c r="A212" i="26" s="1"/>
  <c r="B213" i="26"/>
  <c r="A213" i="26" s="1"/>
  <c r="B214" i="26"/>
  <c r="A214" i="26" s="1"/>
  <c r="B215" i="26"/>
  <c r="A215" i="26" s="1"/>
  <c r="B216" i="26"/>
  <c r="A216" i="26" s="1"/>
  <c r="B217" i="26"/>
  <c r="A217" i="26" s="1"/>
  <c r="B218" i="26"/>
  <c r="A218" i="26" s="1"/>
  <c r="B219" i="26"/>
  <c r="A219" i="26" s="1"/>
  <c r="B220" i="26"/>
  <c r="A220" i="26" s="1"/>
  <c r="B221" i="26"/>
  <c r="A221" i="26" s="1"/>
  <c r="B222" i="26"/>
  <c r="A222" i="26" s="1"/>
  <c r="B223" i="26"/>
  <c r="A223" i="26" s="1"/>
  <c r="B224" i="26"/>
  <c r="A224" i="26" s="1"/>
  <c r="B225" i="26"/>
  <c r="A225" i="26" s="1"/>
  <c r="B226" i="26"/>
  <c r="A226" i="26" s="1"/>
  <c r="B227" i="26"/>
  <c r="A227" i="26" s="1"/>
  <c r="B228" i="26"/>
  <c r="A228" i="26" s="1"/>
  <c r="B229" i="26"/>
  <c r="A229" i="26" s="1"/>
  <c r="B230" i="26"/>
  <c r="A230" i="26" s="1"/>
  <c r="B231" i="26"/>
  <c r="A231" i="26" s="1"/>
  <c r="B232" i="26"/>
  <c r="A232" i="26" s="1"/>
  <c r="B233" i="26"/>
  <c r="A233" i="26" s="1"/>
  <c r="B234" i="26"/>
  <c r="A234" i="26" s="1"/>
  <c r="B235" i="26"/>
  <c r="A235" i="26" s="1"/>
  <c r="B236" i="26"/>
  <c r="A236" i="26" s="1"/>
  <c r="B237" i="26"/>
  <c r="A237" i="26" s="1"/>
  <c r="B238" i="26"/>
  <c r="A238" i="26" s="1"/>
  <c r="B239" i="26"/>
  <c r="A239" i="26" s="1"/>
  <c r="B240" i="26"/>
  <c r="A240" i="26" s="1"/>
  <c r="B241" i="26"/>
  <c r="A241" i="26" s="1"/>
  <c r="B242" i="26"/>
  <c r="A242" i="26" s="1"/>
  <c r="B243" i="26"/>
  <c r="A243" i="26" s="1"/>
  <c r="B244" i="26"/>
  <c r="A244" i="26" s="1"/>
  <c r="B245" i="26"/>
  <c r="A245" i="26" s="1"/>
  <c r="B246" i="26"/>
  <c r="A246" i="26" s="1"/>
  <c r="B247" i="26"/>
  <c r="A247" i="26" s="1"/>
  <c r="B248" i="26"/>
  <c r="A248" i="26" s="1"/>
  <c r="B249" i="26"/>
  <c r="A249" i="26" s="1"/>
  <c r="B250" i="26"/>
  <c r="A250" i="26" s="1"/>
  <c r="B251" i="26"/>
  <c r="A251" i="26" s="1"/>
  <c r="B252" i="26"/>
  <c r="A252" i="26" s="1"/>
  <c r="B253" i="26"/>
  <c r="A253" i="26" s="1"/>
  <c r="B254" i="26"/>
  <c r="A254" i="26" s="1"/>
  <c r="B255" i="26"/>
  <c r="A255" i="26" s="1"/>
  <c r="B256" i="26"/>
  <c r="A256" i="26" s="1"/>
  <c r="B257" i="26"/>
  <c r="A257" i="26" s="1"/>
  <c r="B258" i="26"/>
  <c r="A258" i="26" s="1"/>
  <c r="B259" i="26"/>
  <c r="A259" i="26" s="1"/>
  <c r="B260" i="26"/>
  <c r="A260" i="26" s="1"/>
  <c r="B261" i="26"/>
  <c r="A261" i="26" s="1"/>
  <c r="B262" i="26"/>
  <c r="A262" i="26" s="1"/>
  <c r="B263" i="26"/>
  <c r="A263" i="26" s="1"/>
  <c r="B264" i="26"/>
  <c r="A264" i="26" s="1"/>
  <c r="B265" i="26"/>
  <c r="A265" i="26" s="1"/>
  <c r="B266" i="26"/>
  <c r="A266" i="26" s="1"/>
  <c r="B267" i="26"/>
  <c r="A267" i="26" s="1"/>
  <c r="B268" i="26"/>
  <c r="A268" i="26" s="1"/>
  <c r="B269" i="26"/>
  <c r="A269" i="26" s="1"/>
  <c r="B270" i="26"/>
  <c r="A270" i="26" s="1"/>
  <c r="B271" i="26"/>
  <c r="A271" i="26" s="1"/>
  <c r="B272" i="26"/>
  <c r="A272" i="26" s="1"/>
  <c r="B273" i="26"/>
  <c r="A273" i="26" s="1"/>
  <c r="B274" i="26"/>
  <c r="A274" i="26" s="1"/>
  <c r="B275" i="26"/>
  <c r="A275" i="26" s="1"/>
  <c r="B276" i="26"/>
  <c r="A276" i="26" s="1"/>
  <c r="B277" i="26"/>
  <c r="A277" i="26" s="1"/>
  <c r="B278" i="26"/>
  <c r="A278" i="26" s="1"/>
  <c r="B279" i="26"/>
  <c r="A279" i="26" s="1"/>
  <c r="B280" i="26"/>
  <c r="A280" i="26" s="1"/>
  <c r="B281" i="26"/>
  <c r="A281" i="26" s="1"/>
  <c r="B282" i="26"/>
  <c r="A282" i="26" s="1"/>
  <c r="B283" i="26"/>
  <c r="A283" i="26" s="1"/>
  <c r="B284" i="26"/>
  <c r="A284" i="26" s="1"/>
  <c r="B285" i="26"/>
  <c r="A285" i="26" s="1"/>
  <c r="B286" i="26"/>
  <c r="A286" i="26" s="1"/>
  <c r="B287" i="26"/>
  <c r="A287" i="26" s="1"/>
  <c r="B288" i="26"/>
  <c r="A288" i="26" s="1"/>
  <c r="B289" i="26"/>
  <c r="A289" i="26" s="1"/>
  <c r="B290" i="26"/>
  <c r="A290" i="26" s="1"/>
  <c r="B291" i="26"/>
  <c r="A291" i="26" s="1"/>
  <c r="B292" i="26"/>
  <c r="A292" i="26" s="1"/>
  <c r="B293" i="26"/>
  <c r="A293" i="26" s="1"/>
  <c r="B294" i="26"/>
  <c r="A294" i="26" s="1"/>
  <c r="B295" i="26"/>
  <c r="A295" i="26" s="1"/>
  <c r="B296" i="26"/>
  <c r="A296" i="26" s="1"/>
  <c r="B297" i="26"/>
  <c r="A297" i="26" s="1"/>
  <c r="B298" i="26"/>
  <c r="A298" i="26" s="1"/>
  <c r="B299" i="26"/>
  <c r="A299" i="26" s="1"/>
  <c r="B300" i="26"/>
  <c r="A300" i="26" s="1"/>
  <c r="B301" i="26"/>
  <c r="A301" i="26" s="1"/>
  <c r="B302" i="26"/>
  <c r="A302" i="26" s="1"/>
  <c r="B303" i="26"/>
  <c r="A303" i="26" s="1"/>
  <c r="B304" i="26"/>
  <c r="A304" i="26" s="1"/>
  <c r="B305" i="26"/>
  <c r="A305" i="26" s="1"/>
  <c r="B306" i="26"/>
  <c r="A306" i="26" s="1"/>
  <c r="B307" i="26"/>
  <c r="A307" i="26" s="1"/>
  <c r="B308" i="26"/>
  <c r="A308" i="26" s="1"/>
  <c r="B309" i="26"/>
  <c r="A309" i="26" s="1"/>
  <c r="B310" i="26"/>
  <c r="A310" i="26" s="1"/>
  <c r="B311" i="26"/>
  <c r="A311" i="26" s="1"/>
  <c r="B312" i="26"/>
  <c r="A312" i="26" s="1"/>
  <c r="B313" i="26"/>
  <c r="A313" i="26" s="1"/>
  <c r="B314" i="26"/>
  <c r="A314" i="26" s="1"/>
  <c r="B315" i="26"/>
  <c r="A315" i="26" s="1"/>
  <c r="B316" i="26"/>
  <c r="A316" i="26" s="1"/>
  <c r="B317" i="26"/>
  <c r="A317" i="26" s="1"/>
  <c r="B318" i="26"/>
  <c r="A318" i="26" s="1"/>
  <c r="B319" i="26"/>
  <c r="A319" i="26" s="1"/>
  <c r="B320" i="26"/>
  <c r="A320" i="26" s="1"/>
  <c r="B321" i="26"/>
  <c r="A321" i="26" s="1"/>
  <c r="B322" i="26"/>
  <c r="A322" i="26" s="1"/>
  <c r="B323" i="26"/>
  <c r="A323" i="26" s="1"/>
  <c r="B324" i="26"/>
  <c r="A324" i="26" s="1"/>
  <c r="B325" i="26"/>
  <c r="A325" i="26" s="1"/>
  <c r="B326" i="26"/>
  <c r="A326" i="26" s="1"/>
  <c r="B327" i="26"/>
  <c r="A327" i="26" s="1"/>
  <c r="B328" i="26"/>
  <c r="A328" i="26" s="1"/>
  <c r="B329" i="26"/>
  <c r="A329" i="26" s="1"/>
  <c r="B330" i="26"/>
  <c r="A330" i="26" s="1"/>
  <c r="B331" i="26"/>
  <c r="A331" i="26" s="1"/>
  <c r="B332" i="26"/>
  <c r="A332" i="26" s="1"/>
  <c r="B333" i="26"/>
  <c r="A333" i="26" s="1"/>
  <c r="B334" i="26"/>
  <c r="A334" i="26" s="1"/>
  <c r="B335" i="26"/>
  <c r="A335" i="26" s="1"/>
  <c r="B336" i="26"/>
  <c r="A336" i="26" s="1"/>
  <c r="B337" i="26"/>
  <c r="A337" i="26" s="1"/>
  <c r="B338" i="26"/>
  <c r="A338" i="26" s="1"/>
  <c r="B339" i="26"/>
  <c r="A339" i="26" s="1"/>
  <c r="B340" i="26"/>
  <c r="A340" i="26" s="1"/>
  <c r="B341" i="26"/>
  <c r="A341" i="26" s="1"/>
  <c r="B342" i="26"/>
  <c r="A342" i="26" s="1"/>
  <c r="B343" i="26"/>
  <c r="A343" i="26" s="1"/>
  <c r="B344" i="26"/>
  <c r="A344" i="26" s="1"/>
  <c r="B345" i="26"/>
  <c r="A345" i="26" s="1"/>
  <c r="B346" i="26"/>
  <c r="A346" i="26" s="1"/>
  <c r="B347" i="26"/>
  <c r="A347" i="26" s="1"/>
  <c r="B348" i="26"/>
  <c r="A348" i="26" s="1"/>
  <c r="B349" i="26"/>
  <c r="A349" i="26" s="1"/>
  <c r="B350" i="26"/>
  <c r="A350" i="26" s="1"/>
  <c r="B351" i="26"/>
  <c r="A351" i="26" s="1"/>
  <c r="B352" i="26"/>
  <c r="A352" i="26" s="1"/>
  <c r="B353" i="26"/>
  <c r="A353" i="26" s="1"/>
  <c r="B354" i="26"/>
  <c r="A354" i="26" s="1"/>
  <c r="B355" i="26"/>
  <c r="A355" i="26" s="1"/>
  <c r="B356" i="26"/>
  <c r="A356" i="26" s="1"/>
  <c r="B357" i="26"/>
  <c r="A357" i="26" s="1"/>
  <c r="B358" i="26"/>
  <c r="A358" i="26" s="1"/>
  <c r="B359" i="26"/>
  <c r="A359" i="26" s="1"/>
  <c r="B360" i="26"/>
  <c r="A360" i="26" s="1"/>
  <c r="B361" i="26"/>
  <c r="A361" i="26" s="1"/>
  <c r="B362" i="26"/>
  <c r="A362" i="26" s="1"/>
  <c r="B363" i="26"/>
  <c r="A363" i="26" s="1"/>
  <c r="B364" i="26"/>
  <c r="A364" i="26" s="1"/>
  <c r="B365" i="26"/>
  <c r="A365" i="26" s="1"/>
  <c r="B366" i="26"/>
  <c r="A366" i="26" s="1"/>
  <c r="B367" i="26"/>
  <c r="A367" i="26" s="1"/>
  <c r="B368" i="26"/>
  <c r="A368" i="26" s="1"/>
  <c r="B369" i="26"/>
  <c r="A369" i="26" s="1"/>
  <c r="B370" i="26"/>
  <c r="A370" i="26" s="1"/>
  <c r="B371" i="26"/>
  <c r="A371" i="26" s="1"/>
  <c r="B372" i="26"/>
  <c r="A372" i="26" s="1"/>
  <c r="B373" i="26"/>
  <c r="A373" i="26" s="1"/>
  <c r="B374" i="26"/>
  <c r="A374" i="26" s="1"/>
  <c r="B375" i="26"/>
  <c r="A375" i="26" s="1"/>
  <c r="B376" i="26"/>
  <c r="A376" i="26" s="1"/>
  <c r="B377" i="26"/>
  <c r="A377" i="26" s="1"/>
  <c r="B378" i="26"/>
  <c r="A378" i="26" s="1"/>
  <c r="B379" i="26"/>
  <c r="A379" i="26" s="1"/>
  <c r="B380" i="26"/>
  <c r="A380" i="26" s="1"/>
  <c r="B381" i="26"/>
  <c r="A381" i="26" s="1"/>
  <c r="B382" i="26"/>
  <c r="A382" i="26" s="1"/>
  <c r="B383" i="26"/>
  <c r="A383" i="26" s="1"/>
  <c r="B384" i="26"/>
  <c r="A384" i="26" s="1"/>
  <c r="B385" i="26"/>
  <c r="A385" i="26" s="1"/>
  <c r="B386" i="26"/>
  <c r="A386" i="26" s="1"/>
  <c r="B387" i="26"/>
  <c r="A387" i="26" s="1"/>
  <c r="B388" i="26"/>
  <c r="A388" i="26" s="1"/>
  <c r="B389" i="26"/>
  <c r="A389" i="26" s="1"/>
  <c r="B390" i="26"/>
  <c r="A390" i="26" s="1"/>
  <c r="B391" i="26"/>
  <c r="A391" i="26" s="1"/>
  <c r="B392" i="26"/>
  <c r="A392" i="26" s="1"/>
  <c r="B393" i="26"/>
  <c r="A393" i="26" s="1"/>
  <c r="B394" i="26"/>
  <c r="A394" i="26" s="1"/>
  <c r="B395" i="26"/>
  <c r="A395" i="26" s="1"/>
  <c r="B396" i="26"/>
  <c r="A396" i="26" s="1"/>
  <c r="B397" i="26"/>
  <c r="A397" i="26" s="1"/>
  <c r="B398" i="26"/>
  <c r="A398" i="26" s="1"/>
  <c r="B399" i="26"/>
  <c r="A399" i="26" s="1"/>
  <c r="B400" i="26"/>
  <c r="A400" i="26" s="1"/>
  <c r="B401" i="26"/>
  <c r="A401" i="26" s="1"/>
  <c r="B402" i="26"/>
  <c r="A402" i="26" s="1"/>
  <c r="B403" i="26"/>
  <c r="A403" i="26" s="1"/>
  <c r="B404" i="26"/>
  <c r="A404" i="26" s="1"/>
  <c r="B405" i="26"/>
  <c r="A405" i="26" s="1"/>
  <c r="B406" i="26"/>
  <c r="A406" i="26" s="1"/>
  <c r="B407" i="26"/>
  <c r="A407" i="26" s="1"/>
  <c r="B408" i="26"/>
  <c r="A408" i="26" s="1"/>
  <c r="B409" i="26"/>
  <c r="A409" i="26" s="1"/>
  <c r="B410" i="26"/>
  <c r="A410" i="26" s="1"/>
  <c r="B411" i="26"/>
  <c r="A411" i="26" s="1"/>
  <c r="B412" i="26"/>
  <c r="A412" i="26" s="1"/>
  <c r="B413" i="26"/>
  <c r="A413" i="26" s="1"/>
  <c r="B414" i="26"/>
  <c r="A414" i="26" s="1"/>
  <c r="B415" i="26"/>
  <c r="A415" i="26" s="1"/>
  <c r="B416" i="26"/>
  <c r="A416" i="26" s="1"/>
  <c r="B417" i="26"/>
  <c r="A417" i="26" s="1"/>
  <c r="B418" i="26"/>
  <c r="A418" i="26" s="1"/>
  <c r="B419" i="26"/>
  <c r="A419" i="26" s="1"/>
  <c r="B420" i="26"/>
  <c r="A420" i="26" s="1"/>
  <c r="B421" i="26"/>
  <c r="A421" i="26" s="1"/>
  <c r="B422" i="26"/>
  <c r="A422" i="26" s="1"/>
  <c r="B423" i="26"/>
  <c r="A423" i="26" s="1"/>
  <c r="B424" i="26"/>
  <c r="A424" i="26" s="1"/>
  <c r="B425" i="26"/>
  <c r="A425" i="26" s="1"/>
  <c r="B426" i="26"/>
  <c r="A426" i="26" s="1"/>
  <c r="B427" i="26"/>
  <c r="A427" i="26" s="1"/>
  <c r="B428" i="26"/>
  <c r="A428" i="26" s="1"/>
  <c r="B429" i="26"/>
  <c r="A429" i="26" s="1"/>
  <c r="B430" i="26"/>
  <c r="A430" i="26" s="1"/>
  <c r="B431" i="26"/>
  <c r="A431" i="26" s="1"/>
  <c r="B432" i="26"/>
  <c r="A432" i="26" s="1"/>
  <c r="B433" i="26"/>
  <c r="A433" i="26" s="1"/>
  <c r="B434" i="26"/>
  <c r="A434" i="26" s="1"/>
  <c r="B435" i="26"/>
  <c r="A435" i="26" s="1"/>
  <c r="B436" i="26"/>
  <c r="A436" i="26" s="1"/>
  <c r="B437" i="26"/>
  <c r="A437" i="26" s="1"/>
  <c r="B438" i="26"/>
  <c r="A438" i="26" s="1"/>
  <c r="B439" i="26"/>
  <c r="A439" i="26" s="1"/>
  <c r="B440" i="26"/>
  <c r="A440" i="26" s="1"/>
  <c r="B441" i="26"/>
  <c r="A441" i="26" s="1"/>
  <c r="B442" i="26"/>
  <c r="A442" i="26" s="1"/>
  <c r="B443" i="26"/>
  <c r="A443" i="26" s="1"/>
  <c r="B444" i="26"/>
  <c r="A444" i="26" s="1"/>
  <c r="B445" i="26"/>
  <c r="A445" i="26" s="1"/>
  <c r="B446" i="26"/>
  <c r="A446" i="26" s="1"/>
  <c r="B447" i="26"/>
  <c r="A447" i="26" s="1"/>
  <c r="B448" i="26"/>
  <c r="A448" i="26" s="1"/>
  <c r="B449" i="26"/>
  <c r="A449" i="26" s="1"/>
  <c r="B450" i="26"/>
  <c r="A450" i="26" s="1"/>
  <c r="B451" i="26"/>
  <c r="A451" i="26" s="1"/>
  <c r="B452" i="26"/>
  <c r="A452" i="26" s="1"/>
  <c r="B453" i="26"/>
  <c r="A453" i="26" s="1"/>
  <c r="B454" i="26"/>
  <c r="A454" i="26" s="1"/>
  <c r="B455" i="26"/>
  <c r="A455" i="26" s="1"/>
  <c r="B456" i="26"/>
  <c r="A456" i="26" s="1"/>
  <c r="B457" i="26"/>
  <c r="A457" i="26" s="1"/>
  <c r="B458" i="26"/>
  <c r="A458" i="26" s="1"/>
  <c r="B459" i="26"/>
  <c r="A459" i="26" s="1"/>
  <c r="B460" i="26"/>
  <c r="A460" i="26" s="1"/>
  <c r="B461" i="26"/>
  <c r="A461" i="26" s="1"/>
  <c r="B462" i="26"/>
  <c r="A462" i="26" s="1"/>
  <c r="B463" i="26"/>
  <c r="A463" i="26" s="1"/>
  <c r="B464" i="26"/>
  <c r="A464" i="26" s="1"/>
  <c r="B465" i="26"/>
  <c r="A465" i="26" s="1"/>
  <c r="B466" i="26"/>
  <c r="A466" i="26" s="1"/>
  <c r="B467" i="26"/>
  <c r="A467" i="26" s="1"/>
  <c r="B468" i="26"/>
  <c r="A468" i="26" s="1"/>
  <c r="B469" i="26"/>
  <c r="A469" i="26" s="1"/>
  <c r="B470" i="26"/>
  <c r="A470" i="26" s="1"/>
  <c r="B471" i="26"/>
  <c r="A471" i="26" s="1"/>
  <c r="B472" i="26"/>
  <c r="A472" i="26" s="1"/>
  <c r="B473" i="26"/>
  <c r="A473" i="26" s="1"/>
  <c r="B474" i="26"/>
  <c r="A474" i="26" s="1"/>
  <c r="B475" i="26"/>
  <c r="A475" i="26" s="1"/>
  <c r="B476" i="26"/>
  <c r="A476" i="26" s="1"/>
  <c r="B477" i="26"/>
  <c r="A477" i="26" s="1"/>
  <c r="B478" i="26"/>
  <c r="A478" i="26" s="1"/>
  <c r="B479" i="26"/>
  <c r="A479" i="26" s="1"/>
  <c r="B480" i="26"/>
  <c r="A480" i="26" s="1"/>
  <c r="B481" i="26"/>
  <c r="A481" i="26" s="1"/>
  <c r="B482" i="26"/>
  <c r="A482" i="26" s="1"/>
  <c r="B483" i="26"/>
  <c r="A483" i="26" s="1"/>
  <c r="B484" i="26"/>
  <c r="A484" i="26" s="1"/>
  <c r="B485" i="26"/>
  <c r="A485" i="26" s="1"/>
  <c r="B486" i="26"/>
  <c r="A486" i="26" s="1"/>
  <c r="B487" i="26"/>
  <c r="A487" i="26" s="1"/>
  <c r="B488" i="26"/>
  <c r="A488" i="26" s="1"/>
  <c r="B489" i="26"/>
  <c r="A489" i="26" s="1"/>
  <c r="B490" i="26"/>
  <c r="A490" i="26" s="1"/>
  <c r="B491" i="26"/>
  <c r="A491" i="26" s="1"/>
  <c r="B492" i="26"/>
  <c r="A492" i="26" s="1"/>
  <c r="B493" i="26"/>
  <c r="A493" i="26" s="1"/>
  <c r="B494" i="26"/>
  <c r="A494" i="26" s="1"/>
  <c r="B495" i="26"/>
  <c r="A495" i="26" s="1"/>
  <c r="B496" i="26"/>
  <c r="A496" i="26" s="1"/>
  <c r="B497" i="26"/>
  <c r="A497" i="26" s="1"/>
  <c r="B498" i="26"/>
  <c r="A498" i="26" s="1"/>
  <c r="B499" i="26"/>
  <c r="A499" i="26" s="1"/>
  <c r="B500" i="26"/>
  <c r="A500" i="26" s="1"/>
  <c r="B501" i="26"/>
  <c r="A501" i="26" s="1"/>
  <c r="B502" i="26"/>
  <c r="A502" i="26" s="1"/>
  <c r="B503" i="26"/>
  <c r="A503" i="26" s="1"/>
  <c r="B504" i="26"/>
  <c r="A504" i="26" s="1"/>
  <c r="B505" i="26"/>
  <c r="A505" i="26" s="1"/>
  <c r="B506" i="26"/>
  <c r="A506" i="26" s="1"/>
  <c r="B507" i="26"/>
  <c r="A507" i="26" s="1"/>
  <c r="B508" i="26"/>
  <c r="A508" i="26" s="1"/>
  <c r="B509" i="26"/>
  <c r="A509" i="26" s="1"/>
  <c r="B510" i="26"/>
  <c r="A510" i="26" s="1"/>
  <c r="B511" i="26"/>
  <c r="A511" i="26" s="1"/>
  <c r="B512" i="26"/>
  <c r="A512" i="26" s="1"/>
  <c r="B513" i="26"/>
  <c r="A513" i="26" s="1"/>
  <c r="B514" i="26"/>
  <c r="A514" i="26" s="1"/>
  <c r="B515" i="26"/>
  <c r="A515" i="26" s="1"/>
  <c r="B516" i="26"/>
  <c r="A516" i="26" s="1"/>
  <c r="B517" i="26"/>
  <c r="A517" i="26" s="1"/>
  <c r="B518" i="26"/>
  <c r="A518" i="26" s="1"/>
  <c r="B519" i="26"/>
  <c r="A519" i="26" s="1"/>
  <c r="B520" i="26"/>
  <c r="A520" i="26" s="1"/>
  <c r="B521" i="26"/>
  <c r="A521" i="26" s="1"/>
  <c r="B522" i="26"/>
  <c r="A522" i="26" s="1"/>
  <c r="B523" i="26"/>
  <c r="A523" i="26" s="1"/>
  <c r="B524" i="26"/>
  <c r="A524" i="26" s="1"/>
  <c r="B525" i="26"/>
  <c r="A525" i="26" s="1"/>
  <c r="B526" i="26"/>
  <c r="A526" i="26" s="1"/>
  <c r="B527" i="26"/>
  <c r="A527" i="26" s="1"/>
  <c r="B528" i="26"/>
  <c r="A528" i="26" s="1"/>
  <c r="B529" i="26"/>
  <c r="A529" i="26" s="1"/>
  <c r="B530" i="26"/>
  <c r="A530" i="26" s="1"/>
  <c r="B531" i="26"/>
  <c r="A531" i="26" s="1"/>
  <c r="B532" i="26"/>
  <c r="A532" i="26" s="1"/>
  <c r="B533" i="26"/>
  <c r="A533" i="26" s="1"/>
  <c r="B534" i="26"/>
  <c r="A534" i="26" s="1"/>
  <c r="B535" i="26"/>
  <c r="A535" i="26" s="1"/>
  <c r="B536" i="26"/>
  <c r="A536" i="26" s="1"/>
  <c r="B537" i="26"/>
  <c r="A537" i="26" s="1"/>
  <c r="B538" i="26"/>
  <c r="A538" i="26" s="1"/>
  <c r="B539" i="26"/>
  <c r="A539" i="26" s="1"/>
  <c r="B540" i="26"/>
  <c r="A540" i="26" s="1"/>
  <c r="B541" i="26"/>
  <c r="A541" i="26" s="1"/>
  <c r="B542" i="26"/>
  <c r="A542" i="26" s="1"/>
  <c r="B543" i="26"/>
  <c r="A543" i="26" s="1"/>
  <c r="B544" i="26"/>
  <c r="A544" i="26" s="1"/>
  <c r="B545" i="26"/>
  <c r="A545" i="26" s="1"/>
  <c r="B546" i="26"/>
  <c r="A546" i="26" s="1"/>
  <c r="B547" i="26"/>
  <c r="A547" i="26" s="1"/>
  <c r="B548" i="26"/>
  <c r="A548" i="26" s="1"/>
  <c r="B549" i="26"/>
  <c r="A549" i="26" s="1"/>
  <c r="B550" i="26"/>
  <c r="A550" i="26" s="1"/>
  <c r="B551" i="26"/>
  <c r="A551" i="26" s="1"/>
  <c r="B552" i="26"/>
  <c r="A552" i="26" s="1"/>
  <c r="B553" i="26"/>
  <c r="A553" i="26" s="1"/>
  <c r="B554" i="26"/>
  <c r="A554" i="26" s="1"/>
  <c r="B555" i="26"/>
  <c r="A555" i="26" s="1"/>
  <c r="B556" i="26"/>
  <c r="A556" i="26" s="1"/>
  <c r="B557" i="26"/>
  <c r="A557" i="26" s="1"/>
  <c r="B558" i="26"/>
  <c r="A558" i="26" s="1"/>
  <c r="B559" i="26"/>
  <c r="A559" i="26" s="1"/>
  <c r="B560" i="26"/>
  <c r="A560" i="26" s="1"/>
  <c r="B561" i="26"/>
  <c r="A561" i="26" s="1"/>
  <c r="B562" i="26"/>
  <c r="A562" i="26" s="1"/>
  <c r="B563" i="26"/>
  <c r="A563" i="26" s="1"/>
  <c r="B564" i="26"/>
  <c r="A564" i="26" s="1"/>
  <c r="B565" i="26"/>
  <c r="A565" i="26" s="1"/>
  <c r="B566" i="26"/>
  <c r="A566" i="26" s="1"/>
  <c r="B567" i="26"/>
  <c r="A567" i="26" s="1"/>
  <c r="B568" i="26"/>
  <c r="A568" i="26" s="1"/>
  <c r="B569" i="26"/>
  <c r="A569" i="26" s="1"/>
  <c r="B570" i="26"/>
  <c r="A570" i="26" s="1"/>
  <c r="B571" i="26"/>
  <c r="A571" i="26" s="1"/>
  <c r="B572" i="26"/>
  <c r="A572" i="26" s="1"/>
  <c r="B573" i="26"/>
  <c r="A573" i="26" s="1"/>
  <c r="B574" i="26"/>
  <c r="A574" i="26" s="1"/>
  <c r="B575" i="26"/>
  <c r="A575" i="26" s="1"/>
  <c r="B576" i="26"/>
  <c r="A576" i="26" s="1"/>
  <c r="B577" i="26"/>
  <c r="A577" i="26" s="1"/>
  <c r="B578" i="26"/>
  <c r="A578" i="26" s="1"/>
  <c r="B579" i="26"/>
  <c r="A579" i="26" s="1"/>
  <c r="B580" i="26"/>
  <c r="A580" i="26" s="1"/>
  <c r="B581" i="26"/>
  <c r="A581" i="26" s="1"/>
  <c r="B582" i="26"/>
  <c r="A582" i="26" s="1"/>
  <c r="B583" i="26"/>
  <c r="A583" i="26" s="1"/>
  <c r="B584" i="26"/>
  <c r="A584" i="26" s="1"/>
  <c r="B585" i="26"/>
  <c r="A585" i="26" s="1"/>
  <c r="B586" i="26"/>
  <c r="A586" i="26" s="1"/>
  <c r="B587" i="26"/>
  <c r="A587" i="26" s="1"/>
  <c r="B588" i="26"/>
  <c r="A588" i="26" s="1"/>
  <c r="B589" i="26"/>
  <c r="A589" i="26" s="1"/>
  <c r="B590" i="26"/>
  <c r="A590" i="26" s="1"/>
  <c r="B591" i="26"/>
  <c r="A591" i="26" s="1"/>
  <c r="B592" i="26"/>
  <c r="A592" i="26" s="1"/>
  <c r="B593" i="26"/>
  <c r="A593" i="26" s="1"/>
  <c r="B594" i="26"/>
  <c r="A594" i="26" s="1"/>
  <c r="B595" i="26"/>
  <c r="A595" i="26" s="1"/>
  <c r="B596" i="26"/>
  <c r="A596" i="26" s="1"/>
  <c r="B597" i="26"/>
  <c r="A597" i="26" s="1"/>
  <c r="B598" i="26"/>
  <c r="A598" i="26" s="1"/>
  <c r="B599" i="26"/>
  <c r="A599" i="26" s="1"/>
  <c r="B600" i="26"/>
  <c r="A600" i="26" s="1"/>
  <c r="B601" i="26"/>
  <c r="A601" i="26" s="1"/>
  <c r="B602" i="26"/>
  <c r="A602" i="26" s="1"/>
  <c r="B603" i="26"/>
  <c r="A603" i="26" s="1"/>
  <c r="B604" i="26"/>
  <c r="A604" i="26" s="1"/>
  <c r="B605" i="26"/>
  <c r="A605" i="26" s="1"/>
  <c r="B606" i="26"/>
  <c r="A606" i="26" s="1"/>
  <c r="B607" i="26"/>
  <c r="A607" i="26" s="1"/>
  <c r="B608" i="26"/>
  <c r="A608" i="26" s="1"/>
  <c r="B609" i="26"/>
  <c r="A609" i="26" s="1"/>
  <c r="B610" i="26"/>
  <c r="A610" i="26" s="1"/>
  <c r="B611" i="26"/>
  <c r="A611" i="26" s="1"/>
  <c r="B612" i="26"/>
  <c r="A612" i="26" s="1"/>
  <c r="B613" i="26"/>
  <c r="A613" i="26" s="1"/>
  <c r="B614" i="26"/>
  <c r="A614" i="26" s="1"/>
  <c r="B615" i="26"/>
  <c r="A615" i="26" s="1"/>
  <c r="B616" i="26"/>
  <c r="A616" i="26" s="1"/>
  <c r="B617" i="26"/>
  <c r="A617" i="26" s="1"/>
  <c r="B618" i="26"/>
  <c r="A618" i="26" s="1"/>
  <c r="B619" i="26"/>
  <c r="A619" i="26" s="1"/>
  <c r="B620" i="26"/>
  <c r="A620" i="26" s="1"/>
  <c r="B621" i="26"/>
  <c r="A621" i="26" s="1"/>
  <c r="B622" i="26"/>
  <c r="A622" i="26" s="1"/>
  <c r="B623" i="26"/>
  <c r="A623" i="26" s="1"/>
  <c r="B624" i="26"/>
  <c r="A624" i="26" s="1"/>
  <c r="B625" i="26"/>
  <c r="A625" i="26" s="1"/>
  <c r="B626" i="26"/>
  <c r="A626" i="26" s="1"/>
  <c r="B627" i="26"/>
  <c r="A627" i="26" s="1"/>
  <c r="B628" i="26"/>
  <c r="A628" i="26" s="1"/>
  <c r="B629" i="26"/>
  <c r="A629" i="26" s="1"/>
  <c r="B630" i="26"/>
  <c r="A630" i="26" s="1"/>
  <c r="B631" i="26"/>
  <c r="A631" i="26" s="1"/>
  <c r="B632" i="26"/>
  <c r="A632" i="26" s="1"/>
  <c r="B633" i="26"/>
  <c r="A633" i="26" s="1"/>
  <c r="B634" i="26"/>
  <c r="A634" i="26" s="1"/>
  <c r="B635" i="26"/>
  <c r="A635" i="26" s="1"/>
  <c r="B636" i="26"/>
  <c r="A636" i="26" s="1"/>
  <c r="B637" i="26"/>
  <c r="A637" i="26" s="1"/>
  <c r="B638" i="26"/>
  <c r="A638" i="26" s="1"/>
  <c r="B639" i="26"/>
  <c r="A639" i="26" s="1"/>
  <c r="B640" i="26"/>
  <c r="A640" i="26" s="1"/>
  <c r="B641" i="26"/>
  <c r="A641" i="26" s="1"/>
  <c r="B642" i="26"/>
  <c r="A642" i="26" s="1"/>
  <c r="B643" i="26"/>
  <c r="A643" i="26" s="1"/>
  <c r="B644" i="26"/>
  <c r="A644" i="26" s="1"/>
  <c r="B645" i="26"/>
  <c r="A645" i="26" s="1"/>
  <c r="B646" i="26"/>
  <c r="A646" i="26" s="1"/>
  <c r="B647" i="26"/>
  <c r="A647" i="26" s="1"/>
  <c r="B648" i="26"/>
  <c r="A648" i="26" s="1"/>
  <c r="B649" i="26"/>
  <c r="A649" i="26" s="1"/>
  <c r="B650" i="26"/>
  <c r="A650" i="26" s="1"/>
  <c r="B651" i="26"/>
  <c r="A651" i="26" s="1"/>
  <c r="B652" i="26"/>
  <c r="A652" i="26" s="1"/>
  <c r="B653" i="26"/>
  <c r="A653" i="26" s="1"/>
  <c r="B654" i="26"/>
  <c r="A654" i="26" s="1"/>
  <c r="B655" i="26"/>
  <c r="A655" i="26" s="1"/>
  <c r="B656" i="26"/>
  <c r="A656" i="26" s="1"/>
  <c r="B657" i="26"/>
  <c r="A657" i="26" s="1"/>
  <c r="B658" i="26"/>
  <c r="A658" i="26" s="1"/>
  <c r="B659" i="26"/>
  <c r="A659" i="26" s="1"/>
  <c r="B660" i="26"/>
  <c r="A660" i="26" s="1"/>
  <c r="B661" i="26"/>
  <c r="A661" i="26" s="1"/>
  <c r="B662" i="26"/>
  <c r="A662" i="26" s="1"/>
  <c r="B663" i="26"/>
  <c r="A663" i="26" s="1"/>
  <c r="B664" i="26"/>
  <c r="A664" i="26" s="1"/>
  <c r="B665" i="26"/>
  <c r="A665" i="26" s="1"/>
  <c r="B666" i="26"/>
  <c r="A666" i="26" s="1"/>
  <c r="B667" i="26"/>
  <c r="A667" i="26" s="1"/>
  <c r="B668" i="26"/>
  <c r="A668" i="26" s="1"/>
  <c r="B669" i="26"/>
  <c r="A669" i="26" s="1"/>
  <c r="B670" i="26"/>
  <c r="A670" i="26" s="1"/>
  <c r="B671" i="26"/>
  <c r="A671" i="26" s="1"/>
  <c r="B672" i="26"/>
  <c r="A672" i="26" s="1"/>
  <c r="B673" i="26"/>
  <c r="A673" i="26" s="1"/>
  <c r="B674" i="26"/>
  <c r="A674" i="26" s="1"/>
  <c r="B675" i="26"/>
  <c r="A675" i="26" s="1"/>
  <c r="B676" i="26"/>
  <c r="A676" i="26" s="1"/>
  <c r="B677" i="26"/>
  <c r="A677" i="26" s="1"/>
  <c r="B678" i="26"/>
  <c r="A678" i="26" s="1"/>
  <c r="B679" i="26"/>
  <c r="A679" i="26" s="1"/>
  <c r="B680" i="26"/>
  <c r="A680" i="26" s="1"/>
  <c r="B681" i="26"/>
  <c r="A681" i="26" s="1"/>
  <c r="B682" i="26"/>
  <c r="A682" i="26" s="1"/>
  <c r="B683" i="26"/>
  <c r="A683" i="26" s="1"/>
  <c r="B684" i="26"/>
  <c r="A684" i="26" s="1"/>
  <c r="B685" i="26"/>
  <c r="A685" i="26" s="1"/>
  <c r="B686" i="26"/>
  <c r="A686" i="26" s="1"/>
  <c r="B687" i="26"/>
  <c r="A687" i="26" s="1"/>
  <c r="B688" i="26"/>
  <c r="A688" i="26" s="1"/>
  <c r="B689" i="26"/>
  <c r="A689" i="26" s="1"/>
  <c r="B690" i="26"/>
  <c r="A690" i="26" s="1"/>
  <c r="B691" i="26"/>
  <c r="A691" i="26" s="1"/>
  <c r="B692" i="26"/>
  <c r="A692" i="26" s="1"/>
  <c r="B693" i="26"/>
  <c r="A693" i="26" s="1"/>
  <c r="B694" i="26"/>
  <c r="A694" i="26" s="1"/>
  <c r="B695" i="26"/>
  <c r="A695" i="26" s="1"/>
  <c r="B696" i="26"/>
  <c r="A696" i="26" s="1"/>
  <c r="B697" i="26"/>
  <c r="A697" i="26" s="1"/>
  <c r="B698" i="26"/>
  <c r="A698" i="26" s="1"/>
  <c r="B699" i="26"/>
  <c r="A699" i="26" s="1"/>
  <c r="B700" i="26"/>
  <c r="A700" i="26" s="1"/>
  <c r="B701" i="26"/>
  <c r="A701" i="26" s="1"/>
  <c r="B702" i="26"/>
  <c r="A702" i="26" s="1"/>
  <c r="B703" i="26"/>
  <c r="A703" i="26" s="1"/>
  <c r="B704" i="26"/>
  <c r="A704" i="26" s="1"/>
  <c r="B705" i="26"/>
  <c r="A705" i="26" s="1"/>
  <c r="B706" i="26"/>
  <c r="A706" i="26" s="1"/>
  <c r="B707" i="26"/>
  <c r="A707" i="26" s="1"/>
  <c r="B708" i="26"/>
  <c r="A708" i="26" s="1"/>
  <c r="B709" i="26"/>
  <c r="A709" i="26" s="1"/>
  <c r="B710" i="26"/>
  <c r="A710" i="26" s="1"/>
  <c r="B711" i="26"/>
  <c r="A711" i="26" s="1"/>
  <c r="B712" i="26"/>
  <c r="A712" i="26" s="1"/>
  <c r="B713" i="26"/>
  <c r="A713" i="26" s="1"/>
  <c r="B714" i="26"/>
  <c r="A714" i="26" s="1"/>
  <c r="B715" i="26"/>
  <c r="A715" i="26" s="1"/>
  <c r="B716" i="26"/>
  <c r="A716" i="26" s="1"/>
  <c r="B717" i="26"/>
  <c r="A717" i="26" s="1"/>
  <c r="B718" i="26"/>
  <c r="A718" i="26" s="1"/>
  <c r="B719" i="26"/>
  <c r="A719" i="26" s="1"/>
  <c r="B720" i="26"/>
  <c r="A720" i="26" s="1"/>
  <c r="B721" i="26"/>
  <c r="A721" i="26" s="1"/>
  <c r="B722" i="26"/>
  <c r="A722" i="26" s="1"/>
  <c r="B723" i="26"/>
  <c r="A723" i="26" s="1"/>
  <c r="B724" i="26"/>
  <c r="A724" i="26" s="1"/>
  <c r="B725" i="26"/>
  <c r="A725" i="26" s="1"/>
  <c r="B726" i="26"/>
  <c r="A726" i="26" s="1"/>
  <c r="B727" i="26"/>
  <c r="A727" i="26" s="1"/>
  <c r="B728" i="26"/>
  <c r="A728" i="26" s="1"/>
  <c r="B729" i="26"/>
  <c r="A729" i="26" s="1"/>
  <c r="B730" i="26"/>
  <c r="A730" i="26" s="1"/>
  <c r="B731" i="26"/>
  <c r="A731" i="26" s="1"/>
  <c r="B732" i="26"/>
  <c r="A732" i="26" s="1"/>
  <c r="B733" i="26"/>
  <c r="A733" i="26" s="1"/>
  <c r="B734" i="26"/>
  <c r="A734" i="26" s="1"/>
  <c r="B735" i="26"/>
  <c r="A735" i="26" s="1"/>
  <c r="B736" i="26"/>
  <c r="A736" i="26" s="1"/>
  <c r="B737" i="26"/>
  <c r="A737" i="26" s="1"/>
  <c r="B738" i="26"/>
  <c r="A738" i="26" s="1"/>
  <c r="B739" i="26"/>
  <c r="A739" i="26" s="1"/>
  <c r="B740" i="26"/>
  <c r="A740" i="26" s="1"/>
  <c r="B741" i="26"/>
  <c r="A741" i="26" s="1"/>
  <c r="B742" i="26"/>
  <c r="A742" i="26" s="1"/>
  <c r="B743" i="26"/>
  <c r="A743" i="26" s="1"/>
  <c r="B744" i="26"/>
  <c r="A744" i="26" s="1"/>
  <c r="B745" i="26"/>
  <c r="A745" i="26" s="1"/>
  <c r="B746" i="26"/>
  <c r="A746" i="26" s="1"/>
  <c r="B747" i="26"/>
  <c r="A747" i="26" s="1"/>
  <c r="B748" i="26"/>
  <c r="A748" i="26" s="1"/>
  <c r="B749" i="26"/>
  <c r="A749" i="26" s="1"/>
  <c r="B750" i="26"/>
  <c r="A750" i="26" s="1"/>
  <c r="B751" i="26"/>
  <c r="A751" i="26" s="1"/>
  <c r="B752" i="26"/>
  <c r="A752" i="26" s="1"/>
  <c r="B753" i="26"/>
  <c r="A753" i="26" s="1"/>
  <c r="B754" i="26"/>
  <c r="A754" i="26" s="1"/>
  <c r="B755" i="26"/>
  <c r="A755" i="26" s="1"/>
  <c r="B756" i="26"/>
  <c r="A756" i="26" s="1"/>
  <c r="B757" i="26"/>
  <c r="A757" i="26" s="1"/>
  <c r="B758" i="26"/>
  <c r="A758" i="26" s="1"/>
  <c r="B759" i="26"/>
  <c r="A759" i="26" s="1"/>
  <c r="B760" i="26"/>
  <c r="A760" i="26" s="1"/>
  <c r="B761" i="26"/>
  <c r="A761" i="26" s="1"/>
  <c r="B762" i="26"/>
  <c r="A762" i="26" s="1"/>
  <c r="B763" i="26"/>
  <c r="A763" i="26" s="1"/>
  <c r="B764" i="26"/>
  <c r="A764" i="26" s="1"/>
  <c r="B765" i="26"/>
  <c r="A765" i="26" s="1"/>
  <c r="B766" i="26"/>
  <c r="A766" i="26" s="1"/>
  <c r="B767" i="26"/>
  <c r="A767" i="26" s="1"/>
  <c r="B768" i="26"/>
  <c r="A768" i="26" s="1"/>
  <c r="B769" i="26"/>
  <c r="A769" i="26" s="1"/>
  <c r="B770" i="26"/>
  <c r="A770" i="26" s="1"/>
  <c r="B771" i="26"/>
  <c r="A771" i="26" s="1"/>
  <c r="B772" i="26"/>
  <c r="A772" i="26" s="1"/>
  <c r="B773" i="26"/>
  <c r="A773" i="26" s="1"/>
  <c r="B774" i="26"/>
  <c r="A774" i="26" s="1"/>
  <c r="B775" i="26"/>
  <c r="A775" i="26" s="1"/>
  <c r="B776" i="26"/>
  <c r="A776" i="26" s="1"/>
  <c r="B777" i="26"/>
  <c r="A777" i="26" s="1"/>
  <c r="B778" i="26"/>
  <c r="A778" i="26" s="1"/>
  <c r="B779" i="26"/>
  <c r="A779" i="26" s="1"/>
  <c r="B780" i="26"/>
  <c r="A780" i="26" s="1"/>
  <c r="B781" i="26"/>
  <c r="A781" i="26" s="1"/>
  <c r="B782" i="26"/>
  <c r="A782" i="26" s="1"/>
  <c r="B783" i="26"/>
  <c r="A783" i="26" s="1"/>
  <c r="B784" i="26"/>
  <c r="A784" i="26" s="1"/>
  <c r="B785" i="26"/>
  <c r="A785" i="26" s="1"/>
  <c r="B786" i="26"/>
  <c r="A786" i="26" s="1"/>
  <c r="B787" i="26"/>
  <c r="A787" i="26" s="1"/>
  <c r="B788" i="26"/>
  <c r="A788" i="26" s="1"/>
  <c r="B789" i="26"/>
  <c r="A789" i="26" s="1"/>
  <c r="B790" i="26"/>
  <c r="A790" i="26" s="1"/>
  <c r="B791" i="26"/>
  <c r="A791" i="26" s="1"/>
  <c r="B792" i="26"/>
  <c r="A792" i="26" s="1"/>
  <c r="B793" i="26"/>
  <c r="A793" i="26" s="1"/>
  <c r="B794" i="26"/>
  <c r="A794" i="26" s="1"/>
  <c r="B795" i="26"/>
  <c r="A795" i="26" s="1"/>
  <c r="B796" i="26"/>
  <c r="A796" i="26" s="1"/>
  <c r="B797" i="26"/>
  <c r="A797" i="26" s="1"/>
  <c r="B798" i="26"/>
  <c r="A798" i="26" s="1"/>
  <c r="B799" i="26"/>
  <c r="A799" i="26" s="1"/>
  <c r="B800" i="26"/>
  <c r="A800" i="26" s="1"/>
  <c r="B801" i="26"/>
  <c r="A801" i="26" s="1"/>
  <c r="B802" i="26"/>
  <c r="A802" i="26" s="1"/>
  <c r="B803" i="26"/>
  <c r="A803" i="26" s="1"/>
  <c r="B804" i="26"/>
  <c r="A804" i="26" s="1"/>
  <c r="B805" i="26"/>
  <c r="A805" i="26" s="1"/>
  <c r="B806" i="26"/>
  <c r="A806" i="26" s="1"/>
  <c r="B807" i="26"/>
  <c r="A807" i="26" s="1"/>
  <c r="B808" i="26"/>
  <c r="A808" i="26" s="1"/>
  <c r="B809" i="26"/>
  <c r="A809" i="26" s="1"/>
  <c r="B810" i="26"/>
  <c r="A810" i="26" s="1"/>
  <c r="B811" i="26"/>
  <c r="A811" i="26" s="1"/>
  <c r="B812" i="26"/>
  <c r="A812" i="26" s="1"/>
  <c r="B813" i="26"/>
  <c r="A813" i="26" s="1"/>
  <c r="B814" i="26"/>
  <c r="A814" i="26" s="1"/>
  <c r="B815" i="26"/>
  <c r="A815" i="26" s="1"/>
  <c r="B816" i="26"/>
  <c r="A816" i="26" s="1"/>
  <c r="B817" i="26"/>
  <c r="A817" i="26" s="1"/>
  <c r="B818" i="26"/>
  <c r="A818" i="26" s="1"/>
  <c r="B819" i="26"/>
  <c r="A819" i="26" s="1"/>
  <c r="B820" i="26"/>
  <c r="A820" i="26" s="1"/>
  <c r="B821" i="26"/>
  <c r="A821" i="26" s="1"/>
  <c r="B822" i="26"/>
  <c r="A822" i="26" s="1"/>
  <c r="B823" i="26"/>
  <c r="A823" i="26" s="1"/>
  <c r="B824" i="26"/>
  <c r="A824" i="26" s="1"/>
  <c r="B825" i="26"/>
  <c r="A825" i="26" s="1"/>
  <c r="B826" i="26"/>
  <c r="A826" i="26" s="1"/>
  <c r="B827" i="26"/>
  <c r="A827" i="26" s="1"/>
  <c r="B828" i="26"/>
  <c r="A828" i="26" s="1"/>
  <c r="B829" i="26"/>
  <c r="A829" i="26" s="1"/>
  <c r="B830" i="26"/>
  <c r="A830" i="26" s="1"/>
  <c r="B831" i="26"/>
  <c r="A831" i="26" s="1"/>
  <c r="B832" i="26"/>
  <c r="A832" i="26" s="1"/>
  <c r="B833" i="26"/>
  <c r="A833" i="26" s="1"/>
  <c r="B834" i="26"/>
  <c r="A834" i="26" s="1"/>
  <c r="B835" i="26"/>
  <c r="A835" i="26" s="1"/>
  <c r="B836" i="26"/>
  <c r="A836" i="26" s="1"/>
  <c r="B837" i="26"/>
  <c r="A837" i="26" s="1"/>
  <c r="B838" i="26"/>
  <c r="A838" i="26" s="1"/>
  <c r="B839" i="26"/>
  <c r="A839" i="26" s="1"/>
  <c r="B840" i="26"/>
  <c r="A840" i="26" s="1"/>
  <c r="B841" i="26"/>
  <c r="A841" i="26" s="1"/>
  <c r="B842" i="26"/>
  <c r="A842" i="26" s="1"/>
  <c r="B843" i="26"/>
  <c r="A843" i="26" s="1"/>
  <c r="B844" i="26"/>
  <c r="A844" i="26" s="1"/>
  <c r="B845" i="26"/>
  <c r="A845" i="26" s="1"/>
  <c r="B846" i="26"/>
  <c r="A846" i="26" s="1"/>
  <c r="B847" i="26"/>
  <c r="A847" i="26" s="1"/>
  <c r="B848" i="26"/>
  <c r="A848" i="26" s="1"/>
  <c r="B849" i="26"/>
  <c r="A849" i="26" s="1"/>
  <c r="B850" i="26"/>
  <c r="A850" i="26" s="1"/>
  <c r="B851" i="26"/>
  <c r="A851" i="26" s="1"/>
  <c r="B852" i="26"/>
  <c r="A852" i="26" s="1"/>
  <c r="B853" i="26"/>
  <c r="A853" i="26" s="1"/>
  <c r="B854" i="26"/>
  <c r="A854" i="26" s="1"/>
  <c r="B855" i="26"/>
  <c r="A855" i="26" s="1"/>
  <c r="B856" i="26"/>
  <c r="A856" i="26" s="1"/>
  <c r="B857" i="26"/>
  <c r="A857" i="26" s="1"/>
  <c r="B858" i="26"/>
  <c r="A858" i="26" s="1"/>
  <c r="B859" i="26"/>
  <c r="A859" i="26" s="1"/>
  <c r="B860" i="26"/>
  <c r="A860" i="26" s="1"/>
  <c r="B861" i="26"/>
  <c r="A861" i="26" s="1"/>
  <c r="B862" i="26"/>
  <c r="A862" i="26" s="1"/>
  <c r="B863" i="26"/>
  <c r="A863" i="26" s="1"/>
  <c r="B864" i="26"/>
  <c r="A864" i="26" s="1"/>
  <c r="B865" i="26"/>
  <c r="A865" i="26" s="1"/>
  <c r="B866" i="26"/>
  <c r="A866" i="26" s="1"/>
  <c r="B867" i="26"/>
  <c r="A867" i="26" s="1"/>
  <c r="B868" i="26"/>
  <c r="A868" i="26" s="1"/>
  <c r="B869" i="26"/>
  <c r="A869" i="26" s="1"/>
  <c r="B870" i="26"/>
  <c r="A870" i="26" s="1"/>
  <c r="B871" i="26"/>
  <c r="A871" i="26" s="1"/>
  <c r="B872" i="26"/>
  <c r="A872" i="26" s="1"/>
  <c r="B873" i="26"/>
  <c r="A873" i="26" s="1"/>
  <c r="B874" i="26"/>
  <c r="A874" i="26" s="1"/>
  <c r="B875" i="26"/>
  <c r="A875" i="26" s="1"/>
  <c r="B876" i="26"/>
  <c r="A876" i="26" s="1"/>
  <c r="B877" i="26"/>
  <c r="A877" i="26" s="1"/>
  <c r="B878" i="26"/>
  <c r="A878" i="26" s="1"/>
  <c r="B879" i="26"/>
  <c r="A879" i="26" s="1"/>
  <c r="B880" i="26"/>
  <c r="A880" i="26" s="1"/>
  <c r="B881" i="26"/>
  <c r="A881" i="26" s="1"/>
  <c r="B882" i="26"/>
  <c r="A882" i="26" s="1"/>
  <c r="B883" i="26"/>
  <c r="A883" i="26" s="1"/>
  <c r="B884" i="26"/>
  <c r="A884" i="26" s="1"/>
  <c r="B885" i="26"/>
  <c r="A885" i="26" s="1"/>
  <c r="B886" i="26"/>
  <c r="A886" i="26" s="1"/>
  <c r="B887" i="26"/>
  <c r="A887" i="26" s="1"/>
  <c r="B888" i="26"/>
  <c r="A888" i="26" s="1"/>
  <c r="B889" i="26"/>
  <c r="A889" i="26" s="1"/>
  <c r="B890" i="26"/>
  <c r="A890" i="26" s="1"/>
  <c r="B891" i="26"/>
  <c r="A891" i="26" s="1"/>
  <c r="B892" i="26"/>
  <c r="A892" i="26" s="1"/>
  <c r="B893" i="26"/>
  <c r="A893" i="26" s="1"/>
  <c r="B894" i="26"/>
  <c r="A894" i="26" s="1"/>
  <c r="B895" i="26"/>
  <c r="A895" i="26" s="1"/>
  <c r="B896" i="26"/>
  <c r="A896" i="26" s="1"/>
  <c r="B897" i="26"/>
  <c r="A897" i="26" s="1"/>
  <c r="B898" i="26"/>
  <c r="A898" i="26" s="1"/>
  <c r="B899" i="26"/>
  <c r="A899" i="26" s="1"/>
  <c r="B900" i="26"/>
  <c r="A900" i="26" s="1"/>
  <c r="B901" i="26"/>
  <c r="A901" i="26" s="1"/>
  <c r="B902" i="26"/>
  <c r="A902" i="26" s="1"/>
  <c r="B903" i="26"/>
  <c r="A903" i="26" s="1"/>
  <c r="B904" i="26"/>
  <c r="A904" i="26" s="1"/>
  <c r="B905" i="26"/>
  <c r="A905" i="26" s="1"/>
  <c r="B906" i="26"/>
  <c r="A906" i="26" s="1"/>
  <c r="B907" i="26"/>
  <c r="A907" i="26" s="1"/>
  <c r="B908" i="26"/>
  <c r="A908" i="26" s="1"/>
  <c r="B909" i="26"/>
  <c r="A909" i="26" s="1"/>
  <c r="B910" i="26"/>
  <c r="A910" i="26" s="1"/>
  <c r="B911" i="26"/>
  <c r="A911" i="26" s="1"/>
  <c r="B912" i="26"/>
  <c r="A912" i="26" s="1"/>
  <c r="B913" i="26"/>
  <c r="A913" i="26" s="1"/>
  <c r="B914" i="26"/>
  <c r="A914" i="26" s="1"/>
  <c r="B915" i="26"/>
  <c r="A915" i="26" s="1"/>
  <c r="B916" i="26"/>
  <c r="A916" i="26" s="1"/>
  <c r="B917" i="26"/>
  <c r="A917" i="26" s="1"/>
  <c r="B918" i="26"/>
  <c r="A918" i="26" s="1"/>
  <c r="B919" i="26"/>
  <c r="A919" i="26" s="1"/>
  <c r="B920" i="26"/>
  <c r="A920" i="26" s="1"/>
  <c r="B921" i="26"/>
  <c r="A921" i="26" s="1"/>
  <c r="B922" i="26"/>
  <c r="A922" i="26" s="1"/>
  <c r="B923" i="26"/>
  <c r="A923" i="26" s="1"/>
  <c r="B924" i="26"/>
  <c r="A924" i="26" s="1"/>
  <c r="B925" i="26"/>
  <c r="A925" i="26" s="1"/>
  <c r="B926" i="26"/>
  <c r="A926" i="26" s="1"/>
  <c r="B927" i="26"/>
  <c r="A927" i="26" s="1"/>
  <c r="B928" i="26"/>
  <c r="A928" i="26" s="1"/>
  <c r="B929" i="26"/>
  <c r="A929" i="26" s="1"/>
  <c r="B930" i="26"/>
  <c r="A930" i="26" s="1"/>
  <c r="B931" i="26"/>
  <c r="A931" i="26" s="1"/>
  <c r="B932" i="26"/>
  <c r="A932" i="26" s="1"/>
  <c r="B933" i="26"/>
  <c r="A933" i="26" s="1"/>
  <c r="B934" i="26"/>
  <c r="A934" i="26" s="1"/>
  <c r="B935" i="26"/>
  <c r="A935" i="26" s="1"/>
  <c r="B936" i="26"/>
  <c r="A936" i="26" s="1"/>
  <c r="B937" i="26"/>
  <c r="A937" i="26" s="1"/>
  <c r="B938" i="26"/>
  <c r="A938" i="26" s="1"/>
  <c r="B939" i="26"/>
  <c r="A939" i="26" s="1"/>
  <c r="B940" i="26"/>
  <c r="A940" i="26" s="1"/>
  <c r="B941" i="26"/>
  <c r="A941" i="26" s="1"/>
  <c r="B942" i="26"/>
  <c r="A942" i="26" s="1"/>
  <c r="B943" i="26"/>
  <c r="A943" i="26" s="1"/>
  <c r="B944" i="26"/>
  <c r="A944" i="26" s="1"/>
  <c r="B945" i="26"/>
  <c r="A945" i="26" s="1"/>
  <c r="B946" i="26"/>
  <c r="A946" i="26" s="1"/>
  <c r="B947" i="26"/>
  <c r="A947" i="26" s="1"/>
  <c r="B948" i="26"/>
  <c r="A948" i="26" s="1"/>
  <c r="B949" i="26"/>
  <c r="A949" i="26" s="1"/>
  <c r="B950" i="26"/>
  <c r="A950" i="26" s="1"/>
  <c r="B951" i="26"/>
  <c r="A951" i="26" s="1"/>
  <c r="B952" i="26"/>
  <c r="A952" i="26" s="1"/>
  <c r="B953" i="26"/>
  <c r="A953" i="26" s="1"/>
  <c r="B954" i="26"/>
  <c r="A954" i="26" s="1"/>
  <c r="B955" i="26"/>
  <c r="A955" i="26" s="1"/>
  <c r="B956" i="26"/>
  <c r="A956" i="26" s="1"/>
  <c r="B957" i="26"/>
  <c r="A957" i="26" s="1"/>
  <c r="B958" i="26"/>
  <c r="A958" i="26" s="1"/>
  <c r="B959" i="26"/>
  <c r="A959" i="26" s="1"/>
  <c r="B960" i="26"/>
  <c r="A960" i="26" s="1"/>
  <c r="B961" i="26"/>
  <c r="A961" i="26" s="1"/>
  <c r="B962" i="26"/>
  <c r="A962" i="26" s="1"/>
  <c r="B963" i="26"/>
  <c r="A963" i="26" s="1"/>
  <c r="B964" i="26"/>
  <c r="A964" i="26" s="1"/>
  <c r="B965" i="26"/>
  <c r="A965" i="26" s="1"/>
  <c r="B966" i="26"/>
  <c r="A966" i="26" s="1"/>
  <c r="B967" i="26"/>
  <c r="A967" i="26" s="1"/>
  <c r="B968" i="26"/>
  <c r="A968" i="26" s="1"/>
  <c r="B969" i="26"/>
  <c r="A969" i="26" s="1"/>
  <c r="B970" i="26"/>
  <c r="A970" i="26" s="1"/>
  <c r="B971" i="26"/>
  <c r="A971" i="26" s="1"/>
  <c r="B972" i="26"/>
  <c r="A972" i="26" s="1"/>
  <c r="B973" i="26"/>
  <c r="A973" i="26" s="1"/>
  <c r="B974" i="26"/>
  <c r="A974" i="26" s="1"/>
  <c r="B975" i="26"/>
  <c r="A975" i="26" s="1"/>
  <c r="B976" i="26"/>
  <c r="A976" i="26" s="1"/>
  <c r="B977" i="26"/>
  <c r="A977" i="26" s="1"/>
  <c r="B978" i="26"/>
  <c r="A978" i="26" s="1"/>
  <c r="B979" i="26"/>
  <c r="A979" i="26" s="1"/>
  <c r="B980" i="26"/>
  <c r="A980" i="26" s="1"/>
  <c r="B981" i="26"/>
  <c r="A981" i="26" s="1"/>
  <c r="B982" i="26"/>
  <c r="A982" i="26" s="1"/>
  <c r="B983" i="26"/>
  <c r="A983" i="26" s="1"/>
  <c r="B984" i="26"/>
  <c r="A984" i="26" s="1"/>
  <c r="B985" i="26"/>
  <c r="A985" i="26" s="1"/>
  <c r="B986" i="26"/>
  <c r="A986" i="26" s="1"/>
  <c r="B987" i="26"/>
  <c r="A987" i="26" s="1"/>
  <c r="B988" i="26"/>
  <c r="A988" i="26" s="1"/>
  <c r="B989" i="26"/>
  <c r="A989" i="26" s="1"/>
  <c r="B990" i="26"/>
  <c r="A990" i="26" s="1"/>
  <c r="B991" i="26"/>
  <c r="A991" i="26" s="1"/>
  <c r="B992" i="26"/>
  <c r="A992" i="26" s="1"/>
  <c r="B993" i="26"/>
  <c r="A993" i="26" s="1"/>
  <c r="B994" i="26"/>
  <c r="A994" i="26" s="1"/>
  <c r="B995" i="26"/>
  <c r="A995" i="26" s="1"/>
  <c r="B996" i="26"/>
  <c r="A996" i="26" s="1"/>
  <c r="B997" i="26"/>
  <c r="A997" i="26" s="1"/>
  <c r="B998" i="26"/>
  <c r="A998" i="26" s="1"/>
  <c r="B999" i="26"/>
  <c r="A999" i="26" s="1"/>
  <c r="B1000" i="26"/>
  <c r="A1000" i="26" s="1"/>
  <c r="B1001" i="26"/>
  <c r="A1001" i="26" s="1"/>
  <c r="B1002" i="26"/>
  <c r="A1002" i="26" s="1"/>
  <c r="B1003" i="26"/>
  <c r="A1003" i="26" s="1"/>
  <c r="B1004" i="26"/>
  <c r="A1004" i="26" s="1"/>
  <c r="B1005" i="26"/>
  <c r="A1005" i="26" s="1"/>
  <c r="B1006" i="26"/>
  <c r="A1006" i="26" s="1"/>
  <c r="B1007" i="26"/>
  <c r="A1007" i="26" s="1"/>
  <c r="B1008" i="26"/>
  <c r="A1008" i="26" s="1"/>
  <c r="B1009" i="26"/>
  <c r="A1009" i="26" s="1"/>
  <c r="B1010" i="26"/>
  <c r="A1010" i="26" s="1"/>
  <c r="B1011" i="26"/>
  <c r="A1011" i="26" s="1"/>
  <c r="B1012" i="26"/>
  <c r="A1012" i="26" s="1"/>
  <c r="B1013" i="26"/>
  <c r="A1013" i="26" s="1"/>
  <c r="B1014" i="26"/>
  <c r="A1014" i="26" s="1"/>
  <c r="B1015" i="26"/>
  <c r="A1015" i="26" s="1"/>
  <c r="B1016" i="26"/>
  <c r="A1016" i="26" s="1"/>
  <c r="B1017" i="26"/>
  <c r="A1017" i="26" s="1"/>
  <c r="B1018" i="26"/>
  <c r="A1018" i="26" s="1"/>
  <c r="B1019" i="26"/>
  <c r="A1019" i="26" s="1"/>
  <c r="B1020" i="26"/>
  <c r="A1020" i="26" s="1"/>
  <c r="B1021" i="26"/>
  <c r="A1021" i="26" s="1"/>
  <c r="B1022" i="26"/>
  <c r="A1022" i="26" s="1"/>
  <c r="B1023" i="26"/>
  <c r="A1023" i="26" s="1"/>
  <c r="B1024" i="26"/>
  <c r="A1024" i="26" s="1"/>
  <c r="B1025" i="26"/>
  <c r="A1025" i="26" s="1"/>
  <c r="B1026" i="26"/>
  <c r="A1026" i="26" s="1"/>
  <c r="B1027" i="26"/>
  <c r="A1027" i="26" s="1"/>
  <c r="B1028" i="26"/>
  <c r="A1028" i="26" s="1"/>
  <c r="B1029" i="26"/>
  <c r="A1029" i="26" s="1"/>
  <c r="B1030" i="26"/>
  <c r="A1030" i="26" s="1"/>
  <c r="B1031" i="26"/>
  <c r="A1031" i="26" s="1"/>
  <c r="B1032" i="26"/>
  <c r="A1032" i="26" s="1"/>
  <c r="B1033" i="26"/>
  <c r="A1033" i="26" s="1"/>
  <c r="B1034" i="26"/>
  <c r="A1034" i="26" s="1"/>
  <c r="B1035" i="26"/>
  <c r="A1035" i="26" s="1"/>
  <c r="B1036" i="26"/>
  <c r="A1036" i="26" s="1"/>
  <c r="B1037" i="26"/>
  <c r="A1037" i="26" s="1"/>
  <c r="B1038" i="26"/>
  <c r="A1038" i="26" s="1"/>
  <c r="B1039" i="26"/>
  <c r="A1039" i="26" s="1"/>
  <c r="B1040" i="26"/>
  <c r="A1040" i="26" s="1"/>
  <c r="B1041" i="26"/>
  <c r="A1041" i="26" s="1"/>
  <c r="B1042" i="26"/>
  <c r="A1042" i="26" s="1"/>
  <c r="B1043" i="26"/>
  <c r="A1043" i="26" s="1"/>
  <c r="B1044" i="26"/>
  <c r="A1044" i="26" s="1"/>
  <c r="B1045" i="26"/>
  <c r="A1045" i="26" s="1"/>
  <c r="B1046" i="26"/>
  <c r="A1046" i="26" s="1"/>
  <c r="B1047" i="26"/>
  <c r="A1047" i="26" s="1"/>
  <c r="B1048" i="26"/>
  <c r="A1048" i="26" s="1"/>
  <c r="B1049" i="26"/>
  <c r="A1049" i="26" s="1"/>
  <c r="B1050" i="26"/>
  <c r="A1050" i="26" s="1"/>
  <c r="B1051" i="26"/>
  <c r="A1051" i="26" s="1"/>
  <c r="B1052" i="26"/>
  <c r="A1052" i="26" s="1"/>
  <c r="B1053" i="26"/>
  <c r="A1053" i="26" s="1"/>
  <c r="B1054" i="26"/>
  <c r="A1054" i="26" s="1"/>
  <c r="B1055" i="26"/>
  <c r="A1055" i="26" s="1"/>
  <c r="B1056" i="26"/>
  <c r="A1056" i="26" s="1"/>
  <c r="B1057" i="26"/>
  <c r="A1057" i="26" s="1"/>
  <c r="B1058" i="26"/>
  <c r="A1058" i="26" s="1"/>
  <c r="B1059" i="26"/>
  <c r="A1059" i="26" s="1"/>
  <c r="B1060" i="26"/>
  <c r="A1060" i="26" s="1"/>
  <c r="B1061" i="26"/>
  <c r="A1061" i="26" s="1"/>
  <c r="B1062" i="26"/>
  <c r="A1062" i="26" s="1"/>
  <c r="B1063" i="26"/>
  <c r="A1063" i="26" s="1"/>
  <c r="B1064" i="26"/>
  <c r="A1064" i="26" s="1"/>
  <c r="B1065" i="26"/>
  <c r="A1065" i="26" s="1"/>
  <c r="B1066" i="26"/>
  <c r="A1066" i="26" s="1"/>
  <c r="B1067" i="26"/>
  <c r="A1067" i="26" s="1"/>
  <c r="B1068" i="26"/>
  <c r="A1068" i="26" s="1"/>
  <c r="B1069" i="26"/>
  <c r="A1069" i="26" s="1"/>
  <c r="B1070" i="26"/>
  <c r="A1070" i="26" s="1"/>
  <c r="B1071" i="26"/>
  <c r="A1071" i="26" s="1"/>
  <c r="B1072" i="26"/>
  <c r="A1072" i="26" s="1"/>
  <c r="B1073" i="26"/>
  <c r="A1073" i="26" s="1"/>
  <c r="B1074" i="26"/>
  <c r="A1074" i="26" s="1"/>
  <c r="B1075" i="26"/>
  <c r="A1075" i="26" s="1"/>
  <c r="B1076" i="26"/>
  <c r="A1076" i="26" s="1"/>
  <c r="B1077" i="26"/>
  <c r="A1077" i="26" s="1"/>
  <c r="B1078" i="26"/>
  <c r="A1078" i="26" s="1"/>
  <c r="B1079" i="26"/>
  <c r="A1079" i="26" s="1"/>
  <c r="B1080" i="26"/>
  <c r="A1080" i="26" s="1"/>
  <c r="B1081" i="26"/>
  <c r="A1081" i="26" s="1"/>
  <c r="B1082" i="26"/>
  <c r="A1082" i="26" s="1"/>
  <c r="B1083" i="26"/>
  <c r="A1083" i="26" s="1"/>
  <c r="B1084" i="26"/>
  <c r="A1084" i="26" s="1"/>
  <c r="B1085" i="26"/>
  <c r="A1085" i="26" s="1"/>
  <c r="B1086" i="26"/>
  <c r="A1086" i="26" s="1"/>
  <c r="B1087" i="26"/>
  <c r="A1087" i="26" s="1"/>
  <c r="B1088" i="26"/>
  <c r="A1088" i="26" s="1"/>
  <c r="B1089" i="26"/>
  <c r="A1089" i="26" s="1"/>
  <c r="B1090" i="26"/>
  <c r="A1090" i="26" s="1"/>
  <c r="B1091" i="26"/>
  <c r="A1091" i="26" s="1"/>
  <c r="B1092" i="26"/>
  <c r="A1092" i="26" s="1"/>
  <c r="B1093" i="26"/>
  <c r="A1093" i="26" s="1"/>
  <c r="B1094" i="26"/>
  <c r="A1094" i="26" s="1"/>
  <c r="B1095" i="26"/>
  <c r="A1095" i="26" s="1"/>
  <c r="B1096" i="26"/>
  <c r="A1096" i="26" s="1"/>
  <c r="B1097" i="26"/>
  <c r="A1097" i="26" s="1"/>
  <c r="B1098" i="26"/>
  <c r="A1098" i="26" s="1"/>
  <c r="B1099" i="26"/>
  <c r="A1099" i="26" s="1"/>
  <c r="B1100" i="26"/>
  <c r="A1100" i="26" s="1"/>
  <c r="B1101" i="26"/>
  <c r="A1101" i="26" s="1"/>
  <c r="B1102" i="26"/>
  <c r="A1102" i="26" s="1"/>
  <c r="B1103" i="26"/>
  <c r="A1103" i="26" s="1"/>
  <c r="B1104" i="26"/>
  <c r="A1104" i="26" s="1"/>
  <c r="B1105" i="26"/>
  <c r="A1105" i="26" s="1"/>
  <c r="B1106" i="26"/>
  <c r="A1106" i="26" s="1"/>
  <c r="B1107" i="26"/>
  <c r="A1107" i="26" s="1"/>
  <c r="B1108" i="26"/>
  <c r="A1108" i="26" s="1"/>
  <c r="B1109" i="26"/>
  <c r="A1109" i="26" s="1"/>
  <c r="B1110" i="26"/>
  <c r="A1110" i="26" s="1"/>
  <c r="B1111" i="26"/>
  <c r="A1111" i="26" s="1"/>
  <c r="B1112" i="26"/>
  <c r="A1112" i="26" s="1"/>
  <c r="B1113" i="26"/>
  <c r="A1113" i="26" s="1"/>
  <c r="B1114" i="26"/>
  <c r="A1114" i="26" s="1"/>
  <c r="B1115" i="26"/>
  <c r="A1115" i="26" s="1"/>
  <c r="B1116" i="26"/>
  <c r="A1116" i="26" s="1"/>
  <c r="B1117" i="26"/>
  <c r="A1117" i="26" s="1"/>
  <c r="B1118" i="26"/>
  <c r="A1118" i="26" s="1"/>
  <c r="B1119" i="26"/>
  <c r="A1119" i="26" s="1"/>
  <c r="B1120" i="26"/>
  <c r="A1120" i="26" s="1"/>
  <c r="B1121" i="26"/>
  <c r="A1121" i="26" s="1"/>
  <c r="B1122" i="26"/>
  <c r="A1122" i="26" s="1"/>
  <c r="B1123" i="26"/>
  <c r="A1123" i="26" s="1"/>
  <c r="B1124" i="26"/>
  <c r="A1124" i="26" s="1"/>
  <c r="B1125" i="26"/>
  <c r="A1125" i="26" s="1"/>
  <c r="B1126" i="26"/>
  <c r="A1126" i="26" s="1"/>
  <c r="B1127" i="26"/>
  <c r="A1127" i="26" s="1"/>
  <c r="B1128" i="26"/>
  <c r="A1128" i="26" s="1"/>
  <c r="B1129" i="26"/>
  <c r="A1129" i="26" s="1"/>
  <c r="B1130" i="26"/>
  <c r="A1130" i="26" s="1"/>
  <c r="B1131" i="26"/>
  <c r="A1131" i="26" s="1"/>
  <c r="B1132" i="26"/>
  <c r="A1132" i="26" s="1"/>
  <c r="B1133" i="26"/>
  <c r="A1133" i="26" s="1"/>
  <c r="B1134" i="26"/>
  <c r="A1134" i="26" s="1"/>
  <c r="B1135" i="26"/>
  <c r="A1135" i="26" s="1"/>
  <c r="B1136" i="26"/>
  <c r="A1136" i="26" s="1"/>
  <c r="B1137" i="26"/>
  <c r="A1137" i="26" s="1"/>
  <c r="B1138" i="26"/>
  <c r="A1138" i="26" s="1"/>
  <c r="B1139" i="26"/>
  <c r="A1139" i="26" s="1"/>
  <c r="B1140" i="26"/>
  <c r="A1140" i="26" s="1"/>
  <c r="B1141" i="26"/>
  <c r="A1141" i="26" s="1"/>
  <c r="B1142" i="26"/>
  <c r="A1142" i="26" s="1"/>
  <c r="B1143" i="26"/>
  <c r="A1143" i="26" s="1"/>
  <c r="B1144" i="26"/>
  <c r="A1144" i="26" s="1"/>
  <c r="B1145" i="26"/>
  <c r="A1145" i="26" s="1"/>
  <c r="B1146" i="26"/>
  <c r="A1146" i="26" s="1"/>
  <c r="B1147" i="26"/>
  <c r="A1147" i="26" s="1"/>
  <c r="B1148" i="26"/>
  <c r="A1148" i="26" s="1"/>
  <c r="B1149" i="26"/>
  <c r="A1149" i="26" s="1"/>
  <c r="B1150" i="26"/>
  <c r="A1150" i="26" s="1"/>
  <c r="B1151" i="26"/>
  <c r="A1151" i="26" s="1"/>
  <c r="B1152" i="26"/>
  <c r="A1152" i="26" s="1"/>
  <c r="B1153" i="26"/>
  <c r="A1153" i="26" s="1"/>
  <c r="B1154" i="26"/>
  <c r="A1154" i="26" s="1"/>
  <c r="B1155" i="26"/>
  <c r="A1155" i="26" s="1"/>
  <c r="B1156" i="26"/>
  <c r="A1156" i="26" s="1"/>
  <c r="B1157" i="26"/>
  <c r="A1157" i="26" s="1"/>
  <c r="B1158" i="26"/>
  <c r="A1158" i="26" s="1"/>
  <c r="B1159" i="26"/>
  <c r="A1159" i="26" s="1"/>
  <c r="B1160" i="26"/>
  <c r="A1160" i="26" s="1"/>
  <c r="B1161" i="26"/>
  <c r="A1161" i="26" s="1"/>
  <c r="B1162" i="26"/>
  <c r="A1162" i="26" s="1"/>
  <c r="B1163" i="26"/>
  <c r="A1163" i="26" s="1"/>
  <c r="B1164" i="26"/>
  <c r="A1164" i="26" s="1"/>
  <c r="B1165" i="26"/>
  <c r="A1165" i="26" s="1"/>
  <c r="B1166" i="26"/>
  <c r="A1166" i="26" s="1"/>
  <c r="B1167" i="26"/>
  <c r="A1167" i="26" s="1"/>
  <c r="B1168" i="26"/>
  <c r="A1168" i="26" s="1"/>
  <c r="B1169" i="26"/>
  <c r="A1169" i="26" s="1"/>
  <c r="B1170" i="26"/>
  <c r="A1170" i="26" s="1"/>
  <c r="B1171" i="26"/>
  <c r="A1171" i="26" s="1"/>
  <c r="B1172" i="26"/>
  <c r="A1172" i="26" s="1"/>
  <c r="B1173" i="26"/>
  <c r="A1173" i="26" s="1"/>
  <c r="B1174" i="26"/>
  <c r="A1174" i="26" s="1"/>
  <c r="B1175" i="26"/>
  <c r="A1175" i="26" s="1"/>
  <c r="B1176" i="26"/>
  <c r="A1176" i="26" s="1"/>
  <c r="B1177" i="26"/>
  <c r="A1177" i="26" s="1"/>
  <c r="B1178" i="26"/>
  <c r="A1178" i="26" s="1"/>
  <c r="B1179" i="26"/>
  <c r="A1179" i="26" s="1"/>
  <c r="B1180" i="26"/>
  <c r="A1180" i="26" s="1"/>
  <c r="B1181" i="26"/>
  <c r="A1181" i="26" s="1"/>
  <c r="B1182" i="26"/>
  <c r="A1182" i="26" s="1"/>
  <c r="B1183" i="26"/>
  <c r="A1183" i="26" s="1"/>
  <c r="B1184" i="26"/>
  <c r="A1184" i="26" s="1"/>
  <c r="B1185" i="26"/>
  <c r="A1185" i="26" s="1"/>
  <c r="B1186" i="26"/>
  <c r="A1186" i="26" s="1"/>
  <c r="B1187" i="26"/>
  <c r="A1187" i="26" s="1"/>
  <c r="B1188" i="26"/>
  <c r="A1188" i="26" s="1"/>
  <c r="B1189" i="26"/>
  <c r="A1189" i="26" s="1"/>
  <c r="B1190" i="26"/>
  <c r="A1190" i="26" s="1"/>
  <c r="B1191" i="26"/>
  <c r="A1191" i="26" s="1"/>
  <c r="B1192" i="26"/>
  <c r="A1192" i="26" s="1"/>
  <c r="B1193" i="26"/>
  <c r="A1193" i="26" s="1"/>
  <c r="B1194" i="26"/>
  <c r="A1194" i="26" s="1"/>
  <c r="B1195" i="26"/>
  <c r="A1195" i="26" s="1"/>
  <c r="B1196" i="26"/>
  <c r="A1196" i="26" s="1"/>
  <c r="B1197" i="26"/>
  <c r="A1197" i="26" s="1"/>
  <c r="B1198" i="26"/>
  <c r="A1198" i="26" s="1"/>
  <c r="B1199" i="26"/>
  <c r="A1199" i="26" s="1"/>
  <c r="B1200" i="26"/>
  <c r="A1200" i="26" s="1"/>
  <c r="B1201" i="26"/>
  <c r="A1201" i="26" s="1"/>
  <c r="B1202" i="26"/>
  <c r="A1202" i="26" s="1"/>
  <c r="B1203" i="26"/>
  <c r="A1203" i="26" s="1"/>
  <c r="B1204" i="26"/>
  <c r="A1204" i="26" s="1"/>
  <c r="B1205" i="26"/>
  <c r="A1205" i="26" s="1"/>
  <c r="B1206" i="26"/>
  <c r="A1206" i="26" s="1"/>
  <c r="B1207" i="26"/>
  <c r="A1207" i="26" s="1"/>
  <c r="B1208" i="26"/>
  <c r="A1208" i="26" s="1"/>
  <c r="B1209" i="26"/>
  <c r="A1209" i="26" s="1"/>
  <c r="B1210" i="26"/>
  <c r="A1210" i="26" s="1"/>
  <c r="B1211" i="26"/>
  <c r="A1211" i="26" s="1"/>
  <c r="B1212" i="26"/>
  <c r="A1212" i="26" s="1"/>
  <c r="B1213" i="26"/>
  <c r="A1213" i="26" s="1"/>
  <c r="B1214" i="26"/>
  <c r="A1214" i="26" s="1"/>
  <c r="B1215" i="26"/>
  <c r="A1215" i="26" s="1"/>
  <c r="B1216" i="26"/>
  <c r="A1216" i="26" s="1"/>
  <c r="B1217" i="26"/>
  <c r="A1217" i="26" s="1"/>
  <c r="B1218" i="26"/>
  <c r="A1218" i="26" s="1"/>
  <c r="B1219" i="26"/>
  <c r="A1219" i="26" s="1"/>
  <c r="B1220" i="26"/>
  <c r="A1220" i="26" s="1"/>
  <c r="B1221" i="26"/>
  <c r="A1221" i="26" s="1"/>
  <c r="B1222" i="26"/>
  <c r="A1222" i="26" s="1"/>
  <c r="B1223" i="26"/>
  <c r="A1223" i="26" s="1"/>
  <c r="B1224" i="26"/>
  <c r="A1224" i="26" s="1"/>
  <c r="B1225" i="26"/>
  <c r="A1225" i="26" s="1"/>
  <c r="B1226" i="26"/>
  <c r="A1226" i="26" s="1"/>
  <c r="B1227" i="26"/>
  <c r="A1227" i="26" s="1"/>
  <c r="B1228" i="26"/>
  <c r="A1228" i="26" s="1"/>
  <c r="B1229" i="26"/>
  <c r="A1229" i="26" s="1"/>
  <c r="B1230" i="26"/>
  <c r="A1230" i="26" s="1"/>
  <c r="B1231" i="26"/>
  <c r="A1231" i="26" s="1"/>
  <c r="B1232" i="26"/>
  <c r="A1232" i="26" s="1"/>
  <c r="B1233" i="26"/>
  <c r="A1233" i="26" s="1"/>
  <c r="B1234" i="26"/>
  <c r="A1234" i="26" s="1"/>
  <c r="B1235" i="26"/>
  <c r="A1235" i="26" s="1"/>
  <c r="B1236" i="26"/>
  <c r="A1236" i="26" s="1"/>
  <c r="B1237" i="26"/>
  <c r="A1237" i="26" s="1"/>
  <c r="B1238" i="26"/>
  <c r="A1238" i="26" s="1"/>
  <c r="B1239" i="26"/>
  <c r="A1239" i="26" s="1"/>
  <c r="B1240" i="26"/>
  <c r="A1240" i="26" s="1"/>
  <c r="B1241" i="26"/>
  <c r="A1241" i="26" s="1"/>
  <c r="B1242" i="26"/>
  <c r="A1242" i="26" s="1"/>
  <c r="B1243" i="26"/>
  <c r="A1243" i="26" s="1"/>
  <c r="B1244" i="26"/>
  <c r="A1244" i="26" s="1"/>
  <c r="B1245" i="26"/>
  <c r="A1245" i="26" s="1"/>
  <c r="B1246" i="26"/>
  <c r="A1246" i="26" s="1"/>
  <c r="B1247" i="26"/>
  <c r="A1247" i="26" s="1"/>
  <c r="B1248" i="26"/>
  <c r="A1248" i="26" s="1"/>
  <c r="B1249" i="26"/>
  <c r="A1249" i="26" s="1"/>
  <c r="B1250" i="26"/>
  <c r="A1250" i="26" s="1"/>
  <c r="B1251" i="26"/>
  <c r="A1251" i="26" s="1"/>
  <c r="B1252" i="26"/>
  <c r="A1252" i="26" s="1"/>
  <c r="B1253" i="26"/>
  <c r="A1253" i="26" s="1"/>
  <c r="B1254" i="26"/>
  <c r="A1254" i="26" s="1"/>
  <c r="B1255" i="26"/>
  <c r="A1255" i="26" s="1"/>
  <c r="B1256" i="26"/>
  <c r="A1256" i="26" s="1"/>
  <c r="B1257" i="26"/>
  <c r="A1257" i="26" s="1"/>
  <c r="B1258" i="26"/>
  <c r="A1258" i="26" s="1"/>
  <c r="B1259" i="26"/>
  <c r="A1259" i="26" s="1"/>
  <c r="B1260" i="26"/>
  <c r="A1260" i="26" s="1"/>
  <c r="B1261" i="26"/>
  <c r="A1261" i="26" s="1"/>
  <c r="B1262" i="26"/>
  <c r="A1262" i="26" s="1"/>
  <c r="B1263" i="26"/>
  <c r="A1263" i="26" s="1"/>
  <c r="B1264" i="26"/>
  <c r="A1264" i="26" s="1"/>
  <c r="B1265" i="26"/>
  <c r="A1265" i="26" s="1"/>
  <c r="B1266" i="26"/>
  <c r="A1266" i="26" s="1"/>
  <c r="B1267" i="26"/>
  <c r="A1267" i="26" s="1"/>
  <c r="B1268" i="26"/>
  <c r="A1268" i="26" s="1"/>
  <c r="B1269" i="26"/>
  <c r="A1269" i="26" s="1"/>
  <c r="B1270" i="26"/>
  <c r="A1270" i="26" s="1"/>
  <c r="B1271" i="26"/>
  <c r="A1271" i="26" s="1"/>
  <c r="B1272" i="26"/>
  <c r="A1272" i="26" s="1"/>
  <c r="B1273" i="26"/>
  <c r="A1273" i="26" s="1"/>
  <c r="B1274" i="26"/>
  <c r="A1274" i="26" s="1"/>
  <c r="B1275" i="26"/>
  <c r="A1275" i="26" s="1"/>
  <c r="B1276" i="26"/>
  <c r="A1276" i="26" s="1"/>
  <c r="B1277" i="26"/>
  <c r="A1277" i="26" s="1"/>
  <c r="B1278" i="26"/>
  <c r="A1278" i="26" s="1"/>
  <c r="B1279" i="26"/>
  <c r="A1279" i="26" s="1"/>
  <c r="B1280" i="26"/>
  <c r="A1280" i="26" s="1"/>
  <c r="B1281" i="26"/>
  <c r="A1281" i="26" s="1"/>
  <c r="B1282" i="26"/>
  <c r="A1282" i="26" s="1"/>
  <c r="B1283" i="26"/>
  <c r="A1283" i="26" s="1"/>
  <c r="B1284" i="26"/>
  <c r="A1284" i="26" s="1"/>
  <c r="B1285" i="26"/>
  <c r="A1285" i="26" s="1"/>
  <c r="B1286" i="26"/>
  <c r="A1286" i="26" s="1"/>
  <c r="B1287" i="26"/>
  <c r="A1287" i="26" s="1"/>
  <c r="B1288" i="26"/>
  <c r="A1288" i="26" s="1"/>
  <c r="B1289" i="26"/>
  <c r="A1289" i="26" s="1"/>
  <c r="B1290" i="26"/>
  <c r="A1290" i="26" s="1"/>
  <c r="B1291" i="26"/>
  <c r="A1291" i="26" s="1"/>
  <c r="B1292" i="26"/>
  <c r="A1292" i="26" s="1"/>
  <c r="B1293" i="26"/>
  <c r="A1293" i="26" s="1"/>
  <c r="B1294" i="26"/>
  <c r="A1294" i="26" s="1"/>
  <c r="B1295" i="26"/>
  <c r="A1295" i="26" s="1"/>
  <c r="B1296" i="26"/>
  <c r="A1296" i="26" s="1"/>
  <c r="B1297" i="26"/>
  <c r="A1297" i="26" s="1"/>
  <c r="B1298" i="26"/>
  <c r="A1298" i="26" s="1"/>
  <c r="B1299" i="26"/>
  <c r="A1299" i="26" s="1"/>
  <c r="B1300" i="26"/>
  <c r="A1300" i="26" s="1"/>
  <c r="B1301" i="26"/>
  <c r="A1301" i="26" s="1"/>
  <c r="B1302" i="26"/>
  <c r="A1302" i="26" s="1"/>
  <c r="B1303" i="26"/>
  <c r="A1303" i="26" s="1"/>
  <c r="B1304" i="26"/>
  <c r="A1304" i="26" s="1"/>
  <c r="B1305" i="26"/>
  <c r="A1305" i="26" s="1"/>
  <c r="B1306" i="26"/>
  <c r="A1306" i="26" s="1"/>
  <c r="B1307" i="26"/>
  <c r="A1307" i="26" s="1"/>
  <c r="B1308" i="26"/>
  <c r="A1308" i="26" s="1"/>
  <c r="B1309" i="26"/>
  <c r="A1309" i="26" s="1"/>
  <c r="B1310" i="26"/>
  <c r="A1310" i="26" s="1"/>
  <c r="B1311" i="26"/>
  <c r="A1311" i="26" s="1"/>
  <c r="B1312" i="26"/>
  <c r="A1312" i="26" s="1"/>
  <c r="B1313" i="26"/>
  <c r="A1313" i="26" s="1"/>
  <c r="B1314" i="26"/>
  <c r="A1314" i="26" s="1"/>
  <c r="B1315" i="26"/>
  <c r="A1315" i="26" s="1"/>
  <c r="B1316" i="26"/>
  <c r="A1316" i="26" s="1"/>
  <c r="B1317" i="26"/>
  <c r="A1317" i="26" s="1"/>
  <c r="B1318" i="26"/>
  <c r="A1318" i="26" s="1"/>
  <c r="B1319" i="26"/>
  <c r="A1319" i="26" s="1"/>
  <c r="B1320" i="26"/>
  <c r="A1320" i="26" s="1"/>
  <c r="B1321" i="26"/>
  <c r="A1321" i="26" s="1"/>
  <c r="B1322" i="26"/>
  <c r="A1322" i="26" s="1"/>
  <c r="B1323" i="26"/>
  <c r="A1323" i="26" s="1"/>
  <c r="B1324" i="26"/>
  <c r="A1324" i="26" s="1"/>
  <c r="B1325" i="26"/>
  <c r="A1325" i="26" s="1"/>
  <c r="B1326" i="26"/>
  <c r="A1326" i="26" s="1"/>
  <c r="B1327" i="26"/>
  <c r="A1327" i="26" s="1"/>
  <c r="B1328" i="26"/>
  <c r="A1328" i="26" s="1"/>
  <c r="B1329" i="26"/>
  <c r="A1329" i="26" s="1"/>
  <c r="B1330" i="26"/>
  <c r="A1330" i="26" s="1"/>
  <c r="B1331" i="26"/>
  <c r="A1331" i="26" s="1"/>
  <c r="B1332" i="26"/>
  <c r="A1332" i="26" s="1"/>
  <c r="B1333" i="26"/>
  <c r="A1333" i="26" s="1"/>
  <c r="B1334" i="26"/>
  <c r="A1334" i="26" s="1"/>
  <c r="B1335" i="26"/>
  <c r="A1335" i="26" s="1"/>
  <c r="B1336" i="26"/>
  <c r="A1336" i="26" s="1"/>
  <c r="B1337" i="26"/>
  <c r="A1337" i="26" s="1"/>
  <c r="B1338" i="26"/>
  <c r="A1338" i="26" s="1"/>
  <c r="B1339" i="26"/>
  <c r="A1339" i="26" s="1"/>
  <c r="B1340" i="26"/>
  <c r="A1340" i="26" s="1"/>
  <c r="B1341" i="26"/>
  <c r="A1341" i="26" s="1"/>
  <c r="B1342" i="26"/>
  <c r="A1342" i="26" s="1"/>
  <c r="B1343" i="26"/>
  <c r="A1343" i="26" s="1"/>
  <c r="B1344" i="26"/>
  <c r="A1344" i="26" s="1"/>
  <c r="B1345" i="26"/>
  <c r="A1345" i="26" s="1"/>
  <c r="B1346" i="26"/>
  <c r="A1346" i="26" s="1"/>
  <c r="B1347" i="26"/>
  <c r="A1347" i="26" s="1"/>
  <c r="B1348" i="26"/>
  <c r="A1348" i="26" s="1"/>
  <c r="B1349" i="26"/>
  <c r="A1349" i="26" s="1"/>
  <c r="B1350" i="26"/>
  <c r="A1350" i="26" s="1"/>
  <c r="B1351" i="26"/>
  <c r="A1351" i="26" s="1"/>
  <c r="B1352" i="26"/>
  <c r="A1352" i="26" s="1"/>
  <c r="B1353" i="26"/>
  <c r="A1353" i="26" s="1"/>
  <c r="B1354" i="26"/>
  <c r="A1354" i="26" s="1"/>
  <c r="B1355" i="26"/>
  <c r="A1355" i="26" s="1"/>
  <c r="B1356" i="26"/>
  <c r="A1356" i="26" s="1"/>
  <c r="B1357" i="26"/>
  <c r="A1357" i="26" s="1"/>
  <c r="B1358" i="26"/>
  <c r="A1358" i="26" s="1"/>
  <c r="B1359" i="26"/>
  <c r="A1359" i="26" s="1"/>
  <c r="B1360" i="26"/>
  <c r="A1360" i="26" s="1"/>
  <c r="B1361" i="26"/>
  <c r="A1361" i="26" s="1"/>
  <c r="B1362" i="26"/>
  <c r="A1362" i="26" s="1"/>
  <c r="B1363" i="26"/>
  <c r="A1363" i="26" s="1"/>
  <c r="B1364" i="26"/>
  <c r="A1364" i="26" s="1"/>
  <c r="B1365" i="26"/>
  <c r="A1365" i="26" s="1"/>
  <c r="B1366" i="26"/>
  <c r="A1366" i="26" s="1"/>
  <c r="B1367" i="26"/>
  <c r="A1367" i="26" s="1"/>
  <c r="B1368" i="26"/>
  <c r="A1368" i="26" s="1"/>
  <c r="B1369" i="26"/>
  <c r="A1369" i="26" s="1"/>
  <c r="B1370" i="26"/>
  <c r="A1370" i="26" s="1"/>
  <c r="B1371" i="26"/>
  <c r="A1371" i="26" s="1"/>
  <c r="B1372" i="26"/>
  <c r="A1372" i="26" s="1"/>
  <c r="B1373" i="26"/>
  <c r="A1373" i="26" s="1"/>
  <c r="B1374" i="26"/>
  <c r="A1374" i="26" s="1"/>
  <c r="B1375" i="26"/>
  <c r="A1375" i="26" s="1"/>
  <c r="B1376" i="26"/>
  <c r="A1376" i="26" s="1"/>
  <c r="B1377" i="26"/>
  <c r="A1377" i="26" s="1"/>
  <c r="B1378" i="26"/>
  <c r="A1378" i="26" s="1"/>
  <c r="B1379" i="26"/>
  <c r="A1379" i="26" s="1"/>
  <c r="B1380" i="26"/>
  <c r="A1380" i="26" s="1"/>
  <c r="B1381" i="26"/>
  <c r="A1381" i="26" s="1"/>
  <c r="B1382" i="26"/>
  <c r="A1382" i="26" s="1"/>
  <c r="B1383" i="26"/>
  <c r="A1383" i="26" s="1"/>
  <c r="B1384" i="26"/>
  <c r="A1384" i="26" s="1"/>
  <c r="B1385" i="26"/>
  <c r="A1385" i="26" s="1"/>
  <c r="B1386" i="26"/>
  <c r="A1386" i="26" s="1"/>
  <c r="B1387" i="26"/>
  <c r="A1387" i="26" s="1"/>
  <c r="B1388" i="26"/>
  <c r="A1388" i="26" s="1"/>
  <c r="B1389" i="26"/>
  <c r="A1389" i="26" s="1"/>
  <c r="B1390" i="26"/>
  <c r="A1390" i="26" s="1"/>
  <c r="B1391" i="26"/>
  <c r="A1391" i="26" s="1"/>
  <c r="B1392" i="26"/>
  <c r="A1392" i="26" s="1"/>
  <c r="B1393" i="26"/>
  <c r="A1393" i="26" s="1"/>
  <c r="B1394" i="26"/>
  <c r="A1394" i="26" s="1"/>
  <c r="B1395" i="26"/>
  <c r="A1395" i="26" s="1"/>
  <c r="B1396" i="26"/>
  <c r="A1396" i="26" s="1"/>
  <c r="B1397" i="26"/>
  <c r="A1397" i="26" s="1"/>
  <c r="B1398" i="26"/>
  <c r="A1398" i="26" s="1"/>
  <c r="B1399" i="26"/>
  <c r="A1399" i="26" s="1"/>
  <c r="B1400" i="26"/>
  <c r="A1400" i="26" s="1"/>
  <c r="B1401" i="26"/>
  <c r="A1401" i="26" s="1"/>
  <c r="B1402" i="26"/>
  <c r="A1402" i="26" s="1"/>
  <c r="B1403" i="26"/>
  <c r="A1403" i="26" s="1"/>
  <c r="B1404" i="26"/>
  <c r="A1404" i="26" s="1"/>
  <c r="B1405" i="26"/>
  <c r="A1405" i="26" s="1"/>
  <c r="B1406" i="26"/>
  <c r="A1406" i="26" s="1"/>
  <c r="B1407" i="26"/>
  <c r="A1407" i="26" s="1"/>
  <c r="B1408" i="26"/>
  <c r="A1408" i="26" s="1"/>
  <c r="B1409" i="26"/>
  <c r="A1409" i="26" s="1"/>
  <c r="B1410" i="26"/>
  <c r="A1410" i="26" s="1"/>
  <c r="B1411" i="26"/>
  <c r="A1411" i="26" s="1"/>
  <c r="B1412" i="26"/>
  <c r="A1412" i="26" s="1"/>
  <c r="B1413" i="26"/>
  <c r="A1413" i="26" s="1"/>
  <c r="B1414" i="26"/>
  <c r="A1414" i="26" s="1"/>
  <c r="B1415" i="26"/>
  <c r="A1415" i="26" s="1"/>
  <c r="B1416" i="26"/>
  <c r="A1416" i="26" s="1"/>
  <c r="B1417" i="26"/>
  <c r="A1417" i="26" s="1"/>
  <c r="B1418" i="26"/>
  <c r="A1418" i="26" s="1"/>
  <c r="B1419" i="26"/>
  <c r="A1419" i="26" s="1"/>
  <c r="B1420" i="26"/>
  <c r="A1420" i="26" s="1"/>
  <c r="B1421" i="26"/>
  <c r="A1421" i="26" s="1"/>
  <c r="B1422" i="26"/>
  <c r="A1422" i="26" s="1"/>
  <c r="B1423" i="26"/>
  <c r="A1423" i="26" s="1"/>
  <c r="B1424" i="26"/>
  <c r="A1424" i="26" s="1"/>
  <c r="B1425" i="26"/>
  <c r="A1425" i="26" s="1"/>
  <c r="B1426" i="26"/>
  <c r="A1426" i="26" s="1"/>
  <c r="B1427" i="26"/>
  <c r="A1427" i="26" s="1"/>
  <c r="B1428" i="26"/>
  <c r="A1428" i="26" s="1"/>
  <c r="B1429" i="26"/>
  <c r="A1429" i="26" s="1"/>
  <c r="B1430" i="26"/>
  <c r="A1430" i="26" s="1"/>
  <c r="B1431" i="26"/>
  <c r="A1431" i="26" s="1"/>
  <c r="B1432" i="26"/>
  <c r="A1432" i="26" s="1"/>
  <c r="B1433" i="26"/>
  <c r="A1433" i="26" s="1"/>
  <c r="B1434" i="26"/>
  <c r="A1434" i="26" s="1"/>
  <c r="B1435" i="26"/>
  <c r="A1435" i="26" s="1"/>
  <c r="B1436" i="26"/>
  <c r="A1436" i="26" s="1"/>
  <c r="B1437" i="26"/>
  <c r="A1437" i="26" s="1"/>
  <c r="B1438" i="26"/>
  <c r="A1438" i="26" s="1"/>
  <c r="B1439" i="26"/>
  <c r="A1439" i="26" s="1"/>
  <c r="B1440" i="26"/>
  <c r="A1440" i="26" s="1"/>
  <c r="B1441" i="26"/>
  <c r="A1441" i="26" s="1"/>
  <c r="B1442" i="26"/>
  <c r="A1442" i="26" s="1"/>
  <c r="B1443" i="26"/>
  <c r="A1443" i="26" s="1"/>
  <c r="B1444" i="26"/>
  <c r="A1444" i="26" s="1"/>
  <c r="B1445" i="26"/>
  <c r="A1445" i="26" s="1"/>
  <c r="B1446" i="26"/>
  <c r="A1446" i="26" s="1"/>
  <c r="B1447" i="26"/>
  <c r="A1447" i="26" s="1"/>
  <c r="B1448" i="26"/>
  <c r="A1448" i="26" s="1"/>
  <c r="B1449" i="26"/>
  <c r="A1449" i="26" s="1"/>
  <c r="B1450" i="26"/>
  <c r="A1450" i="26" s="1"/>
  <c r="B1451" i="26"/>
  <c r="A1451" i="26" s="1"/>
  <c r="B1452" i="26"/>
  <c r="A1452" i="26" s="1"/>
  <c r="B1453" i="26"/>
  <c r="A1453" i="26" s="1"/>
  <c r="B1454" i="26"/>
  <c r="A1454" i="26" s="1"/>
  <c r="B1455" i="26"/>
  <c r="A1455" i="26" s="1"/>
  <c r="B1456" i="26"/>
  <c r="A1456" i="26" s="1"/>
  <c r="B1457" i="26"/>
  <c r="A1457" i="26" s="1"/>
  <c r="B1458" i="26"/>
  <c r="A1458" i="26" s="1"/>
  <c r="B1459" i="26"/>
  <c r="A1459" i="26" s="1"/>
  <c r="B1460" i="26"/>
  <c r="A1460" i="26" s="1"/>
  <c r="B1461" i="26"/>
  <c r="A1461" i="26" s="1"/>
  <c r="B1462" i="26"/>
  <c r="A1462" i="26" s="1"/>
  <c r="B1463" i="26"/>
  <c r="A1463" i="26" s="1"/>
  <c r="B1464" i="26"/>
  <c r="A1464" i="26" s="1"/>
  <c r="B1465" i="26"/>
  <c r="A1465" i="26" s="1"/>
  <c r="B1466" i="26"/>
  <c r="A1466" i="26" s="1"/>
  <c r="B1467" i="26"/>
  <c r="A1467" i="26" s="1"/>
  <c r="B1468" i="26"/>
  <c r="A1468" i="26" s="1"/>
  <c r="B1469" i="26"/>
  <c r="A1469" i="26" s="1"/>
  <c r="B1470" i="26"/>
  <c r="A1470" i="26" s="1"/>
  <c r="B1471" i="26"/>
  <c r="A1471" i="26" s="1"/>
  <c r="B1472" i="26"/>
  <c r="A1472" i="26" s="1"/>
  <c r="B1473" i="26"/>
  <c r="A1473" i="26" s="1"/>
  <c r="B1474" i="26"/>
  <c r="A1474" i="26" s="1"/>
  <c r="B1475" i="26"/>
  <c r="A1475" i="26" s="1"/>
  <c r="B1476" i="26"/>
  <c r="A1476" i="26" s="1"/>
  <c r="B1477" i="26"/>
  <c r="A1477" i="26" s="1"/>
  <c r="B1478" i="26"/>
  <c r="A1478" i="26" s="1"/>
  <c r="B1479" i="26"/>
  <c r="A1479" i="26" s="1"/>
  <c r="B1480" i="26"/>
  <c r="A1480" i="26" s="1"/>
  <c r="B1481" i="26"/>
  <c r="A1481" i="26" s="1"/>
  <c r="B1482" i="26"/>
  <c r="A1482" i="26" s="1"/>
  <c r="B1483" i="26"/>
  <c r="A1483" i="26" s="1"/>
  <c r="B1484" i="26"/>
  <c r="A1484" i="26" s="1"/>
  <c r="B1485" i="26"/>
  <c r="A1485" i="26" s="1"/>
  <c r="B1486" i="26"/>
  <c r="A1486" i="26" s="1"/>
  <c r="B1487" i="26"/>
  <c r="A1487" i="26" s="1"/>
  <c r="B1488" i="26"/>
  <c r="A1488" i="26" s="1"/>
  <c r="B1489" i="26"/>
  <c r="A1489" i="26" s="1"/>
  <c r="B1490" i="26"/>
  <c r="A1490" i="26" s="1"/>
  <c r="B1491" i="26"/>
  <c r="A1491" i="26" s="1"/>
  <c r="B1492" i="26"/>
  <c r="A1492" i="26" s="1"/>
  <c r="B1493" i="26"/>
  <c r="A1493" i="26" s="1"/>
  <c r="B1494" i="26"/>
  <c r="A1494" i="26" s="1"/>
  <c r="B1495" i="26"/>
  <c r="A1495" i="26" s="1"/>
  <c r="B1496" i="26"/>
  <c r="A1496" i="26" s="1"/>
  <c r="B1497" i="26"/>
  <c r="A1497" i="26" s="1"/>
  <c r="B1498" i="26"/>
  <c r="A1498" i="26" s="1"/>
  <c r="B1499" i="26"/>
  <c r="A1499" i="26" s="1"/>
  <c r="B1500" i="26"/>
  <c r="A1500" i="26" s="1"/>
  <c r="B1501" i="26"/>
  <c r="A1501" i="26" s="1"/>
  <c r="B1502" i="26"/>
  <c r="A1502" i="26" s="1"/>
  <c r="B1503" i="26"/>
  <c r="A1503" i="26" s="1"/>
  <c r="B1504" i="26"/>
  <c r="A1504" i="26" s="1"/>
  <c r="B1505" i="26"/>
  <c r="A1505" i="26" s="1"/>
  <c r="B1506" i="26"/>
  <c r="A1506" i="26" s="1"/>
  <c r="B1507" i="26"/>
  <c r="A1507" i="26" s="1"/>
  <c r="B1508" i="26"/>
  <c r="A1508" i="26" s="1"/>
  <c r="B1509" i="26"/>
  <c r="A1509" i="26" s="1"/>
  <c r="B1510" i="26"/>
  <c r="A1510" i="26" s="1"/>
  <c r="B1511" i="26"/>
  <c r="A1511" i="26" s="1"/>
  <c r="B1512" i="26"/>
  <c r="A1512" i="26" s="1"/>
  <c r="B1513" i="26"/>
  <c r="A1513" i="26" s="1"/>
  <c r="B1514" i="26"/>
  <c r="A1514" i="26" s="1"/>
  <c r="B1515" i="26"/>
  <c r="A1515" i="26" s="1"/>
  <c r="B1516" i="26"/>
  <c r="A1516" i="26" s="1"/>
  <c r="B1517" i="26"/>
  <c r="A1517" i="26" s="1"/>
  <c r="B1518" i="26"/>
  <c r="A1518" i="26" s="1"/>
  <c r="B1519" i="26"/>
  <c r="A1519" i="26" s="1"/>
  <c r="B1520" i="26"/>
  <c r="A1520" i="26" s="1"/>
  <c r="B1521" i="26"/>
  <c r="A1521" i="26" s="1"/>
  <c r="B1522" i="26"/>
  <c r="A1522" i="26" s="1"/>
  <c r="B1523" i="26"/>
  <c r="A1523" i="26" s="1"/>
  <c r="B1524" i="26"/>
  <c r="A1524" i="26" s="1"/>
  <c r="B1525" i="26"/>
  <c r="A1525" i="26" s="1"/>
  <c r="B1526" i="26"/>
  <c r="A1526" i="26" s="1"/>
  <c r="B1527" i="26"/>
  <c r="A1527" i="26" s="1"/>
  <c r="B1528" i="26"/>
  <c r="A1528" i="26" s="1"/>
  <c r="B1529" i="26"/>
  <c r="A1529" i="26" s="1"/>
  <c r="B1530" i="26"/>
  <c r="A1530" i="26" s="1"/>
  <c r="B1531" i="26"/>
  <c r="A1531" i="26" s="1"/>
  <c r="B1532" i="26"/>
  <c r="A1532" i="26" s="1"/>
  <c r="B1533" i="26"/>
  <c r="A1533" i="26" s="1"/>
  <c r="B1534" i="26"/>
  <c r="A1534" i="26" s="1"/>
  <c r="B1535" i="26"/>
  <c r="A1535" i="26" s="1"/>
  <c r="B1536" i="26"/>
  <c r="A1536" i="26" s="1"/>
  <c r="B1537" i="26"/>
  <c r="A1537" i="26" s="1"/>
  <c r="B1538" i="26"/>
  <c r="A1538" i="26" s="1"/>
  <c r="B1539" i="26"/>
  <c r="A1539" i="26" s="1"/>
  <c r="B1540" i="26"/>
  <c r="A1540" i="26" s="1"/>
  <c r="B1541" i="26"/>
  <c r="A1541" i="26" s="1"/>
  <c r="B1542" i="26"/>
  <c r="A1542" i="26" s="1"/>
  <c r="B1543" i="26"/>
  <c r="A1543" i="26" s="1"/>
  <c r="B1544" i="26"/>
  <c r="A1544" i="26" s="1"/>
  <c r="B1545" i="26"/>
  <c r="A1545" i="26" s="1"/>
  <c r="B1546" i="26"/>
  <c r="A1546" i="26" s="1"/>
  <c r="B1547" i="26"/>
  <c r="A1547" i="26" s="1"/>
  <c r="B1548" i="26"/>
  <c r="A1548" i="26" s="1"/>
  <c r="B1549" i="26"/>
  <c r="A1549" i="26" s="1"/>
  <c r="B1550" i="26"/>
  <c r="A1550" i="26" s="1"/>
  <c r="B1551" i="26"/>
  <c r="A1551" i="26" s="1"/>
  <c r="B1552" i="26"/>
  <c r="A1552" i="26" s="1"/>
  <c r="B1553" i="26"/>
  <c r="A1553" i="26" s="1"/>
  <c r="B1554" i="26"/>
  <c r="A1554" i="26" s="1"/>
  <c r="B1555" i="26"/>
  <c r="A1555" i="26" s="1"/>
  <c r="B1556" i="26"/>
  <c r="A1556" i="26" s="1"/>
  <c r="B1557" i="26"/>
  <c r="A1557" i="26" s="1"/>
  <c r="B1558" i="26"/>
  <c r="A1558" i="26" s="1"/>
  <c r="B1559" i="26"/>
  <c r="A1559" i="26" s="1"/>
  <c r="B1560" i="26"/>
  <c r="A1560" i="26" s="1"/>
  <c r="B1561" i="26"/>
  <c r="A1561" i="26" s="1"/>
  <c r="B1562" i="26"/>
  <c r="A1562" i="26" s="1"/>
  <c r="B1563" i="26"/>
  <c r="A1563" i="26" s="1"/>
  <c r="B1564" i="26"/>
  <c r="A1564" i="26" s="1"/>
  <c r="B1565" i="26"/>
  <c r="A1565" i="26" s="1"/>
  <c r="B1566" i="26"/>
  <c r="A1566" i="26" s="1"/>
  <c r="B1567" i="26"/>
  <c r="A1567" i="26" s="1"/>
  <c r="B1568" i="26"/>
  <c r="A1568" i="26" s="1"/>
  <c r="B1569" i="26"/>
  <c r="A1569" i="26" s="1"/>
  <c r="B1570" i="26"/>
  <c r="A1570" i="26" s="1"/>
  <c r="B1571" i="26"/>
  <c r="A1571" i="26" s="1"/>
  <c r="B1572" i="26"/>
  <c r="A1572" i="26" s="1"/>
  <c r="B1573" i="26"/>
  <c r="A1573" i="26" s="1"/>
  <c r="B1574" i="26"/>
  <c r="A1574" i="26" s="1"/>
  <c r="B1575" i="26"/>
  <c r="A1575" i="26" s="1"/>
  <c r="B1576" i="26"/>
  <c r="A1576" i="26" s="1"/>
  <c r="B1577" i="26"/>
  <c r="A1577" i="26" s="1"/>
  <c r="B1578" i="26"/>
  <c r="A1578" i="26" s="1"/>
  <c r="B1579" i="26"/>
  <c r="A1579" i="26" s="1"/>
  <c r="B1580" i="26"/>
  <c r="A1580" i="26" s="1"/>
  <c r="B1581" i="26"/>
  <c r="A1581" i="26" s="1"/>
  <c r="B1582" i="26"/>
  <c r="A1582" i="26" s="1"/>
  <c r="B1583" i="26"/>
  <c r="A1583" i="26" s="1"/>
  <c r="B1584" i="26"/>
  <c r="A1584" i="26" s="1"/>
  <c r="B1585" i="26"/>
  <c r="A1585" i="26" s="1"/>
  <c r="B1586" i="26"/>
  <c r="A1586" i="26" s="1"/>
  <c r="B1587" i="26"/>
  <c r="A1587" i="26" s="1"/>
  <c r="B1588" i="26"/>
  <c r="A1588" i="26" s="1"/>
  <c r="B1589" i="26"/>
  <c r="A1589" i="26" s="1"/>
  <c r="B1590" i="26"/>
  <c r="A1590" i="26" s="1"/>
  <c r="B1591" i="26"/>
  <c r="A1591" i="26" s="1"/>
  <c r="B1592" i="26"/>
  <c r="A1592" i="26" s="1"/>
  <c r="B1593" i="26"/>
  <c r="A1593" i="26" s="1"/>
  <c r="B1594" i="26"/>
  <c r="A1594" i="26" s="1"/>
  <c r="B1595" i="26"/>
  <c r="A1595" i="26" s="1"/>
  <c r="B1596" i="26"/>
  <c r="A1596" i="26" s="1"/>
  <c r="B1597" i="26"/>
  <c r="A1597" i="26" s="1"/>
  <c r="B1598" i="26"/>
  <c r="A1598" i="26" s="1"/>
  <c r="B1599" i="26"/>
  <c r="A1599" i="26" s="1"/>
  <c r="B1600" i="26"/>
  <c r="A1600" i="26" s="1"/>
  <c r="B1601" i="26"/>
  <c r="A1601" i="26" s="1"/>
  <c r="B1602" i="26"/>
  <c r="A1602" i="26" s="1"/>
  <c r="B1603" i="26"/>
  <c r="A1603" i="26" s="1"/>
  <c r="B1604" i="26"/>
  <c r="A1604" i="26" s="1"/>
  <c r="B1605" i="26"/>
  <c r="A1605" i="26" s="1"/>
  <c r="B1606" i="26"/>
  <c r="A1606" i="26" s="1"/>
  <c r="B1607" i="26"/>
  <c r="A1607" i="26" s="1"/>
  <c r="B1608" i="26"/>
  <c r="A1608" i="26" s="1"/>
  <c r="B1609" i="26"/>
  <c r="A1609" i="26" s="1"/>
  <c r="B1610" i="26"/>
  <c r="A1610" i="26" s="1"/>
  <c r="B1611" i="26"/>
  <c r="A1611" i="26" s="1"/>
  <c r="B1612" i="26"/>
  <c r="A1612" i="26" s="1"/>
  <c r="B1613" i="26"/>
  <c r="A1613" i="26" s="1"/>
  <c r="B1614" i="26"/>
  <c r="A1614" i="26" s="1"/>
  <c r="B1615" i="26"/>
  <c r="A1615" i="26" s="1"/>
  <c r="B1616" i="26"/>
  <c r="A1616" i="26" s="1"/>
  <c r="B1617" i="26"/>
  <c r="A1617" i="26" s="1"/>
  <c r="B1618" i="26"/>
  <c r="A1618" i="26" s="1"/>
  <c r="B1619" i="26"/>
  <c r="A1619" i="26" s="1"/>
  <c r="B1620" i="26"/>
  <c r="A1620" i="26" s="1"/>
  <c r="B1621" i="26"/>
  <c r="A1621" i="26" s="1"/>
  <c r="B1622" i="26"/>
  <c r="A1622" i="26" s="1"/>
  <c r="B1623" i="26"/>
  <c r="A1623" i="26" s="1"/>
  <c r="B1624" i="26"/>
  <c r="A1624" i="26" s="1"/>
  <c r="B1625" i="26"/>
  <c r="A1625" i="26" s="1"/>
  <c r="B1626" i="26"/>
  <c r="A1626" i="26" s="1"/>
  <c r="B1627" i="26"/>
  <c r="A1627" i="26" s="1"/>
  <c r="B1628" i="26"/>
  <c r="A1628" i="26" s="1"/>
  <c r="B1629" i="26"/>
  <c r="A1629" i="26" s="1"/>
  <c r="B1630" i="26"/>
  <c r="A1630" i="26" s="1"/>
  <c r="B1631" i="26"/>
  <c r="A1631" i="26" s="1"/>
  <c r="B1632" i="26"/>
  <c r="A1632" i="26" s="1"/>
  <c r="B1633" i="26"/>
  <c r="A1633" i="26" s="1"/>
  <c r="B1634" i="26"/>
  <c r="A1634" i="26" s="1"/>
  <c r="B1635" i="26"/>
  <c r="A1635" i="26" s="1"/>
  <c r="B1636" i="26"/>
  <c r="A1636" i="26" s="1"/>
  <c r="B1637" i="26"/>
  <c r="A1637" i="26" s="1"/>
  <c r="B1638" i="26"/>
  <c r="A1638" i="26" s="1"/>
  <c r="B1639" i="26"/>
  <c r="A1639" i="26" s="1"/>
  <c r="B1640" i="26"/>
  <c r="A1640" i="26" s="1"/>
  <c r="B1641" i="26"/>
  <c r="A1641" i="26" s="1"/>
  <c r="B1642" i="26"/>
  <c r="A1642" i="26" s="1"/>
  <c r="B1643" i="26"/>
  <c r="A1643" i="26" s="1"/>
  <c r="B1644" i="26"/>
  <c r="A1644" i="26" s="1"/>
  <c r="B1645" i="26"/>
  <c r="A1645" i="26" s="1"/>
  <c r="B1646" i="26"/>
  <c r="A1646" i="26" s="1"/>
  <c r="B1647" i="26"/>
  <c r="A1647" i="26" s="1"/>
  <c r="B1648" i="26"/>
  <c r="A1648" i="26" s="1"/>
  <c r="B1649" i="26"/>
  <c r="A1649" i="26" s="1"/>
  <c r="B1650" i="26"/>
  <c r="A1650" i="26" s="1"/>
  <c r="B1651" i="26"/>
  <c r="A1651" i="26" s="1"/>
  <c r="B1652" i="26"/>
  <c r="A1652" i="26" s="1"/>
  <c r="B1653" i="26"/>
  <c r="A1653" i="26" s="1"/>
  <c r="B1654" i="26"/>
  <c r="A1654" i="26" s="1"/>
  <c r="B1655" i="26"/>
  <c r="A1655" i="26" s="1"/>
  <c r="B1656" i="26"/>
  <c r="A1656" i="26" s="1"/>
  <c r="B1657" i="26"/>
  <c r="A1657" i="26" s="1"/>
  <c r="B1658" i="26"/>
  <c r="A1658" i="26" s="1"/>
  <c r="B1659" i="26"/>
  <c r="A1659" i="26" s="1"/>
  <c r="B1660" i="26"/>
  <c r="A1660" i="26" s="1"/>
  <c r="B1661" i="26"/>
  <c r="A1661" i="26" s="1"/>
  <c r="B1662" i="26"/>
  <c r="A1662" i="26" s="1"/>
  <c r="B1663" i="26"/>
  <c r="A1663" i="26" s="1"/>
  <c r="B1664" i="26"/>
  <c r="A1664" i="26" s="1"/>
  <c r="B1665" i="26"/>
  <c r="A1665" i="26" s="1"/>
  <c r="B1666" i="26"/>
  <c r="A1666" i="26" s="1"/>
  <c r="B1667" i="26"/>
  <c r="A1667" i="26" s="1"/>
  <c r="B1668" i="26"/>
  <c r="A1668" i="26" s="1"/>
  <c r="B1669" i="26"/>
  <c r="A1669" i="26" s="1"/>
  <c r="B1670" i="26"/>
  <c r="A1670" i="26" s="1"/>
  <c r="B1671" i="26"/>
  <c r="A1671" i="26" s="1"/>
  <c r="B1672" i="26"/>
  <c r="A1672" i="26" s="1"/>
  <c r="B1673" i="26"/>
  <c r="A1673" i="26" s="1"/>
  <c r="B1674" i="26"/>
  <c r="A1674" i="26" s="1"/>
  <c r="B1675" i="26"/>
  <c r="A1675" i="26" s="1"/>
  <c r="B1676" i="26"/>
  <c r="A1676" i="26" s="1"/>
  <c r="B1677" i="26"/>
  <c r="A1677" i="26" s="1"/>
  <c r="B1678" i="26"/>
  <c r="A1678" i="26" s="1"/>
  <c r="B1679" i="26"/>
  <c r="A1679" i="26" s="1"/>
  <c r="B1680" i="26"/>
  <c r="A1680" i="26" s="1"/>
  <c r="B1681" i="26"/>
  <c r="A1681" i="26" s="1"/>
  <c r="B1682" i="26"/>
  <c r="A1682" i="26" s="1"/>
  <c r="B1683" i="26"/>
  <c r="A1683" i="26" s="1"/>
  <c r="B1684" i="26"/>
  <c r="A1684" i="26" s="1"/>
  <c r="B1685" i="26"/>
  <c r="A1685" i="26" s="1"/>
  <c r="B1686" i="26"/>
  <c r="A1686" i="26" s="1"/>
  <c r="B1687" i="26"/>
  <c r="A1687" i="26" s="1"/>
  <c r="B1688" i="26"/>
  <c r="A1688" i="26" s="1"/>
  <c r="B1689" i="26"/>
  <c r="A1689" i="26" s="1"/>
  <c r="B1690" i="26"/>
  <c r="A1690" i="26" s="1"/>
  <c r="B1691" i="26"/>
  <c r="A1691" i="26" s="1"/>
  <c r="B1692" i="26"/>
  <c r="A1692" i="26" s="1"/>
  <c r="B1693" i="26"/>
  <c r="A1693" i="26" s="1"/>
  <c r="B1694" i="26"/>
  <c r="A1694" i="26" s="1"/>
  <c r="B1695" i="26"/>
  <c r="A1695" i="26" s="1"/>
  <c r="B1696" i="26"/>
  <c r="A1696" i="26" s="1"/>
  <c r="B1697" i="26"/>
  <c r="A1697" i="26" s="1"/>
  <c r="B1698" i="26"/>
  <c r="A1698" i="26" s="1"/>
  <c r="B1699" i="26"/>
  <c r="A1699" i="26" s="1"/>
  <c r="B1700" i="26"/>
  <c r="A1700" i="26" s="1"/>
  <c r="B1701" i="26"/>
  <c r="A1701" i="26" s="1"/>
  <c r="B1702" i="26"/>
  <c r="A1702" i="26" s="1"/>
  <c r="B1703" i="26"/>
  <c r="A1703" i="26" s="1"/>
  <c r="B1704" i="26"/>
  <c r="A1704" i="26" s="1"/>
  <c r="B1705" i="26"/>
  <c r="A1705" i="26" s="1"/>
  <c r="B1706" i="26"/>
  <c r="A1706" i="26" s="1"/>
  <c r="B1707" i="26"/>
  <c r="A1707" i="26" s="1"/>
  <c r="B1708" i="26"/>
  <c r="A1708" i="26" s="1"/>
  <c r="B1709" i="26"/>
  <c r="A1709" i="26" s="1"/>
  <c r="B1710" i="26"/>
  <c r="A1710" i="26" s="1"/>
  <c r="B1711" i="26"/>
  <c r="A1711" i="26" s="1"/>
  <c r="B1712" i="26"/>
  <c r="A1712" i="26" s="1"/>
  <c r="B1713" i="26"/>
  <c r="A1713" i="26" s="1"/>
  <c r="B1714" i="26"/>
  <c r="A1714" i="26" s="1"/>
  <c r="B1715" i="26"/>
  <c r="A1715" i="26" s="1"/>
  <c r="B1716" i="26"/>
  <c r="A1716" i="26" s="1"/>
  <c r="B1717" i="26"/>
  <c r="A1717" i="26" s="1"/>
  <c r="B1718" i="26"/>
  <c r="A1718" i="26" s="1"/>
  <c r="B1719" i="26"/>
  <c r="A1719" i="26" s="1"/>
  <c r="B1720" i="26"/>
  <c r="A1720" i="26" s="1"/>
  <c r="B1721" i="26"/>
  <c r="A1721" i="26" s="1"/>
  <c r="B1722" i="26"/>
  <c r="A1722" i="26" s="1"/>
  <c r="B1723" i="26"/>
  <c r="A1723" i="26" s="1"/>
  <c r="B1724" i="26"/>
  <c r="A1724" i="26" s="1"/>
  <c r="B1725" i="26"/>
  <c r="A1725" i="26" s="1"/>
  <c r="B1726" i="26"/>
  <c r="A1726" i="26" s="1"/>
  <c r="B1727" i="26"/>
  <c r="A1727" i="26" s="1"/>
  <c r="B1728" i="26"/>
  <c r="A1728" i="26" s="1"/>
  <c r="B1729" i="26"/>
  <c r="A1729" i="26" s="1"/>
  <c r="B1730" i="26"/>
  <c r="A1730" i="26" s="1"/>
  <c r="B1731" i="26"/>
  <c r="A1731" i="26" s="1"/>
  <c r="B1732" i="26"/>
  <c r="A1732" i="26" s="1"/>
  <c r="B1733" i="26"/>
  <c r="A1733" i="26" s="1"/>
  <c r="B1734" i="26"/>
  <c r="A1734" i="26" s="1"/>
  <c r="B1735" i="26"/>
  <c r="A1735" i="26" s="1"/>
  <c r="B1736" i="26"/>
  <c r="A1736" i="26" s="1"/>
  <c r="B1737" i="26"/>
  <c r="A1737" i="26" s="1"/>
  <c r="B1738" i="26"/>
  <c r="A1738" i="26" s="1"/>
  <c r="B1739" i="26"/>
  <c r="A1739" i="26" s="1"/>
  <c r="B1740" i="26"/>
  <c r="A1740" i="26" s="1"/>
  <c r="B1741" i="26"/>
  <c r="A1741" i="26" s="1"/>
  <c r="B1742" i="26"/>
  <c r="A1742" i="26" s="1"/>
  <c r="B1743" i="26"/>
  <c r="A1743" i="26" s="1"/>
  <c r="B1744" i="26"/>
  <c r="A1744" i="26" s="1"/>
  <c r="B1745" i="26"/>
  <c r="A1745" i="26" s="1"/>
  <c r="B1746" i="26"/>
  <c r="A1746" i="26" s="1"/>
  <c r="B1747" i="26"/>
  <c r="A1747" i="26" s="1"/>
  <c r="B1748" i="26"/>
  <c r="A1748" i="26" s="1"/>
  <c r="B1749" i="26"/>
  <c r="A1749" i="26" s="1"/>
  <c r="B1750" i="26"/>
  <c r="A1750" i="26" s="1"/>
  <c r="B1751" i="26"/>
  <c r="A1751" i="26" s="1"/>
  <c r="B1752" i="26"/>
  <c r="A1752" i="26" s="1"/>
  <c r="B1753" i="26"/>
  <c r="A1753" i="26" s="1"/>
  <c r="B1754" i="26"/>
  <c r="A1754" i="26" s="1"/>
  <c r="B1755" i="26"/>
  <c r="A1755" i="26" s="1"/>
  <c r="B1756" i="26"/>
  <c r="A1756" i="26" s="1"/>
  <c r="B1757" i="26"/>
  <c r="A1757" i="26" s="1"/>
  <c r="B1758" i="26"/>
  <c r="A1758" i="26" s="1"/>
  <c r="B1759" i="26"/>
  <c r="A1759" i="26" s="1"/>
  <c r="B1760" i="26"/>
  <c r="A1760" i="26" s="1"/>
  <c r="B1761" i="26"/>
  <c r="A1761" i="26" s="1"/>
  <c r="B1762" i="26"/>
  <c r="A1762" i="26" s="1"/>
  <c r="B1763" i="26"/>
  <c r="A1763" i="26" s="1"/>
  <c r="B1764" i="26"/>
  <c r="A1764" i="26" s="1"/>
  <c r="B1765" i="26"/>
  <c r="A1765" i="26" s="1"/>
  <c r="B1766" i="26"/>
  <c r="A1766" i="26" s="1"/>
  <c r="B1767" i="26"/>
  <c r="A1767" i="26" s="1"/>
  <c r="B1768" i="26"/>
  <c r="A1768" i="26" s="1"/>
  <c r="B1769" i="26"/>
  <c r="A1769" i="26" s="1"/>
  <c r="B1770" i="26"/>
  <c r="A1770" i="26" s="1"/>
  <c r="B1771" i="26"/>
  <c r="A1771" i="26" s="1"/>
  <c r="B1772" i="26"/>
  <c r="A1772" i="26" s="1"/>
  <c r="B1773" i="26"/>
  <c r="A1773" i="26" s="1"/>
  <c r="B1774" i="26"/>
  <c r="A1774" i="26" s="1"/>
  <c r="B1775" i="26"/>
  <c r="A1775" i="26" s="1"/>
  <c r="B1776" i="26"/>
  <c r="A1776" i="26" s="1"/>
  <c r="B1777" i="26"/>
  <c r="A1777" i="26" s="1"/>
  <c r="B1778" i="26"/>
  <c r="A1778" i="26" s="1"/>
  <c r="B1779" i="26"/>
  <c r="A1779" i="26" s="1"/>
  <c r="B1780" i="26"/>
  <c r="A1780" i="26" s="1"/>
  <c r="B1781" i="26"/>
  <c r="A1781" i="26" s="1"/>
  <c r="B1782" i="26"/>
  <c r="A1782" i="26" s="1"/>
  <c r="B1783" i="26"/>
  <c r="A1783" i="26" s="1"/>
  <c r="B1784" i="26"/>
  <c r="A1784" i="26" s="1"/>
  <c r="B1785" i="26"/>
  <c r="A1785" i="26" s="1"/>
  <c r="B1786" i="26"/>
  <c r="A1786" i="26" s="1"/>
  <c r="B1787" i="26"/>
  <c r="A1787" i="26" s="1"/>
  <c r="B1788" i="26"/>
  <c r="A1788" i="26" s="1"/>
  <c r="B1789" i="26"/>
  <c r="A1789" i="26" s="1"/>
  <c r="B1790" i="26"/>
  <c r="A1790" i="26" s="1"/>
  <c r="B1791" i="26"/>
  <c r="A1791" i="26" s="1"/>
  <c r="B1792" i="26"/>
  <c r="A1792" i="26" s="1"/>
  <c r="B1793" i="26"/>
  <c r="A1793" i="26" s="1"/>
  <c r="B1794" i="26"/>
  <c r="A1794" i="26" s="1"/>
  <c r="B1795" i="26"/>
  <c r="A1795" i="26" s="1"/>
  <c r="B1796" i="26"/>
  <c r="A1796" i="26" s="1"/>
  <c r="B1797" i="26"/>
  <c r="A1797" i="26" s="1"/>
  <c r="B1798" i="26"/>
  <c r="A1798" i="26" s="1"/>
  <c r="B1799" i="26"/>
  <c r="A1799" i="26" s="1"/>
  <c r="B1800" i="26"/>
  <c r="A1800" i="26" s="1"/>
  <c r="B1801" i="26"/>
  <c r="A1801" i="26" s="1"/>
  <c r="B1802" i="26"/>
  <c r="A1802" i="26" s="1"/>
  <c r="B1803" i="26"/>
  <c r="A1803" i="26" s="1"/>
  <c r="B1804" i="26"/>
  <c r="A1804" i="26" s="1"/>
  <c r="B1805" i="26"/>
  <c r="A1805" i="26" s="1"/>
  <c r="B1806" i="26"/>
  <c r="A1806" i="26" s="1"/>
  <c r="B1807" i="26"/>
  <c r="A1807" i="26" s="1"/>
  <c r="B1808" i="26"/>
  <c r="A1808" i="26" s="1"/>
  <c r="B1809" i="26"/>
  <c r="A1809" i="26" s="1"/>
  <c r="B1810" i="26"/>
  <c r="A1810" i="26" s="1"/>
  <c r="B1811" i="26"/>
  <c r="A1811" i="26" s="1"/>
  <c r="B1812" i="26"/>
  <c r="A1812" i="26" s="1"/>
  <c r="B1813" i="26"/>
  <c r="A1813" i="26" s="1"/>
  <c r="B1814" i="26"/>
  <c r="A1814" i="26" s="1"/>
  <c r="B1815" i="26"/>
  <c r="A1815" i="26" s="1"/>
  <c r="B1816" i="26"/>
  <c r="A1816" i="26" s="1"/>
  <c r="B1817" i="26"/>
  <c r="A1817" i="26" s="1"/>
  <c r="B1818" i="26"/>
  <c r="A1818" i="26" s="1"/>
  <c r="B1819" i="26"/>
  <c r="A1819" i="26" s="1"/>
  <c r="B1820" i="26"/>
  <c r="A1820" i="26" s="1"/>
  <c r="B1821" i="26"/>
  <c r="A1821" i="26" s="1"/>
  <c r="B1822" i="26"/>
  <c r="A1822" i="26" s="1"/>
  <c r="B1823" i="26"/>
  <c r="A1823" i="26" s="1"/>
  <c r="B1824" i="26"/>
  <c r="A1824" i="26" s="1"/>
  <c r="B1825" i="26"/>
  <c r="A1825" i="26" s="1"/>
  <c r="B1826" i="26"/>
  <c r="A1826" i="26" s="1"/>
  <c r="B1827" i="26"/>
  <c r="A1827" i="26" s="1"/>
  <c r="B1828" i="26"/>
  <c r="A1828" i="26" s="1"/>
  <c r="B1829" i="26"/>
  <c r="A1829" i="26" s="1"/>
  <c r="B1830" i="26"/>
  <c r="A1830" i="26" s="1"/>
  <c r="B1831" i="26"/>
  <c r="A1831" i="26" s="1"/>
  <c r="B1832" i="26"/>
  <c r="A1832" i="26" s="1"/>
  <c r="B1833" i="26"/>
  <c r="A1833" i="26" s="1"/>
  <c r="B1834" i="26"/>
  <c r="A1834" i="26" s="1"/>
  <c r="B1835" i="26"/>
  <c r="A1835" i="26" s="1"/>
  <c r="B1836" i="26"/>
  <c r="A1836" i="26" s="1"/>
  <c r="B1837" i="26"/>
  <c r="A1837" i="26" s="1"/>
  <c r="B1838" i="26"/>
  <c r="A1838" i="26" s="1"/>
  <c r="B1839" i="26"/>
  <c r="A1839" i="26" s="1"/>
  <c r="B1840" i="26"/>
  <c r="A1840" i="26" s="1"/>
  <c r="B1841" i="26"/>
  <c r="A1841" i="26" s="1"/>
  <c r="B1842" i="26"/>
  <c r="A1842" i="26" s="1"/>
  <c r="B1843" i="26"/>
  <c r="A1843" i="26" s="1"/>
  <c r="B1844" i="26"/>
  <c r="A1844" i="26" s="1"/>
  <c r="B1845" i="26"/>
  <c r="A1845" i="26" s="1"/>
  <c r="B1846" i="26"/>
  <c r="A1846" i="26" s="1"/>
  <c r="B1847" i="26"/>
  <c r="A1847" i="26" s="1"/>
  <c r="B1848" i="26"/>
  <c r="A1848" i="26" s="1"/>
  <c r="B1849" i="26"/>
  <c r="A1849" i="26" s="1"/>
  <c r="B1850" i="26"/>
  <c r="A1850" i="26" s="1"/>
  <c r="B1851" i="26"/>
  <c r="A1851" i="26" s="1"/>
  <c r="B1852" i="26"/>
  <c r="A1852" i="26" s="1"/>
  <c r="B1853" i="26"/>
  <c r="A1853" i="26" s="1"/>
  <c r="B1854" i="26"/>
  <c r="A1854" i="26" s="1"/>
  <c r="B1855" i="26"/>
  <c r="A1855" i="26" s="1"/>
  <c r="B1856" i="26"/>
  <c r="A1856" i="26" s="1"/>
  <c r="B1857" i="26"/>
  <c r="A1857" i="26" s="1"/>
  <c r="B1858" i="26"/>
  <c r="A1858" i="26" s="1"/>
  <c r="B1859" i="26"/>
  <c r="A1859" i="26" s="1"/>
  <c r="B1860" i="26"/>
  <c r="A1860" i="26" s="1"/>
  <c r="B1861" i="26"/>
  <c r="A1861" i="26" s="1"/>
  <c r="B1862" i="26"/>
  <c r="A1862" i="26" s="1"/>
  <c r="B1863" i="26"/>
  <c r="A1863" i="26" s="1"/>
  <c r="B1864" i="26"/>
  <c r="A1864" i="26" s="1"/>
  <c r="B1865" i="26"/>
  <c r="A1865" i="26" s="1"/>
  <c r="B1866" i="26"/>
  <c r="A1866" i="26" s="1"/>
  <c r="B1867" i="26"/>
  <c r="A1867" i="26" s="1"/>
  <c r="B1868" i="26"/>
  <c r="A1868" i="26" s="1"/>
  <c r="B1869" i="26"/>
  <c r="A1869" i="26" s="1"/>
  <c r="B1870" i="26"/>
  <c r="A1870" i="26" s="1"/>
  <c r="B1871" i="26"/>
  <c r="A1871" i="26" s="1"/>
  <c r="B1872" i="26"/>
  <c r="A1872" i="26" s="1"/>
  <c r="B1873" i="26"/>
  <c r="A1873" i="26" s="1"/>
  <c r="B1874" i="26"/>
  <c r="A1874" i="26" s="1"/>
  <c r="B1875" i="26"/>
  <c r="A1875" i="26" s="1"/>
  <c r="B1876" i="26"/>
  <c r="A1876" i="26" s="1"/>
  <c r="B1877" i="26"/>
  <c r="A1877" i="26" s="1"/>
  <c r="B1878" i="26"/>
  <c r="A1878" i="26" s="1"/>
  <c r="B1879" i="26"/>
  <c r="A1879" i="26" s="1"/>
  <c r="B1880" i="26"/>
  <c r="A1880" i="26" s="1"/>
  <c r="B1881" i="26"/>
  <c r="A1881" i="26" s="1"/>
  <c r="B1882" i="26"/>
  <c r="A1882" i="26" s="1"/>
  <c r="B1883" i="26"/>
  <c r="A1883" i="26" s="1"/>
  <c r="B1884" i="26"/>
  <c r="A1884" i="26" s="1"/>
  <c r="B1885" i="26"/>
  <c r="A1885" i="26" s="1"/>
  <c r="B1886" i="26"/>
  <c r="A1886" i="26" s="1"/>
  <c r="B1887" i="26"/>
  <c r="A1887" i="26" s="1"/>
  <c r="B1888" i="26"/>
  <c r="A1888" i="26" s="1"/>
  <c r="B1889" i="26"/>
  <c r="A1889" i="26" s="1"/>
  <c r="B1890" i="26"/>
  <c r="A1890" i="26" s="1"/>
  <c r="B1891" i="26"/>
  <c r="A1891" i="26" s="1"/>
  <c r="B1892" i="26"/>
  <c r="A1892" i="26" s="1"/>
  <c r="B1893" i="26"/>
  <c r="A1893" i="26" s="1"/>
  <c r="B1894" i="26"/>
  <c r="A1894" i="26" s="1"/>
  <c r="B1895" i="26"/>
  <c r="A1895" i="26" s="1"/>
  <c r="B1896" i="26"/>
  <c r="A1896" i="26" s="1"/>
  <c r="B1897" i="26"/>
  <c r="A1897" i="26" s="1"/>
  <c r="B1898" i="26"/>
  <c r="A1898" i="26" s="1"/>
  <c r="B1899" i="26"/>
  <c r="A1899" i="26" s="1"/>
  <c r="B1900" i="26"/>
  <c r="A1900" i="26" s="1"/>
  <c r="B1901" i="26"/>
  <c r="A1901" i="26" s="1"/>
  <c r="B1902" i="26"/>
  <c r="A1902" i="26" s="1"/>
  <c r="B1903" i="26"/>
  <c r="A1903" i="26" s="1"/>
  <c r="B1904" i="26"/>
  <c r="A1904" i="26" s="1"/>
  <c r="B1905" i="26"/>
  <c r="A1905" i="26" s="1"/>
  <c r="B1906" i="26"/>
  <c r="A1906" i="26" s="1"/>
  <c r="B1907" i="26"/>
  <c r="A1907" i="26" s="1"/>
  <c r="B1908" i="26"/>
  <c r="A1908" i="26" s="1"/>
  <c r="B1909" i="26"/>
  <c r="A1909" i="26" s="1"/>
  <c r="B1910" i="26"/>
  <c r="A1910" i="26" s="1"/>
  <c r="B1911" i="26"/>
  <c r="A1911" i="26" s="1"/>
  <c r="B1912" i="26"/>
  <c r="A1912" i="26" s="1"/>
  <c r="B1913" i="26"/>
  <c r="A1913" i="26" s="1"/>
  <c r="B1914" i="26"/>
  <c r="A1914" i="26" s="1"/>
  <c r="B1915" i="26"/>
  <c r="A1915" i="26" s="1"/>
  <c r="B1916" i="26"/>
  <c r="A1916" i="26" s="1"/>
  <c r="B1917" i="26"/>
  <c r="A1917" i="26" s="1"/>
  <c r="B1918" i="26"/>
  <c r="A1918" i="26" s="1"/>
  <c r="B1919" i="26"/>
  <c r="A1919" i="26" s="1"/>
  <c r="B1920" i="26"/>
  <c r="A1920" i="26" s="1"/>
  <c r="B1921" i="26"/>
  <c r="A1921" i="26" s="1"/>
  <c r="B1922" i="26"/>
  <c r="A1922" i="26" s="1"/>
  <c r="B1923" i="26"/>
  <c r="A1923" i="26" s="1"/>
  <c r="B1924" i="26"/>
  <c r="A1924" i="26" s="1"/>
  <c r="B1925" i="26"/>
  <c r="A1925" i="26" s="1"/>
  <c r="B1926" i="26"/>
  <c r="A1926" i="26" s="1"/>
  <c r="B1927" i="26"/>
  <c r="A1927" i="26" s="1"/>
  <c r="B1928" i="26"/>
  <c r="A1928" i="26" s="1"/>
  <c r="B1929" i="26"/>
  <c r="A1929" i="26" s="1"/>
  <c r="B1930" i="26"/>
  <c r="A1930" i="26" s="1"/>
  <c r="B1931" i="26"/>
  <c r="A1931" i="26" s="1"/>
  <c r="B1932" i="26"/>
  <c r="A1932" i="26" s="1"/>
  <c r="B1933" i="26"/>
  <c r="A1933" i="26" s="1"/>
  <c r="B1934" i="26"/>
  <c r="A1934" i="26" s="1"/>
  <c r="B1935" i="26"/>
  <c r="A1935" i="26" s="1"/>
  <c r="B1936" i="26"/>
  <c r="A1936" i="26" s="1"/>
  <c r="B1937" i="26"/>
  <c r="A1937" i="26" s="1"/>
  <c r="B1938" i="26"/>
  <c r="A1938" i="26" s="1"/>
  <c r="B1939" i="26"/>
  <c r="A1939" i="26" s="1"/>
  <c r="B1940" i="26"/>
  <c r="A1940" i="26" s="1"/>
  <c r="B1941" i="26"/>
  <c r="A1941" i="26" s="1"/>
  <c r="B1942" i="26"/>
  <c r="A1942" i="26" s="1"/>
  <c r="B1943" i="26"/>
  <c r="A1943" i="26" s="1"/>
  <c r="B1944" i="26"/>
  <c r="A1944" i="26" s="1"/>
  <c r="B1945" i="26"/>
  <c r="A1945" i="26" s="1"/>
  <c r="B1946" i="26"/>
  <c r="A1946" i="26" s="1"/>
  <c r="B1947" i="26"/>
  <c r="A1947" i="26" s="1"/>
  <c r="B1948" i="26"/>
  <c r="A1948" i="26" s="1"/>
  <c r="B1949" i="26"/>
  <c r="A1949" i="26" s="1"/>
  <c r="B1950" i="26"/>
  <c r="A1950" i="26" s="1"/>
  <c r="B1951" i="26"/>
  <c r="A1951" i="26" s="1"/>
  <c r="B1952" i="26"/>
  <c r="A1952" i="26" s="1"/>
  <c r="B1953" i="26"/>
  <c r="A1953" i="26" s="1"/>
  <c r="B1954" i="26"/>
  <c r="A1954" i="26" s="1"/>
  <c r="B1955" i="26"/>
  <c r="A1955" i="26" s="1"/>
  <c r="B1956" i="26"/>
  <c r="A1956" i="26" s="1"/>
  <c r="B1957" i="26"/>
  <c r="A1957" i="26" s="1"/>
  <c r="B1958" i="26"/>
  <c r="A1958" i="26" s="1"/>
  <c r="B1959" i="26"/>
  <c r="A1959" i="26" s="1"/>
  <c r="B1960" i="26"/>
  <c r="A1960" i="26" s="1"/>
  <c r="B1961" i="26"/>
  <c r="A1961" i="26" s="1"/>
  <c r="B1962" i="26"/>
  <c r="A1962" i="26" s="1"/>
  <c r="B1963" i="26"/>
  <c r="A1963" i="26" s="1"/>
  <c r="B1964" i="26"/>
  <c r="A1964" i="26" s="1"/>
  <c r="B1965" i="26"/>
  <c r="A1965" i="26" s="1"/>
  <c r="B1966" i="26"/>
  <c r="A1966" i="26" s="1"/>
  <c r="B1967" i="26"/>
  <c r="A1967" i="26" s="1"/>
  <c r="B1968" i="26"/>
  <c r="A1968" i="26" s="1"/>
  <c r="B1969" i="26"/>
  <c r="A1969" i="26" s="1"/>
  <c r="B1970" i="26"/>
  <c r="A1970" i="26" s="1"/>
  <c r="B1971" i="26"/>
  <c r="A1971" i="26" s="1"/>
  <c r="B1972" i="26"/>
  <c r="A1972" i="26" s="1"/>
  <c r="B1973" i="26"/>
  <c r="A1973" i="26" s="1"/>
  <c r="B1974" i="26"/>
  <c r="A1974" i="26" s="1"/>
  <c r="B1975" i="26"/>
  <c r="A1975" i="26" s="1"/>
  <c r="B1976" i="26"/>
  <c r="A1976" i="26" s="1"/>
  <c r="B1977" i="26"/>
  <c r="A1977" i="26" s="1"/>
  <c r="B1978" i="26"/>
  <c r="A1978" i="26" s="1"/>
  <c r="B1979" i="26"/>
  <c r="A1979" i="26" s="1"/>
  <c r="B1980" i="26"/>
  <c r="A1980" i="26" s="1"/>
  <c r="B1981" i="26"/>
  <c r="A1981" i="26" s="1"/>
  <c r="B1982" i="26"/>
  <c r="A1982" i="26" s="1"/>
  <c r="B1983" i="26"/>
  <c r="A1983" i="26" s="1"/>
  <c r="B1984" i="26"/>
  <c r="A1984" i="26" s="1"/>
  <c r="B1985" i="26"/>
  <c r="A1985" i="26" s="1"/>
  <c r="B1986" i="26"/>
  <c r="A1986" i="26" s="1"/>
  <c r="B1987" i="26"/>
  <c r="A1987" i="26" s="1"/>
  <c r="B1988" i="26"/>
  <c r="A1988" i="26" s="1"/>
  <c r="B1989" i="26"/>
  <c r="A1989" i="26" s="1"/>
  <c r="B1990" i="26"/>
  <c r="A1990" i="26" s="1"/>
  <c r="B1991" i="26"/>
  <c r="A1991" i="26" s="1"/>
  <c r="B1992" i="26"/>
  <c r="A1992" i="26" s="1"/>
  <c r="B1993" i="26"/>
  <c r="A1993" i="26" s="1"/>
  <c r="B1994" i="26"/>
  <c r="A1994" i="26" s="1"/>
  <c r="B1995" i="26"/>
  <c r="A1995" i="26" s="1"/>
  <c r="B1996" i="26"/>
  <c r="A1996" i="26" s="1"/>
  <c r="B1997" i="26"/>
  <c r="A1997" i="26" s="1"/>
  <c r="B1998" i="26"/>
  <c r="A1998" i="26" s="1"/>
  <c r="B1999" i="26"/>
  <c r="A1999" i="26" s="1"/>
  <c r="B2000" i="26"/>
  <c r="A2000" i="26" s="1"/>
  <c r="B2001" i="26"/>
  <c r="A2001" i="26" s="1"/>
  <c r="B2002" i="26"/>
  <c r="A2002" i="26" s="1"/>
  <c r="B2003" i="26"/>
  <c r="A2003" i="26" s="1"/>
  <c r="B2004" i="26"/>
  <c r="A2004" i="26" s="1"/>
  <c r="B2005" i="26"/>
  <c r="A2005" i="26" s="1"/>
  <c r="B2006" i="26"/>
  <c r="A2006" i="26" s="1"/>
  <c r="B2007" i="26"/>
  <c r="A2007" i="26" s="1"/>
  <c r="B2008" i="26"/>
  <c r="A2008" i="26" s="1"/>
  <c r="B2009" i="26"/>
  <c r="A2009" i="26" s="1"/>
  <c r="B2010" i="26"/>
  <c r="A2010" i="26" s="1"/>
  <c r="B2011" i="26"/>
  <c r="A2011" i="26" s="1"/>
  <c r="B2012" i="26"/>
  <c r="A2012" i="26" s="1"/>
  <c r="B2013" i="26"/>
  <c r="A2013" i="26" s="1"/>
  <c r="B2014" i="26"/>
  <c r="A2014" i="26" s="1"/>
  <c r="B2015" i="26"/>
  <c r="A2015" i="26" s="1"/>
  <c r="B2016" i="26"/>
  <c r="A2016" i="26" s="1"/>
  <c r="B2017" i="26"/>
  <c r="A2017" i="26" s="1"/>
  <c r="B2018" i="26"/>
  <c r="A2018" i="26" s="1"/>
  <c r="B2019" i="26"/>
  <c r="A2019" i="26" s="1"/>
  <c r="B2020" i="26"/>
  <c r="A2020" i="26" s="1"/>
  <c r="B2021" i="26"/>
  <c r="A2021" i="26" s="1"/>
  <c r="B2022" i="26"/>
  <c r="A2022" i="26" s="1"/>
  <c r="B2023" i="26"/>
  <c r="A2023" i="26" s="1"/>
  <c r="B2024" i="26"/>
  <c r="A2024" i="26" s="1"/>
  <c r="B2025" i="26"/>
  <c r="A2025" i="26" s="1"/>
  <c r="B2026" i="26"/>
  <c r="A2026" i="26" s="1"/>
  <c r="B2027" i="26"/>
  <c r="A2027" i="26" s="1"/>
  <c r="B2028" i="26"/>
  <c r="A2028" i="26" s="1"/>
  <c r="B2029" i="26"/>
  <c r="A2029" i="26" s="1"/>
  <c r="B2030" i="26"/>
  <c r="A2030" i="26" s="1"/>
  <c r="B2031" i="26"/>
  <c r="A2031" i="26" s="1"/>
  <c r="B2032" i="26"/>
  <c r="A2032" i="26" s="1"/>
  <c r="B2033" i="26"/>
  <c r="A2033" i="26" s="1"/>
  <c r="B2034" i="26"/>
  <c r="A2034" i="26" s="1"/>
  <c r="B2035" i="26"/>
  <c r="A2035" i="26" s="1"/>
  <c r="B2036" i="26"/>
  <c r="A2036" i="26" s="1"/>
  <c r="B2037" i="26"/>
  <c r="A2037" i="26" s="1"/>
  <c r="B2038" i="26"/>
  <c r="A2038" i="26" s="1"/>
  <c r="B2039" i="26"/>
  <c r="A2039" i="26" s="1"/>
  <c r="B2040" i="26"/>
  <c r="A2040" i="26" s="1"/>
  <c r="B2041" i="26"/>
  <c r="A2041" i="26" s="1"/>
  <c r="B2042" i="26"/>
  <c r="A2042" i="26" s="1"/>
  <c r="B2043" i="26"/>
  <c r="A2043" i="26" s="1"/>
  <c r="B2044" i="26"/>
  <c r="A2044" i="26" s="1"/>
  <c r="B2045" i="26"/>
  <c r="A2045" i="26" s="1"/>
  <c r="B2046" i="26"/>
  <c r="A2046" i="26" s="1"/>
  <c r="B2047" i="26"/>
  <c r="A2047" i="26" s="1"/>
  <c r="B2048" i="26"/>
  <c r="A2048" i="26" s="1"/>
  <c r="B2049" i="26"/>
  <c r="A2049" i="26" s="1"/>
  <c r="B2050" i="26"/>
  <c r="A2050" i="26" s="1"/>
  <c r="B2051" i="26"/>
  <c r="A2051" i="26" s="1"/>
  <c r="B2052" i="26"/>
  <c r="A2052" i="26" s="1"/>
  <c r="B2053" i="26"/>
  <c r="A2053" i="26" s="1"/>
  <c r="B2054" i="26"/>
  <c r="A2054" i="26" s="1"/>
  <c r="B2055" i="26"/>
  <c r="A2055" i="26" s="1"/>
  <c r="B2056" i="26"/>
  <c r="A2056" i="26" s="1"/>
  <c r="B2057" i="26"/>
  <c r="A2057" i="26" s="1"/>
  <c r="B2058" i="26"/>
  <c r="A2058" i="26" s="1"/>
  <c r="B2059" i="26"/>
  <c r="A2059" i="26" s="1"/>
  <c r="B2060" i="26"/>
  <c r="A2060" i="26" s="1"/>
  <c r="B2061" i="26"/>
  <c r="A2061" i="26" s="1"/>
  <c r="B2062" i="26"/>
  <c r="A2062" i="26" s="1"/>
  <c r="B2063" i="26"/>
  <c r="A2063" i="26" s="1"/>
  <c r="B2064" i="26"/>
  <c r="A2064" i="26" s="1"/>
  <c r="B2065" i="26"/>
  <c r="A2065" i="26" s="1"/>
  <c r="B2066" i="26"/>
  <c r="A2066" i="26" s="1"/>
  <c r="B2067" i="26"/>
  <c r="A2067" i="26" s="1"/>
  <c r="B2068" i="26"/>
  <c r="A2068" i="26" s="1"/>
  <c r="B2069" i="26"/>
  <c r="A2069" i="26" s="1"/>
  <c r="B2070" i="26"/>
  <c r="A2070" i="26" s="1"/>
  <c r="B2071" i="26"/>
  <c r="A2071" i="26" s="1"/>
  <c r="B2072" i="26"/>
  <c r="A2072" i="26" s="1"/>
  <c r="B2073" i="26"/>
  <c r="A2073" i="26" s="1"/>
  <c r="B2074" i="26"/>
  <c r="A2074" i="26" s="1"/>
  <c r="B2075" i="26"/>
  <c r="A2075" i="26" s="1"/>
  <c r="B2076" i="26"/>
  <c r="A2076" i="26" s="1"/>
  <c r="B2077" i="26"/>
  <c r="A2077" i="26" s="1"/>
  <c r="B2078" i="26"/>
  <c r="A2078" i="26" s="1"/>
  <c r="B2079" i="26"/>
  <c r="A2079" i="26" s="1"/>
  <c r="B2080" i="26"/>
  <c r="A2080" i="26" s="1"/>
  <c r="B2081" i="26"/>
  <c r="A2081" i="26" s="1"/>
  <c r="B2082" i="26"/>
  <c r="A2082" i="26" s="1"/>
  <c r="B2083" i="26"/>
  <c r="A2083" i="26" s="1"/>
  <c r="B2084" i="26"/>
  <c r="A2084" i="26" s="1"/>
  <c r="B2085" i="26"/>
  <c r="A2085" i="26" s="1"/>
  <c r="B2086" i="26"/>
  <c r="A2086" i="26" s="1"/>
  <c r="B2087" i="26"/>
  <c r="A2087" i="26" s="1"/>
  <c r="B2088" i="26"/>
  <c r="A2088" i="26" s="1"/>
  <c r="B2089" i="26"/>
  <c r="A2089" i="26" s="1"/>
  <c r="B2090" i="26"/>
  <c r="A2090" i="26" s="1"/>
  <c r="B2091" i="26"/>
  <c r="A2091" i="26" s="1"/>
  <c r="B2092" i="26"/>
  <c r="A2092" i="26" s="1"/>
  <c r="B2093" i="26"/>
  <c r="A2093" i="26" s="1"/>
  <c r="B2094" i="26"/>
  <c r="A2094" i="26" s="1"/>
  <c r="B2095" i="26"/>
  <c r="A2095" i="26" s="1"/>
  <c r="B2096" i="26"/>
  <c r="A2096" i="26" s="1"/>
  <c r="B2097" i="26"/>
  <c r="A2097" i="26" s="1"/>
  <c r="B2098" i="26"/>
  <c r="A2098" i="26" s="1"/>
  <c r="B2099" i="26"/>
  <c r="A2099" i="26" s="1"/>
  <c r="B2100" i="26"/>
  <c r="A2100" i="26" s="1"/>
  <c r="B2101" i="26"/>
  <c r="A2101" i="26" s="1"/>
  <c r="B2102" i="26"/>
  <c r="A2102" i="26" s="1"/>
  <c r="B2103" i="26"/>
  <c r="A2103" i="26" s="1"/>
  <c r="B2104" i="26"/>
  <c r="A2104" i="26" s="1"/>
  <c r="B2105" i="26"/>
  <c r="A2105" i="26" s="1"/>
  <c r="B2106" i="26"/>
  <c r="A2106" i="26" s="1"/>
  <c r="B2107" i="26"/>
  <c r="A2107" i="26" s="1"/>
  <c r="B2108" i="26"/>
  <c r="A2108" i="26" s="1"/>
  <c r="B2109" i="26"/>
  <c r="A2109" i="26" s="1"/>
  <c r="B2110" i="26"/>
  <c r="A2110" i="26" s="1"/>
  <c r="B2111" i="26"/>
  <c r="A2111" i="26" s="1"/>
  <c r="B2112" i="26"/>
  <c r="A2112" i="26" s="1"/>
  <c r="B2113" i="26"/>
  <c r="A2113" i="26" s="1"/>
  <c r="B2114" i="26"/>
  <c r="A2114" i="26" s="1"/>
  <c r="B2115" i="26"/>
  <c r="A2115" i="26" s="1"/>
  <c r="B2116" i="26"/>
  <c r="A2116" i="26" s="1"/>
  <c r="B2117" i="26"/>
  <c r="A2117" i="26" s="1"/>
  <c r="B2118" i="26"/>
  <c r="A2118" i="26" s="1"/>
  <c r="B2119" i="26"/>
  <c r="A2119" i="26" s="1"/>
  <c r="B2120" i="26"/>
  <c r="A2120" i="26" s="1"/>
  <c r="B2121" i="26"/>
  <c r="A2121" i="26" s="1"/>
  <c r="B2122" i="26"/>
  <c r="A2122" i="26" s="1"/>
  <c r="B2123" i="26"/>
  <c r="A2123" i="26" s="1"/>
  <c r="B2124" i="26"/>
  <c r="A2124" i="26" s="1"/>
  <c r="B2125" i="26"/>
  <c r="A2125" i="26" s="1"/>
  <c r="B2126" i="26"/>
  <c r="A2126" i="26" s="1"/>
  <c r="B2127" i="26"/>
  <c r="A2127" i="26" s="1"/>
  <c r="B2128" i="26"/>
  <c r="A2128" i="26" s="1"/>
  <c r="B2129" i="26"/>
  <c r="A2129" i="26" s="1"/>
  <c r="B2130" i="26"/>
  <c r="A2130" i="26" s="1"/>
  <c r="B2131" i="26"/>
  <c r="A2131" i="26" s="1"/>
  <c r="B2132" i="26"/>
  <c r="A2132" i="26" s="1"/>
  <c r="B2133" i="26"/>
  <c r="A2133" i="26" s="1"/>
  <c r="B2134" i="26"/>
  <c r="A2134" i="26" s="1"/>
  <c r="B2135" i="26"/>
  <c r="A2135" i="26" s="1"/>
  <c r="B2136" i="26"/>
  <c r="A2136" i="26" s="1"/>
  <c r="B2137" i="26"/>
  <c r="A2137" i="26" s="1"/>
  <c r="B2138" i="26"/>
  <c r="A2138" i="26" s="1"/>
  <c r="B2139" i="26"/>
  <c r="A2139" i="26" s="1"/>
  <c r="B2140" i="26"/>
  <c r="A2140" i="26" s="1"/>
  <c r="B2141" i="26"/>
  <c r="A2141" i="26" s="1"/>
  <c r="B2142" i="26"/>
  <c r="A2142" i="26" s="1"/>
  <c r="B2143" i="26"/>
  <c r="A2143" i="26" s="1"/>
  <c r="B2144" i="26"/>
  <c r="A2144" i="26" s="1"/>
  <c r="B2145" i="26"/>
  <c r="A2145" i="26" s="1"/>
  <c r="B2146" i="26"/>
  <c r="A2146" i="26" s="1"/>
  <c r="B2147" i="26"/>
  <c r="A2147" i="26" s="1"/>
  <c r="B2148" i="26"/>
  <c r="A2148" i="26" s="1"/>
  <c r="B2149" i="26"/>
  <c r="A2149" i="26" s="1"/>
  <c r="B2150" i="26"/>
  <c r="A2150" i="26" s="1"/>
  <c r="B2151" i="26"/>
  <c r="A2151" i="26" s="1"/>
  <c r="B2152" i="26"/>
  <c r="A2152" i="26" s="1"/>
  <c r="B2153" i="26"/>
  <c r="A2153" i="26" s="1"/>
  <c r="B2154" i="26"/>
  <c r="A2154" i="26" s="1"/>
  <c r="B2155" i="26"/>
  <c r="A2155" i="26" s="1"/>
  <c r="B2156" i="26"/>
  <c r="A2156" i="26" s="1"/>
  <c r="B2157" i="26"/>
  <c r="A2157" i="26" s="1"/>
  <c r="B2158" i="26"/>
  <c r="A2158" i="26" s="1"/>
  <c r="B2159" i="26"/>
  <c r="A2159" i="26" s="1"/>
  <c r="B2160" i="26"/>
  <c r="A2160" i="26" s="1"/>
  <c r="B2161" i="26"/>
  <c r="A2161" i="26" s="1"/>
  <c r="B2162" i="26"/>
  <c r="A2162" i="26" s="1"/>
  <c r="B2163" i="26"/>
  <c r="A2163" i="26" s="1"/>
  <c r="B2164" i="26"/>
  <c r="A2164" i="26" s="1"/>
  <c r="B2165" i="26"/>
  <c r="A2165" i="26" s="1"/>
  <c r="B2166" i="26"/>
  <c r="A2166" i="26" s="1"/>
  <c r="B2167" i="26"/>
  <c r="A2167" i="26" s="1"/>
  <c r="B2168" i="26"/>
  <c r="A2168" i="26" s="1"/>
  <c r="B2169" i="26"/>
  <c r="A2169" i="26" s="1"/>
  <c r="B2170" i="26"/>
  <c r="A2170" i="26" s="1"/>
  <c r="B2171" i="26"/>
  <c r="A2171" i="26" s="1"/>
  <c r="B2172" i="26"/>
  <c r="A2172" i="26" s="1"/>
  <c r="B2173" i="26"/>
  <c r="A2173" i="26" s="1"/>
  <c r="B2174" i="26"/>
  <c r="A2174" i="26" s="1"/>
  <c r="B2175" i="26"/>
  <c r="A2175" i="26" s="1"/>
  <c r="B2176" i="26"/>
  <c r="A2176" i="26" s="1"/>
  <c r="B2177" i="26"/>
  <c r="A2177" i="26" s="1"/>
  <c r="B2178" i="26"/>
  <c r="A2178" i="26" s="1"/>
  <c r="B2179" i="26"/>
  <c r="A2179" i="26" s="1"/>
  <c r="B2180" i="26"/>
  <c r="A2180" i="26" s="1"/>
  <c r="B2181" i="26"/>
  <c r="A2181" i="26" s="1"/>
  <c r="B2182" i="26"/>
  <c r="A2182" i="26" s="1"/>
  <c r="B2183" i="26"/>
  <c r="A2183" i="26" s="1"/>
  <c r="B2184" i="26"/>
  <c r="A2184" i="26" s="1"/>
  <c r="B2185" i="26"/>
  <c r="A2185" i="26" s="1"/>
  <c r="B2186" i="26"/>
  <c r="A2186" i="26" s="1"/>
  <c r="B2187" i="26"/>
  <c r="A2187" i="26" s="1"/>
  <c r="B2188" i="26"/>
  <c r="A2188" i="26" s="1"/>
  <c r="B2189" i="26"/>
  <c r="A2189" i="26" s="1"/>
  <c r="B2190" i="26"/>
  <c r="A2190" i="26" s="1"/>
  <c r="B2191" i="26"/>
  <c r="A2191" i="26" s="1"/>
  <c r="B2192" i="26"/>
  <c r="A2192" i="26" s="1"/>
  <c r="B2193" i="26"/>
  <c r="A2193" i="26" s="1"/>
  <c r="B2194" i="26"/>
  <c r="A2194" i="26" s="1"/>
  <c r="B2195" i="26"/>
  <c r="A2195" i="26" s="1"/>
  <c r="B2196" i="26"/>
  <c r="A2196" i="26" s="1"/>
  <c r="B2197" i="26"/>
  <c r="A2197" i="26" s="1"/>
  <c r="B2198" i="26"/>
  <c r="A2198" i="26" s="1"/>
  <c r="B2199" i="26"/>
  <c r="A2199" i="26" s="1"/>
  <c r="B2200" i="26"/>
  <c r="A2200" i="26" s="1"/>
  <c r="B2201" i="26"/>
  <c r="A2201" i="26" s="1"/>
  <c r="B2202" i="26"/>
  <c r="A2202" i="26" s="1"/>
  <c r="B2203" i="26"/>
  <c r="A2203" i="26" s="1"/>
  <c r="B2204" i="26"/>
  <c r="A2204" i="26" s="1"/>
  <c r="B2205" i="26"/>
  <c r="A2205" i="26" s="1"/>
  <c r="B2206" i="26"/>
  <c r="A2206" i="26" s="1"/>
  <c r="B2207" i="26"/>
  <c r="A2207" i="26" s="1"/>
  <c r="B2208" i="26"/>
  <c r="A2208" i="26" s="1"/>
  <c r="B2209" i="26"/>
  <c r="A2209" i="26" s="1"/>
  <c r="B2210" i="26"/>
  <c r="A2210" i="26" s="1"/>
  <c r="B2211" i="26"/>
  <c r="A2211" i="26" s="1"/>
  <c r="B2212" i="26"/>
  <c r="A2212" i="26" s="1"/>
  <c r="B2213" i="26"/>
  <c r="A2213" i="26" s="1"/>
  <c r="B2214" i="26"/>
  <c r="A2214" i="26" s="1"/>
  <c r="B2215" i="26"/>
  <c r="A2215" i="26" s="1"/>
  <c r="B2216" i="26"/>
  <c r="A2216" i="26" s="1"/>
  <c r="B2217" i="26"/>
  <c r="A2217" i="26" s="1"/>
  <c r="B2218" i="26"/>
  <c r="A2218" i="26" s="1"/>
  <c r="B2219" i="26"/>
  <c r="A2219" i="26" s="1"/>
  <c r="B2220" i="26"/>
  <c r="A2220" i="26" s="1"/>
  <c r="B2221" i="26"/>
  <c r="A2221" i="26" s="1"/>
  <c r="B2222" i="26"/>
  <c r="A2222" i="26" s="1"/>
  <c r="B2223" i="26"/>
  <c r="A2223" i="26" s="1"/>
  <c r="B2224" i="26"/>
  <c r="A2224" i="26" s="1"/>
  <c r="B2225" i="26"/>
  <c r="A2225" i="26" s="1"/>
  <c r="B2226" i="26"/>
  <c r="A2226" i="26" s="1"/>
  <c r="B2227" i="26"/>
  <c r="A2227" i="26" s="1"/>
  <c r="B2228" i="26"/>
  <c r="A2228" i="26" s="1"/>
  <c r="B2229" i="26"/>
  <c r="A2229" i="26" s="1"/>
  <c r="B2230" i="26"/>
  <c r="A2230" i="26" s="1"/>
  <c r="B2231" i="26"/>
  <c r="A2231" i="26" s="1"/>
  <c r="B2232" i="26"/>
  <c r="A2232" i="26" s="1"/>
  <c r="B2233" i="26"/>
  <c r="A2233" i="26" s="1"/>
  <c r="B2234" i="26"/>
  <c r="A2234" i="26" s="1"/>
  <c r="B2235" i="26"/>
  <c r="A2235" i="26" s="1"/>
  <c r="B2236" i="26"/>
  <c r="A2236" i="26" s="1"/>
  <c r="B2237" i="26"/>
  <c r="A2237" i="26" s="1"/>
  <c r="B2238" i="26"/>
  <c r="A2238" i="26" s="1"/>
  <c r="B2239" i="26"/>
  <c r="A2239" i="26" s="1"/>
  <c r="B2240" i="26"/>
  <c r="A2240" i="26" s="1"/>
  <c r="B2241" i="26"/>
  <c r="A2241" i="26" s="1"/>
  <c r="B2242" i="26"/>
  <c r="A2242" i="26" s="1"/>
  <c r="B2243" i="26"/>
  <c r="A2243" i="26" s="1"/>
  <c r="B2244" i="26"/>
  <c r="A2244" i="26" s="1"/>
  <c r="B2245" i="26"/>
  <c r="A2245" i="26" s="1"/>
  <c r="B2246" i="26"/>
  <c r="A2246" i="26" s="1"/>
  <c r="B2247" i="26"/>
  <c r="A2247" i="26" s="1"/>
  <c r="B2248" i="26"/>
  <c r="A2248" i="26" s="1"/>
  <c r="B2249" i="26"/>
  <c r="A2249" i="26" s="1"/>
  <c r="B2250" i="26"/>
  <c r="A2250" i="26" s="1"/>
  <c r="B2251" i="26"/>
  <c r="A2251" i="26" s="1"/>
  <c r="B2252" i="26"/>
  <c r="A2252" i="26" s="1"/>
  <c r="B2253" i="26"/>
  <c r="A2253" i="26" s="1"/>
  <c r="B2254" i="26"/>
  <c r="A2254" i="26" s="1"/>
  <c r="B2255" i="26"/>
  <c r="A2255" i="26" s="1"/>
  <c r="B2256" i="26"/>
  <c r="A2256" i="26" s="1"/>
  <c r="B2257" i="26"/>
  <c r="A2257" i="26" s="1"/>
  <c r="B2258" i="26"/>
  <c r="A2258" i="26" s="1"/>
  <c r="B2259" i="26"/>
  <c r="A2259" i="26" s="1"/>
  <c r="B2260" i="26"/>
  <c r="A2260" i="26" s="1"/>
  <c r="B2261" i="26"/>
  <c r="A2261" i="26" s="1"/>
  <c r="B2262" i="26"/>
  <c r="A2262" i="26" s="1"/>
  <c r="B2263" i="26"/>
  <c r="A2263" i="26" s="1"/>
  <c r="B2264" i="26"/>
  <c r="A2264" i="26" s="1"/>
  <c r="B2265" i="26"/>
  <c r="A2265" i="26" s="1"/>
  <c r="B2266" i="26"/>
  <c r="A2266" i="26" s="1"/>
  <c r="B2267" i="26"/>
  <c r="A2267" i="26" s="1"/>
  <c r="B2268" i="26"/>
  <c r="A2268" i="26" s="1"/>
  <c r="B2269" i="26"/>
  <c r="A2269" i="26" s="1"/>
  <c r="B2270" i="26"/>
  <c r="A2270" i="26" s="1"/>
  <c r="B2271" i="26"/>
  <c r="A2271" i="26" s="1"/>
  <c r="B2272" i="26"/>
  <c r="A2272" i="26" s="1"/>
  <c r="B2273" i="26"/>
  <c r="A2273" i="26" s="1"/>
  <c r="B2274" i="26"/>
  <c r="A2274" i="26" s="1"/>
  <c r="B2275" i="26"/>
  <c r="A2275" i="26" s="1"/>
  <c r="B2276" i="26"/>
  <c r="A2276" i="26" s="1"/>
  <c r="B2277" i="26"/>
  <c r="A2277" i="26" s="1"/>
  <c r="B2278" i="26"/>
  <c r="A2278" i="26" s="1"/>
  <c r="B2279" i="26"/>
  <c r="A2279" i="26" s="1"/>
  <c r="B2280" i="26"/>
  <c r="A2280" i="26" s="1"/>
  <c r="B2281" i="26"/>
  <c r="A2281" i="26" s="1"/>
  <c r="B2282" i="26"/>
  <c r="A2282" i="26" s="1"/>
  <c r="B2283" i="26"/>
  <c r="A2283" i="26" s="1"/>
  <c r="B2284" i="26"/>
  <c r="A2284" i="26" s="1"/>
  <c r="B2285" i="26"/>
  <c r="A2285" i="26" s="1"/>
  <c r="B2286" i="26"/>
  <c r="A2286" i="26" s="1"/>
  <c r="B2287" i="26"/>
  <c r="A2287" i="26" s="1"/>
  <c r="B2288" i="26"/>
  <c r="A2288" i="26" s="1"/>
  <c r="B2289" i="26"/>
  <c r="A2289" i="26" s="1"/>
  <c r="B2290" i="26"/>
  <c r="A2290" i="26" s="1"/>
  <c r="B2291" i="26"/>
  <c r="A2291" i="26" s="1"/>
  <c r="B2292" i="26"/>
  <c r="A2292" i="26" s="1"/>
  <c r="B2293" i="26"/>
  <c r="A2293" i="26" s="1"/>
  <c r="B2294" i="26"/>
  <c r="A2294" i="26" s="1"/>
  <c r="B2295" i="26"/>
  <c r="A2295" i="26" s="1"/>
  <c r="B2296" i="26"/>
  <c r="A2296" i="26" s="1"/>
  <c r="B2297" i="26"/>
  <c r="A2297" i="26" s="1"/>
  <c r="B2298" i="26"/>
  <c r="A2298" i="26" s="1"/>
  <c r="B2299" i="26"/>
  <c r="A2299" i="26" s="1"/>
  <c r="B2300" i="26"/>
  <c r="A2300" i="26" s="1"/>
  <c r="B2301" i="26"/>
  <c r="A2301" i="26" s="1"/>
  <c r="B2302" i="26"/>
  <c r="A2302" i="26" s="1"/>
  <c r="B2303" i="26"/>
  <c r="A2303" i="26" s="1"/>
  <c r="B2304" i="26"/>
  <c r="A2304" i="26" s="1"/>
  <c r="B2305" i="26"/>
  <c r="A2305" i="26" s="1"/>
  <c r="B2306" i="26"/>
  <c r="A2306" i="26" s="1"/>
  <c r="B2307" i="26"/>
  <c r="A2307" i="26" s="1"/>
  <c r="B2308" i="26"/>
  <c r="A2308" i="26" s="1"/>
  <c r="B2309" i="26"/>
  <c r="A2309" i="26" s="1"/>
  <c r="B2310" i="26"/>
  <c r="A2310" i="26" s="1"/>
  <c r="B2311" i="26"/>
  <c r="A2311" i="26" s="1"/>
  <c r="B2312" i="26"/>
  <c r="A2312" i="26" s="1"/>
  <c r="B2313" i="26"/>
  <c r="A2313" i="26" s="1"/>
  <c r="B2314" i="26"/>
  <c r="A2314" i="26" s="1"/>
  <c r="B2315" i="26"/>
  <c r="A2315" i="26" s="1"/>
  <c r="B2316" i="26"/>
  <c r="A2316" i="26" s="1"/>
  <c r="B2317" i="26"/>
  <c r="A2317" i="26" s="1"/>
  <c r="B2318" i="26"/>
  <c r="A2318" i="26" s="1"/>
  <c r="B2319" i="26"/>
  <c r="A2319" i="26" s="1"/>
  <c r="B2320" i="26"/>
  <c r="A2320" i="26" s="1"/>
  <c r="B2321" i="26"/>
  <c r="A2321" i="26" s="1"/>
  <c r="B2322" i="26"/>
  <c r="A2322" i="26" s="1"/>
  <c r="B2323" i="26"/>
  <c r="A2323" i="26" s="1"/>
  <c r="B2324" i="26"/>
  <c r="A2324" i="26" s="1"/>
  <c r="B2325" i="26"/>
  <c r="A2325" i="26" s="1"/>
  <c r="B2326" i="26"/>
  <c r="A2326" i="26" s="1"/>
  <c r="B2327" i="26"/>
  <c r="A2327" i="26" s="1"/>
  <c r="B2328" i="26"/>
  <c r="A2328" i="26" s="1"/>
  <c r="B2329" i="26"/>
  <c r="A2329" i="26" s="1"/>
  <c r="B2330" i="26"/>
  <c r="A2330" i="26" s="1"/>
  <c r="B2331" i="26"/>
  <c r="A2331" i="26" s="1"/>
  <c r="B2332" i="26"/>
  <c r="A2332" i="26" s="1"/>
  <c r="B2333" i="26"/>
  <c r="A2333" i="26" s="1"/>
  <c r="B2334" i="26"/>
  <c r="A2334" i="26" s="1"/>
  <c r="B2335" i="26"/>
  <c r="A2335" i="26" s="1"/>
  <c r="B2336" i="26"/>
  <c r="A2336" i="26" s="1"/>
  <c r="B2337" i="26"/>
  <c r="A2337" i="26" s="1"/>
  <c r="B2338" i="26"/>
  <c r="A2338" i="26" s="1"/>
  <c r="B2339" i="26"/>
  <c r="A2339" i="26" s="1"/>
  <c r="B2340" i="26"/>
  <c r="A2340" i="26" s="1"/>
  <c r="B2341" i="26"/>
  <c r="A2341" i="26" s="1"/>
  <c r="B2342" i="26"/>
  <c r="A2342" i="26" s="1"/>
  <c r="B2343" i="26"/>
  <c r="A2343" i="26" s="1"/>
  <c r="B2344" i="26"/>
  <c r="A2344" i="26" s="1"/>
  <c r="B2345" i="26"/>
  <c r="A2345" i="26" s="1"/>
  <c r="B2346" i="26"/>
  <c r="A2346" i="26" s="1"/>
  <c r="B2347" i="26"/>
  <c r="A2347" i="26" s="1"/>
  <c r="B2348" i="26"/>
  <c r="A2348" i="26" s="1"/>
  <c r="B2349" i="26"/>
  <c r="A2349" i="26" s="1"/>
  <c r="B2350" i="26"/>
  <c r="A2350" i="26" s="1"/>
  <c r="B2351" i="26"/>
  <c r="A2351" i="26" s="1"/>
  <c r="B2352" i="26"/>
  <c r="A2352" i="26" s="1"/>
  <c r="B2353" i="26"/>
  <c r="A2353" i="26" s="1"/>
  <c r="B2354" i="26"/>
  <c r="A2354" i="26" s="1"/>
  <c r="B2355" i="26"/>
  <c r="A2355" i="26" s="1"/>
  <c r="B2356" i="26"/>
  <c r="A2356" i="26" s="1"/>
  <c r="B2357" i="26"/>
  <c r="A2357" i="26" s="1"/>
  <c r="B2358" i="26"/>
  <c r="A2358" i="26" s="1"/>
  <c r="B2359" i="26"/>
  <c r="A2359" i="26" s="1"/>
  <c r="B2360" i="26"/>
  <c r="A2360" i="26" s="1"/>
  <c r="B2361" i="26"/>
  <c r="A2361" i="26" s="1"/>
  <c r="B2362" i="26"/>
  <c r="A2362" i="26" s="1"/>
  <c r="B2363" i="26"/>
  <c r="A2363" i="26" s="1"/>
  <c r="B2364" i="26"/>
  <c r="A2364" i="26" s="1"/>
  <c r="B2365" i="26"/>
  <c r="A2365" i="26" s="1"/>
  <c r="B2366" i="26"/>
  <c r="A2366" i="26" s="1"/>
  <c r="B2367" i="26"/>
  <c r="A2367" i="26" s="1"/>
  <c r="B2368" i="26"/>
  <c r="A2368" i="26" s="1"/>
  <c r="B2369" i="26"/>
  <c r="A2369" i="26" s="1"/>
  <c r="B2370" i="26"/>
  <c r="A2370" i="26" s="1"/>
  <c r="B2371" i="26"/>
  <c r="A2371" i="26" s="1"/>
  <c r="B2372" i="26"/>
  <c r="A2372" i="26" s="1"/>
  <c r="B2373" i="26"/>
  <c r="A2373" i="26" s="1"/>
  <c r="B2374" i="26"/>
  <c r="A2374" i="26" s="1"/>
  <c r="B2375" i="26"/>
  <c r="A2375" i="26" s="1"/>
  <c r="B2376" i="26"/>
  <c r="A2376" i="26" s="1"/>
  <c r="B2377" i="26"/>
  <c r="A2377" i="26" s="1"/>
  <c r="B2378" i="26"/>
  <c r="A2378" i="26" s="1"/>
  <c r="B2379" i="26"/>
  <c r="A2379" i="26" s="1"/>
  <c r="B2380" i="26"/>
  <c r="A2380" i="26" s="1"/>
  <c r="B2381" i="26"/>
  <c r="A2381" i="26" s="1"/>
  <c r="B2382" i="26"/>
  <c r="A2382" i="26" s="1"/>
  <c r="B2383" i="26"/>
  <c r="A2383" i="26" s="1"/>
  <c r="B2384" i="26"/>
  <c r="A2384" i="26" s="1"/>
  <c r="B2385" i="26"/>
  <c r="A2385" i="26" s="1"/>
  <c r="B2386" i="26"/>
  <c r="A2386" i="26" s="1"/>
  <c r="B2387" i="26"/>
  <c r="A2387" i="26" s="1"/>
  <c r="B2388" i="26"/>
  <c r="A2388" i="26" s="1"/>
  <c r="B2389" i="26"/>
  <c r="A2389" i="26" s="1"/>
  <c r="B2390" i="26"/>
  <c r="A2390" i="26" s="1"/>
  <c r="B2391" i="26"/>
  <c r="A2391" i="26" s="1"/>
  <c r="B2392" i="26"/>
  <c r="A2392" i="26" s="1"/>
  <c r="B2393" i="26"/>
  <c r="A2393" i="26" s="1"/>
  <c r="B2394" i="26"/>
  <c r="A2394" i="26" s="1"/>
  <c r="B2395" i="26"/>
  <c r="A2395" i="26" s="1"/>
  <c r="B2396" i="26"/>
  <c r="A2396" i="26" s="1"/>
  <c r="B2397" i="26"/>
  <c r="A2397" i="26" s="1"/>
  <c r="B2398" i="26"/>
  <c r="A2398" i="26" s="1"/>
  <c r="B2399" i="26"/>
  <c r="A2399" i="26" s="1"/>
  <c r="B2400" i="26"/>
  <c r="A2400" i="26" s="1"/>
  <c r="B2401" i="26"/>
  <c r="A2401" i="26" s="1"/>
  <c r="B2402" i="26"/>
  <c r="A2402" i="26" s="1"/>
  <c r="B2403" i="26"/>
  <c r="A2403" i="26" s="1"/>
  <c r="B2404" i="26"/>
  <c r="A2404" i="26" s="1"/>
  <c r="B2405" i="26"/>
  <c r="A2405" i="26" s="1"/>
  <c r="B2406" i="26"/>
  <c r="A2406" i="26" s="1"/>
  <c r="B2407" i="26"/>
  <c r="A2407" i="26" s="1"/>
  <c r="B2408" i="26"/>
  <c r="A2408" i="26" s="1"/>
  <c r="B2409" i="26"/>
  <c r="A2409" i="26" s="1"/>
  <c r="B2410" i="26"/>
  <c r="A2410" i="26" s="1"/>
  <c r="B2411" i="26"/>
  <c r="A2411" i="26" s="1"/>
  <c r="B2412" i="26"/>
  <c r="A2412" i="26" s="1"/>
  <c r="B2413" i="26"/>
  <c r="A2413" i="26" s="1"/>
  <c r="B2414" i="26"/>
  <c r="A2414" i="26" s="1"/>
  <c r="B2415" i="26"/>
  <c r="A2415" i="26" s="1"/>
  <c r="B2416" i="26"/>
  <c r="A2416" i="26" s="1"/>
  <c r="B2417" i="26"/>
  <c r="A2417" i="26" s="1"/>
  <c r="B2418" i="26"/>
  <c r="A2418" i="26" s="1"/>
  <c r="B2419" i="26"/>
  <c r="A2419" i="26" s="1"/>
  <c r="B2420" i="26"/>
  <c r="A2420" i="26" s="1"/>
  <c r="B2421" i="26"/>
  <c r="A2421" i="26" s="1"/>
  <c r="B2422" i="26"/>
  <c r="A2422" i="26" s="1"/>
  <c r="B2423" i="26"/>
  <c r="A2423" i="26" s="1"/>
  <c r="B2424" i="26"/>
  <c r="A2424" i="26" s="1"/>
  <c r="B2425" i="26"/>
  <c r="A2425" i="26" s="1"/>
  <c r="B2426" i="26"/>
  <c r="A2426" i="26" s="1"/>
  <c r="B2427" i="26"/>
  <c r="A2427" i="26" s="1"/>
  <c r="B2428" i="26"/>
  <c r="A2428" i="26" s="1"/>
  <c r="B2429" i="26"/>
  <c r="A2429" i="26" s="1"/>
  <c r="B2430" i="26"/>
  <c r="A2430" i="26" s="1"/>
  <c r="B2431" i="26"/>
  <c r="A2431" i="26" s="1"/>
  <c r="B2432" i="26"/>
  <c r="A2432" i="26" s="1"/>
  <c r="B2433" i="26"/>
  <c r="A2433" i="26" s="1"/>
  <c r="B2434" i="26"/>
  <c r="A2434" i="26" s="1"/>
  <c r="B2435" i="26"/>
  <c r="A2435" i="26" s="1"/>
  <c r="B2436" i="26"/>
  <c r="A2436" i="26" s="1"/>
  <c r="B2437" i="26"/>
  <c r="A2437" i="26" s="1"/>
  <c r="B2438" i="26"/>
  <c r="A2438" i="26" s="1"/>
  <c r="B2439" i="26"/>
  <c r="A2439" i="26" s="1"/>
  <c r="B2440" i="26"/>
  <c r="A2440" i="26" s="1"/>
  <c r="B2441" i="26"/>
  <c r="A2441" i="26" s="1"/>
  <c r="B2442" i="26"/>
  <c r="A2442" i="26" s="1"/>
  <c r="B2443" i="26"/>
  <c r="A2443" i="26" s="1"/>
  <c r="B2444" i="26"/>
  <c r="A2444" i="26" s="1"/>
  <c r="B2445" i="26"/>
  <c r="A2445" i="26" s="1"/>
  <c r="B2446" i="26"/>
  <c r="A2446" i="26" s="1"/>
  <c r="B2447" i="26"/>
  <c r="A2447" i="26" s="1"/>
  <c r="B2448" i="26"/>
  <c r="A2448" i="26" s="1"/>
  <c r="B2449" i="26"/>
  <c r="A2449" i="26" s="1"/>
  <c r="B2450" i="26"/>
  <c r="A2450" i="26" s="1"/>
  <c r="B2451" i="26"/>
  <c r="A2451" i="26" s="1"/>
  <c r="B2452" i="26"/>
  <c r="A2452" i="26" s="1"/>
  <c r="B2453" i="26"/>
  <c r="A2453" i="26" s="1"/>
  <c r="B2454" i="26"/>
  <c r="A2454" i="26" s="1"/>
  <c r="B2455" i="26"/>
  <c r="A2455" i="26" s="1"/>
  <c r="B2456" i="26"/>
  <c r="A2456" i="26" s="1"/>
  <c r="B2457" i="26"/>
  <c r="A2457" i="26" s="1"/>
  <c r="B2458" i="26"/>
  <c r="A2458" i="26" s="1"/>
  <c r="B2459" i="26"/>
  <c r="A2459" i="26" s="1"/>
  <c r="B2460" i="26"/>
  <c r="A2460" i="26" s="1"/>
  <c r="B2461" i="26"/>
  <c r="A2461" i="26" s="1"/>
  <c r="B2462" i="26"/>
  <c r="A2462" i="26" s="1"/>
  <c r="B2463" i="26"/>
  <c r="A2463" i="26" s="1"/>
  <c r="B2464" i="26"/>
  <c r="A2464" i="26" s="1"/>
  <c r="B2465" i="26"/>
  <c r="A2465" i="26" s="1"/>
  <c r="B2466" i="26"/>
  <c r="A2466" i="26" s="1"/>
  <c r="B2467" i="26"/>
  <c r="A2467" i="26" s="1"/>
  <c r="B2468" i="26"/>
  <c r="A2468" i="26" s="1"/>
  <c r="B2469" i="26"/>
  <c r="A2469" i="26" s="1"/>
  <c r="B2470" i="26"/>
  <c r="A2470" i="26" s="1"/>
  <c r="B2471" i="26"/>
  <c r="A2471" i="26" s="1"/>
  <c r="B2472" i="26"/>
  <c r="A2472" i="26" s="1"/>
  <c r="B2473" i="26"/>
  <c r="A2473" i="26" s="1"/>
  <c r="B2474" i="26"/>
  <c r="A2474" i="26" s="1"/>
  <c r="B2475" i="26"/>
  <c r="A2475" i="26" s="1"/>
  <c r="B2476" i="26"/>
  <c r="A2476" i="26" s="1"/>
  <c r="B2477" i="26"/>
  <c r="A2477" i="26" s="1"/>
  <c r="B2478" i="26"/>
  <c r="A2478" i="26" s="1"/>
  <c r="B2479" i="26"/>
  <c r="A2479" i="26" s="1"/>
  <c r="B2480" i="26"/>
  <c r="A2480" i="26" s="1"/>
  <c r="B2481" i="26"/>
  <c r="A2481" i="26" s="1"/>
  <c r="B2482" i="26"/>
  <c r="A2482" i="26" s="1"/>
  <c r="B2483" i="26"/>
  <c r="A2483" i="26" s="1"/>
  <c r="B2484" i="26"/>
  <c r="A2484" i="26" s="1"/>
  <c r="B2485" i="26"/>
  <c r="A2485" i="26" s="1"/>
  <c r="B2486" i="26"/>
  <c r="A2486" i="26" s="1"/>
  <c r="B2487" i="26"/>
  <c r="A2487" i="26" s="1"/>
  <c r="B2488" i="26"/>
  <c r="A2488" i="26" s="1"/>
  <c r="B2489" i="26"/>
  <c r="A2489" i="26" s="1"/>
  <c r="B2490" i="26"/>
  <c r="A2490" i="26" s="1"/>
  <c r="B2491" i="26"/>
  <c r="A2491" i="26" s="1"/>
  <c r="B2492" i="26"/>
  <c r="A2492" i="26" s="1"/>
  <c r="B2493" i="26"/>
  <c r="A2493" i="26" s="1"/>
  <c r="B2494" i="26"/>
  <c r="A2494" i="26" s="1"/>
  <c r="B2495" i="26"/>
  <c r="A2495" i="26" s="1"/>
  <c r="B2496" i="26"/>
  <c r="A2496" i="26" s="1"/>
  <c r="B2497" i="26"/>
  <c r="A2497" i="26" s="1"/>
  <c r="B2498" i="26"/>
  <c r="A2498" i="26" s="1"/>
  <c r="B2499" i="26"/>
  <c r="A2499" i="26" s="1"/>
  <c r="B2500" i="26"/>
  <c r="A2500" i="26" s="1"/>
  <c r="B2501" i="26"/>
  <c r="A2501" i="26" s="1"/>
  <c r="B2502" i="26"/>
  <c r="A2502" i="26" s="1"/>
  <c r="B2503" i="26"/>
  <c r="A2503" i="26" s="1"/>
  <c r="B2504" i="26"/>
  <c r="A2504" i="26" s="1"/>
  <c r="B2505" i="26"/>
  <c r="A2505" i="26" s="1"/>
  <c r="B2506" i="26"/>
  <c r="A2506" i="26" s="1"/>
  <c r="B2507" i="26"/>
  <c r="A2507" i="26" s="1"/>
  <c r="B2508" i="26"/>
  <c r="A2508" i="26" s="1"/>
  <c r="B2509" i="26"/>
  <c r="A2509" i="26" s="1"/>
  <c r="B2510" i="26"/>
  <c r="A2510" i="26" s="1"/>
  <c r="B2511" i="26"/>
  <c r="A2511" i="26" s="1"/>
  <c r="B2512" i="26"/>
  <c r="A2512" i="26" s="1"/>
  <c r="B2513" i="26"/>
  <c r="A2513" i="26" s="1"/>
  <c r="B2514" i="26"/>
  <c r="A2514" i="26" s="1"/>
  <c r="B2515" i="26"/>
  <c r="A2515" i="26" s="1"/>
  <c r="B2516" i="26"/>
  <c r="A2516" i="26" s="1"/>
  <c r="B2517" i="26"/>
  <c r="A2517" i="26" s="1"/>
  <c r="B2518" i="26"/>
  <c r="A2518" i="26" s="1"/>
  <c r="B2519" i="26"/>
  <c r="A2519" i="26" s="1"/>
  <c r="B2520" i="26"/>
  <c r="A2520" i="26" s="1"/>
  <c r="B2521" i="26"/>
  <c r="A2521" i="26" s="1"/>
  <c r="B2522" i="26"/>
  <c r="A2522" i="26" s="1"/>
  <c r="B2523" i="26"/>
  <c r="A2523" i="26" s="1"/>
  <c r="B2524" i="26"/>
  <c r="A2524" i="26" s="1"/>
  <c r="B2525" i="26"/>
  <c r="A2525" i="26" s="1"/>
  <c r="B2526" i="26"/>
  <c r="A2526" i="26" s="1"/>
  <c r="B2527" i="26"/>
  <c r="A2527" i="26" s="1"/>
  <c r="B2528" i="26"/>
  <c r="A2528" i="26" s="1"/>
  <c r="B2529" i="26"/>
  <c r="A2529" i="26" s="1"/>
  <c r="B2530" i="26"/>
  <c r="A2530" i="26" s="1"/>
  <c r="B2531" i="26"/>
  <c r="A2531" i="26" s="1"/>
  <c r="B2532" i="26"/>
  <c r="A2532" i="26" s="1"/>
  <c r="B2533" i="26"/>
  <c r="A2533" i="26" s="1"/>
  <c r="B2534" i="26"/>
  <c r="A2534" i="26" s="1"/>
  <c r="B2535" i="26"/>
  <c r="A2535" i="26" s="1"/>
  <c r="B2536" i="26"/>
  <c r="A2536" i="26" s="1"/>
  <c r="B2537" i="26"/>
  <c r="A2537" i="26" s="1"/>
  <c r="B2538" i="26"/>
  <c r="A2538" i="26" s="1"/>
  <c r="B2539" i="26"/>
  <c r="A2539" i="26" s="1"/>
  <c r="B2540" i="26"/>
  <c r="A2540" i="26" s="1"/>
  <c r="B2541" i="26"/>
  <c r="A2541" i="26" s="1"/>
  <c r="B2542" i="26"/>
  <c r="A2542" i="26" s="1"/>
  <c r="B2543" i="26"/>
  <c r="A2543" i="26" s="1"/>
  <c r="B2544" i="26"/>
  <c r="A2544" i="26" s="1"/>
  <c r="B2545" i="26"/>
  <c r="A2545" i="26" s="1"/>
  <c r="B2546" i="26"/>
  <c r="A2546" i="26" s="1"/>
  <c r="B2547" i="26"/>
  <c r="A2547" i="26" s="1"/>
  <c r="B2548" i="26"/>
  <c r="A2548" i="26" s="1"/>
  <c r="B2549" i="26"/>
  <c r="A2549" i="26" s="1"/>
  <c r="B2550" i="26"/>
  <c r="A2550" i="26" s="1"/>
  <c r="B2551" i="26"/>
  <c r="A2551" i="26" s="1"/>
  <c r="B2552" i="26"/>
  <c r="A2552" i="26" s="1"/>
  <c r="B2553" i="26"/>
  <c r="A2553" i="26" s="1"/>
  <c r="B2554" i="26"/>
  <c r="A2554" i="26" s="1"/>
  <c r="B2555" i="26"/>
  <c r="A2555" i="26" s="1"/>
  <c r="B2556" i="26"/>
  <c r="A2556" i="26" s="1"/>
  <c r="B2557" i="26"/>
  <c r="A2557" i="26" s="1"/>
  <c r="B2558" i="26"/>
  <c r="A2558" i="26" s="1"/>
  <c r="B2559" i="26"/>
  <c r="A2559" i="26" s="1"/>
  <c r="B2560" i="26"/>
  <c r="A2560" i="26" s="1"/>
  <c r="B2561" i="26"/>
  <c r="A2561" i="26" s="1"/>
  <c r="B2562" i="26"/>
  <c r="A2562" i="26" s="1"/>
  <c r="B2563" i="26"/>
  <c r="A2563" i="26" s="1"/>
  <c r="B2564" i="26"/>
  <c r="A2564" i="26" s="1"/>
  <c r="B2565" i="26"/>
  <c r="A2565" i="26" s="1"/>
  <c r="B2566" i="26"/>
  <c r="A2566" i="26" s="1"/>
  <c r="B2567" i="26"/>
  <c r="A2567" i="26" s="1"/>
  <c r="B2568" i="26"/>
  <c r="A2568" i="26" s="1"/>
  <c r="B2569" i="26"/>
  <c r="A2569" i="26" s="1"/>
  <c r="B2570" i="26"/>
  <c r="A2570" i="26" s="1"/>
  <c r="B2571" i="26"/>
  <c r="A2571" i="26" s="1"/>
  <c r="B2572" i="26"/>
  <c r="A2572" i="26" s="1"/>
  <c r="B2573" i="26"/>
  <c r="A2573" i="26" s="1"/>
  <c r="B2574" i="26"/>
  <c r="A2574" i="26" s="1"/>
  <c r="B2575" i="26"/>
  <c r="A2575" i="26" s="1"/>
  <c r="B2576" i="26"/>
  <c r="A2576" i="26" s="1"/>
  <c r="B2577" i="26"/>
  <c r="A2577" i="26" s="1"/>
  <c r="B2578" i="26"/>
  <c r="A2578" i="26" s="1"/>
  <c r="B2579" i="26"/>
  <c r="A2579" i="26" s="1"/>
  <c r="B2580" i="26"/>
  <c r="A2580" i="26" s="1"/>
  <c r="B2581" i="26"/>
  <c r="A2581" i="26" s="1"/>
  <c r="B2582" i="26"/>
  <c r="A2582" i="26" s="1"/>
  <c r="B2583" i="26"/>
  <c r="A2583" i="26" s="1"/>
  <c r="B2584" i="26"/>
  <c r="A2584" i="26" s="1"/>
  <c r="B2585" i="26"/>
  <c r="A2585" i="26" s="1"/>
  <c r="B2586" i="26"/>
  <c r="A2586" i="26" s="1"/>
  <c r="B2587" i="26"/>
  <c r="A2587" i="26" s="1"/>
  <c r="B2588" i="26"/>
  <c r="A2588" i="26" s="1"/>
  <c r="B2589" i="26"/>
  <c r="A2589" i="26" s="1"/>
  <c r="B2590" i="26"/>
  <c r="A2590" i="26" s="1"/>
  <c r="B2591" i="26"/>
  <c r="A2591" i="26" s="1"/>
  <c r="B2592" i="26"/>
  <c r="A2592" i="26" s="1"/>
  <c r="B2593" i="26"/>
  <c r="A2593" i="26" s="1"/>
  <c r="B2594" i="26"/>
  <c r="A2594" i="26" s="1"/>
  <c r="B2595" i="26"/>
  <c r="A2595" i="26" s="1"/>
  <c r="B2596" i="26"/>
  <c r="A2596" i="26" s="1"/>
  <c r="B2597" i="26"/>
  <c r="A2597" i="26" s="1"/>
  <c r="B2598" i="26"/>
  <c r="A2598" i="26" s="1"/>
  <c r="B2599" i="26"/>
  <c r="A2599" i="26" s="1"/>
  <c r="B2600" i="26"/>
  <c r="A2600" i="26" s="1"/>
  <c r="B2601" i="26"/>
  <c r="A2601" i="26" s="1"/>
  <c r="B2602" i="26"/>
  <c r="A2602" i="26" s="1"/>
  <c r="B2603" i="26"/>
  <c r="A2603" i="26" s="1"/>
  <c r="B2604" i="26"/>
  <c r="A2604" i="26" s="1"/>
  <c r="B2605" i="26"/>
  <c r="A2605" i="26" s="1"/>
  <c r="B2606" i="26"/>
  <c r="A2606" i="26" s="1"/>
  <c r="B2607" i="26"/>
  <c r="A2607" i="26" s="1"/>
  <c r="B2608" i="26"/>
  <c r="A2608" i="26" s="1"/>
  <c r="B2609" i="26"/>
  <c r="A2609" i="26" s="1"/>
  <c r="B2610" i="26"/>
  <c r="A2610" i="26" s="1"/>
  <c r="B2611" i="26"/>
  <c r="A2611" i="26" s="1"/>
  <c r="B2612" i="26"/>
  <c r="A2612" i="26" s="1"/>
  <c r="B2613" i="26"/>
  <c r="A2613" i="26" s="1"/>
  <c r="B2614" i="26"/>
  <c r="A2614" i="26" s="1"/>
  <c r="B2615" i="26"/>
  <c r="A2615" i="26" s="1"/>
  <c r="B2616" i="26"/>
  <c r="A2616" i="26" s="1"/>
  <c r="B2617" i="26"/>
  <c r="A2617" i="26" s="1"/>
  <c r="B2618" i="26"/>
  <c r="A2618" i="26" s="1"/>
  <c r="B2619" i="26"/>
  <c r="A2619" i="26" s="1"/>
  <c r="B2620" i="26"/>
  <c r="A2620" i="26" s="1"/>
  <c r="B2621" i="26"/>
  <c r="A2621" i="26" s="1"/>
  <c r="B2622" i="26"/>
  <c r="A2622" i="26" s="1"/>
  <c r="B2623" i="26"/>
  <c r="A2623" i="26" s="1"/>
  <c r="B2624" i="26"/>
  <c r="A2624" i="26" s="1"/>
  <c r="B2625" i="26"/>
  <c r="A2625" i="26" s="1"/>
  <c r="B2626" i="26"/>
  <c r="A2626" i="26" s="1"/>
  <c r="B2627" i="26"/>
  <c r="A2627" i="26" s="1"/>
  <c r="B2628" i="26"/>
  <c r="A2628" i="26" s="1"/>
  <c r="B2629" i="26"/>
  <c r="A2629" i="26" s="1"/>
  <c r="B2630" i="26"/>
  <c r="A2630" i="26" s="1"/>
  <c r="B2631" i="26"/>
  <c r="A2631" i="26" s="1"/>
  <c r="B2632" i="26"/>
  <c r="A2632" i="26" s="1"/>
  <c r="B2633" i="26"/>
  <c r="A2633" i="26" s="1"/>
  <c r="B2634" i="26"/>
  <c r="A2634" i="26" s="1"/>
  <c r="B2635" i="26"/>
  <c r="A2635" i="26" s="1"/>
  <c r="B2636" i="26"/>
  <c r="A2636" i="26" s="1"/>
  <c r="B2637" i="26"/>
  <c r="A2637" i="26" s="1"/>
  <c r="B2638" i="26"/>
  <c r="A2638" i="26" s="1"/>
  <c r="B2639" i="26"/>
  <c r="A2639" i="26" s="1"/>
  <c r="B2640" i="26"/>
  <c r="A2640" i="26" s="1"/>
  <c r="B2641" i="26"/>
  <c r="A2641" i="26" s="1"/>
  <c r="B2642" i="26"/>
  <c r="A2642" i="26" s="1"/>
  <c r="B2643" i="26"/>
  <c r="A2643" i="26" s="1"/>
  <c r="B2644" i="26"/>
  <c r="A2644" i="26" s="1"/>
  <c r="B2645" i="26"/>
  <c r="A2645" i="26" s="1"/>
  <c r="B2646" i="26"/>
  <c r="A2646" i="26" s="1"/>
  <c r="B2647" i="26"/>
  <c r="A2647" i="26" s="1"/>
  <c r="B2648" i="26"/>
  <c r="A2648" i="26" s="1"/>
  <c r="B2649" i="26"/>
  <c r="A2649" i="26" s="1"/>
  <c r="B2650" i="26"/>
  <c r="A2650" i="26" s="1"/>
  <c r="B2651" i="26"/>
  <c r="A2651" i="26" s="1"/>
  <c r="B2652" i="26"/>
  <c r="A2652" i="26" s="1"/>
  <c r="B2653" i="26"/>
  <c r="A2653" i="26" s="1"/>
  <c r="B2654" i="26"/>
  <c r="A2654" i="26" s="1"/>
  <c r="B2655" i="26"/>
  <c r="A2655" i="26" s="1"/>
  <c r="B2656" i="26"/>
  <c r="A2656" i="26" s="1"/>
  <c r="B2657" i="26"/>
  <c r="A2657" i="26" s="1"/>
  <c r="B2658" i="26"/>
  <c r="A2658" i="26" s="1"/>
  <c r="B2659" i="26"/>
  <c r="A2659" i="26" s="1"/>
  <c r="B2660" i="26"/>
  <c r="A2660" i="26" s="1"/>
  <c r="B2661" i="26"/>
  <c r="A2661" i="26" s="1"/>
  <c r="B2662" i="26"/>
  <c r="A2662" i="26" s="1"/>
  <c r="B2663" i="26"/>
  <c r="A2663" i="26" s="1"/>
  <c r="B2664" i="26"/>
  <c r="A2664" i="26" s="1"/>
  <c r="B2665" i="26"/>
  <c r="A2665" i="26" s="1"/>
  <c r="B2666" i="26"/>
  <c r="A2666" i="26" s="1"/>
  <c r="B2667" i="26"/>
  <c r="A2667" i="26" s="1"/>
  <c r="B2668" i="26"/>
  <c r="A2668" i="26" s="1"/>
  <c r="B2669" i="26"/>
  <c r="A2669" i="26" s="1"/>
  <c r="B2670" i="26"/>
  <c r="A2670" i="26" s="1"/>
  <c r="B2671" i="26"/>
  <c r="A2671" i="26" s="1"/>
  <c r="B2672" i="26"/>
  <c r="A2672" i="26" s="1"/>
  <c r="B2673" i="26"/>
  <c r="A2673" i="26" s="1"/>
  <c r="B2674" i="26"/>
  <c r="A2674" i="26" s="1"/>
  <c r="B2675" i="26"/>
  <c r="A2675" i="26" s="1"/>
  <c r="B2676" i="26"/>
  <c r="A2676" i="26" s="1"/>
  <c r="B2677" i="26"/>
  <c r="A2677" i="26" s="1"/>
  <c r="B2678" i="26"/>
  <c r="A2678" i="26" s="1"/>
  <c r="B2679" i="26"/>
  <c r="A2679" i="26" s="1"/>
  <c r="B2680" i="26"/>
  <c r="A2680" i="26" s="1"/>
  <c r="B2681" i="26"/>
  <c r="A2681" i="26" s="1"/>
  <c r="B2682" i="26"/>
  <c r="A2682" i="26" s="1"/>
  <c r="B2683" i="26"/>
  <c r="A2683" i="26" s="1"/>
  <c r="B2684" i="26"/>
  <c r="A2684" i="26" s="1"/>
  <c r="B2685" i="26"/>
  <c r="A2685" i="26" s="1"/>
  <c r="B2686" i="26"/>
  <c r="A2686" i="26" s="1"/>
  <c r="B2687" i="26"/>
  <c r="A2687" i="26" s="1"/>
  <c r="B2688" i="26"/>
  <c r="A2688" i="26" s="1"/>
  <c r="B2689" i="26"/>
  <c r="A2689" i="26" s="1"/>
  <c r="B2690" i="26"/>
  <c r="A2690" i="26" s="1"/>
  <c r="B2691" i="26"/>
  <c r="A2691" i="26" s="1"/>
  <c r="B2692" i="26"/>
  <c r="A2692" i="26" s="1"/>
  <c r="B2693" i="26"/>
  <c r="A2693" i="26" s="1"/>
  <c r="B2694" i="26"/>
  <c r="A2694" i="26" s="1"/>
  <c r="B2695" i="26"/>
  <c r="A2695" i="26" s="1"/>
  <c r="B2696" i="26"/>
  <c r="A2696" i="26" s="1"/>
  <c r="B2697" i="26"/>
  <c r="A2697" i="26" s="1"/>
  <c r="B2698" i="26"/>
  <c r="A2698" i="26" s="1"/>
  <c r="B2699" i="26"/>
  <c r="A2699" i="26" s="1"/>
  <c r="B2700" i="26"/>
  <c r="A2700" i="26" s="1"/>
  <c r="B2701" i="26"/>
  <c r="A2701" i="26" s="1"/>
  <c r="B2702" i="26"/>
  <c r="A2702" i="26" s="1"/>
  <c r="B2703" i="26"/>
  <c r="A2703" i="26" s="1"/>
  <c r="B2704" i="26"/>
  <c r="A2704" i="26" s="1"/>
  <c r="B2705" i="26"/>
  <c r="A2705" i="26" s="1"/>
  <c r="B2706" i="26"/>
  <c r="A2706" i="26" s="1"/>
  <c r="B2707" i="26"/>
  <c r="A2707" i="26" s="1"/>
  <c r="B2708" i="26"/>
  <c r="A2708" i="26" s="1"/>
  <c r="B2709" i="26"/>
  <c r="A2709" i="26" s="1"/>
  <c r="B2710" i="26"/>
  <c r="A2710" i="26" s="1"/>
  <c r="B2711" i="26"/>
  <c r="A2711" i="26" s="1"/>
  <c r="B2712" i="26"/>
  <c r="A2712" i="26" s="1"/>
  <c r="B2713" i="26"/>
  <c r="A2713" i="26" s="1"/>
  <c r="B2714" i="26"/>
  <c r="A2714" i="26" s="1"/>
  <c r="B2715" i="26"/>
  <c r="A2715" i="26" s="1"/>
  <c r="B2716" i="26"/>
  <c r="A2716" i="26" s="1"/>
  <c r="B2717" i="26"/>
  <c r="A2717" i="26" s="1"/>
  <c r="B2718" i="26"/>
  <c r="A2718" i="26" s="1"/>
  <c r="B2719" i="26"/>
  <c r="A2719" i="26" s="1"/>
  <c r="B2720" i="26"/>
  <c r="A2720" i="26" s="1"/>
  <c r="B2721" i="26"/>
  <c r="A2721" i="26" s="1"/>
  <c r="B2722" i="26"/>
  <c r="A2722" i="26" s="1"/>
  <c r="B2723" i="26"/>
  <c r="A2723" i="26" s="1"/>
  <c r="B2724" i="26"/>
  <c r="A2724" i="26" s="1"/>
  <c r="B2725" i="26"/>
  <c r="A2725" i="26" s="1"/>
  <c r="B2726" i="26"/>
  <c r="A2726" i="26" s="1"/>
  <c r="B2727" i="26"/>
  <c r="A2727" i="26" s="1"/>
  <c r="B2728" i="26"/>
  <c r="A2728" i="26" s="1"/>
  <c r="B2729" i="26"/>
  <c r="A2729" i="26" s="1"/>
  <c r="B2730" i="26"/>
  <c r="A2730" i="26" s="1"/>
  <c r="B2731" i="26"/>
  <c r="A2731" i="26" s="1"/>
  <c r="B2732" i="26"/>
  <c r="A2732" i="26" s="1"/>
  <c r="B2733" i="26"/>
  <c r="A2733" i="26" s="1"/>
  <c r="B2734" i="26"/>
  <c r="A2734" i="26" s="1"/>
  <c r="B2735" i="26"/>
  <c r="A2735" i="26" s="1"/>
  <c r="B2736" i="26"/>
  <c r="A2736" i="26" s="1"/>
  <c r="B2737" i="26"/>
  <c r="A2737" i="26" s="1"/>
  <c r="B2738" i="26"/>
  <c r="A2738" i="26" s="1"/>
  <c r="B2739" i="26"/>
  <c r="A2739" i="26" s="1"/>
  <c r="B2740" i="26"/>
  <c r="A2740" i="26" s="1"/>
  <c r="B2741" i="26"/>
  <c r="A2741" i="26" s="1"/>
  <c r="B2742" i="26"/>
  <c r="A2742" i="26" s="1"/>
  <c r="B2743" i="26"/>
  <c r="A2743" i="26" s="1"/>
  <c r="B2744" i="26"/>
  <c r="A2744" i="26" s="1"/>
  <c r="B2745" i="26"/>
  <c r="A2745" i="26" s="1"/>
  <c r="B2746" i="26"/>
  <c r="A2746" i="26" s="1"/>
  <c r="B2747" i="26"/>
  <c r="A2747" i="26" s="1"/>
  <c r="B2748" i="26"/>
  <c r="A2748" i="26" s="1"/>
  <c r="B2749" i="26"/>
  <c r="A2749" i="26" s="1"/>
  <c r="B2750" i="26"/>
  <c r="A2750" i="26" s="1"/>
  <c r="B2751" i="26"/>
  <c r="A2751" i="26" s="1"/>
  <c r="B2752" i="26"/>
  <c r="A2752" i="26" s="1"/>
  <c r="B2753" i="26"/>
  <c r="A2753" i="26" s="1"/>
  <c r="B2754" i="26"/>
  <c r="A2754" i="26" s="1"/>
  <c r="B2755" i="26"/>
  <c r="A2755" i="26" s="1"/>
  <c r="B2756" i="26"/>
  <c r="A2756" i="26" s="1"/>
  <c r="B2757" i="26"/>
  <c r="A2757" i="26" s="1"/>
  <c r="B2758" i="26"/>
  <c r="A2758" i="26" s="1"/>
  <c r="B2759" i="26"/>
  <c r="A2759" i="26" s="1"/>
  <c r="B2760" i="26"/>
  <c r="A2760" i="26" s="1"/>
  <c r="B2761" i="26"/>
  <c r="A2761" i="26" s="1"/>
  <c r="B2762" i="26"/>
  <c r="A2762" i="26" s="1"/>
  <c r="B2763" i="26"/>
  <c r="A2763" i="26" s="1"/>
  <c r="B2764" i="26"/>
  <c r="A2764" i="26" s="1"/>
  <c r="B2765" i="26"/>
  <c r="A2765" i="26" s="1"/>
  <c r="B2766" i="26"/>
  <c r="A2766" i="26" s="1"/>
  <c r="B2767" i="26"/>
  <c r="A2767" i="26" s="1"/>
  <c r="B2768" i="26"/>
  <c r="A2768" i="26" s="1"/>
  <c r="B2769" i="26"/>
  <c r="A2769" i="26" s="1"/>
  <c r="B2770" i="26"/>
  <c r="A2770" i="26" s="1"/>
  <c r="B2771" i="26"/>
  <c r="A2771" i="26" s="1"/>
  <c r="B2772" i="26"/>
  <c r="A2772" i="26" s="1"/>
  <c r="B2773" i="26"/>
  <c r="A2773" i="26" s="1"/>
  <c r="B2774" i="26"/>
  <c r="A2774" i="26" s="1"/>
  <c r="B2775" i="26"/>
  <c r="A2775" i="26" s="1"/>
  <c r="B2776" i="26"/>
  <c r="A2776" i="26" s="1"/>
  <c r="B2777" i="26"/>
  <c r="A2777" i="26" s="1"/>
  <c r="B2778" i="26"/>
  <c r="A2778" i="26" s="1"/>
  <c r="B2779" i="26"/>
  <c r="A2779" i="26" s="1"/>
  <c r="B2780" i="26"/>
  <c r="A2780" i="26" s="1"/>
  <c r="B2781" i="26"/>
  <c r="A2781" i="26" s="1"/>
  <c r="B2782" i="26"/>
  <c r="A2782" i="26" s="1"/>
  <c r="B2783" i="26"/>
  <c r="A2783" i="26" s="1"/>
  <c r="B2784" i="26"/>
  <c r="A2784" i="26" s="1"/>
  <c r="B2785" i="26"/>
  <c r="A2785" i="26" s="1"/>
  <c r="B2786" i="26"/>
  <c r="A2786" i="26" s="1"/>
  <c r="B2787" i="26"/>
  <c r="A2787" i="26" s="1"/>
  <c r="B2788" i="26"/>
  <c r="A2788" i="26" s="1"/>
  <c r="B2789" i="26"/>
  <c r="A2789" i="26" s="1"/>
  <c r="B2790" i="26"/>
  <c r="A2790" i="26" s="1"/>
  <c r="B2791" i="26"/>
  <c r="A2791" i="26" s="1"/>
  <c r="B2792" i="26"/>
  <c r="A2792" i="26" s="1"/>
  <c r="B2793" i="26"/>
  <c r="A2793" i="26" s="1"/>
  <c r="B2794" i="26"/>
  <c r="A2794" i="26" s="1"/>
  <c r="B2795" i="26"/>
  <c r="A2795" i="26" s="1"/>
  <c r="B2796" i="26"/>
  <c r="A2796" i="26" s="1"/>
  <c r="B2797" i="26"/>
  <c r="A2797" i="26" s="1"/>
  <c r="B2798" i="26"/>
  <c r="A2798" i="26" s="1"/>
  <c r="B2799" i="26"/>
  <c r="A2799" i="26" s="1"/>
  <c r="B2800" i="26"/>
  <c r="A2800" i="26" s="1"/>
  <c r="B2801" i="26"/>
  <c r="A2801" i="26" s="1"/>
  <c r="B2802" i="26"/>
  <c r="A2802" i="26" s="1"/>
  <c r="B2803" i="26"/>
  <c r="A2803" i="26" s="1"/>
  <c r="B2804" i="26"/>
  <c r="A2804" i="26" s="1"/>
  <c r="B2805" i="26"/>
  <c r="A2805" i="26" s="1"/>
  <c r="B2806" i="26"/>
  <c r="A2806" i="26" s="1"/>
  <c r="B2807" i="26"/>
  <c r="A2807" i="26" s="1"/>
  <c r="B2808" i="26"/>
  <c r="A2808" i="26" s="1"/>
  <c r="B2809" i="26"/>
  <c r="A2809" i="26" s="1"/>
  <c r="B2810" i="26"/>
  <c r="A2810" i="26" s="1"/>
  <c r="B2811" i="26"/>
  <c r="A2811" i="26" s="1"/>
  <c r="B2812" i="26"/>
  <c r="A2812" i="26" s="1"/>
  <c r="B2813" i="26"/>
  <c r="A2813" i="26" s="1"/>
  <c r="B2814" i="26"/>
  <c r="A2814" i="26" s="1"/>
  <c r="B2815" i="26"/>
  <c r="A2815" i="26" s="1"/>
  <c r="B2816" i="26"/>
  <c r="A2816" i="26" s="1"/>
  <c r="B2817" i="26"/>
  <c r="A2817" i="26" s="1"/>
  <c r="B2818" i="26"/>
  <c r="A2818" i="26" s="1"/>
  <c r="B2819" i="26"/>
  <c r="A2819" i="26" s="1"/>
  <c r="B2820" i="26"/>
  <c r="A2820" i="26" s="1"/>
  <c r="B2821" i="26"/>
  <c r="A2821" i="26" s="1"/>
  <c r="B2822" i="26"/>
  <c r="A2822" i="26" s="1"/>
  <c r="B2823" i="26"/>
  <c r="A2823" i="26" s="1"/>
  <c r="B2824" i="26"/>
  <c r="A2824" i="26" s="1"/>
  <c r="B2825" i="26"/>
  <c r="A2825" i="26" s="1"/>
  <c r="B2826" i="26"/>
  <c r="A2826" i="26" s="1"/>
  <c r="B2827" i="26"/>
  <c r="A2827" i="26" s="1"/>
  <c r="B2828" i="26"/>
  <c r="A2828" i="26" s="1"/>
  <c r="B2829" i="26"/>
  <c r="A2829" i="26" s="1"/>
  <c r="B2830" i="26"/>
  <c r="A2830" i="26" s="1"/>
  <c r="B2831" i="26"/>
  <c r="A2831" i="26" s="1"/>
  <c r="B2832" i="26"/>
  <c r="A2832" i="26" s="1"/>
  <c r="B2833" i="26"/>
  <c r="A2833" i="26" s="1"/>
  <c r="B2834" i="26"/>
  <c r="A2834" i="26" s="1"/>
  <c r="B2835" i="26"/>
  <c r="A2835" i="26" s="1"/>
  <c r="B2836" i="26"/>
  <c r="A2836" i="26" s="1"/>
  <c r="B2837" i="26"/>
  <c r="A2837" i="26" s="1"/>
  <c r="B2838" i="26"/>
  <c r="A2838" i="26" s="1"/>
  <c r="B2839" i="26"/>
  <c r="A2839" i="26" s="1"/>
  <c r="B2840" i="26"/>
  <c r="A2840" i="26" s="1"/>
  <c r="B2841" i="26"/>
  <c r="A2841" i="26" s="1"/>
  <c r="B2842" i="26"/>
  <c r="A2842" i="26" s="1"/>
  <c r="B2843" i="26"/>
  <c r="A2843" i="26" s="1"/>
  <c r="B2844" i="26"/>
  <c r="A2844" i="26" s="1"/>
  <c r="B2845" i="26"/>
  <c r="A2845" i="26" s="1"/>
  <c r="B2846" i="26"/>
  <c r="A2846" i="26" s="1"/>
  <c r="B2847" i="26"/>
  <c r="A2847" i="26" s="1"/>
  <c r="B2848" i="26"/>
  <c r="A2848" i="26" s="1"/>
  <c r="B2849" i="26"/>
  <c r="A2849" i="26" s="1"/>
  <c r="B2850" i="26"/>
  <c r="A2850" i="26" s="1"/>
  <c r="B2851" i="26"/>
  <c r="A2851" i="26" s="1"/>
  <c r="B2852" i="26"/>
  <c r="A2852" i="26" s="1"/>
  <c r="B2853" i="26"/>
  <c r="A2853" i="26" s="1"/>
  <c r="B2854" i="26"/>
  <c r="A2854" i="26" s="1"/>
  <c r="B2855" i="26"/>
  <c r="A2855" i="26" s="1"/>
  <c r="B2856" i="26"/>
  <c r="A2856" i="26" s="1"/>
  <c r="B2857" i="26"/>
  <c r="A2857" i="26" s="1"/>
  <c r="B2858" i="26"/>
  <c r="A2858" i="26" s="1"/>
  <c r="B2859" i="26"/>
  <c r="A2859" i="26" s="1"/>
  <c r="B2860" i="26"/>
  <c r="A2860" i="26" s="1"/>
  <c r="B2861" i="26"/>
  <c r="A2861" i="26" s="1"/>
  <c r="B2862" i="26"/>
  <c r="A2862" i="26" s="1"/>
  <c r="B2863" i="26"/>
  <c r="A2863" i="26" s="1"/>
  <c r="B2864" i="26"/>
  <c r="A2864" i="26" s="1"/>
  <c r="B2865" i="26"/>
  <c r="A2865" i="26" s="1"/>
  <c r="B2866" i="26"/>
  <c r="A2866" i="26" s="1"/>
  <c r="B2867" i="26"/>
  <c r="A2867" i="26" s="1"/>
  <c r="B2868" i="26"/>
  <c r="A2868" i="26" s="1"/>
  <c r="B2869" i="26"/>
  <c r="A2869" i="26" s="1"/>
  <c r="B2870" i="26"/>
  <c r="A2870" i="26" s="1"/>
  <c r="B2871" i="26"/>
  <c r="A2871" i="26" s="1"/>
  <c r="B2872" i="26"/>
  <c r="A2872" i="26" s="1"/>
  <c r="B2873" i="26"/>
  <c r="A2873" i="26" s="1"/>
  <c r="B2874" i="26"/>
  <c r="A2874" i="26" s="1"/>
  <c r="B2875" i="26"/>
  <c r="A2875" i="26" s="1"/>
  <c r="B2876" i="26"/>
  <c r="A2876" i="26" s="1"/>
  <c r="B2877" i="26"/>
  <c r="A2877" i="26" s="1"/>
  <c r="B2878" i="26"/>
  <c r="A2878" i="26" s="1"/>
  <c r="B2879" i="26"/>
  <c r="A2879" i="26" s="1"/>
  <c r="B2880" i="26"/>
  <c r="A2880" i="26" s="1"/>
  <c r="B2881" i="26"/>
  <c r="A2881" i="26" s="1"/>
  <c r="B2882" i="26"/>
  <c r="A2882" i="26" s="1"/>
  <c r="B2883" i="26"/>
  <c r="A2883" i="26" s="1"/>
  <c r="B2884" i="26"/>
  <c r="A2884" i="26" s="1"/>
  <c r="B2885" i="26"/>
  <c r="A2885" i="26" s="1"/>
  <c r="B2886" i="26"/>
  <c r="A2886" i="26" s="1"/>
  <c r="B2887" i="26"/>
  <c r="A2887" i="26" s="1"/>
  <c r="B2888" i="26"/>
  <c r="A2888" i="26" s="1"/>
  <c r="B2889" i="26"/>
  <c r="A2889" i="26" s="1"/>
  <c r="B2890" i="26"/>
  <c r="A2890" i="26" s="1"/>
  <c r="B2891" i="26"/>
  <c r="A2891" i="26" s="1"/>
  <c r="B2892" i="26"/>
  <c r="A2892" i="26" s="1"/>
  <c r="B2893" i="26"/>
  <c r="A2893" i="26" s="1"/>
  <c r="B2894" i="26"/>
  <c r="A2894" i="26" s="1"/>
  <c r="B2895" i="26"/>
  <c r="A2895" i="26" s="1"/>
  <c r="B2896" i="26"/>
  <c r="A2896" i="26" s="1"/>
  <c r="B2897" i="26"/>
  <c r="A2897" i="26" s="1"/>
  <c r="B2898" i="26"/>
  <c r="A2898" i="26" s="1"/>
  <c r="B2899" i="26"/>
  <c r="A2899" i="26" s="1"/>
  <c r="B2900" i="26"/>
  <c r="A2900" i="26" s="1"/>
  <c r="B2901" i="26"/>
  <c r="A2901" i="26" s="1"/>
  <c r="B2902" i="26"/>
  <c r="A2902" i="26" s="1"/>
  <c r="B2903" i="26"/>
  <c r="A2903" i="26" s="1"/>
  <c r="B2904" i="26"/>
  <c r="A2904" i="26" s="1"/>
  <c r="B2905" i="26"/>
  <c r="A2905" i="26" s="1"/>
  <c r="B2906" i="26"/>
  <c r="A2906" i="26" s="1"/>
  <c r="B2907" i="26"/>
  <c r="A2907" i="26" s="1"/>
  <c r="B2908" i="26"/>
  <c r="A2908" i="26" s="1"/>
  <c r="B2909" i="26"/>
  <c r="A2909" i="26" s="1"/>
  <c r="B2910" i="26"/>
  <c r="A2910" i="26" s="1"/>
  <c r="B2911" i="26"/>
  <c r="A2911" i="26" s="1"/>
  <c r="B2912" i="26"/>
  <c r="A2912" i="26" s="1"/>
  <c r="B2913" i="26"/>
  <c r="A2913" i="26" s="1"/>
  <c r="B2914" i="26"/>
  <c r="A2914" i="26" s="1"/>
  <c r="B2915" i="26"/>
  <c r="A2915" i="26" s="1"/>
  <c r="B2916" i="26"/>
  <c r="A2916" i="26" s="1"/>
  <c r="B2917" i="26"/>
  <c r="A2917" i="26" s="1"/>
  <c r="B2918" i="26"/>
  <c r="A2918" i="26" s="1"/>
  <c r="B2919" i="26"/>
  <c r="A2919" i="26" s="1"/>
  <c r="B2920" i="26"/>
  <c r="A2920" i="26" s="1"/>
  <c r="B2921" i="26"/>
  <c r="A2921" i="26" s="1"/>
  <c r="B2922" i="26"/>
  <c r="A2922" i="26" s="1"/>
  <c r="B2923" i="26"/>
  <c r="A2923" i="26" s="1"/>
  <c r="B2924" i="26"/>
  <c r="A2924" i="26" s="1"/>
  <c r="B2925" i="26"/>
  <c r="A2925" i="26" s="1"/>
  <c r="B2926" i="26"/>
  <c r="A2926" i="26" s="1"/>
  <c r="B2927" i="26"/>
  <c r="A2927" i="26" s="1"/>
  <c r="B2928" i="26"/>
  <c r="A2928" i="26" s="1"/>
  <c r="B2929" i="26"/>
  <c r="A2929" i="26" s="1"/>
  <c r="B2930" i="26"/>
  <c r="A2930" i="26" s="1"/>
  <c r="B2931" i="26"/>
  <c r="A2931" i="26" s="1"/>
  <c r="B2932" i="26"/>
  <c r="A2932" i="26" s="1"/>
  <c r="B2933" i="26"/>
  <c r="A2933" i="26" s="1"/>
  <c r="B2934" i="26"/>
  <c r="A2934" i="26" s="1"/>
  <c r="B2935" i="26"/>
  <c r="A2935" i="26" s="1"/>
  <c r="B2936" i="26"/>
  <c r="A2936" i="26" s="1"/>
  <c r="B2937" i="26"/>
  <c r="A2937" i="26" s="1"/>
  <c r="B2938" i="26"/>
  <c r="A2938" i="26" s="1"/>
  <c r="B2939" i="26"/>
  <c r="A2939" i="26" s="1"/>
  <c r="B2940" i="26"/>
  <c r="A2940" i="26" s="1"/>
  <c r="B2941" i="26"/>
  <c r="A2941" i="26" s="1"/>
  <c r="B2942" i="26"/>
  <c r="A2942" i="26" s="1"/>
  <c r="B2943" i="26"/>
  <c r="A2943" i="26" s="1"/>
  <c r="B2944" i="26"/>
  <c r="A2944" i="26" s="1"/>
  <c r="B2945" i="26"/>
  <c r="A2945" i="26" s="1"/>
  <c r="B2946" i="26"/>
  <c r="A2946" i="26" s="1"/>
  <c r="B2947" i="26"/>
  <c r="A2947" i="26" s="1"/>
  <c r="B2948" i="26"/>
  <c r="A2948" i="26" s="1"/>
  <c r="B2949" i="26"/>
  <c r="A2949" i="26" s="1"/>
  <c r="B2950" i="26"/>
  <c r="A2950" i="26" s="1"/>
  <c r="B2951" i="26"/>
  <c r="A2951" i="26" s="1"/>
  <c r="B2952" i="26"/>
  <c r="A2952" i="26" s="1"/>
  <c r="B2953" i="26"/>
  <c r="A2953" i="26" s="1"/>
  <c r="B2954" i="26"/>
  <c r="A2954" i="26" s="1"/>
  <c r="B2955" i="26"/>
  <c r="A2955" i="26" s="1"/>
  <c r="B2956" i="26"/>
  <c r="A2956" i="26" s="1"/>
  <c r="B2957" i="26"/>
  <c r="A2957" i="26" s="1"/>
  <c r="B2958" i="26"/>
  <c r="A2958" i="26" s="1"/>
  <c r="B2959" i="26"/>
  <c r="A2959" i="26" s="1"/>
  <c r="B2960" i="26"/>
  <c r="A2960" i="26" s="1"/>
  <c r="B2961" i="26"/>
  <c r="A2961" i="26" s="1"/>
  <c r="B2962" i="26"/>
  <c r="A2962" i="26" s="1"/>
  <c r="B2963" i="26"/>
  <c r="A2963" i="26" s="1"/>
  <c r="B2964" i="26"/>
  <c r="A2964" i="26" s="1"/>
  <c r="B2965" i="26"/>
  <c r="A2965" i="26" s="1"/>
  <c r="B2966" i="26"/>
  <c r="A2966" i="26" s="1"/>
  <c r="B2967" i="26"/>
  <c r="A2967" i="26" s="1"/>
  <c r="B2968" i="26"/>
  <c r="A2968" i="26" s="1"/>
  <c r="B2969" i="26"/>
  <c r="A2969" i="26" s="1"/>
  <c r="B2970" i="26"/>
  <c r="A2970" i="26" s="1"/>
  <c r="B2971" i="26"/>
  <c r="A2971" i="26" s="1"/>
  <c r="B2972" i="26"/>
  <c r="A2972" i="26" s="1"/>
  <c r="B2973" i="26"/>
  <c r="A2973" i="26" s="1"/>
  <c r="B2974" i="26"/>
  <c r="A2974" i="26" s="1"/>
  <c r="B2975" i="26"/>
  <c r="A2975" i="26" s="1"/>
  <c r="B2976" i="26"/>
  <c r="A2976" i="26" s="1"/>
  <c r="B2977" i="26"/>
  <c r="A2977" i="26" s="1"/>
  <c r="B2978" i="26"/>
  <c r="A2978" i="26" s="1"/>
  <c r="B2979" i="26"/>
  <c r="A2979" i="26" s="1"/>
  <c r="B2980" i="26"/>
  <c r="A2980" i="26" s="1"/>
  <c r="B2981" i="26"/>
  <c r="A2981" i="26" s="1"/>
  <c r="B2982" i="26"/>
  <c r="A2982" i="26" s="1"/>
  <c r="B2983" i="26"/>
  <c r="A2983" i="26" s="1"/>
  <c r="B2984" i="26"/>
  <c r="A2984" i="26" s="1"/>
  <c r="B2985" i="26"/>
  <c r="A2985" i="26" s="1"/>
  <c r="B2986" i="26"/>
  <c r="A2986" i="26" s="1"/>
  <c r="B2987" i="26"/>
  <c r="A2987" i="26" s="1"/>
  <c r="B2988" i="26"/>
  <c r="A2988" i="26" s="1"/>
  <c r="B2989" i="26"/>
  <c r="A2989" i="26" s="1"/>
  <c r="B2990" i="26"/>
  <c r="A2990" i="26" s="1"/>
  <c r="B2991" i="26"/>
  <c r="A2991" i="26" s="1"/>
  <c r="B2992" i="26"/>
  <c r="A2992" i="26" s="1"/>
  <c r="B2993" i="26"/>
  <c r="A2993" i="26" s="1"/>
  <c r="B2994" i="26"/>
  <c r="A2994" i="26" s="1"/>
  <c r="B2995" i="26"/>
  <c r="A2995" i="26" s="1"/>
  <c r="B2996" i="26"/>
  <c r="A2996" i="26" s="1"/>
  <c r="B2997" i="26"/>
  <c r="A2997" i="26" s="1"/>
  <c r="B2998" i="26"/>
  <c r="A2998" i="26" s="1"/>
  <c r="B2999" i="26"/>
  <c r="A2999" i="26" s="1"/>
  <c r="B3000" i="26"/>
  <c r="A3000" i="26" s="1"/>
  <c r="B3001" i="26"/>
  <c r="A3001" i="26" s="1"/>
  <c r="B3002" i="26"/>
  <c r="A3002" i="26" s="1"/>
  <c r="B3003" i="26"/>
  <c r="A3003" i="26" s="1"/>
  <c r="B3004" i="26"/>
  <c r="A3004" i="26" s="1"/>
  <c r="B3005" i="26"/>
  <c r="A3005" i="26" s="1"/>
  <c r="B3006" i="26"/>
  <c r="A3006" i="26" s="1"/>
  <c r="B3007" i="26"/>
  <c r="A3007" i="26" s="1"/>
  <c r="B3008" i="26"/>
  <c r="A3008" i="26" s="1"/>
  <c r="B3009" i="26"/>
  <c r="A3009" i="26" s="1"/>
  <c r="B3010" i="26"/>
  <c r="A3010" i="26" s="1"/>
  <c r="B3011" i="26"/>
  <c r="A3011" i="26" s="1"/>
  <c r="B3012" i="26"/>
  <c r="A3012" i="26" s="1"/>
  <c r="B3013" i="26"/>
  <c r="A3013" i="26" s="1"/>
  <c r="B3014" i="26"/>
  <c r="A3014" i="26" s="1"/>
  <c r="B3015" i="26"/>
  <c r="A3015" i="26" s="1"/>
  <c r="B3016" i="26"/>
  <c r="A3016" i="26" s="1"/>
  <c r="B3017" i="26"/>
  <c r="A3017" i="26" s="1"/>
  <c r="B3018" i="26"/>
  <c r="A3018" i="26" s="1"/>
  <c r="B3019" i="26"/>
  <c r="A3019" i="26" s="1"/>
  <c r="B3020" i="26"/>
  <c r="A3020" i="26" s="1"/>
  <c r="B3021" i="26"/>
  <c r="A3021" i="26" s="1"/>
  <c r="B3022" i="26"/>
  <c r="A3022" i="26" s="1"/>
  <c r="B3023" i="26"/>
  <c r="A3023" i="26" s="1"/>
  <c r="B3024" i="26"/>
  <c r="A3024" i="26" s="1"/>
  <c r="B3025" i="26"/>
  <c r="A3025" i="26" s="1"/>
  <c r="B3026" i="26"/>
  <c r="A3026" i="26" s="1"/>
  <c r="B3027" i="26"/>
  <c r="A3027" i="26" s="1"/>
  <c r="B3028" i="26"/>
  <c r="A3028" i="26" s="1"/>
  <c r="B3029" i="26"/>
  <c r="A3029" i="26" s="1"/>
  <c r="B3030" i="26"/>
  <c r="A3030" i="26" s="1"/>
  <c r="B3031" i="26"/>
  <c r="A3031" i="26" s="1"/>
  <c r="B3032" i="26"/>
  <c r="A3032" i="26" s="1"/>
  <c r="B3033" i="26"/>
  <c r="A3033" i="26" s="1"/>
  <c r="B3034" i="26"/>
  <c r="A3034" i="26" s="1"/>
  <c r="B3035" i="26"/>
  <c r="A3035" i="26" s="1"/>
  <c r="B3036" i="26"/>
  <c r="A3036" i="26" s="1"/>
  <c r="B3037" i="26"/>
  <c r="A3037" i="26" s="1"/>
  <c r="B3038" i="26"/>
  <c r="A3038" i="26" s="1"/>
  <c r="B3039" i="26"/>
  <c r="A3039" i="26" s="1"/>
  <c r="B3040" i="26"/>
  <c r="A3040" i="26" s="1"/>
  <c r="B3041" i="26"/>
  <c r="A3041" i="26" s="1"/>
  <c r="B3042" i="26"/>
  <c r="A3042" i="26" s="1"/>
  <c r="B3043" i="26"/>
  <c r="A3043" i="26" s="1"/>
  <c r="B3044" i="26"/>
  <c r="A3044" i="26" s="1"/>
  <c r="B3045" i="26"/>
  <c r="A3045" i="26" s="1"/>
  <c r="B3046" i="26"/>
  <c r="A3046" i="26" s="1"/>
  <c r="B3047" i="26"/>
  <c r="A3047" i="26" s="1"/>
  <c r="B3048" i="26"/>
  <c r="A3048" i="26" s="1"/>
  <c r="B3049" i="26"/>
  <c r="A3049" i="26" s="1"/>
  <c r="B3050" i="26"/>
  <c r="A3050" i="26" s="1"/>
  <c r="B3051" i="26"/>
  <c r="A3051" i="26" s="1"/>
  <c r="B3052" i="26"/>
  <c r="A3052" i="26" s="1"/>
  <c r="B3053" i="26"/>
  <c r="A3053" i="26" s="1"/>
  <c r="B3054" i="26"/>
  <c r="A3054" i="26" s="1"/>
  <c r="B3055" i="26"/>
  <c r="A3055" i="26" s="1"/>
  <c r="B3056" i="26"/>
  <c r="A3056" i="26" s="1"/>
  <c r="B3057" i="26"/>
  <c r="A3057" i="26" s="1"/>
  <c r="B3058" i="26"/>
  <c r="A3058" i="26" s="1"/>
  <c r="B3059" i="26"/>
  <c r="A3059" i="26" s="1"/>
  <c r="B3060" i="26"/>
  <c r="A3060" i="26" s="1"/>
  <c r="B3061" i="26"/>
  <c r="A3061" i="26" s="1"/>
  <c r="B3062" i="26"/>
  <c r="A3062" i="26" s="1"/>
  <c r="B3063" i="26"/>
  <c r="A3063" i="26" s="1"/>
  <c r="B3064" i="26"/>
  <c r="A3064" i="26" s="1"/>
  <c r="B3065" i="26"/>
  <c r="A3065" i="26" s="1"/>
  <c r="B3066" i="26"/>
  <c r="A3066" i="26" s="1"/>
  <c r="B3067" i="26"/>
  <c r="A3067" i="26" s="1"/>
  <c r="B3068" i="26"/>
  <c r="A3068" i="26" s="1"/>
  <c r="B3069" i="26"/>
  <c r="A3069" i="26" s="1"/>
  <c r="B3070" i="26"/>
  <c r="A3070" i="26" s="1"/>
  <c r="B3071" i="26"/>
  <c r="A3071" i="26" s="1"/>
  <c r="B3072" i="26"/>
  <c r="A3072" i="26" s="1"/>
  <c r="B3073" i="26"/>
  <c r="A3073" i="26" s="1"/>
  <c r="B3074" i="26"/>
  <c r="A3074" i="26" s="1"/>
  <c r="B3075" i="26"/>
  <c r="A3075" i="26" s="1"/>
  <c r="B3076" i="26"/>
  <c r="A3076" i="26" s="1"/>
  <c r="B3077" i="26"/>
  <c r="A3077" i="26" s="1"/>
  <c r="B3078" i="26"/>
  <c r="A3078" i="26" s="1"/>
  <c r="B3079" i="26"/>
  <c r="A3079" i="26" s="1"/>
  <c r="B3080" i="26"/>
  <c r="A3080" i="26" s="1"/>
  <c r="B3081" i="26"/>
  <c r="A3081" i="26" s="1"/>
  <c r="B3082" i="26"/>
  <c r="A3082" i="26" s="1"/>
  <c r="B3083" i="26"/>
  <c r="A3083" i="26" s="1"/>
  <c r="B3084" i="26"/>
  <c r="A3084" i="26" s="1"/>
  <c r="B3085" i="26"/>
  <c r="A3085" i="26" s="1"/>
  <c r="B3086" i="26"/>
  <c r="A3086" i="26" s="1"/>
  <c r="B3087" i="26"/>
  <c r="A3087" i="26" s="1"/>
  <c r="B3088" i="26"/>
  <c r="A3088" i="26" s="1"/>
  <c r="B3089" i="26"/>
  <c r="A3089" i="26" s="1"/>
  <c r="B3090" i="26"/>
  <c r="A3090" i="26" s="1"/>
  <c r="B3091" i="26"/>
  <c r="A3091" i="26" s="1"/>
  <c r="B3092" i="26"/>
  <c r="A3092" i="26" s="1"/>
  <c r="B3093" i="26"/>
  <c r="A3093" i="26" s="1"/>
  <c r="B3094" i="26"/>
  <c r="A3094" i="26" s="1"/>
  <c r="B3095" i="26"/>
  <c r="A3095" i="26" s="1"/>
  <c r="B3096" i="26"/>
  <c r="A3096" i="26" s="1"/>
  <c r="B3097" i="26"/>
  <c r="A3097" i="26" s="1"/>
  <c r="B3098" i="26"/>
  <c r="A3098" i="26" s="1"/>
  <c r="B3099" i="26"/>
  <c r="A3099" i="26" s="1"/>
  <c r="B3100" i="26"/>
  <c r="A3100" i="26" s="1"/>
  <c r="B3101" i="26"/>
  <c r="A3101" i="26" s="1"/>
  <c r="B3102" i="26"/>
  <c r="A3102" i="26" s="1"/>
  <c r="B3103" i="26"/>
  <c r="A3103" i="26" s="1"/>
  <c r="B3104" i="26"/>
  <c r="A3104" i="26" s="1"/>
  <c r="B3105" i="26"/>
  <c r="A3105" i="26" s="1"/>
  <c r="B3106" i="26"/>
  <c r="A3106" i="26" s="1"/>
  <c r="B3107" i="26"/>
  <c r="A3107" i="26" s="1"/>
  <c r="B3108" i="26"/>
  <c r="A3108" i="26" s="1"/>
  <c r="B3109" i="26"/>
  <c r="A3109" i="26" s="1"/>
  <c r="B3110" i="26"/>
  <c r="A3110" i="26" s="1"/>
  <c r="B3111" i="26"/>
  <c r="A3111" i="26" s="1"/>
  <c r="B3112" i="26"/>
  <c r="A3112" i="26" s="1"/>
  <c r="B3113" i="26"/>
  <c r="A3113" i="26" s="1"/>
  <c r="B3114" i="26"/>
  <c r="A3114" i="26" s="1"/>
  <c r="B3115" i="26"/>
  <c r="A3115" i="26" s="1"/>
  <c r="B3116" i="26"/>
  <c r="A3116" i="26" s="1"/>
  <c r="B3117" i="26"/>
  <c r="A3117" i="26" s="1"/>
  <c r="B3118" i="26"/>
  <c r="A3118" i="26" s="1"/>
  <c r="B3119" i="26"/>
  <c r="A3119" i="26" s="1"/>
  <c r="B3120" i="26"/>
  <c r="A3120" i="26" s="1"/>
  <c r="B3121" i="26"/>
  <c r="A3121" i="26" s="1"/>
  <c r="B3122" i="26"/>
  <c r="A3122" i="26" s="1"/>
  <c r="B3123" i="26"/>
  <c r="A3123" i="26" s="1"/>
  <c r="B3124" i="26"/>
  <c r="A3124" i="26" s="1"/>
  <c r="B3125" i="26"/>
  <c r="A3125" i="26" s="1"/>
  <c r="B3126" i="26"/>
  <c r="A3126" i="26" s="1"/>
  <c r="B3127" i="26"/>
  <c r="A3127" i="26" s="1"/>
  <c r="B3128" i="26"/>
  <c r="A3128" i="26" s="1"/>
  <c r="B3129" i="26"/>
  <c r="A3129" i="26" s="1"/>
  <c r="B3130" i="26"/>
  <c r="A3130" i="26" s="1"/>
  <c r="B3131" i="26"/>
  <c r="A3131" i="26" s="1"/>
  <c r="B3132" i="26"/>
  <c r="A3132" i="26" s="1"/>
  <c r="B3133" i="26"/>
  <c r="A3133" i="26" s="1"/>
  <c r="B3134" i="26"/>
  <c r="A3134" i="26" s="1"/>
  <c r="B3135" i="26"/>
  <c r="A3135" i="26" s="1"/>
  <c r="B3136" i="26"/>
  <c r="A3136" i="26" s="1"/>
  <c r="B3137" i="26"/>
  <c r="A3137" i="26" s="1"/>
  <c r="B3138" i="26"/>
  <c r="A3138" i="26" s="1"/>
  <c r="B3139" i="26"/>
  <c r="A3139" i="26" s="1"/>
  <c r="B3140" i="26"/>
  <c r="A3140" i="26" s="1"/>
  <c r="B3141" i="26"/>
  <c r="A3141" i="26" s="1"/>
  <c r="B3142" i="26"/>
  <c r="A3142" i="26" s="1"/>
  <c r="B3143" i="26"/>
  <c r="A3143" i="26" s="1"/>
  <c r="B3144" i="26"/>
  <c r="A3144" i="26" s="1"/>
  <c r="B3145" i="26"/>
  <c r="A3145" i="26" s="1"/>
  <c r="B3146" i="26"/>
  <c r="A3146" i="26" s="1"/>
  <c r="B3147" i="26"/>
  <c r="A3147" i="26" s="1"/>
  <c r="B3148" i="26"/>
  <c r="A3148" i="26" s="1"/>
  <c r="B3149" i="26"/>
  <c r="A3149" i="26" s="1"/>
  <c r="B3150" i="26"/>
  <c r="A3150" i="26" s="1"/>
  <c r="B3151" i="26"/>
  <c r="A3151" i="26" s="1"/>
  <c r="B3152" i="26"/>
  <c r="A3152" i="26" s="1"/>
  <c r="B3153" i="26"/>
  <c r="A3153" i="26" s="1"/>
  <c r="B3154" i="26"/>
  <c r="A3154" i="26" s="1"/>
  <c r="B3155" i="26"/>
  <c r="A3155" i="26" s="1"/>
  <c r="B3156" i="26"/>
  <c r="A3156" i="26" s="1"/>
  <c r="B3157" i="26"/>
  <c r="A3157" i="26" s="1"/>
  <c r="B3158" i="26"/>
  <c r="A3158" i="26" s="1"/>
  <c r="B3159" i="26"/>
  <c r="A3159" i="26" s="1"/>
  <c r="B3160" i="26"/>
  <c r="A3160" i="26" s="1"/>
  <c r="B3161" i="26"/>
  <c r="A3161" i="26" s="1"/>
  <c r="B3162" i="26"/>
  <c r="A3162" i="26" s="1"/>
  <c r="B3163" i="26"/>
  <c r="A3163" i="26" s="1"/>
  <c r="B3164" i="26"/>
  <c r="A3164" i="26" s="1"/>
  <c r="B3165" i="26"/>
  <c r="A3165" i="26" s="1"/>
  <c r="B3166" i="26"/>
  <c r="A3166" i="26" s="1"/>
  <c r="B3167" i="26"/>
  <c r="A3167" i="26" s="1"/>
  <c r="B3168" i="26"/>
  <c r="A3168" i="26" s="1"/>
  <c r="B3169" i="26"/>
  <c r="A3169" i="26" s="1"/>
  <c r="B3170" i="26"/>
  <c r="A3170" i="26" s="1"/>
  <c r="B3171" i="26"/>
  <c r="A3171" i="26" s="1"/>
  <c r="B3172" i="26"/>
  <c r="A3172" i="26" s="1"/>
  <c r="B3173" i="26"/>
  <c r="A3173" i="26" s="1"/>
  <c r="B3174" i="26"/>
  <c r="A3174" i="26" s="1"/>
  <c r="B3175" i="26"/>
  <c r="A3175" i="26" s="1"/>
  <c r="B3176" i="26"/>
  <c r="A3176" i="26" s="1"/>
  <c r="B3177" i="26"/>
  <c r="A3177" i="26" s="1"/>
  <c r="B3178" i="26"/>
  <c r="A3178" i="26" s="1"/>
  <c r="B3179" i="26"/>
  <c r="A3179" i="26" s="1"/>
  <c r="B3180" i="26"/>
  <c r="A3180" i="26" s="1"/>
  <c r="B3181" i="26"/>
  <c r="A3181" i="26" s="1"/>
  <c r="B3182" i="26"/>
  <c r="A3182" i="26" s="1"/>
  <c r="B3183" i="26"/>
  <c r="A3183" i="26" s="1"/>
  <c r="B3184" i="26"/>
  <c r="A3184" i="26" s="1"/>
  <c r="B3185" i="26"/>
  <c r="A3185" i="26" s="1"/>
  <c r="B3186" i="26"/>
  <c r="A3186" i="26" s="1"/>
  <c r="B3187" i="26"/>
  <c r="A3187" i="26" s="1"/>
  <c r="B3188" i="26"/>
  <c r="A3188" i="26" s="1"/>
  <c r="B3189" i="26"/>
  <c r="A3189" i="26" s="1"/>
  <c r="B3190" i="26"/>
  <c r="A3190" i="26" s="1"/>
  <c r="B3191" i="26"/>
  <c r="A3191" i="26" s="1"/>
  <c r="B3192" i="26"/>
  <c r="A3192" i="26" s="1"/>
  <c r="B3193" i="26"/>
  <c r="A3193" i="26" s="1"/>
  <c r="B3194" i="26"/>
  <c r="A3194" i="26" s="1"/>
  <c r="B3195" i="26"/>
  <c r="A3195" i="26" s="1"/>
  <c r="B3196" i="26"/>
  <c r="A3196" i="26" s="1"/>
  <c r="B3197" i="26"/>
  <c r="A3197" i="26" s="1"/>
  <c r="B3198" i="26"/>
  <c r="A3198" i="26" s="1"/>
  <c r="B3199" i="26"/>
  <c r="A3199" i="26" s="1"/>
  <c r="B3200" i="26"/>
  <c r="A3200" i="26" s="1"/>
  <c r="B3201" i="26"/>
  <c r="A3201" i="26" s="1"/>
  <c r="B3202" i="26"/>
  <c r="A3202" i="26" s="1"/>
  <c r="B3203" i="26"/>
  <c r="A3203" i="26" s="1"/>
  <c r="B3204" i="26"/>
  <c r="A3204" i="26" s="1"/>
  <c r="B3205" i="26"/>
  <c r="A3205" i="26" s="1"/>
  <c r="B3206" i="26"/>
  <c r="A3206" i="26" s="1"/>
  <c r="B3207" i="26"/>
  <c r="A3207" i="26" s="1"/>
  <c r="B3208" i="26"/>
  <c r="A3208" i="26" s="1"/>
  <c r="B3209" i="26"/>
  <c r="A3209" i="26" s="1"/>
  <c r="B3210" i="26"/>
  <c r="A3210" i="26" s="1"/>
  <c r="B3211" i="26"/>
  <c r="A3211" i="26" s="1"/>
  <c r="B3212" i="26"/>
  <c r="A3212" i="26" s="1"/>
  <c r="B3213" i="26"/>
  <c r="A3213" i="26" s="1"/>
  <c r="B3214" i="26"/>
  <c r="A3214" i="26" s="1"/>
  <c r="B3215" i="26"/>
  <c r="A3215" i="26" s="1"/>
  <c r="B3216" i="26"/>
  <c r="A3216" i="26" s="1"/>
  <c r="B3217" i="26"/>
  <c r="A3217" i="26" s="1"/>
  <c r="B3218" i="26"/>
  <c r="A3218" i="26" s="1"/>
  <c r="B3219" i="26"/>
  <c r="A3219" i="26" s="1"/>
  <c r="B3220" i="26"/>
  <c r="A3220" i="26" s="1"/>
  <c r="B3221" i="26"/>
  <c r="A3221" i="26" s="1"/>
  <c r="B3222" i="26"/>
  <c r="A3222" i="26" s="1"/>
  <c r="B3223" i="26"/>
  <c r="A3223" i="26" s="1"/>
  <c r="B3224" i="26"/>
  <c r="A3224" i="26" s="1"/>
  <c r="B3225" i="26"/>
  <c r="A3225" i="26" s="1"/>
  <c r="B3226" i="26"/>
  <c r="A3226" i="26" s="1"/>
  <c r="B3227" i="26"/>
  <c r="A3227" i="26" s="1"/>
  <c r="B3228" i="26"/>
  <c r="A3228" i="26" s="1"/>
  <c r="B3229" i="26"/>
  <c r="A3229" i="26" s="1"/>
  <c r="B3230" i="26"/>
  <c r="A3230" i="26" s="1"/>
  <c r="B3231" i="26"/>
  <c r="A3231" i="26" s="1"/>
  <c r="B3232" i="26"/>
  <c r="A3232" i="26" s="1"/>
  <c r="B3233" i="26"/>
  <c r="A3233" i="26" s="1"/>
  <c r="B3234" i="26"/>
  <c r="A3234" i="26" s="1"/>
  <c r="B3235" i="26"/>
  <c r="A3235" i="26" s="1"/>
  <c r="B3236" i="26"/>
  <c r="A3236" i="26" s="1"/>
  <c r="B3237" i="26"/>
  <c r="A3237" i="26" s="1"/>
  <c r="B3238" i="26"/>
  <c r="A3238" i="26" s="1"/>
  <c r="B3239" i="26"/>
  <c r="A3239" i="26" s="1"/>
  <c r="B3240" i="26"/>
  <c r="A3240" i="26" s="1"/>
  <c r="B3241" i="26"/>
  <c r="A3241" i="26" s="1"/>
  <c r="B3242" i="26"/>
  <c r="A3242" i="26" s="1"/>
  <c r="B3243" i="26"/>
  <c r="A3243" i="26" s="1"/>
  <c r="B3244" i="26"/>
  <c r="A3244" i="26" s="1"/>
  <c r="B3245" i="26"/>
  <c r="A3245" i="26" s="1"/>
  <c r="B3246" i="26"/>
  <c r="A3246" i="26" s="1"/>
  <c r="B3247" i="26"/>
  <c r="A3247" i="26" s="1"/>
  <c r="B3248" i="26"/>
  <c r="A3248" i="26" s="1"/>
  <c r="B3249" i="26"/>
  <c r="A3249" i="26" s="1"/>
  <c r="B3250" i="26"/>
  <c r="A3250" i="26" s="1"/>
  <c r="B3251" i="26"/>
  <c r="A3251" i="26" s="1"/>
  <c r="B3252" i="26"/>
  <c r="A3252" i="26" s="1"/>
  <c r="B3253" i="26"/>
  <c r="A3253" i="26" s="1"/>
  <c r="B3254" i="26"/>
  <c r="A3254" i="26" s="1"/>
  <c r="B3255" i="26"/>
  <c r="A3255" i="26" s="1"/>
  <c r="B3256" i="26"/>
  <c r="A3256" i="26" s="1"/>
  <c r="B3257" i="26"/>
  <c r="A3257" i="26" s="1"/>
  <c r="B3258" i="26"/>
  <c r="A3258" i="26" s="1"/>
  <c r="B3259" i="26"/>
  <c r="A3259" i="26" s="1"/>
  <c r="B3260" i="26"/>
  <c r="A3260" i="26" s="1"/>
  <c r="B3261" i="26"/>
  <c r="A3261" i="26" s="1"/>
  <c r="B3262" i="26"/>
  <c r="A3262" i="26" s="1"/>
  <c r="B3263" i="26"/>
  <c r="A3263" i="26" s="1"/>
  <c r="B3264" i="26"/>
  <c r="A3264" i="26" s="1"/>
  <c r="B3265" i="26"/>
  <c r="A3265" i="26" s="1"/>
  <c r="B3266" i="26"/>
  <c r="A3266" i="26" s="1"/>
  <c r="B3267" i="26"/>
  <c r="A3267" i="26" s="1"/>
  <c r="B3268" i="26"/>
  <c r="A3268" i="26" s="1"/>
  <c r="B3269" i="26"/>
  <c r="A3269" i="26" s="1"/>
  <c r="B3270" i="26"/>
  <c r="A3270" i="26" s="1"/>
  <c r="B3271" i="26"/>
  <c r="A3271" i="26" s="1"/>
  <c r="B3272" i="26"/>
  <c r="A3272" i="26" s="1"/>
  <c r="B3273" i="26"/>
  <c r="A3273" i="26" s="1"/>
  <c r="B3274" i="26"/>
  <c r="A3274" i="26" s="1"/>
  <c r="B3275" i="26"/>
  <c r="A3275" i="26" s="1"/>
  <c r="B3276" i="26"/>
  <c r="A3276" i="26" s="1"/>
  <c r="B3277" i="26"/>
  <c r="A3277" i="26" s="1"/>
  <c r="B3278" i="26"/>
  <c r="A3278" i="26" s="1"/>
  <c r="B3279" i="26"/>
  <c r="A3279" i="26" s="1"/>
  <c r="B3280" i="26"/>
  <c r="A3280" i="26" s="1"/>
  <c r="B3281" i="26"/>
  <c r="A3281" i="26" s="1"/>
  <c r="B3282" i="26"/>
  <c r="A3282" i="26" s="1"/>
  <c r="B3283" i="26"/>
  <c r="A3283" i="26" s="1"/>
  <c r="B3284" i="26"/>
  <c r="A3284" i="26" s="1"/>
  <c r="B3285" i="26"/>
  <c r="A3285" i="26" s="1"/>
  <c r="B3286" i="26"/>
  <c r="A3286" i="26" s="1"/>
  <c r="B3287" i="26"/>
  <c r="A3287" i="26" s="1"/>
  <c r="B3288" i="26"/>
  <c r="A3288" i="26" s="1"/>
  <c r="B3289" i="26"/>
  <c r="A3289" i="26" s="1"/>
  <c r="B3290" i="26"/>
  <c r="A3290" i="26" s="1"/>
  <c r="B3291" i="26"/>
  <c r="A3291" i="26" s="1"/>
  <c r="B3292" i="26"/>
  <c r="A3292" i="26" s="1"/>
  <c r="B3293" i="26"/>
  <c r="A3293" i="26" s="1"/>
  <c r="B3294" i="26"/>
  <c r="A3294" i="26" s="1"/>
  <c r="B3295" i="26"/>
  <c r="A3295" i="26" s="1"/>
  <c r="B3296" i="26"/>
  <c r="A3296" i="26" s="1"/>
  <c r="B3297" i="26"/>
  <c r="A3297" i="26" s="1"/>
  <c r="B3298" i="26"/>
  <c r="A3298" i="26" s="1"/>
  <c r="B3299" i="26"/>
  <c r="A3299" i="26" s="1"/>
  <c r="B3300" i="26"/>
  <c r="A3300" i="26" s="1"/>
  <c r="B3301" i="26"/>
  <c r="A3301" i="26" s="1"/>
  <c r="B3302" i="26"/>
  <c r="A3302" i="26" s="1"/>
  <c r="B3303" i="26"/>
  <c r="A3303" i="26" s="1"/>
  <c r="B3304" i="26"/>
  <c r="A3304" i="26" s="1"/>
  <c r="B3305" i="26"/>
  <c r="A3305" i="26" s="1"/>
  <c r="B3306" i="26"/>
  <c r="A3306" i="26" s="1"/>
  <c r="B3307" i="26"/>
  <c r="A3307" i="26" s="1"/>
  <c r="B3308" i="26"/>
  <c r="A3308" i="26" s="1"/>
  <c r="B3309" i="26"/>
  <c r="A3309" i="26" s="1"/>
  <c r="B3310" i="26"/>
  <c r="A3310" i="26" s="1"/>
  <c r="B3311" i="26"/>
  <c r="A3311" i="26" s="1"/>
  <c r="B3312" i="26"/>
  <c r="A3312" i="26" s="1"/>
  <c r="B3313" i="26"/>
  <c r="A3313" i="26" s="1"/>
  <c r="B3314" i="26"/>
  <c r="A3314" i="26" s="1"/>
  <c r="B3315" i="26"/>
  <c r="A3315" i="26" s="1"/>
  <c r="B3316" i="26"/>
  <c r="A3316" i="26" s="1"/>
  <c r="B3317" i="26"/>
  <c r="A3317" i="26" s="1"/>
  <c r="B3318" i="26"/>
  <c r="A3318" i="26" s="1"/>
  <c r="B3319" i="26"/>
  <c r="A3319" i="26" s="1"/>
  <c r="B3320" i="26"/>
  <c r="A3320" i="26" s="1"/>
  <c r="B3321" i="26"/>
  <c r="A3321" i="26" s="1"/>
  <c r="B3322" i="26"/>
  <c r="A3322" i="26" s="1"/>
  <c r="B3323" i="26"/>
  <c r="A3323" i="26" s="1"/>
  <c r="B3324" i="26"/>
  <c r="A3324" i="26" s="1"/>
  <c r="B3325" i="26"/>
  <c r="A3325" i="26" s="1"/>
  <c r="B3326" i="26"/>
  <c r="A3326" i="26" s="1"/>
  <c r="B3327" i="26"/>
  <c r="A3327" i="26" s="1"/>
  <c r="B3328" i="26"/>
  <c r="A3328" i="26" s="1"/>
  <c r="B3329" i="26"/>
  <c r="A3329" i="26" s="1"/>
  <c r="B3330" i="26"/>
  <c r="A3330" i="26" s="1"/>
  <c r="B3331" i="26"/>
  <c r="A3331" i="26" s="1"/>
  <c r="B3332" i="26"/>
  <c r="A3332" i="26" s="1"/>
  <c r="B3333" i="26"/>
  <c r="A3333" i="26" s="1"/>
  <c r="B3334" i="26"/>
  <c r="A3334" i="26" s="1"/>
  <c r="B3335" i="26"/>
  <c r="A3335" i="26" s="1"/>
  <c r="B3336" i="26"/>
  <c r="A3336" i="26" s="1"/>
  <c r="B3337" i="26"/>
  <c r="A3337" i="26" s="1"/>
  <c r="B3338" i="26"/>
  <c r="A3338" i="26" s="1"/>
  <c r="B3339" i="26"/>
  <c r="A3339" i="26" s="1"/>
  <c r="B3340" i="26"/>
  <c r="A3340" i="26" s="1"/>
  <c r="B3341" i="26"/>
  <c r="A3341" i="26" s="1"/>
  <c r="B3342" i="26"/>
  <c r="A3342" i="26" s="1"/>
  <c r="B3343" i="26"/>
  <c r="A3343" i="26" s="1"/>
  <c r="B3344" i="26"/>
  <c r="A3344" i="26" s="1"/>
  <c r="B3345" i="26"/>
  <c r="A3345" i="26" s="1"/>
  <c r="B3346" i="26"/>
  <c r="A3346" i="26" s="1"/>
  <c r="B3347" i="26"/>
  <c r="A3347" i="26" s="1"/>
  <c r="B3348" i="26"/>
  <c r="A3348" i="26" s="1"/>
  <c r="B3349" i="26"/>
  <c r="A3349" i="26" s="1"/>
  <c r="B3350" i="26"/>
  <c r="A3350" i="26" s="1"/>
  <c r="B3351" i="26"/>
  <c r="A3351" i="26" s="1"/>
  <c r="B3352" i="26"/>
  <c r="A3352" i="26" s="1"/>
  <c r="B3353" i="26"/>
  <c r="A3353" i="26" s="1"/>
  <c r="B3354" i="26"/>
  <c r="A3354" i="26" s="1"/>
  <c r="B3355" i="26"/>
  <c r="A3355" i="26" s="1"/>
  <c r="B3356" i="26"/>
  <c r="A3356" i="26" s="1"/>
  <c r="B3357" i="26"/>
  <c r="A3357" i="26" s="1"/>
  <c r="B3358" i="26"/>
  <c r="A3358" i="26" s="1"/>
  <c r="B3359" i="26"/>
  <c r="A3359" i="26" s="1"/>
  <c r="B3360" i="26"/>
  <c r="A3360" i="26" s="1"/>
  <c r="B3361" i="26"/>
  <c r="A3361" i="26" s="1"/>
  <c r="B3362" i="26"/>
  <c r="A3362" i="26" s="1"/>
  <c r="B3363" i="26"/>
  <c r="A3363" i="26" s="1"/>
  <c r="B3364" i="26"/>
  <c r="A3364" i="26" s="1"/>
  <c r="B3365" i="26"/>
  <c r="A3365" i="26" s="1"/>
  <c r="B3366" i="26"/>
  <c r="A3366" i="26" s="1"/>
  <c r="B3367" i="26"/>
  <c r="A3367" i="26" s="1"/>
  <c r="B3368" i="26"/>
  <c r="A3368" i="26" s="1"/>
  <c r="B3369" i="26"/>
  <c r="A3369" i="26" s="1"/>
  <c r="B3370" i="26"/>
  <c r="A3370" i="26" s="1"/>
  <c r="B3371" i="26"/>
  <c r="A3371" i="26" s="1"/>
  <c r="B3372" i="26"/>
  <c r="A3372" i="26" s="1"/>
  <c r="B3373" i="26"/>
  <c r="A3373" i="26" s="1"/>
  <c r="B3374" i="26"/>
  <c r="A3374" i="26" s="1"/>
  <c r="B3375" i="26"/>
  <c r="A3375" i="26" s="1"/>
  <c r="B3376" i="26"/>
  <c r="A3376" i="26" s="1"/>
  <c r="B3377" i="26"/>
  <c r="A3377" i="26" s="1"/>
  <c r="B3378" i="26"/>
  <c r="A3378" i="26" s="1"/>
  <c r="B3379" i="26"/>
  <c r="A3379" i="26" s="1"/>
  <c r="B3380" i="26"/>
  <c r="A3380" i="26" s="1"/>
  <c r="B3381" i="26"/>
  <c r="A3381" i="26" s="1"/>
  <c r="B3382" i="26"/>
  <c r="A3382" i="26" s="1"/>
  <c r="B3383" i="26"/>
  <c r="A3383" i="26" s="1"/>
  <c r="B3384" i="26"/>
  <c r="A3384" i="26" s="1"/>
  <c r="B3385" i="26"/>
  <c r="A3385" i="26" s="1"/>
  <c r="B3386" i="26"/>
  <c r="A3386" i="26" s="1"/>
  <c r="B3387" i="26"/>
  <c r="A3387" i="26" s="1"/>
  <c r="B3388" i="26"/>
  <c r="A3388" i="26" s="1"/>
  <c r="B3389" i="26"/>
  <c r="A3389" i="26" s="1"/>
  <c r="B3390" i="26"/>
  <c r="A3390" i="26" s="1"/>
  <c r="B3391" i="26"/>
  <c r="A3391" i="26" s="1"/>
  <c r="B3392" i="26"/>
  <c r="A3392" i="26" s="1"/>
  <c r="B3393" i="26"/>
  <c r="A3393" i="26" s="1"/>
  <c r="B3394" i="26"/>
  <c r="A3394" i="26" s="1"/>
  <c r="B3395" i="26"/>
  <c r="A3395" i="26" s="1"/>
  <c r="B3396" i="26"/>
  <c r="A3396" i="26" s="1"/>
  <c r="B3397" i="26"/>
  <c r="A3397" i="26" s="1"/>
  <c r="B3398" i="26"/>
  <c r="A3398" i="26" s="1"/>
  <c r="B3399" i="26"/>
  <c r="A3399" i="26" s="1"/>
  <c r="B3400" i="26"/>
  <c r="A3400" i="26" s="1"/>
  <c r="B3401" i="26"/>
  <c r="A3401" i="26" s="1"/>
  <c r="B3402" i="26"/>
  <c r="A3402" i="26" s="1"/>
  <c r="B3403" i="26"/>
  <c r="A3403" i="26" s="1"/>
  <c r="B3404" i="26"/>
  <c r="A3404" i="26" s="1"/>
  <c r="B3405" i="26"/>
  <c r="A3405" i="26" s="1"/>
  <c r="B3406" i="26"/>
  <c r="A3406" i="26" s="1"/>
  <c r="B3407" i="26"/>
  <c r="A3407" i="26" s="1"/>
  <c r="B3408" i="26"/>
  <c r="A3408" i="26" s="1"/>
  <c r="B3409" i="26"/>
  <c r="A3409" i="26" s="1"/>
  <c r="B3410" i="26"/>
  <c r="A3410" i="26" s="1"/>
  <c r="B3411" i="26"/>
  <c r="A3411" i="26" s="1"/>
  <c r="B3412" i="26"/>
  <c r="A3412" i="26" s="1"/>
  <c r="B3413" i="26"/>
  <c r="A3413" i="26" s="1"/>
  <c r="B3414" i="26"/>
  <c r="A3414" i="26" s="1"/>
  <c r="B3415" i="26"/>
  <c r="A3415" i="26" s="1"/>
  <c r="B3416" i="26"/>
  <c r="A3416" i="26" s="1"/>
  <c r="B3417" i="26"/>
  <c r="A3417" i="26" s="1"/>
  <c r="B3418" i="26"/>
  <c r="A3418" i="26" s="1"/>
  <c r="B3419" i="26"/>
  <c r="A3419" i="26" s="1"/>
  <c r="B3420" i="26"/>
  <c r="A3420" i="26" s="1"/>
  <c r="B3421" i="26"/>
  <c r="A3421" i="26" s="1"/>
  <c r="B3422" i="26"/>
  <c r="A3422" i="26" s="1"/>
  <c r="B3423" i="26"/>
  <c r="A3423" i="26" s="1"/>
  <c r="B3424" i="26"/>
  <c r="A3424" i="26" s="1"/>
  <c r="B3425" i="26"/>
  <c r="A3425" i="26" s="1"/>
  <c r="B3426" i="26"/>
  <c r="A3426" i="26" s="1"/>
  <c r="B3427" i="26"/>
  <c r="A3427" i="26" s="1"/>
  <c r="B3428" i="26"/>
  <c r="A3428" i="26" s="1"/>
  <c r="B3429" i="26"/>
  <c r="A3429" i="26" s="1"/>
  <c r="B3430" i="26"/>
  <c r="A3430" i="26" s="1"/>
  <c r="B3431" i="26"/>
  <c r="A3431" i="26" s="1"/>
  <c r="B3432" i="26"/>
  <c r="A3432" i="26" s="1"/>
  <c r="B3433" i="26"/>
  <c r="A3433" i="26" s="1"/>
  <c r="B3434" i="26"/>
  <c r="A3434" i="26" s="1"/>
  <c r="B3435" i="26"/>
  <c r="A3435" i="26" s="1"/>
  <c r="B3436" i="26"/>
  <c r="A3436" i="26" s="1"/>
  <c r="B3437" i="26"/>
  <c r="A3437" i="26" s="1"/>
  <c r="B3438" i="26"/>
  <c r="A3438" i="26" s="1"/>
  <c r="B3439" i="26"/>
  <c r="A3439" i="26" s="1"/>
  <c r="B3440" i="26"/>
  <c r="A3440" i="26" s="1"/>
  <c r="B3441" i="26"/>
  <c r="A3441" i="26" s="1"/>
  <c r="B3442" i="26"/>
  <c r="A3442" i="26" s="1"/>
  <c r="B3443" i="26"/>
  <c r="A3443" i="26" s="1"/>
  <c r="B3444" i="26"/>
  <c r="A3444" i="26" s="1"/>
  <c r="B3445" i="26"/>
  <c r="A3445" i="26" s="1"/>
  <c r="B3446" i="26"/>
  <c r="A3446" i="26" s="1"/>
  <c r="B3447" i="26"/>
  <c r="A3447" i="26" s="1"/>
  <c r="B3448" i="26"/>
  <c r="A3448" i="26" s="1"/>
  <c r="B3449" i="26"/>
  <c r="A3449" i="26" s="1"/>
  <c r="B3450" i="26"/>
  <c r="A3450" i="26" s="1"/>
  <c r="B3451" i="26"/>
  <c r="A3451" i="26" s="1"/>
  <c r="B3452" i="26"/>
  <c r="A3452" i="26" s="1"/>
  <c r="B3453" i="26"/>
  <c r="A3453" i="26" s="1"/>
  <c r="B3454" i="26"/>
  <c r="A3454" i="26" s="1"/>
  <c r="B3455" i="26"/>
  <c r="A3455" i="26" s="1"/>
  <c r="B3456" i="26"/>
  <c r="A3456" i="26" s="1"/>
  <c r="B3457" i="26"/>
  <c r="A3457" i="26" s="1"/>
  <c r="B3458" i="26"/>
  <c r="A3458" i="26" s="1"/>
  <c r="B3459" i="26"/>
  <c r="A3459" i="26" s="1"/>
  <c r="B3460" i="26"/>
  <c r="A3460" i="26" s="1"/>
  <c r="B3461" i="26"/>
  <c r="A3461" i="26" s="1"/>
  <c r="B3462" i="26"/>
  <c r="A3462" i="26" s="1"/>
  <c r="B3463" i="26"/>
  <c r="A3463" i="26" s="1"/>
  <c r="B3464" i="26"/>
  <c r="A3464" i="26" s="1"/>
  <c r="B3465" i="26"/>
  <c r="A3465" i="26" s="1"/>
  <c r="B3466" i="26"/>
  <c r="A3466" i="26" s="1"/>
  <c r="B3467" i="26"/>
  <c r="A3467" i="26" s="1"/>
  <c r="B3468" i="26"/>
  <c r="A3468" i="26" s="1"/>
  <c r="B3469" i="26"/>
  <c r="A3469" i="26" s="1"/>
  <c r="B3470" i="26"/>
  <c r="A3470" i="26" s="1"/>
  <c r="B3471" i="26"/>
  <c r="A3471" i="26" s="1"/>
  <c r="B3472" i="26"/>
  <c r="A3472" i="26" s="1"/>
  <c r="B3473" i="26"/>
  <c r="A3473" i="26" s="1"/>
  <c r="B3474" i="26"/>
  <c r="A3474" i="26" s="1"/>
  <c r="B3475" i="26"/>
  <c r="A3475" i="26" s="1"/>
  <c r="B3476" i="26"/>
  <c r="A3476" i="26" s="1"/>
  <c r="B3477" i="26"/>
  <c r="A3477" i="26" s="1"/>
  <c r="B3478" i="26"/>
  <c r="A3478" i="26" s="1"/>
  <c r="B3479" i="26"/>
  <c r="A3479" i="26" s="1"/>
  <c r="B3480" i="26"/>
  <c r="A3480" i="26" s="1"/>
  <c r="B3481" i="26"/>
  <c r="A3481" i="26" s="1"/>
  <c r="B3482" i="26"/>
  <c r="A3482" i="26" s="1"/>
  <c r="B3483" i="26"/>
  <c r="A3483" i="26" s="1"/>
  <c r="B3484" i="26"/>
  <c r="A3484" i="26" s="1"/>
  <c r="B3485" i="26"/>
  <c r="A3485" i="26" s="1"/>
  <c r="B3486" i="26"/>
  <c r="A3486" i="26" s="1"/>
  <c r="B3487" i="26"/>
  <c r="A3487" i="26" s="1"/>
  <c r="B3488" i="26"/>
  <c r="A3488" i="26" s="1"/>
  <c r="B3489" i="26"/>
  <c r="A3489" i="26" s="1"/>
  <c r="B3490" i="26"/>
  <c r="A3490" i="26" s="1"/>
  <c r="B3491" i="26"/>
  <c r="A3491" i="26" s="1"/>
  <c r="B3492" i="26"/>
  <c r="A3492" i="26" s="1"/>
  <c r="B3493" i="26"/>
  <c r="A3493" i="26" s="1"/>
  <c r="B3494" i="26"/>
  <c r="A3494" i="26" s="1"/>
  <c r="B3495" i="26"/>
  <c r="A3495" i="26" s="1"/>
  <c r="B3496" i="26"/>
  <c r="A3496" i="26" s="1"/>
  <c r="B3497" i="26"/>
  <c r="A3497" i="26" s="1"/>
  <c r="B3498" i="26"/>
  <c r="A3498" i="26" s="1"/>
  <c r="B3499" i="26"/>
  <c r="A3499" i="26" s="1"/>
  <c r="B3500" i="26"/>
  <c r="A3500" i="26" s="1"/>
  <c r="B3501" i="26"/>
  <c r="A3501" i="26" s="1"/>
  <c r="B3502" i="26"/>
  <c r="A3502" i="26" s="1"/>
  <c r="B3503" i="26"/>
  <c r="A3503" i="26" s="1"/>
  <c r="B3504" i="26"/>
  <c r="A3504" i="26" s="1"/>
  <c r="B3505" i="26"/>
  <c r="A3505" i="26" s="1"/>
  <c r="B3506" i="26"/>
  <c r="A3506" i="26" s="1"/>
  <c r="B3507" i="26"/>
  <c r="A3507" i="26" s="1"/>
  <c r="B3508" i="26"/>
  <c r="A3508" i="26" s="1"/>
  <c r="B3509" i="26"/>
  <c r="A3509" i="26" s="1"/>
  <c r="B3510" i="26"/>
  <c r="A3510" i="26" s="1"/>
  <c r="B3511" i="26"/>
  <c r="A3511" i="26" s="1"/>
  <c r="B3512" i="26"/>
  <c r="A3512" i="26" s="1"/>
  <c r="B3513" i="26"/>
  <c r="A3513" i="26" s="1"/>
  <c r="B3514" i="26"/>
  <c r="A3514" i="26" s="1"/>
  <c r="B3515" i="26"/>
  <c r="A3515" i="26" s="1"/>
  <c r="B3516" i="26"/>
  <c r="A3516" i="26" s="1"/>
  <c r="B3517" i="26"/>
  <c r="A3517" i="26" s="1"/>
  <c r="B3518" i="26"/>
  <c r="A3518" i="26" s="1"/>
  <c r="B3519" i="26"/>
  <c r="A3519" i="26" s="1"/>
  <c r="B3520" i="26"/>
  <c r="A3520" i="26" s="1"/>
  <c r="B3521" i="26"/>
  <c r="A3521" i="26" s="1"/>
  <c r="B3522" i="26"/>
  <c r="A3522" i="26" s="1"/>
  <c r="B3523" i="26"/>
  <c r="A3523" i="26" s="1"/>
  <c r="B3524" i="26"/>
  <c r="A3524" i="26" s="1"/>
  <c r="B3525" i="26"/>
  <c r="A3525" i="26" s="1"/>
  <c r="B3526" i="26"/>
  <c r="A3526" i="26" s="1"/>
  <c r="B3527" i="26"/>
  <c r="A3527" i="26" s="1"/>
  <c r="B3528" i="26"/>
  <c r="A3528" i="26" s="1"/>
  <c r="B3529" i="26"/>
  <c r="A3529" i="26" s="1"/>
  <c r="B3530" i="26"/>
  <c r="A3530" i="26" s="1"/>
  <c r="B3531" i="26"/>
  <c r="A3531" i="26" s="1"/>
  <c r="B3532" i="26"/>
  <c r="A3532" i="26" s="1"/>
  <c r="B3533" i="26"/>
  <c r="A3533" i="26" s="1"/>
  <c r="B3534" i="26"/>
  <c r="A3534" i="26" s="1"/>
  <c r="B3535" i="26"/>
  <c r="A3535" i="26" s="1"/>
  <c r="B3536" i="26"/>
  <c r="A3536" i="26" s="1"/>
  <c r="B3537" i="26"/>
  <c r="A3537" i="26" s="1"/>
  <c r="B3538" i="26"/>
  <c r="A3538" i="26" s="1"/>
  <c r="B3539" i="26"/>
  <c r="A3539" i="26" s="1"/>
  <c r="B3540" i="26"/>
  <c r="A3540" i="26" s="1"/>
  <c r="B3541" i="26"/>
  <c r="A3541" i="26" s="1"/>
  <c r="B3542" i="26"/>
  <c r="A3542" i="26" s="1"/>
  <c r="B3543" i="26"/>
  <c r="A3543" i="26" s="1"/>
  <c r="B3544" i="26"/>
  <c r="A3544" i="26" s="1"/>
  <c r="B3545" i="26"/>
  <c r="A3545" i="26" s="1"/>
  <c r="B3546" i="26"/>
  <c r="A3546" i="26" s="1"/>
  <c r="B3547" i="26"/>
  <c r="A3547" i="26" s="1"/>
  <c r="B3548" i="26"/>
  <c r="A3548" i="26" s="1"/>
  <c r="B3549" i="26"/>
  <c r="A3549" i="26" s="1"/>
  <c r="B3550" i="26"/>
  <c r="A3550" i="26" s="1"/>
  <c r="B3551" i="26"/>
  <c r="A3551" i="26" s="1"/>
  <c r="B3552" i="26"/>
  <c r="A3552" i="26" s="1"/>
  <c r="B3553" i="26"/>
  <c r="A3553" i="26" s="1"/>
  <c r="B3554" i="26"/>
  <c r="A3554" i="26" s="1"/>
  <c r="B3555" i="26"/>
  <c r="A3555" i="26" s="1"/>
  <c r="B3556" i="26"/>
  <c r="A3556" i="26" s="1"/>
  <c r="B3557" i="26"/>
  <c r="A3557" i="26" s="1"/>
  <c r="B3558" i="26"/>
  <c r="A3558" i="26" s="1"/>
  <c r="B3559" i="26"/>
  <c r="A3559" i="26" s="1"/>
  <c r="B3560" i="26"/>
  <c r="A3560" i="26" s="1"/>
  <c r="B3561" i="26"/>
  <c r="A3561" i="26" s="1"/>
  <c r="B3562" i="26"/>
  <c r="A3562" i="26" s="1"/>
  <c r="B3563" i="26"/>
  <c r="A3563" i="26" s="1"/>
  <c r="B3564" i="26"/>
  <c r="A3564" i="26" s="1"/>
  <c r="B3565" i="26"/>
  <c r="A3565" i="26" s="1"/>
  <c r="B3566" i="26"/>
  <c r="A3566" i="26" s="1"/>
  <c r="B3567" i="26"/>
  <c r="A3567" i="26" s="1"/>
  <c r="B3568" i="26"/>
  <c r="A3568" i="26" s="1"/>
  <c r="B3569" i="26"/>
  <c r="A3569" i="26" s="1"/>
  <c r="B3570" i="26"/>
  <c r="A3570" i="26" s="1"/>
  <c r="B3571" i="26"/>
  <c r="A3571" i="26" s="1"/>
  <c r="B3572" i="26"/>
  <c r="A3572" i="26" s="1"/>
  <c r="B3573" i="26"/>
  <c r="A3573" i="26" s="1"/>
  <c r="B3574" i="26"/>
  <c r="A3574" i="26" s="1"/>
  <c r="B3575" i="26"/>
  <c r="A3575" i="26" s="1"/>
  <c r="B3576" i="26"/>
  <c r="A3576" i="26" s="1"/>
  <c r="B3577" i="26"/>
  <c r="A3577" i="26" s="1"/>
  <c r="B3578" i="26"/>
  <c r="A3578" i="26" s="1"/>
  <c r="B3579" i="26"/>
  <c r="A3579" i="26" s="1"/>
  <c r="B3580" i="26"/>
  <c r="A3580" i="26" s="1"/>
  <c r="B3581" i="26"/>
  <c r="A3581" i="26" s="1"/>
  <c r="B3582" i="26"/>
  <c r="A3582" i="26" s="1"/>
  <c r="B3583" i="26"/>
  <c r="A3583" i="26" s="1"/>
  <c r="B3584" i="26"/>
  <c r="A3584" i="26" s="1"/>
  <c r="B3585" i="26"/>
  <c r="A3585" i="26" s="1"/>
  <c r="B3586" i="26"/>
  <c r="A3586" i="26" s="1"/>
  <c r="B3587" i="26"/>
  <c r="A3587" i="26" s="1"/>
  <c r="B3588" i="26"/>
  <c r="A3588" i="26" s="1"/>
  <c r="B3589" i="26"/>
  <c r="A3589" i="26" s="1"/>
  <c r="B3590" i="26"/>
  <c r="A3590" i="26" s="1"/>
  <c r="B3591" i="26"/>
  <c r="A3591" i="26" s="1"/>
  <c r="B3592" i="26"/>
  <c r="A3592" i="26" s="1"/>
  <c r="B3593" i="26"/>
  <c r="A3593" i="26" s="1"/>
  <c r="B3594" i="26"/>
  <c r="A3594" i="26" s="1"/>
  <c r="B3595" i="26"/>
  <c r="A3595" i="26" s="1"/>
  <c r="B3596" i="26"/>
  <c r="A3596" i="26" s="1"/>
  <c r="B3597" i="26"/>
  <c r="A3597" i="26" s="1"/>
  <c r="B3598" i="26"/>
  <c r="A3598" i="26" s="1"/>
  <c r="B3599" i="26"/>
  <c r="A3599" i="26" s="1"/>
  <c r="B3600" i="26"/>
  <c r="A3600" i="26" s="1"/>
  <c r="B3601" i="26"/>
  <c r="A3601" i="26" s="1"/>
  <c r="B3602" i="26"/>
  <c r="A3602" i="26" s="1"/>
  <c r="B3603" i="26"/>
  <c r="A3603" i="26" s="1"/>
  <c r="B3604" i="26"/>
  <c r="A3604" i="26" s="1"/>
  <c r="B3605" i="26"/>
  <c r="A3605" i="26" s="1"/>
  <c r="B3606" i="26"/>
  <c r="A3606" i="26" s="1"/>
  <c r="B3607" i="26"/>
  <c r="A3607" i="26" s="1"/>
  <c r="B3608" i="26"/>
  <c r="A3608" i="26" s="1"/>
  <c r="B3609" i="26"/>
  <c r="A3609" i="26" s="1"/>
  <c r="B3610" i="26"/>
  <c r="A3610" i="26" s="1"/>
  <c r="B3611" i="26"/>
  <c r="A3611" i="26" s="1"/>
  <c r="B3612" i="26"/>
  <c r="A3612" i="26" s="1"/>
  <c r="B3613" i="26"/>
  <c r="A3613" i="26" s="1"/>
  <c r="B3614" i="26"/>
  <c r="A3614" i="26" s="1"/>
  <c r="B3615" i="26"/>
  <c r="A3615" i="26" s="1"/>
  <c r="B3616" i="26"/>
  <c r="A3616" i="26" s="1"/>
  <c r="B3617" i="26"/>
  <c r="A3617" i="26" s="1"/>
  <c r="B3618" i="26"/>
  <c r="A3618" i="26" s="1"/>
  <c r="B3619" i="26"/>
  <c r="A3619" i="26" s="1"/>
  <c r="B3620" i="26"/>
  <c r="A3620" i="26" s="1"/>
  <c r="B3621" i="26"/>
  <c r="A3621" i="26" s="1"/>
  <c r="B3622" i="26"/>
  <c r="A3622" i="26" s="1"/>
  <c r="B3623" i="26"/>
  <c r="A3623" i="26" s="1"/>
  <c r="B3624" i="26"/>
  <c r="A3624" i="26" s="1"/>
  <c r="B3625" i="26"/>
  <c r="A3625" i="26" s="1"/>
  <c r="B3626" i="26"/>
  <c r="A3626" i="26" s="1"/>
  <c r="B3627" i="26"/>
  <c r="A3627" i="26" s="1"/>
  <c r="B3628" i="26"/>
  <c r="A3628" i="26" s="1"/>
  <c r="B3629" i="26"/>
  <c r="A3629" i="26" s="1"/>
  <c r="B3630" i="26"/>
  <c r="A3630" i="26" s="1"/>
  <c r="B3631" i="26"/>
  <c r="A3631" i="26" s="1"/>
  <c r="B3632" i="26"/>
  <c r="A3632" i="26" s="1"/>
  <c r="B3633" i="26"/>
  <c r="A3633" i="26" s="1"/>
  <c r="B3634" i="26"/>
  <c r="A3634" i="26" s="1"/>
  <c r="B3635" i="26"/>
  <c r="A3635" i="26" s="1"/>
  <c r="B3636" i="26"/>
  <c r="A3636" i="26" s="1"/>
  <c r="B3637" i="26"/>
  <c r="A3637" i="26" s="1"/>
  <c r="B3638" i="26"/>
  <c r="A3638" i="26" s="1"/>
  <c r="B3639" i="26"/>
  <c r="A3639" i="26" s="1"/>
  <c r="B3640" i="26"/>
  <c r="A3640" i="26" s="1"/>
  <c r="B3641" i="26"/>
  <c r="A3641" i="26" s="1"/>
  <c r="B3642" i="26"/>
  <c r="A3642" i="26" s="1"/>
  <c r="B3643" i="26"/>
  <c r="A3643" i="26" s="1"/>
  <c r="B3644" i="26"/>
  <c r="A3644" i="26" s="1"/>
  <c r="B3645" i="26"/>
  <c r="A3645" i="26" s="1"/>
  <c r="B3646" i="26"/>
  <c r="A3646" i="26" s="1"/>
  <c r="B3647" i="26"/>
  <c r="A3647" i="26" s="1"/>
  <c r="B3648" i="26"/>
  <c r="A3648" i="26" s="1"/>
  <c r="B3649" i="26"/>
  <c r="A3649" i="26" s="1"/>
  <c r="B3650" i="26"/>
  <c r="A3650" i="26" s="1"/>
  <c r="B3651" i="26"/>
  <c r="A3651" i="26" s="1"/>
  <c r="B3652" i="26"/>
  <c r="A3652" i="26" s="1"/>
  <c r="B3653" i="26"/>
  <c r="A3653" i="26" s="1"/>
  <c r="B3654" i="26"/>
  <c r="A3654" i="26" s="1"/>
  <c r="B3655" i="26"/>
  <c r="A3655" i="26" s="1"/>
  <c r="B3656" i="26"/>
  <c r="A3656" i="26" s="1"/>
  <c r="B3657" i="26"/>
  <c r="A3657" i="26" s="1"/>
  <c r="B3658" i="26"/>
  <c r="A3658" i="26" s="1"/>
  <c r="B3659" i="26"/>
  <c r="A3659" i="26" s="1"/>
  <c r="B3660" i="26"/>
  <c r="A3660" i="26" s="1"/>
  <c r="B3661" i="26"/>
  <c r="A3661" i="26" s="1"/>
  <c r="B3662" i="26"/>
  <c r="A3662" i="26" s="1"/>
  <c r="B3663" i="26"/>
  <c r="A3663" i="26" s="1"/>
  <c r="B3664" i="26"/>
  <c r="A3664" i="26" s="1"/>
  <c r="B3665" i="26"/>
  <c r="A3665" i="26" s="1"/>
  <c r="B3666" i="26"/>
  <c r="A3666" i="26" s="1"/>
  <c r="B3667" i="26"/>
  <c r="A3667" i="26" s="1"/>
  <c r="B3668" i="26"/>
  <c r="A3668" i="26" s="1"/>
  <c r="B3669" i="26"/>
  <c r="A3669" i="26" s="1"/>
  <c r="B3670" i="26"/>
  <c r="A3670" i="26" s="1"/>
  <c r="B3671" i="26"/>
  <c r="A3671" i="26" s="1"/>
  <c r="B3672" i="26"/>
  <c r="A3672" i="26" s="1"/>
  <c r="B3673" i="26"/>
  <c r="A3673" i="26" s="1"/>
  <c r="B3674" i="26"/>
  <c r="A3674" i="26" s="1"/>
  <c r="B3675" i="26"/>
  <c r="A3675" i="26" s="1"/>
  <c r="B3676" i="26"/>
  <c r="A3676" i="26" s="1"/>
  <c r="B3677" i="26"/>
  <c r="A3677" i="26" s="1"/>
  <c r="B3678" i="26"/>
  <c r="A3678" i="26" s="1"/>
  <c r="B3679" i="26"/>
  <c r="A3679" i="26" s="1"/>
  <c r="B3680" i="26"/>
  <c r="A3680" i="26" s="1"/>
  <c r="B3681" i="26"/>
  <c r="A3681" i="26" s="1"/>
  <c r="B3682" i="26"/>
  <c r="A3682" i="26" s="1"/>
  <c r="B3683" i="26"/>
  <c r="A3683" i="26" s="1"/>
  <c r="B3684" i="26"/>
  <c r="A3684" i="26" s="1"/>
  <c r="B3685" i="26"/>
  <c r="A3685" i="26" s="1"/>
  <c r="B3686" i="26"/>
  <c r="A3686" i="26" s="1"/>
  <c r="B3687" i="26"/>
  <c r="A3687" i="26" s="1"/>
  <c r="B3688" i="26"/>
  <c r="A3688" i="26" s="1"/>
  <c r="B3689" i="26"/>
  <c r="A3689" i="26" s="1"/>
  <c r="B3690" i="26"/>
  <c r="A3690" i="26" s="1"/>
  <c r="B3691" i="26"/>
  <c r="A3691" i="26" s="1"/>
  <c r="B3692" i="26"/>
  <c r="A3692" i="26" s="1"/>
  <c r="B3693" i="26"/>
  <c r="A3693" i="26" s="1"/>
  <c r="B3694" i="26"/>
  <c r="A3694" i="26" s="1"/>
  <c r="B3695" i="26"/>
  <c r="A3695" i="26" s="1"/>
  <c r="B3696" i="26"/>
  <c r="A3696" i="26" s="1"/>
  <c r="B3697" i="26"/>
  <c r="A3697" i="26" s="1"/>
  <c r="B3698" i="26"/>
  <c r="A3698" i="26" s="1"/>
  <c r="B3699" i="26"/>
  <c r="A3699" i="26" s="1"/>
  <c r="B3700" i="26"/>
  <c r="A3700" i="26" s="1"/>
  <c r="B3701" i="26"/>
  <c r="A3701" i="26" s="1"/>
  <c r="B3702" i="26"/>
  <c r="A3702" i="26" s="1"/>
  <c r="B3703" i="26"/>
  <c r="A3703" i="26" s="1"/>
  <c r="B3704" i="26"/>
  <c r="A3704" i="26" s="1"/>
  <c r="B3705" i="26"/>
  <c r="A3705" i="26" s="1"/>
  <c r="B3706" i="26"/>
  <c r="A3706" i="26" s="1"/>
  <c r="B3707" i="26"/>
  <c r="A3707" i="26" s="1"/>
  <c r="B3708" i="26"/>
  <c r="A3708" i="26" s="1"/>
  <c r="B3709" i="26"/>
  <c r="A3709" i="26" s="1"/>
  <c r="B3710" i="26"/>
  <c r="A3710" i="26" s="1"/>
  <c r="B3711" i="26"/>
  <c r="A3711" i="26" s="1"/>
  <c r="B3712" i="26"/>
  <c r="A3712" i="26" s="1"/>
  <c r="B3713" i="26"/>
  <c r="A3713" i="26" s="1"/>
  <c r="B3714" i="26"/>
  <c r="A3714" i="26" s="1"/>
  <c r="B3715" i="26"/>
  <c r="A3715" i="26" s="1"/>
  <c r="B3716" i="26"/>
  <c r="A3716" i="26" s="1"/>
  <c r="B3717" i="26"/>
  <c r="A3717" i="26" s="1"/>
  <c r="B3718" i="26"/>
  <c r="A3718" i="26" s="1"/>
  <c r="B3719" i="26"/>
  <c r="A3719" i="26" s="1"/>
  <c r="B3720" i="26"/>
  <c r="A3720" i="26" s="1"/>
  <c r="B3721" i="26"/>
  <c r="A3721" i="26" s="1"/>
  <c r="B3722" i="26"/>
  <c r="A3722" i="26" s="1"/>
  <c r="B3723" i="26"/>
  <c r="A3723" i="26" s="1"/>
  <c r="B3724" i="26"/>
  <c r="A3724" i="26" s="1"/>
  <c r="B3725" i="26"/>
  <c r="A3725" i="26" s="1"/>
  <c r="B3726" i="26"/>
  <c r="A3726" i="26" s="1"/>
  <c r="B3727" i="26"/>
  <c r="A3727" i="26" s="1"/>
  <c r="B3728" i="26"/>
  <c r="A3728" i="26" s="1"/>
  <c r="B3729" i="26"/>
  <c r="A3729" i="26" s="1"/>
  <c r="B3730" i="26"/>
  <c r="A3730" i="26" s="1"/>
  <c r="B3731" i="26"/>
  <c r="A3731" i="26" s="1"/>
  <c r="B3732" i="26"/>
  <c r="A3732" i="26" s="1"/>
  <c r="B3733" i="26"/>
  <c r="A3733" i="26" s="1"/>
  <c r="B3734" i="26"/>
  <c r="A3734" i="26" s="1"/>
  <c r="B3735" i="26"/>
  <c r="A3735" i="26" s="1"/>
  <c r="B3736" i="26"/>
  <c r="A3736" i="26" s="1"/>
  <c r="B3737" i="26"/>
  <c r="A3737" i="26" s="1"/>
  <c r="B3738" i="26"/>
  <c r="A3738" i="26" s="1"/>
  <c r="B3739" i="26"/>
  <c r="A3739" i="26" s="1"/>
  <c r="B3740" i="26"/>
  <c r="A3740" i="26" s="1"/>
  <c r="B3741" i="26"/>
  <c r="A3741" i="26" s="1"/>
  <c r="B3742" i="26"/>
  <c r="A3742" i="26" s="1"/>
  <c r="B3743" i="26"/>
  <c r="A3743" i="26" s="1"/>
  <c r="B3744" i="26"/>
  <c r="A3744" i="26" s="1"/>
  <c r="B3745" i="26"/>
  <c r="A3745" i="26" s="1"/>
  <c r="B3746" i="26"/>
  <c r="A3746" i="26" s="1"/>
  <c r="B3747" i="26"/>
  <c r="A3747" i="26" s="1"/>
  <c r="B3748" i="26"/>
  <c r="A3748" i="26" s="1"/>
  <c r="B3749" i="26"/>
  <c r="A3749" i="26" s="1"/>
  <c r="B3750" i="26"/>
  <c r="A3750" i="26" s="1"/>
  <c r="B3751" i="26"/>
  <c r="A3751" i="26" s="1"/>
  <c r="B3752" i="26"/>
  <c r="A3752" i="26" s="1"/>
  <c r="B3753" i="26"/>
  <c r="A3753" i="26" s="1"/>
  <c r="B3754" i="26"/>
  <c r="A3754" i="26" s="1"/>
  <c r="B3755" i="26"/>
  <c r="A3755" i="26" s="1"/>
  <c r="B3756" i="26"/>
  <c r="A3756" i="26" s="1"/>
  <c r="B3757" i="26"/>
  <c r="A3757" i="26" s="1"/>
  <c r="B3758" i="26"/>
  <c r="A3758" i="26" s="1"/>
  <c r="B3759" i="26"/>
  <c r="A3759" i="26" s="1"/>
  <c r="B3760" i="26"/>
  <c r="A3760" i="26" s="1"/>
  <c r="B3761" i="26"/>
  <c r="A3761" i="26" s="1"/>
  <c r="B3762" i="26"/>
  <c r="A3762" i="26" s="1"/>
  <c r="B3763" i="26"/>
  <c r="A3763" i="26" s="1"/>
  <c r="B3764" i="26"/>
  <c r="A3764" i="26" s="1"/>
  <c r="B3765" i="26"/>
  <c r="A3765" i="26" s="1"/>
  <c r="B3766" i="26"/>
  <c r="A3766" i="26" s="1"/>
  <c r="B3767" i="26"/>
  <c r="A3767" i="26" s="1"/>
  <c r="B3768" i="26"/>
  <c r="A3768" i="26" s="1"/>
  <c r="B3769" i="26"/>
  <c r="A3769" i="26" s="1"/>
  <c r="B3770" i="26"/>
  <c r="A3770" i="26" s="1"/>
  <c r="B3771" i="26"/>
  <c r="A3771" i="26" s="1"/>
  <c r="B3772" i="26"/>
  <c r="A3772" i="26" s="1"/>
  <c r="B3773" i="26"/>
  <c r="A3773" i="26" s="1"/>
  <c r="B3774" i="26"/>
  <c r="A3774" i="26" s="1"/>
  <c r="B3775" i="26"/>
  <c r="A3775" i="26" s="1"/>
  <c r="B3776" i="26"/>
  <c r="A3776" i="26" s="1"/>
  <c r="B3777" i="26"/>
  <c r="A3777" i="26" s="1"/>
  <c r="B3778" i="26"/>
  <c r="A3778" i="26" s="1"/>
  <c r="B3779" i="26"/>
  <c r="A3779" i="26" s="1"/>
  <c r="B3780" i="26"/>
  <c r="A3780" i="26" s="1"/>
  <c r="B3781" i="26"/>
  <c r="A3781" i="26" s="1"/>
  <c r="B3782" i="26"/>
  <c r="A3782" i="26" s="1"/>
  <c r="B3783" i="26"/>
  <c r="A3783" i="26" s="1"/>
  <c r="B3784" i="26"/>
  <c r="A3784" i="26" s="1"/>
  <c r="B3785" i="26"/>
  <c r="A3785" i="26" s="1"/>
  <c r="B3786" i="26"/>
  <c r="A3786" i="26" s="1"/>
  <c r="B3787" i="26"/>
  <c r="A3787" i="26" s="1"/>
  <c r="B3788" i="26"/>
  <c r="A3788" i="26" s="1"/>
  <c r="B3789" i="26"/>
  <c r="A3789" i="26" s="1"/>
  <c r="B3790" i="26"/>
  <c r="A3790" i="26" s="1"/>
  <c r="B3791" i="26"/>
  <c r="A3791" i="26" s="1"/>
  <c r="B3792" i="26"/>
  <c r="A3792" i="26" s="1"/>
  <c r="B3793" i="26"/>
  <c r="A3793" i="26" s="1"/>
  <c r="B3794" i="26"/>
  <c r="A3794" i="26" s="1"/>
  <c r="B3795" i="26"/>
  <c r="A3795" i="26" s="1"/>
  <c r="B3796" i="26"/>
  <c r="A3796" i="26" s="1"/>
  <c r="B3797" i="26"/>
  <c r="A3797" i="26" s="1"/>
  <c r="B3798" i="26"/>
  <c r="A3798" i="26" s="1"/>
  <c r="B3799" i="26"/>
  <c r="A3799" i="26" s="1"/>
  <c r="B3800" i="26"/>
  <c r="A3800" i="26" s="1"/>
  <c r="B3801" i="26"/>
  <c r="A3801" i="26" s="1"/>
  <c r="B3802" i="26"/>
  <c r="A3802" i="26" s="1"/>
  <c r="B3803" i="26"/>
  <c r="A3803" i="26" s="1"/>
  <c r="B3804" i="26"/>
  <c r="A3804" i="26" s="1"/>
  <c r="B3805" i="26"/>
  <c r="A3805" i="26" s="1"/>
  <c r="B3806" i="26"/>
  <c r="A3806" i="26" s="1"/>
  <c r="B3807" i="26"/>
  <c r="A3807" i="26" s="1"/>
  <c r="B3808" i="26"/>
  <c r="A3808" i="26" s="1"/>
  <c r="B3809" i="26"/>
  <c r="A3809" i="26" s="1"/>
  <c r="B3810" i="26"/>
  <c r="A3810" i="26" s="1"/>
  <c r="B3811" i="26"/>
  <c r="A3811" i="26" s="1"/>
  <c r="B3812" i="26"/>
  <c r="A3812" i="26" s="1"/>
  <c r="B3813" i="26"/>
  <c r="A3813" i="26" s="1"/>
  <c r="B3814" i="26"/>
  <c r="A3814" i="26" s="1"/>
  <c r="B3815" i="26"/>
  <c r="A3815" i="26" s="1"/>
  <c r="B3816" i="26"/>
  <c r="A3816" i="26" s="1"/>
  <c r="B3817" i="26"/>
  <c r="A3817" i="26" s="1"/>
  <c r="B3818" i="26"/>
  <c r="A3818" i="26" s="1"/>
  <c r="B3819" i="26"/>
  <c r="A3819" i="26" s="1"/>
  <c r="B3820" i="26"/>
  <c r="A3820" i="26" s="1"/>
  <c r="B3821" i="26"/>
  <c r="A3821" i="26" s="1"/>
  <c r="B3822" i="26"/>
  <c r="A3822" i="26" s="1"/>
  <c r="B3823" i="26"/>
  <c r="A3823" i="26" s="1"/>
  <c r="B3824" i="26"/>
  <c r="A3824" i="26" s="1"/>
  <c r="B3825" i="26"/>
  <c r="A3825" i="26" s="1"/>
  <c r="B3826" i="26"/>
  <c r="A3826" i="26" s="1"/>
  <c r="B3827" i="26"/>
  <c r="A3827" i="26" s="1"/>
  <c r="B3828" i="26"/>
  <c r="A3828" i="26" s="1"/>
  <c r="B3829" i="26"/>
  <c r="A3829" i="26" s="1"/>
  <c r="B3830" i="26"/>
  <c r="A3830" i="26" s="1"/>
  <c r="B3831" i="26"/>
  <c r="A3831" i="26" s="1"/>
  <c r="B3832" i="26"/>
  <c r="A3832" i="26" s="1"/>
  <c r="B3833" i="26"/>
  <c r="A3833" i="26" s="1"/>
  <c r="B3834" i="26"/>
  <c r="A3834" i="26" s="1"/>
  <c r="B3835" i="26"/>
  <c r="A3835" i="26" s="1"/>
  <c r="B3836" i="26"/>
  <c r="A3836" i="26" s="1"/>
  <c r="B3837" i="26"/>
  <c r="A3837" i="26" s="1"/>
  <c r="B3838" i="26"/>
  <c r="A3838" i="26" s="1"/>
  <c r="B3839" i="26"/>
  <c r="A3839" i="26" s="1"/>
  <c r="B3840" i="26"/>
  <c r="A3840" i="26" s="1"/>
  <c r="B3841" i="26"/>
  <c r="A3841" i="26" s="1"/>
  <c r="B3842" i="26"/>
  <c r="A3842" i="26" s="1"/>
  <c r="B3843" i="26"/>
  <c r="A3843" i="26" s="1"/>
  <c r="B3844" i="26"/>
  <c r="A3844" i="26" s="1"/>
  <c r="B3845" i="26"/>
  <c r="A3845" i="26" s="1"/>
  <c r="B3846" i="26"/>
  <c r="A3846" i="26" s="1"/>
  <c r="B3847" i="26"/>
  <c r="A3847" i="26" s="1"/>
  <c r="B3848" i="26"/>
  <c r="A3848" i="26" s="1"/>
  <c r="B3849" i="26"/>
  <c r="A3849" i="26" s="1"/>
  <c r="B3850" i="26"/>
  <c r="A3850" i="26" s="1"/>
  <c r="B3851" i="26"/>
  <c r="A3851" i="26" s="1"/>
  <c r="B3852" i="26"/>
  <c r="A3852" i="26" s="1"/>
  <c r="B3853" i="26"/>
  <c r="A3853" i="26" s="1"/>
  <c r="B3854" i="26"/>
  <c r="A3854" i="26" s="1"/>
  <c r="B3855" i="26"/>
  <c r="A3855" i="26" s="1"/>
  <c r="B3856" i="26"/>
  <c r="A3856" i="26" s="1"/>
  <c r="B3857" i="26"/>
  <c r="A3857" i="26" s="1"/>
  <c r="B3858" i="26"/>
  <c r="A3858" i="26" s="1"/>
  <c r="B3859" i="26"/>
  <c r="A3859" i="26" s="1"/>
  <c r="B3860" i="26"/>
  <c r="A3860" i="26" s="1"/>
  <c r="B3861" i="26"/>
  <c r="A3861" i="26" s="1"/>
  <c r="B3862" i="26"/>
  <c r="A3862" i="26" s="1"/>
  <c r="B3863" i="26"/>
  <c r="A3863" i="26" s="1"/>
  <c r="B3864" i="26"/>
  <c r="A3864" i="26" s="1"/>
  <c r="B3865" i="26"/>
  <c r="A3865" i="26" s="1"/>
  <c r="B3866" i="26"/>
  <c r="A3866" i="26" s="1"/>
  <c r="B3867" i="26"/>
  <c r="A3867" i="26" s="1"/>
  <c r="B3868" i="26"/>
  <c r="A3868" i="26" s="1"/>
  <c r="B3869" i="26"/>
  <c r="A3869" i="26" s="1"/>
  <c r="B3870" i="26"/>
  <c r="A3870" i="26" s="1"/>
  <c r="B3871" i="26"/>
  <c r="A3871" i="26" s="1"/>
  <c r="B3872" i="26"/>
  <c r="A3872" i="26" s="1"/>
  <c r="B3873" i="26"/>
  <c r="A3873" i="26" s="1"/>
  <c r="B3874" i="26"/>
  <c r="A3874" i="26" s="1"/>
  <c r="B3875" i="26"/>
  <c r="A3875" i="26" s="1"/>
  <c r="B3876" i="26"/>
  <c r="A3876" i="26" s="1"/>
  <c r="B3877" i="26"/>
  <c r="A3877" i="26" s="1"/>
  <c r="B3878" i="26"/>
  <c r="A3878" i="26" s="1"/>
  <c r="B3879" i="26"/>
  <c r="A3879" i="26" s="1"/>
  <c r="B3880" i="26"/>
  <c r="A3880" i="26" s="1"/>
  <c r="B3881" i="26"/>
  <c r="A3881" i="26" s="1"/>
  <c r="B3882" i="26"/>
  <c r="A3882" i="26" s="1"/>
  <c r="B3883" i="26"/>
  <c r="A3883" i="26" s="1"/>
  <c r="B3884" i="26"/>
  <c r="A3884" i="26" s="1"/>
  <c r="B3885" i="26"/>
  <c r="A3885" i="26" s="1"/>
  <c r="B3886" i="26"/>
  <c r="A3886" i="26" s="1"/>
  <c r="B3887" i="26"/>
  <c r="A3887" i="26" s="1"/>
  <c r="B3888" i="26"/>
  <c r="A3888" i="26" s="1"/>
  <c r="B3889" i="26"/>
  <c r="A3889" i="26" s="1"/>
  <c r="B3890" i="26"/>
  <c r="A3890" i="26" s="1"/>
  <c r="B3891" i="26"/>
  <c r="A3891" i="26" s="1"/>
  <c r="B3892" i="26"/>
  <c r="A3892" i="26" s="1"/>
  <c r="B3893" i="26"/>
  <c r="A3893" i="26" s="1"/>
  <c r="B3894" i="26"/>
  <c r="A3894" i="26" s="1"/>
  <c r="B3895" i="26"/>
  <c r="A3895" i="26" s="1"/>
  <c r="B3896" i="26"/>
  <c r="A3896" i="26" s="1"/>
  <c r="B3897" i="26"/>
  <c r="A3897" i="26" s="1"/>
  <c r="B3898" i="26"/>
  <c r="A3898" i="26" s="1"/>
  <c r="B3899" i="26"/>
  <c r="A3899" i="26" s="1"/>
  <c r="B3900" i="26"/>
  <c r="A3900" i="26" s="1"/>
  <c r="B3901" i="26"/>
  <c r="A3901" i="26" s="1"/>
  <c r="B3902" i="26"/>
  <c r="A3902" i="26" s="1"/>
  <c r="B3903" i="26"/>
  <c r="A3903" i="26" s="1"/>
  <c r="B3904" i="26"/>
  <c r="A3904" i="26" s="1"/>
  <c r="B3905" i="26"/>
  <c r="A3905" i="26" s="1"/>
  <c r="B3906" i="26"/>
  <c r="A3906" i="26" s="1"/>
  <c r="B3907" i="26"/>
  <c r="A3907" i="26" s="1"/>
  <c r="B3908" i="26"/>
  <c r="A3908" i="26" s="1"/>
  <c r="B3909" i="26"/>
  <c r="A3909" i="26" s="1"/>
  <c r="B3910" i="26"/>
  <c r="A3910" i="26" s="1"/>
  <c r="B3911" i="26"/>
  <c r="A3911" i="26" s="1"/>
  <c r="B3912" i="26"/>
  <c r="A3912" i="26" s="1"/>
  <c r="B3913" i="26"/>
  <c r="A3913" i="26" s="1"/>
  <c r="B3914" i="26"/>
  <c r="A3914" i="26" s="1"/>
  <c r="B3915" i="26"/>
  <c r="A3915" i="26" s="1"/>
  <c r="B3916" i="26"/>
  <c r="A3916" i="26" s="1"/>
  <c r="B3917" i="26"/>
  <c r="A3917" i="26" s="1"/>
  <c r="B3918" i="26"/>
  <c r="A3918" i="26" s="1"/>
  <c r="B3919" i="26"/>
  <c r="A3919" i="26" s="1"/>
  <c r="B3920" i="26"/>
  <c r="A3920" i="26" s="1"/>
  <c r="B3921" i="26"/>
  <c r="A3921" i="26" s="1"/>
  <c r="B3922" i="26"/>
  <c r="A3922" i="26" s="1"/>
  <c r="B3923" i="26"/>
  <c r="A3923" i="26" s="1"/>
  <c r="B3924" i="26"/>
  <c r="A3924" i="26" s="1"/>
  <c r="B3925" i="26"/>
  <c r="A3925" i="26" s="1"/>
  <c r="B3926" i="26"/>
  <c r="A3926" i="26" s="1"/>
  <c r="B3927" i="26"/>
  <c r="A3927" i="26" s="1"/>
  <c r="B3928" i="26"/>
  <c r="A3928" i="26" s="1"/>
  <c r="B3929" i="26"/>
  <c r="A3929" i="26" s="1"/>
  <c r="B3930" i="26"/>
  <c r="A3930" i="26" s="1"/>
  <c r="B3931" i="26"/>
  <c r="A3931" i="26" s="1"/>
  <c r="B3932" i="26"/>
  <c r="A3932" i="26" s="1"/>
  <c r="B3933" i="26"/>
  <c r="A3933" i="26" s="1"/>
  <c r="B3934" i="26"/>
  <c r="A3934" i="26" s="1"/>
  <c r="B3935" i="26"/>
  <c r="A3935" i="26" s="1"/>
  <c r="B3936" i="26"/>
  <c r="A3936" i="26" s="1"/>
  <c r="B3937" i="26"/>
  <c r="A3937" i="26" s="1"/>
  <c r="B3938" i="26"/>
  <c r="A3938" i="26" s="1"/>
  <c r="B3939" i="26"/>
  <c r="A3939" i="26" s="1"/>
  <c r="B3940" i="26"/>
  <c r="A3940" i="26" s="1"/>
  <c r="B3941" i="26"/>
  <c r="A3941" i="26" s="1"/>
  <c r="B3942" i="26"/>
  <c r="A3942" i="26" s="1"/>
  <c r="B3943" i="26"/>
  <c r="A3943" i="26" s="1"/>
  <c r="B3944" i="26"/>
  <c r="A3944" i="26" s="1"/>
  <c r="B3945" i="26"/>
  <c r="A3945" i="26" s="1"/>
  <c r="B3946" i="26"/>
  <c r="A3946" i="26" s="1"/>
  <c r="B3947" i="26"/>
  <c r="A3947" i="26" s="1"/>
  <c r="B3948" i="26"/>
  <c r="A3948" i="26" s="1"/>
  <c r="B3949" i="26"/>
  <c r="A3949" i="26" s="1"/>
  <c r="B3950" i="26"/>
  <c r="A3950" i="26" s="1"/>
  <c r="B3951" i="26"/>
  <c r="A3951" i="26" s="1"/>
  <c r="B3952" i="26"/>
  <c r="A3952" i="26" s="1"/>
  <c r="B3953" i="26"/>
  <c r="A3953" i="26" s="1"/>
  <c r="B3954" i="26"/>
  <c r="A3954" i="26" s="1"/>
  <c r="B3955" i="26"/>
  <c r="A3955" i="26" s="1"/>
  <c r="B3956" i="26"/>
  <c r="A3956" i="26" s="1"/>
  <c r="B3957" i="26"/>
  <c r="A3957" i="26" s="1"/>
  <c r="B3958" i="26"/>
  <c r="A3958" i="26" s="1"/>
  <c r="B3959" i="26"/>
  <c r="A3959" i="26" s="1"/>
  <c r="B3960" i="26"/>
  <c r="A3960" i="26" s="1"/>
  <c r="B3961" i="26"/>
  <c r="A3961" i="26" s="1"/>
  <c r="B3962" i="26"/>
  <c r="A3962" i="26" s="1"/>
  <c r="B3963" i="26"/>
  <c r="A3963" i="26" s="1"/>
  <c r="B3964" i="26"/>
  <c r="A3964" i="26" s="1"/>
  <c r="B3965" i="26"/>
  <c r="A3965" i="26" s="1"/>
  <c r="B3966" i="26"/>
  <c r="A3966" i="26" s="1"/>
  <c r="B3967" i="26"/>
  <c r="A3967" i="26" s="1"/>
  <c r="B3968" i="26"/>
  <c r="A3968" i="26" s="1"/>
  <c r="B3969" i="26"/>
  <c r="A3969" i="26" s="1"/>
  <c r="B3970" i="26"/>
  <c r="A3970" i="26" s="1"/>
  <c r="B3971" i="26"/>
  <c r="A3971" i="26" s="1"/>
  <c r="B3972" i="26"/>
  <c r="A3972" i="26" s="1"/>
  <c r="B3973" i="26"/>
  <c r="A3973" i="26" s="1"/>
  <c r="B3974" i="26"/>
  <c r="A3974" i="26" s="1"/>
  <c r="B3975" i="26"/>
  <c r="A3975" i="26" s="1"/>
  <c r="B3976" i="26"/>
  <c r="A3976" i="26" s="1"/>
  <c r="B3977" i="26"/>
  <c r="A3977" i="26" s="1"/>
  <c r="B3978" i="26"/>
  <c r="A3978" i="26" s="1"/>
  <c r="B3979" i="26"/>
  <c r="A3979" i="26" s="1"/>
  <c r="B3980" i="26"/>
  <c r="A3980" i="26" s="1"/>
  <c r="B3981" i="26"/>
  <c r="A3981" i="26" s="1"/>
  <c r="B3982" i="26"/>
  <c r="A3982" i="26" s="1"/>
  <c r="B3983" i="26"/>
  <c r="A3983" i="26" s="1"/>
  <c r="B3984" i="26"/>
  <c r="A3984" i="26" s="1"/>
  <c r="B3985" i="26"/>
  <c r="A3985" i="26" s="1"/>
  <c r="B3986" i="26"/>
  <c r="A3986" i="26" s="1"/>
  <c r="B3987" i="26"/>
  <c r="A3987" i="26" s="1"/>
  <c r="B3988" i="26"/>
  <c r="A3988" i="26" s="1"/>
  <c r="B3989" i="26"/>
  <c r="A3989" i="26" s="1"/>
  <c r="B3990" i="26"/>
  <c r="A3990" i="26" s="1"/>
  <c r="B3991" i="26"/>
  <c r="A3991" i="26" s="1"/>
  <c r="B3992" i="26"/>
  <c r="A3992" i="26" s="1"/>
  <c r="B3993" i="26"/>
  <c r="A3993" i="26" s="1"/>
  <c r="B3994" i="26"/>
  <c r="A3994" i="26" s="1"/>
  <c r="B3995" i="26"/>
  <c r="A3995" i="26" s="1"/>
  <c r="B3996" i="26"/>
  <c r="A3996" i="26" s="1"/>
  <c r="B3997" i="26"/>
  <c r="A3997" i="26" s="1"/>
  <c r="B3998" i="26"/>
  <c r="A3998" i="26" s="1"/>
  <c r="B3999" i="26"/>
  <c r="A3999" i="26" s="1"/>
  <c r="B4000" i="26"/>
  <c r="A4000" i="26" s="1"/>
  <c r="B4001" i="26"/>
  <c r="A4001" i="26" s="1"/>
  <c r="B4002" i="26"/>
  <c r="A4002" i="26" s="1"/>
  <c r="B4003" i="26"/>
  <c r="A4003" i="26" s="1"/>
  <c r="B4004" i="26"/>
  <c r="A4004" i="26" s="1"/>
  <c r="B4005" i="26"/>
  <c r="A4005" i="26" s="1"/>
  <c r="B4006" i="26"/>
  <c r="A4006" i="26" s="1"/>
  <c r="B4007" i="26"/>
  <c r="A4007" i="26" s="1"/>
  <c r="B4008" i="26"/>
  <c r="A4008" i="26" s="1"/>
  <c r="B4009" i="26"/>
  <c r="A4009" i="26" s="1"/>
  <c r="B4010" i="26"/>
  <c r="A4010" i="26" s="1"/>
  <c r="B4011" i="26"/>
  <c r="A4011" i="26" s="1"/>
  <c r="B4012" i="26"/>
  <c r="A4012" i="26" s="1"/>
  <c r="B4013" i="26"/>
  <c r="A4013" i="26" s="1"/>
  <c r="B4014" i="26"/>
  <c r="A4014" i="26" s="1"/>
  <c r="B4015" i="26"/>
  <c r="A4015" i="26" s="1"/>
  <c r="B4016" i="26"/>
  <c r="A4016" i="26" s="1"/>
  <c r="B4017" i="26"/>
  <c r="A4017" i="26" s="1"/>
  <c r="B4018" i="26"/>
  <c r="A4018" i="26" s="1"/>
  <c r="B4019" i="26"/>
  <c r="A4019" i="26" s="1"/>
  <c r="B4020" i="26"/>
  <c r="A4020" i="26" s="1"/>
  <c r="B4021" i="26"/>
  <c r="A4021" i="26" s="1"/>
  <c r="B4022" i="26"/>
  <c r="A4022" i="26" s="1"/>
  <c r="B4023" i="26"/>
  <c r="A4023" i="26" s="1"/>
  <c r="B4024" i="26"/>
  <c r="A4024" i="26" s="1"/>
  <c r="B4025" i="26"/>
  <c r="A4025" i="26" s="1"/>
  <c r="B4026" i="26"/>
  <c r="A4026" i="26" s="1"/>
  <c r="B4027" i="26"/>
  <c r="A4027" i="26" s="1"/>
  <c r="B4028" i="26"/>
  <c r="A4028" i="26" s="1"/>
  <c r="B4029" i="26"/>
  <c r="A4029" i="26" s="1"/>
  <c r="B4030" i="26"/>
  <c r="A4030" i="26" s="1"/>
  <c r="B4031" i="26"/>
  <c r="A4031" i="26" s="1"/>
  <c r="B4032" i="26"/>
  <c r="A4032" i="26" s="1"/>
  <c r="B4033" i="26"/>
  <c r="A4033" i="26" s="1"/>
  <c r="B4034" i="26"/>
  <c r="A4034" i="26" s="1"/>
  <c r="B4035" i="26"/>
  <c r="A4035" i="26" s="1"/>
  <c r="B4036" i="26"/>
  <c r="A4036" i="26" s="1"/>
  <c r="B4037" i="26"/>
  <c r="A4037" i="26" s="1"/>
  <c r="B4038" i="26"/>
  <c r="A4038" i="26" s="1"/>
  <c r="B4039" i="26"/>
  <c r="A4039" i="26" s="1"/>
  <c r="B4040" i="26"/>
  <c r="A4040" i="26" s="1"/>
  <c r="B4041" i="26"/>
  <c r="A4041" i="26" s="1"/>
  <c r="B4042" i="26"/>
  <c r="A4042" i="26" s="1"/>
  <c r="B4043" i="26"/>
  <c r="A4043" i="26" s="1"/>
  <c r="B4044" i="26"/>
  <c r="A4044" i="26" s="1"/>
  <c r="B4045" i="26"/>
  <c r="A4045" i="26" s="1"/>
  <c r="B4046" i="26"/>
  <c r="A4046" i="26" s="1"/>
  <c r="B4047" i="26"/>
  <c r="A4047" i="26" s="1"/>
  <c r="B4048" i="26"/>
  <c r="A4048" i="26" s="1"/>
  <c r="B4049" i="26"/>
  <c r="A4049" i="26" s="1"/>
  <c r="B4050" i="26"/>
  <c r="A4050" i="26" s="1"/>
  <c r="B4051" i="26"/>
  <c r="A4051" i="26" s="1"/>
  <c r="B4052" i="26"/>
  <c r="A4052" i="26" s="1"/>
  <c r="B4053" i="26"/>
  <c r="A4053" i="26" s="1"/>
  <c r="B4054" i="26"/>
  <c r="A4054" i="26" s="1"/>
  <c r="B4055" i="26"/>
  <c r="A4055" i="26" s="1"/>
  <c r="B4056" i="26"/>
  <c r="A4056" i="26" s="1"/>
  <c r="B4057" i="26"/>
  <c r="A4057" i="26" s="1"/>
  <c r="B4058" i="26"/>
  <c r="A4058" i="26" s="1"/>
  <c r="B4059" i="26"/>
  <c r="A4059" i="26" s="1"/>
  <c r="B4060" i="26"/>
  <c r="A4060" i="26" s="1"/>
  <c r="B4061" i="26"/>
  <c r="A4061" i="26" s="1"/>
  <c r="B4062" i="26"/>
  <c r="A4062" i="26" s="1"/>
  <c r="B4063" i="26"/>
  <c r="A4063" i="26" s="1"/>
  <c r="B4064" i="26"/>
  <c r="A4064" i="26" s="1"/>
  <c r="B4065" i="26"/>
  <c r="A4065" i="26" s="1"/>
  <c r="B4066" i="26"/>
  <c r="A4066" i="26" s="1"/>
  <c r="B4067" i="26"/>
  <c r="A4067" i="26" s="1"/>
  <c r="B4068" i="26"/>
  <c r="A4068" i="26" s="1"/>
  <c r="B4069" i="26"/>
  <c r="A4069" i="26" s="1"/>
  <c r="B4070" i="26"/>
  <c r="A4070" i="26" s="1"/>
  <c r="B4071" i="26"/>
  <c r="A4071" i="26" s="1"/>
  <c r="B4072" i="26"/>
  <c r="A4072" i="26" s="1"/>
  <c r="B4073" i="26"/>
  <c r="A4073" i="26" s="1"/>
  <c r="B4074" i="26"/>
  <c r="A4074" i="26" s="1"/>
  <c r="B4075" i="26"/>
  <c r="A4075" i="26" s="1"/>
  <c r="B4076" i="26"/>
  <c r="A4076" i="26" s="1"/>
  <c r="B4077" i="26"/>
  <c r="A4077" i="26" s="1"/>
  <c r="B4078" i="26"/>
  <c r="A4078" i="26" s="1"/>
  <c r="B4079" i="26"/>
  <c r="A4079" i="26" s="1"/>
  <c r="B4080" i="26"/>
  <c r="A4080" i="26" s="1"/>
  <c r="B4081" i="26"/>
  <c r="A4081" i="26" s="1"/>
  <c r="B4082" i="26"/>
  <c r="A4082" i="26" s="1"/>
  <c r="B4083" i="26"/>
  <c r="A4083" i="26" s="1"/>
  <c r="B4084" i="26"/>
  <c r="A4084" i="26" s="1"/>
  <c r="B4085" i="26"/>
  <c r="A4085" i="26" s="1"/>
  <c r="B4086" i="26"/>
  <c r="A4086" i="26" s="1"/>
  <c r="B4087" i="26"/>
  <c r="A4087" i="26" s="1"/>
  <c r="B4088" i="26"/>
  <c r="A4088" i="26" s="1"/>
  <c r="B4089" i="26"/>
  <c r="A4089" i="26" s="1"/>
  <c r="B4090" i="26"/>
  <c r="A4090" i="26" s="1"/>
  <c r="B4091" i="26"/>
  <c r="A4091" i="26" s="1"/>
  <c r="B4092" i="26"/>
  <c r="A4092" i="26" s="1"/>
  <c r="B4093" i="26"/>
  <c r="A4093" i="26" s="1"/>
  <c r="B4094" i="26"/>
  <c r="A4094" i="26" s="1"/>
  <c r="B4095" i="26"/>
  <c r="A4095" i="26" s="1"/>
  <c r="B4096" i="26"/>
  <c r="A4096" i="26" s="1"/>
  <c r="B4097" i="26"/>
  <c r="A4097" i="26" s="1"/>
  <c r="B4098" i="26"/>
  <c r="A4098" i="26" s="1"/>
  <c r="B4099" i="26"/>
  <c r="A4099" i="26" s="1"/>
  <c r="B4100" i="26"/>
  <c r="A4100" i="26" s="1"/>
  <c r="B4101" i="26"/>
  <c r="A4101" i="26" s="1"/>
  <c r="B4102" i="26"/>
  <c r="A4102" i="26" s="1"/>
  <c r="B4103" i="26"/>
  <c r="A4103" i="26" s="1"/>
  <c r="B4104" i="26"/>
  <c r="A4104" i="26" s="1"/>
  <c r="B4105" i="26"/>
  <c r="A4105" i="26" s="1"/>
  <c r="B4106" i="26"/>
  <c r="A4106" i="26" s="1"/>
  <c r="B4107" i="26"/>
  <c r="A4107" i="26" s="1"/>
  <c r="B4108" i="26"/>
  <c r="A4108" i="26" s="1"/>
  <c r="B4109" i="26"/>
  <c r="A4109" i="26" s="1"/>
  <c r="B4110" i="26"/>
  <c r="A4110" i="26" s="1"/>
  <c r="B4111" i="26"/>
  <c r="A4111" i="26" s="1"/>
  <c r="B4112" i="26"/>
  <c r="A4112" i="26" s="1"/>
  <c r="B4113" i="26"/>
  <c r="A4113" i="26" s="1"/>
  <c r="B4114" i="26"/>
  <c r="A4114" i="26" s="1"/>
  <c r="B4115" i="26"/>
  <c r="A4115" i="26" s="1"/>
  <c r="B4116" i="26"/>
  <c r="A4116" i="26" s="1"/>
  <c r="B4117" i="26"/>
  <c r="A4117" i="26" s="1"/>
  <c r="B4118" i="26"/>
  <c r="A4118" i="26" s="1"/>
  <c r="B4119" i="26"/>
  <c r="A4119" i="26" s="1"/>
  <c r="B4120" i="26"/>
  <c r="A4120" i="26" s="1"/>
  <c r="B4121" i="26"/>
  <c r="A4121" i="26" s="1"/>
  <c r="B4122" i="26"/>
  <c r="A4122" i="26" s="1"/>
  <c r="B4123" i="26"/>
  <c r="A4123" i="26" s="1"/>
  <c r="B4124" i="26"/>
  <c r="A4124" i="26" s="1"/>
  <c r="B4125" i="26"/>
  <c r="A4125" i="26" s="1"/>
  <c r="B4126" i="26"/>
  <c r="A4126" i="26" s="1"/>
  <c r="B4127" i="26"/>
  <c r="A4127" i="26" s="1"/>
  <c r="B4128" i="26"/>
  <c r="A4128" i="26" s="1"/>
  <c r="B4129" i="26"/>
  <c r="A4129" i="26" s="1"/>
  <c r="B4130" i="26"/>
  <c r="A4130" i="26" s="1"/>
  <c r="B4131" i="26"/>
  <c r="A4131" i="26" s="1"/>
  <c r="B4132" i="26"/>
  <c r="A4132" i="26" s="1"/>
  <c r="B4133" i="26"/>
  <c r="A4133" i="26" s="1"/>
  <c r="B4134" i="26"/>
  <c r="A4134" i="26" s="1"/>
  <c r="B4135" i="26"/>
  <c r="A4135" i="26" s="1"/>
  <c r="B4136" i="26"/>
  <c r="A4136" i="26" s="1"/>
  <c r="B4137" i="26"/>
  <c r="A4137" i="26" s="1"/>
  <c r="B4138" i="26"/>
  <c r="A4138" i="26" s="1"/>
  <c r="B4139" i="26"/>
  <c r="A4139" i="26" s="1"/>
  <c r="B4140" i="26"/>
  <c r="A4140" i="26" s="1"/>
  <c r="B4141" i="26"/>
  <c r="A4141" i="26" s="1"/>
  <c r="B4142" i="26"/>
  <c r="A4142" i="26" s="1"/>
  <c r="B4143" i="26"/>
  <c r="A4143" i="26" s="1"/>
  <c r="B4144" i="26"/>
  <c r="A4144" i="26" s="1"/>
  <c r="B4145" i="26"/>
  <c r="A4145" i="26" s="1"/>
  <c r="B4146" i="26"/>
  <c r="A4146" i="26" s="1"/>
  <c r="B4147" i="26"/>
  <c r="A4147" i="26" s="1"/>
  <c r="B4148" i="26"/>
  <c r="A4148" i="26" s="1"/>
  <c r="B4149" i="26"/>
  <c r="A4149" i="26" s="1"/>
  <c r="B4150" i="26"/>
  <c r="A4150" i="26" s="1"/>
  <c r="B4151" i="26"/>
  <c r="A4151" i="26" s="1"/>
  <c r="B4152" i="26"/>
  <c r="A4152" i="26" s="1"/>
  <c r="B4153" i="26"/>
  <c r="A4153" i="26" s="1"/>
  <c r="B4154" i="26"/>
  <c r="A4154" i="26" s="1"/>
  <c r="B4155" i="26"/>
  <c r="A4155" i="26" s="1"/>
  <c r="B4156" i="26"/>
  <c r="A4156" i="26" s="1"/>
  <c r="B4157" i="26"/>
  <c r="A4157" i="26" s="1"/>
  <c r="B4158" i="26"/>
  <c r="A4158" i="26" s="1"/>
  <c r="B4159" i="26"/>
  <c r="A4159" i="26" s="1"/>
  <c r="B4160" i="26"/>
  <c r="A4160" i="26" s="1"/>
  <c r="B4161" i="26"/>
  <c r="A4161" i="26" s="1"/>
  <c r="B4162" i="26"/>
  <c r="A4162" i="26" s="1"/>
  <c r="B4163" i="26"/>
  <c r="A4163" i="26" s="1"/>
  <c r="B4164" i="26"/>
  <c r="A4164" i="26" s="1"/>
  <c r="B4165" i="26"/>
  <c r="A4165" i="26" s="1"/>
  <c r="B4166" i="26"/>
  <c r="A4166" i="26" s="1"/>
  <c r="B4167" i="26"/>
  <c r="A4167" i="26" s="1"/>
  <c r="B4168" i="26"/>
  <c r="A4168" i="26" s="1"/>
  <c r="B4169" i="26"/>
  <c r="A4169" i="26" s="1"/>
  <c r="B4170" i="26"/>
  <c r="A4170" i="26" s="1"/>
  <c r="B4171" i="26"/>
  <c r="A4171" i="26" s="1"/>
  <c r="B4172" i="26"/>
  <c r="A4172" i="26" s="1"/>
  <c r="B4173" i="26"/>
  <c r="A4173" i="26" s="1"/>
  <c r="B4174" i="26"/>
  <c r="A4174" i="26" s="1"/>
  <c r="B4175" i="26"/>
  <c r="A4175" i="26" s="1"/>
  <c r="B4176" i="26"/>
  <c r="A4176" i="26" s="1"/>
  <c r="B4177" i="26"/>
  <c r="A4177" i="26" s="1"/>
  <c r="B4178" i="26"/>
  <c r="A4178" i="26" s="1"/>
  <c r="B4179" i="26"/>
  <c r="A4179" i="26" s="1"/>
  <c r="B4180" i="26"/>
  <c r="A4180" i="26" s="1"/>
  <c r="B4181" i="26"/>
  <c r="A4181" i="26" s="1"/>
  <c r="B4182" i="26"/>
  <c r="A4182" i="26" s="1"/>
  <c r="B4183" i="26"/>
  <c r="A4183" i="26" s="1"/>
  <c r="B4184" i="26"/>
  <c r="A4184" i="26" s="1"/>
  <c r="B4185" i="26"/>
  <c r="A4185" i="26" s="1"/>
  <c r="B4186" i="26"/>
  <c r="A4186" i="26" s="1"/>
  <c r="B4187" i="26"/>
  <c r="A4187" i="26" s="1"/>
  <c r="B4188" i="26"/>
  <c r="A4188" i="26" s="1"/>
  <c r="B4189" i="26"/>
  <c r="A4189" i="26" s="1"/>
  <c r="B4190" i="26"/>
  <c r="A4190" i="26" s="1"/>
  <c r="B4191" i="26"/>
  <c r="A4191" i="26" s="1"/>
  <c r="B4192" i="26"/>
  <c r="A4192" i="26" s="1"/>
  <c r="B4193" i="26"/>
  <c r="A4193" i="26" s="1"/>
  <c r="B4194" i="26"/>
  <c r="A4194" i="26" s="1"/>
  <c r="B4195" i="26"/>
  <c r="A4195" i="26" s="1"/>
  <c r="B4196" i="26"/>
  <c r="A4196" i="26" s="1"/>
  <c r="B4197" i="26"/>
  <c r="A4197" i="26" s="1"/>
  <c r="B4198" i="26"/>
  <c r="A4198" i="26" s="1"/>
  <c r="B4199" i="26"/>
  <c r="A4199" i="26" s="1"/>
  <c r="B4200" i="26"/>
  <c r="A4200" i="26" s="1"/>
  <c r="B4201" i="26"/>
  <c r="A4201" i="26" s="1"/>
  <c r="B4202" i="26"/>
  <c r="A4202" i="26" s="1"/>
  <c r="B4203" i="26"/>
  <c r="A4203" i="26" s="1"/>
  <c r="B4204" i="26"/>
  <c r="A4204" i="26" s="1"/>
  <c r="B4205" i="26"/>
  <c r="A4205" i="26" s="1"/>
  <c r="B4206" i="26"/>
  <c r="A4206" i="26" s="1"/>
  <c r="B4207" i="26"/>
  <c r="A4207" i="26" s="1"/>
  <c r="B4208" i="26"/>
  <c r="A4208" i="26" s="1"/>
  <c r="B4209" i="26"/>
  <c r="A4209" i="26" s="1"/>
  <c r="B4210" i="26"/>
  <c r="A4210" i="26" s="1"/>
  <c r="B4211" i="26"/>
  <c r="A4211" i="26" s="1"/>
  <c r="B4212" i="26"/>
  <c r="A4212" i="26" s="1"/>
  <c r="B4213" i="26"/>
  <c r="A4213" i="26" s="1"/>
  <c r="B4214" i="26"/>
  <c r="A4214" i="26" s="1"/>
  <c r="B4215" i="26"/>
  <c r="A4215" i="26" s="1"/>
  <c r="B4216" i="26"/>
  <c r="A4216" i="26" s="1"/>
  <c r="B4217" i="26"/>
  <c r="A4217" i="26" s="1"/>
  <c r="B4218" i="26"/>
  <c r="A4218" i="26" s="1"/>
  <c r="B4219" i="26"/>
  <c r="A4219" i="26" s="1"/>
  <c r="B4220" i="26"/>
  <c r="A4220" i="26" s="1"/>
  <c r="B4221" i="26"/>
  <c r="A4221" i="26" s="1"/>
  <c r="B4222" i="26"/>
  <c r="A4222" i="26" s="1"/>
  <c r="B4223" i="26"/>
  <c r="A4223" i="26" s="1"/>
  <c r="B4224" i="26"/>
  <c r="A4224" i="26" s="1"/>
  <c r="B4225" i="26"/>
  <c r="A4225" i="26" s="1"/>
  <c r="B4226" i="26"/>
  <c r="A4226" i="26" s="1"/>
  <c r="B4227" i="26"/>
  <c r="A4227" i="26" s="1"/>
  <c r="B4228" i="26"/>
  <c r="A4228" i="26" s="1"/>
  <c r="B4229" i="26"/>
  <c r="A4229" i="26" s="1"/>
  <c r="B4230" i="26"/>
  <c r="A4230" i="26" s="1"/>
  <c r="B4231" i="26"/>
  <c r="A4231" i="26" s="1"/>
  <c r="B4232" i="26"/>
  <c r="A4232" i="26" s="1"/>
  <c r="B4233" i="26"/>
  <c r="A4233" i="26" s="1"/>
  <c r="B4234" i="26"/>
  <c r="A4234" i="26" s="1"/>
  <c r="B4235" i="26"/>
  <c r="A4235" i="26" s="1"/>
  <c r="B4236" i="26"/>
  <c r="A4236" i="26" s="1"/>
  <c r="B4237" i="26"/>
  <c r="A4237" i="26" s="1"/>
  <c r="B4238" i="26"/>
  <c r="A4238" i="26" s="1"/>
  <c r="B4239" i="26"/>
  <c r="A4239" i="26" s="1"/>
  <c r="B4240" i="26"/>
  <c r="A4240" i="26" s="1"/>
  <c r="B4241" i="26"/>
  <c r="A4241" i="26" s="1"/>
  <c r="B4242" i="26"/>
  <c r="A4242" i="26" s="1"/>
  <c r="B4243" i="26"/>
  <c r="A4243" i="26" s="1"/>
  <c r="B4244" i="26"/>
  <c r="A4244" i="26" s="1"/>
  <c r="B4245" i="26"/>
  <c r="A4245" i="26" s="1"/>
  <c r="B4246" i="26"/>
  <c r="A4246" i="26" s="1"/>
  <c r="B4247" i="26"/>
  <c r="A4247" i="26" s="1"/>
  <c r="B4248" i="26"/>
  <c r="A4248" i="26" s="1"/>
  <c r="B4249" i="26"/>
  <c r="A4249" i="26" s="1"/>
  <c r="B4250" i="26"/>
  <c r="A4250" i="26" s="1"/>
  <c r="B4251" i="26"/>
  <c r="A4251" i="26" s="1"/>
  <c r="B4252" i="26"/>
  <c r="A4252" i="26" s="1"/>
  <c r="B4253" i="26"/>
  <c r="A4253" i="26" s="1"/>
  <c r="B4254" i="26"/>
  <c r="A4254" i="26" s="1"/>
  <c r="B4255" i="26"/>
  <c r="A4255" i="26" s="1"/>
  <c r="B4256" i="26"/>
  <c r="A4256" i="26" s="1"/>
  <c r="B4257" i="26"/>
  <c r="A4257" i="26" s="1"/>
  <c r="B4258" i="26"/>
  <c r="A4258" i="26" s="1"/>
  <c r="B4259" i="26"/>
  <c r="A4259" i="26" s="1"/>
  <c r="B4260" i="26"/>
  <c r="A4260" i="26" s="1"/>
  <c r="B4261" i="26"/>
  <c r="A4261" i="26" s="1"/>
  <c r="B4262" i="26"/>
  <c r="A4262" i="26" s="1"/>
  <c r="B4263" i="26"/>
  <c r="A4263" i="26" s="1"/>
  <c r="B4264" i="26"/>
  <c r="A4264" i="26" s="1"/>
  <c r="B4265" i="26"/>
  <c r="A4265" i="26" s="1"/>
  <c r="B4266" i="26"/>
  <c r="A4266" i="26" s="1"/>
  <c r="B4267" i="26"/>
  <c r="A4267" i="26" s="1"/>
  <c r="B4268" i="26"/>
  <c r="A4268" i="26" s="1"/>
  <c r="B4269" i="26"/>
  <c r="A4269" i="26" s="1"/>
  <c r="B4270" i="26"/>
  <c r="A4270" i="26" s="1"/>
  <c r="B4271" i="26"/>
  <c r="A4271" i="26" s="1"/>
  <c r="B4272" i="26"/>
  <c r="A4272" i="26" s="1"/>
  <c r="B4273" i="26"/>
  <c r="A4273" i="26" s="1"/>
  <c r="B4274" i="26"/>
  <c r="A4274" i="26" s="1"/>
  <c r="B4275" i="26"/>
  <c r="A4275" i="26" s="1"/>
  <c r="B4276" i="26"/>
  <c r="A4276" i="26" s="1"/>
  <c r="B4277" i="26"/>
  <c r="A4277" i="26" s="1"/>
  <c r="B4278" i="26"/>
  <c r="A4278" i="26" s="1"/>
  <c r="B4279" i="26"/>
  <c r="A4279" i="26" s="1"/>
  <c r="B4280" i="26"/>
  <c r="A4280" i="26" s="1"/>
  <c r="B4281" i="26"/>
  <c r="A4281" i="26" s="1"/>
  <c r="B4282" i="26"/>
  <c r="A4282" i="26" s="1"/>
  <c r="B4283" i="26"/>
  <c r="A4283" i="26" s="1"/>
  <c r="B4284" i="26"/>
  <c r="A4284" i="26" s="1"/>
  <c r="B4285" i="26"/>
  <c r="A4285" i="26" s="1"/>
  <c r="B4286" i="26"/>
  <c r="A4286" i="26" s="1"/>
  <c r="B4287" i="26"/>
  <c r="A4287" i="26" s="1"/>
  <c r="B4288" i="26"/>
  <c r="A4288" i="26" s="1"/>
  <c r="B4289" i="26"/>
  <c r="A4289" i="26" s="1"/>
  <c r="B4290" i="26"/>
  <c r="A4290" i="26" s="1"/>
  <c r="B4291" i="26"/>
  <c r="A4291" i="26" s="1"/>
  <c r="B4292" i="26"/>
  <c r="A4292" i="26" s="1"/>
  <c r="B4293" i="26"/>
  <c r="A4293" i="26" s="1"/>
  <c r="B4294" i="26"/>
  <c r="A4294" i="26" s="1"/>
  <c r="B4295" i="26"/>
  <c r="A4295" i="26" s="1"/>
  <c r="B4296" i="26"/>
  <c r="A4296" i="26" s="1"/>
  <c r="B4297" i="26"/>
  <c r="A4297" i="26" s="1"/>
  <c r="B4298" i="26"/>
  <c r="A4298" i="26" s="1"/>
  <c r="B4299" i="26"/>
  <c r="A4299" i="26" s="1"/>
  <c r="B4300" i="26"/>
  <c r="A4300" i="26" s="1"/>
  <c r="B4301" i="26"/>
  <c r="A4301" i="26" s="1"/>
  <c r="B4302" i="26"/>
  <c r="A4302" i="26" s="1"/>
  <c r="B4303" i="26"/>
  <c r="A4303" i="26" s="1"/>
  <c r="B4304" i="26"/>
  <c r="A4304" i="26" s="1"/>
  <c r="B4305" i="26"/>
  <c r="A4305" i="26" s="1"/>
  <c r="B4306" i="26"/>
  <c r="A4306" i="26" s="1"/>
  <c r="B4307" i="26"/>
  <c r="A4307" i="26" s="1"/>
  <c r="B4308" i="26"/>
  <c r="A4308" i="26" s="1"/>
  <c r="B4309" i="26"/>
  <c r="A4309" i="26" s="1"/>
  <c r="B4310" i="26"/>
  <c r="A4310" i="26" s="1"/>
  <c r="B4311" i="26"/>
  <c r="A4311" i="26" s="1"/>
  <c r="B4312" i="26"/>
  <c r="A4312" i="26" s="1"/>
  <c r="B4313" i="26"/>
  <c r="A4313" i="26" s="1"/>
  <c r="B4314" i="26"/>
  <c r="A4314" i="26" s="1"/>
  <c r="B4315" i="26"/>
  <c r="A4315" i="26" s="1"/>
  <c r="B4316" i="26"/>
  <c r="A4316" i="26" s="1"/>
  <c r="B4317" i="26"/>
  <c r="A4317" i="26" s="1"/>
  <c r="B4318" i="26"/>
  <c r="A4318" i="26" s="1"/>
  <c r="B4319" i="26"/>
  <c r="A4319" i="26" s="1"/>
  <c r="B4320" i="26"/>
  <c r="A4320" i="26" s="1"/>
  <c r="B4321" i="26"/>
  <c r="A4321" i="26" s="1"/>
  <c r="B4322" i="26"/>
  <c r="A4322" i="26" s="1"/>
  <c r="B4323" i="26"/>
  <c r="A4323" i="26" s="1"/>
  <c r="B4324" i="26"/>
  <c r="A4324" i="26" s="1"/>
  <c r="B4325" i="26"/>
  <c r="A4325" i="26" s="1"/>
  <c r="B4326" i="26"/>
  <c r="A4326" i="26" s="1"/>
  <c r="B4327" i="26"/>
  <c r="A4327" i="26" s="1"/>
  <c r="B4328" i="26"/>
  <c r="A4328" i="26" s="1"/>
  <c r="B4329" i="26"/>
  <c r="A4329" i="26" s="1"/>
  <c r="B4330" i="26"/>
  <c r="A4330" i="26" s="1"/>
  <c r="B4331" i="26"/>
  <c r="A4331" i="26" s="1"/>
  <c r="B4332" i="26"/>
  <c r="A4332" i="26" s="1"/>
  <c r="B4333" i="26"/>
  <c r="A4333" i="26" s="1"/>
  <c r="B4334" i="26"/>
  <c r="A4334" i="26" s="1"/>
  <c r="B4335" i="26"/>
  <c r="A4335" i="26" s="1"/>
  <c r="B4336" i="26"/>
  <c r="A4336" i="26" s="1"/>
  <c r="B4337" i="26"/>
  <c r="A4337" i="26" s="1"/>
  <c r="B4338" i="26"/>
  <c r="A4338" i="26" s="1"/>
  <c r="B4339" i="26"/>
  <c r="A4339" i="26" s="1"/>
  <c r="B4340" i="26"/>
  <c r="A4340" i="26" s="1"/>
  <c r="B4341" i="26"/>
  <c r="A4341" i="26" s="1"/>
  <c r="B4342" i="26"/>
  <c r="A4342" i="26" s="1"/>
  <c r="B4343" i="26"/>
  <c r="A4343" i="26" s="1"/>
  <c r="B4344" i="26"/>
  <c r="A4344" i="26" s="1"/>
  <c r="B4345" i="26"/>
  <c r="A4345" i="26" s="1"/>
  <c r="B4346" i="26"/>
  <c r="A4346" i="26" s="1"/>
  <c r="B4347" i="26"/>
  <c r="A4347" i="26" s="1"/>
  <c r="B4348" i="26"/>
  <c r="A4348" i="26" s="1"/>
  <c r="B4349" i="26"/>
  <c r="A4349" i="26" s="1"/>
  <c r="B4350" i="26"/>
  <c r="A4350" i="26" s="1"/>
  <c r="B4351" i="26"/>
  <c r="A4351" i="26" s="1"/>
  <c r="B4352" i="26"/>
  <c r="A4352" i="26" s="1"/>
  <c r="B4353" i="26"/>
  <c r="A4353" i="26" s="1"/>
  <c r="B4354" i="26"/>
  <c r="A4354" i="26" s="1"/>
  <c r="B4355" i="26"/>
  <c r="A4355" i="26" s="1"/>
  <c r="B4356" i="26"/>
  <c r="A4356" i="26" s="1"/>
  <c r="B4357" i="26"/>
  <c r="A4357" i="26" s="1"/>
  <c r="B4358" i="26"/>
  <c r="A4358" i="26" s="1"/>
  <c r="B4359" i="26"/>
  <c r="A4359" i="26" s="1"/>
  <c r="B4360" i="26"/>
  <c r="A4360" i="26" s="1"/>
  <c r="B4361" i="26"/>
  <c r="A4361" i="26" s="1"/>
  <c r="B4362" i="26"/>
  <c r="A4362" i="26" s="1"/>
  <c r="B4363" i="26"/>
  <c r="A4363" i="26" s="1"/>
  <c r="B4364" i="26"/>
  <c r="A4364" i="26" s="1"/>
  <c r="B4365" i="26"/>
  <c r="A4365" i="26" s="1"/>
  <c r="B4366" i="26"/>
  <c r="A4366" i="26" s="1"/>
  <c r="B4367" i="26"/>
  <c r="A4367" i="26" s="1"/>
  <c r="B4368" i="26"/>
  <c r="A4368" i="26" s="1"/>
  <c r="B4369" i="26"/>
  <c r="A4369" i="26" s="1"/>
  <c r="B4370" i="26"/>
  <c r="A4370" i="26" s="1"/>
  <c r="B4371" i="26"/>
  <c r="A4371" i="26" s="1"/>
  <c r="B4372" i="26"/>
  <c r="A4372" i="26" s="1"/>
  <c r="B4373" i="26"/>
  <c r="A4373" i="26" s="1"/>
  <c r="B4374" i="26"/>
  <c r="A4374" i="26" s="1"/>
  <c r="B4375" i="26"/>
  <c r="A4375" i="26" s="1"/>
  <c r="B4376" i="26"/>
  <c r="A4376" i="26" s="1"/>
  <c r="B4377" i="26"/>
  <c r="A4377" i="26" s="1"/>
  <c r="B4378" i="26"/>
  <c r="A4378" i="26" s="1"/>
  <c r="B4379" i="26"/>
  <c r="A4379" i="26" s="1"/>
  <c r="B4380" i="26"/>
  <c r="A4380" i="26" s="1"/>
  <c r="B4381" i="26"/>
  <c r="A4381" i="26" s="1"/>
  <c r="B4382" i="26"/>
  <c r="A4382" i="26" s="1"/>
  <c r="B4383" i="26"/>
  <c r="A4383" i="26" s="1"/>
  <c r="B4384" i="26"/>
  <c r="A4384" i="26" s="1"/>
  <c r="B4385" i="26"/>
  <c r="A4385" i="26" s="1"/>
  <c r="B4386" i="26"/>
  <c r="A4386" i="26" s="1"/>
  <c r="B4387" i="26"/>
  <c r="A4387" i="26" s="1"/>
  <c r="B4388" i="26"/>
  <c r="A4388" i="26" s="1"/>
  <c r="B4389" i="26"/>
  <c r="A4389" i="26" s="1"/>
  <c r="B4390" i="26"/>
  <c r="A4390" i="26" s="1"/>
  <c r="B4391" i="26"/>
  <c r="A4391" i="26" s="1"/>
  <c r="B4392" i="26"/>
  <c r="A4392" i="26" s="1"/>
  <c r="B4393" i="26"/>
  <c r="A4393" i="26" s="1"/>
  <c r="B4394" i="26"/>
  <c r="A4394" i="26" s="1"/>
  <c r="B4395" i="26"/>
  <c r="A4395" i="26" s="1"/>
  <c r="B4396" i="26"/>
  <c r="A4396" i="26" s="1"/>
  <c r="B4397" i="26"/>
  <c r="A4397" i="26" s="1"/>
  <c r="B4398" i="26"/>
  <c r="A4398" i="26" s="1"/>
  <c r="B4399" i="26"/>
  <c r="A4399" i="26" s="1"/>
  <c r="B4400" i="26"/>
  <c r="A4400" i="26" s="1"/>
  <c r="B4401" i="26"/>
  <c r="A4401" i="26" s="1"/>
  <c r="B4402" i="26"/>
  <c r="A4402" i="26" s="1"/>
  <c r="B4403" i="26"/>
  <c r="A4403" i="26" s="1"/>
  <c r="B4404" i="26"/>
  <c r="A4404" i="26" s="1"/>
  <c r="B4405" i="26"/>
  <c r="A4405" i="26" s="1"/>
  <c r="B4406" i="26"/>
  <c r="A4406" i="26" s="1"/>
  <c r="B4407" i="26"/>
  <c r="A4407" i="26" s="1"/>
  <c r="B4408" i="26"/>
  <c r="A4408" i="26" s="1"/>
  <c r="B4409" i="26"/>
  <c r="A4409" i="26" s="1"/>
  <c r="B4410" i="26"/>
  <c r="A4410" i="26" s="1"/>
  <c r="B4411" i="26"/>
  <c r="A4411" i="26" s="1"/>
  <c r="B4412" i="26"/>
  <c r="A4412" i="26" s="1"/>
  <c r="B4413" i="26"/>
  <c r="A4413" i="26" s="1"/>
  <c r="B4414" i="26"/>
  <c r="A4414" i="26" s="1"/>
  <c r="B4415" i="26"/>
  <c r="A4415" i="26" s="1"/>
  <c r="B4416" i="26"/>
  <c r="A4416" i="26" s="1"/>
  <c r="B4417" i="26"/>
  <c r="A4417" i="26" s="1"/>
  <c r="B4418" i="26"/>
  <c r="A4418" i="26" s="1"/>
  <c r="B4419" i="26"/>
  <c r="A4419" i="26" s="1"/>
  <c r="B4420" i="26"/>
  <c r="A4420" i="26" s="1"/>
  <c r="B4421" i="26"/>
  <c r="A4421" i="26" s="1"/>
  <c r="B4422" i="26"/>
  <c r="A4422" i="26" s="1"/>
  <c r="B4423" i="26"/>
  <c r="A4423" i="26" s="1"/>
  <c r="B4424" i="26"/>
  <c r="A4424" i="26" s="1"/>
  <c r="B4425" i="26"/>
  <c r="A4425" i="26" s="1"/>
  <c r="B4426" i="26"/>
  <c r="A4426" i="26" s="1"/>
  <c r="B4427" i="26"/>
  <c r="A4427" i="26" s="1"/>
  <c r="B4428" i="26"/>
  <c r="A4428" i="26" s="1"/>
  <c r="B4429" i="26"/>
  <c r="A4429" i="26" s="1"/>
  <c r="B4430" i="26"/>
  <c r="A4430" i="26" s="1"/>
  <c r="B4431" i="26"/>
  <c r="A4431" i="26" s="1"/>
  <c r="B4432" i="26"/>
  <c r="A4432" i="26" s="1"/>
  <c r="B4433" i="26"/>
  <c r="A4433" i="26" s="1"/>
  <c r="B4434" i="26"/>
  <c r="A4434" i="26" s="1"/>
  <c r="B4435" i="26"/>
  <c r="A4435" i="26" s="1"/>
  <c r="B4436" i="26"/>
  <c r="A4436" i="26" s="1"/>
  <c r="B4437" i="26"/>
  <c r="A4437" i="26" s="1"/>
  <c r="B4438" i="26"/>
  <c r="A4438" i="26" s="1"/>
  <c r="B4439" i="26"/>
  <c r="A4439" i="26" s="1"/>
  <c r="B4440" i="26"/>
  <c r="A4440" i="26" s="1"/>
  <c r="B4441" i="26"/>
  <c r="A4441" i="26" s="1"/>
  <c r="B4442" i="26"/>
  <c r="A4442" i="26" s="1"/>
  <c r="B4443" i="26"/>
  <c r="A4443" i="26" s="1"/>
  <c r="B4444" i="26"/>
  <c r="A4444" i="26" s="1"/>
  <c r="B4445" i="26"/>
  <c r="A4445" i="26" s="1"/>
  <c r="B4446" i="26"/>
  <c r="A4446" i="26" s="1"/>
  <c r="B4447" i="26"/>
  <c r="A4447" i="26" s="1"/>
  <c r="B4448" i="26"/>
  <c r="A4448" i="26" s="1"/>
  <c r="B4449" i="26"/>
  <c r="A4449" i="26" s="1"/>
  <c r="B4450" i="26"/>
  <c r="A4450" i="26" s="1"/>
  <c r="B4451" i="26"/>
  <c r="A4451" i="26" s="1"/>
  <c r="B4452" i="26"/>
  <c r="A4452" i="26" s="1"/>
  <c r="B4453" i="26"/>
  <c r="A4453" i="26" s="1"/>
  <c r="B4454" i="26"/>
  <c r="A4454" i="26" s="1"/>
  <c r="B4455" i="26"/>
  <c r="A4455" i="26" s="1"/>
  <c r="B4456" i="26"/>
  <c r="A4456" i="26" s="1"/>
  <c r="B4457" i="26"/>
  <c r="A4457" i="26" s="1"/>
  <c r="B4458" i="26"/>
  <c r="A4458" i="26" s="1"/>
  <c r="B4459" i="26"/>
  <c r="A4459" i="26" s="1"/>
  <c r="B4460" i="26"/>
  <c r="A4460" i="26" s="1"/>
  <c r="B4461" i="26"/>
  <c r="A4461" i="26" s="1"/>
  <c r="B4462" i="26"/>
  <c r="A4462" i="26" s="1"/>
  <c r="B4463" i="26"/>
  <c r="A4463" i="26" s="1"/>
  <c r="B4464" i="26"/>
  <c r="A4464" i="26" s="1"/>
  <c r="B4465" i="26"/>
  <c r="A4465" i="26" s="1"/>
  <c r="B4466" i="26"/>
  <c r="A4466" i="26" s="1"/>
  <c r="B4467" i="26"/>
  <c r="A4467" i="26" s="1"/>
  <c r="B4468" i="26"/>
  <c r="A4468" i="26" s="1"/>
  <c r="B4469" i="26"/>
  <c r="A4469" i="26" s="1"/>
  <c r="B4470" i="26"/>
  <c r="A4470" i="26" s="1"/>
  <c r="B4471" i="26"/>
  <c r="A4471" i="26" s="1"/>
  <c r="B4472" i="26"/>
  <c r="A4472" i="26" s="1"/>
  <c r="B4473" i="26"/>
  <c r="A4473" i="26" s="1"/>
  <c r="B4474" i="26"/>
  <c r="A4474" i="26" s="1"/>
  <c r="B4475" i="26"/>
  <c r="A4475" i="26" s="1"/>
  <c r="B4476" i="26"/>
  <c r="A4476" i="26" s="1"/>
  <c r="B4477" i="26"/>
  <c r="A4477" i="26" s="1"/>
  <c r="B4478" i="26"/>
  <c r="A4478" i="26" s="1"/>
  <c r="B4479" i="26"/>
  <c r="A4479" i="26" s="1"/>
  <c r="B4480" i="26"/>
  <c r="A4480" i="26" s="1"/>
  <c r="B4481" i="26"/>
  <c r="A4481" i="26" s="1"/>
  <c r="B4482" i="26"/>
  <c r="A4482" i="26" s="1"/>
  <c r="B4483" i="26"/>
  <c r="A4483" i="26" s="1"/>
  <c r="B4484" i="26"/>
  <c r="A4484" i="26" s="1"/>
  <c r="B4485" i="26"/>
  <c r="A4485" i="26" s="1"/>
  <c r="B4486" i="26"/>
  <c r="A4486" i="26" s="1"/>
  <c r="B4487" i="26"/>
  <c r="A4487" i="26" s="1"/>
  <c r="B4488" i="26"/>
  <c r="A4488" i="26" s="1"/>
  <c r="B4489" i="26"/>
  <c r="A4489" i="26" s="1"/>
  <c r="B4490" i="26"/>
  <c r="A4490" i="26" s="1"/>
  <c r="B4491" i="26"/>
  <c r="A4491" i="26" s="1"/>
  <c r="B4492" i="26"/>
  <c r="A4492" i="26" s="1"/>
  <c r="B4493" i="26"/>
  <c r="A4493" i="26" s="1"/>
  <c r="B4494" i="26"/>
  <c r="A4494" i="26" s="1"/>
  <c r="B4495" i="26"/>
  <c r="A4495" i="26" s="1"/>
  <c r="B4496" i="26"/>
  <c r="A4496" i="26" s="1"/>
  <c r="B4497" i="26"/>
  <c r="A4497" i="26" s="1"/>
  <c r="B4498" i="26"/>
  <c r="A4498" i="26" s="1"/>
  <c r="B4499" i="26"/>
  <c r="A4499" i="26" s="1"/>
  <c r="B4500" i="26"/>
  <c r="A4500" i="26" s="1"/>
  <c r="B4501" i="26"/>
  <c r="A4501" i="26" s="1"/>
  <c r="B4502" i="26"/>
  <c r="A4502" i="26" s="1"/>
  <c r="B4503" i="26"/>
  <c r="A4503" i="26" s="1"/>
  <c r="B4504" i="26"/>
  <c r="A4504" i="26" s="1"/>
  <c r="B4505" i="26"/>
  <c r="A4505" i="26" s="1"/>
  <c r="B4506" i="26"/>
  <c r="A4506" i="26" s="1"/>
  <c r="B4507" i="26"/>
  <c r="A4507" i="26" s="1"/>
  <c r="B4508" i="26"/>
  <c r="A4508" i="26" s="1"/>
  <c r="B4509" i="26"/>
  <c r="A4509" i="26" s="1"/>
  <c r="B4510" i="26"/>
  <c r="A4510" i="26" s="1"/>
  <c r="B4511" i="26"/>
  <c r="A4511" i="26" s="1"/>
  <c r="B4512" i="26"/>
  <c r="A4512" i="26" s="1"/>
  <c r="B4513" i="26"/>
  <c r="A4513" i="26" s="1"/>
  <c r="B4514" i="26"/>
  <c r="A4514" i="26" s="1"/>
  <c r="B4515" i="26"/>
  <c r="A4515" i="26" s="1"/>
  <c r="B4516" i="26"/>
  <c r="A4516" i="26" s="1"/>
  <c r="B4517" i="26"/>
  <c r="A4517" i="26" s="1"/>
  <c r="B4518" i="26"/>
  <c r="A4518" i="26" s="1"/>
  <c r="B4519" i="26"/>
  <c r="A4519" i="26" s="1"/>
  <c r="B4520" i="26"/>
  <c r="A4520" i="26" s="1"/>
  <c r="B4521" i="26"/>
  <c r="A4521" i="26" s="1"/>
  <c r="B4522" i="26"/>
  <c r="A4522" i="26" s="1"/>
  <c r="B4523" i="26"/>
  <c r="A4523" i="26" s="1"/>
  <c r="B4524" i="26"/>
  <c r="A4524" i="26" s="1"/>
  <c r="B4525" i="26"/>
  <c r="A4525" i="26" s="1"/>
  <c r="B4526" i="26"/>
  <c r="A4526" i="26" s="1"/>
  <c r="B4527" i="26"/>
  <c r="A4527" i="26" s="1"/>
  <c r="B4528" i="26"/>
  <c r="A4528" i="26" s="1"/>
  <c r="B4529" i="26"/>
  <c r="A4529" i="26" s="1"/>
  <c r="B4530" i="26"/>
  <c r="A4530" i="26" s="1"/>
  <c r="B4531" i="26"/>
  <c r="A4531" i="26" s="1"/>
  <c r="B4532" i="26"/>
  <c r="A4532" i="26" s="1"/>
  <c r="B4533" i="26"/>
  <c r="A4533" i="26" s="1"/>
  <c r="B4534" i="26"/>
  <c r="A4534" i="26" s="1"/>
  <c r="B4535" i="26"/>
  <c r="A4535" i="26" s="1"/>
  <c r="B4536" i="26"/>
  <c r="A4536" i="26" s="1"/>
  <c r="B4537" i="26"/>
  <c r="A4537" i="26" s="1"/>
  <c r="B4538" i="26"/>
  <c r="A4538" i="26" s="1"/>
  <c r="B4539" i="26"/>
  <c r="A4539" i="26" s="1"/>
  <c r="B4540" i="26"/>
  <c r="A4540" i="26" s="1"/>
  <c r="B4541" i="26"/>
  <c r="A4541" i="26" s="1"/>
  <c r="B4542" i="26"/>
  <c r="A4542" i="26" s="1"/>
  <c r="B4543" i="26"/>
  <c r="A4543" i="26" s="1"/>
  <c r="B4544" i="26"/>
  <c r="A4544" i="26" s="1"/>
  <c r="B4545" i="26"/>
  <c r="A4545" i="26" s="1"/>
  <c r="B4546" i="26"/>
  <c r="A4546" i="26" s="1"/>
  <c r="B4547" i="26"/>
  <c r="A4547" i="26" s="1"/>
  <c r="B4548" i="26"/>
  <c r="A4548" i="26" s="1"/>
  <c r="B4549" i="26"/>
  <c r="A4549" i="26" s="1"/>
  <c r="B4550" i="26"/>
  <c r="A4550" i="26" s="1"/>
  <c r="B4551" i="26"/>
  <c r="A4551" i="26" s="1"/>
  <c r="B4552" i="26"/>
  <c r="A4552" i="26" s="1"/>
  <c r="B4553" i="26"/>
  <c r="A4553" i="26" s="1"/>
  <c r="B4554" i="26"/>
  <c r="A4554" i="26" s="1"/>
  <c r="B4555" i="26"/>
  <c r="A4555" i="26" s="1"/>
  <c r="B4556" i="26"/>
  <c r="A4556" i="26" s="1"/>
  <c r="B4557" i="26"/>
  <c r="A4557" i="26" s="1"/>
  <c r="B4558" i="26"/>
  <c r="A4558" i="26" s="1"/>
  <c r="B4559" i="26"/>
  <c r="A4559" i="26" s="1"/>
  <c r="B4560" i="26"/>
  <c r="A4560" i="26" s="1"/>
  <c r="B4561" i="26"/>
  <c r="A4561" i="26" s="1"/>
  <c r="B4562" i="26"/>
  <c r="A4562" i="26" s="1"/>
  <c r="B4563" i="26"/>
  <c r="A4563" i="26" s="1"/>
  <c r="B4564" i="26"/>
  <c r="A4564" i="26" s="1"/>
  <c r="B4565" i="26"/>
  <c r="A4565" i="26" s="1"/>
  <c r="B4566" i="26"/>
  <c r="A4566" i="26" s="1"/>
  <c r="B4567" i="26"/>
  <c r="A4567" i="26" s="1"/>
  <c r="B4568" i="26"/>
  <c r="A4568" i="26" s="1"/>
  <c r="B4569" i="26"/>
  <c r="A4569" i="26" s="1"/>
  <c r="B4570" i="26"/>
  <c r="A4570" i="26" s="1"/>
  <c r="B4571" i="26"/>
  <c r="A4571" i="26" s="1"/>
  <c r="B4572" i="26"/>
  <c r="A4572" i="26" s="1"/>
  <c r="B4573" i="26"/>
  <c r="A4573" i="26" s="1"/>
  <c r="B4574" i="26"/>
  <c r="A4574" i="26" s="1"/>
  <c r="B4575" i="26"/>
  <c r="A4575" i="26" s="1"/>
  <c r="B4576" i="26"/>
  <c r="A4576" i="26" s="1"/>
  <c r="B4577" i="26"/>
  <c r="A4577" i="26" s="1"/>
  <c r="B4578" i="26"/>
  <c r="A4578" i="26" s="1"/>
  <c r="B4579" i="26"/>
  <c r="A4579" i="26" s="1"/>
  <c r="B4580" i="26"/>
  <c r="A4580" i="26" s="1"/>
  <c r="B4581" i="26"/>
  <c r="A4581" i="26" s="1"/>
  <c r="B4582" i="26"/>
  <c r="A4582" i="26" s="1"/>
  <c r="B4583" i="26"/>
  <c r="A4583" i="26" s="1"/>
  <c r="B4584" i="26"/>
  <c r="A4584" i="26" s="1"/>
  <c r="B4585" i="26"/>
  <c r="A4585" i="26" s="1"/>
  <c r="B4586" i="26"/>
  <c r="A4586" i="26" s="1"/>
  <c r="B4587" i="26"/>
  <c r="A4587" i="26" s="1"/>
  <c r="B4588" i="26"/>
  <c r="A4588" i="26" s="1"/>
  <c r="B4589" i="26"/>
  <c r="A4589" i="26" s="1"/>
  <c r="B4590" i="26"/>
  <c r="A4590" i="26" s="1"/>
  <c r="B4591" i="26"/>
  <c r="A4591" i="26" s="1"/>
  <c r="B4592" i="26"/>
  <c r="A4592" i="26" s="1"/>
  <c r="B4593" i="26"/>
  <c r="A4593" i="26" s="1"/>
  <c r="B4594" i="26"/>
  <c r="A4594" i="26" s="1"/>
  <c r="B4595" i="26"/>
  <c r="A4595" i="26" s="1"/>
  <c r="B4596" i="26"/>
  <c r="A4596" i="26" s="1"/>
  <c r="B4597" i="26"/>
  <c r="A4597" i="26" s="1"/>
  <c r="B4598" i="26"/>
  <c r="A4598" i="26" s="1"/>
  <c r="B4599" i="26"/>
  <c r="A4599" i="26" s="1"/>
  <c r="B4600" i="26"/>
  <c r="A4600" i="26" s="1"/>
  <c r="B4601" i="26"/>
  <c r="A4601" i="26" s="1"/>
  <c r="B4602" i="26"/>
  <c r="A4602" i="26" s="1"/>
  <c r="B4603" i="26"/>
  <c r="A4603" i="26" s="1"/>
  <c r="B4604" i="26"/>
  <c r="A4604" i="26" s="1"/>
  <c r="B4605" i="26"/>
  <c r="A4605" i="26" s="1"/>
  <c r="B4606" i="26"/>
  <c r="A4606" i="26" s="1"/>
  <c r="B4607" i="26"/>
  <c r="A4607" i="26" s="1"/>
  <c r="B4608" i="26"/>
  <c r="A4608" i="26" s="1"/>
  <c r="B4609" i="26"/>
  <c r="A4609" i="26" s="1"/>
  <c r="B4610" i="26"/>
  <c r="A4610" i="26" s="1"/>
  <c r="B4611" i="26"/>
  <c r="A4611" i="26" s="1"/>
  <c r="B4612" i="26"/>
  <c r="A4612" i="26" s="1"/>
  <c r="B4613" i="26"/>
  <c r="A4613" i="26" s="1"/>
  <c r="B4614" i="26"/>
  <c r="A4614" i="26" s="1"/>
  <c r="B4615" i="26"/>
  <c r="A4615" i="26" s="1"/>
  <c r="B4616" i="26"/>
  <c r="A4616" i="26" s="1"/>
  <c r="B4617" i="26"/>
  <c r="A4617" i="26" s="1"/>
  <c r="B4618" i="26"/>
  <c r="A4618" i="26" s="1"/>
  <c r="B4619" i="26"/>
  <c r="A4619" i="26" s="1"/>
  <c r="B4620" i="26"/>
  <c r="A4620" i="26" s="1"/>
  <c r="B4621" i="26"/>
  <c r="A4621" i="26" s="1"/>
  <c r="B4622" i="26"/>
  <c r="A4622" i="26" s="1"/>
  <c r="B4623" i="26"/>
  <c r="A4623" i="26" s="1"/>
  <c r="B4624" i="26"/>
  <c r="A4624" i="26" s="1"/>
  <c r="B4625" i="26"/>
  <c r="A4625" i="26" s="1"/>
  <c r="B4626" i="26"/>
  <c r="A4626" i="26" s="1"/>
  <c r="B4627" i="26"/>
  <c r="A4627" i="26" s="1"/>
  <c r="B4628" i="26"/>
  <c r="A4628" i="26" s="1"/>
  <c r="B4629" i="26"/>
  <c r="A4629" i="26" s="1"/>
  <c r="B4630" i="26"/>
  <c r="A4630" i="26" s="1"/>
  <c r="B4631" i="26"/>
  <c r="A4631" i="26" s="1"/>
  <c r="B4632" i="26"/>
  <c r="A4632" i="26" s="1"/>
  <c r="B4633" i="26"/>
  <c r="A4633" i="26" s="1"/>
  <c r="B4634" i="26"/>
  <c r="A4634" i="26" s="1"/>
  <c r="B4635" i="26"/>
  <c r="A4635" i="26" s="1"/>
  <c r="B4636" i="26"/>
  <c r="A4636" i="26" s="1"/>
  <c r="B4637" i="26"/>
  <c r="A4637" i="26" s="1"/>
  <c r="B4638" i="26"/>
  <c r="A4638" i="26" s="1"/>
  <c r="B4639" i="26"/>
  <c r="A4639" i="26" s="1"/>
  <c r="B4640" i="26"/>
  <c r="A4640" i="26" s="1"/>
  <c r="B4641" i="26"/>
  <c r="A4641" i="26" s="1"/>
  <c r="B4642" i="26"/>
  <c r="A4642" i="26" s="1"/>
  <c r="B4643" i="26"/>
  <c r="A4643" i="26" s="1"/>
  <c r="B4644" i="26"/>
  <c r="A4644" i="26" s="1"/>
  <c r="B4645" i="26"/>
  <c r="A4645" i="26" s="1"/>
  <c r="B4646" i="26"/>
  <c r="A4646" i="26" s="1"/>
  <c r="B4647" i="26"/>
  <c r="A4647" i="26" s="1"/>
  <c r="B4648" i="26"/>
  <c r="A4648" i="26" s="1"/>
  <c r="B4649" i="26"/>
  <c r="A4649" i="26" s="1"/>
  <c r="B4650" i="26"/>
  <c r="A4650" i="26" s="1"/>
  <c r="B4651" i="26"/>
  <c r="A4651" i="26" s="1"/>
  <c r="B4652" i="26"/>
  <c r="A4652" i="26" s="1"/>
  <c r="B4653" i="26"/>
  <c r="A4653" i="26" s="1"/>
  <c r="B4654" i="26"/>
  <c r="A4654" i="26" s="1"/>
  <c r="B4655" i="26"/>
  <c r="A4655" i="26" s="1"/>
  <c r="B4656" i="26"/>
  <c r="A4656" i="26" s="1"/>
  <c r="B4657" i="26"/>
  <c r="A4657" i="26" s="1"/>
  <c r="B4658" i="26"/>
  <c r="A4658" i="26" s="1"/>
  <c r="B4659" i="26"/>
  <c r="A4659" i="26" s="1"/>
  <c r="B4660" i="26"/>
  <c r="A4660" i="26" s="1"/>
  <c r="B4661" i="26"/>
  <c r="A4661" i="26" s="1"/>
  <c r="B4662" i="26"/>
  <c r="A4662" i="26" s="1"/>
  <c r="B4663" i="26"/>
  <c r="A4663" i="26" s="1"/>
  <c r="B4664" i="26"/>
  <c r="A4664" i="26" s="1"/>
  <c r="B4665" i="26"/>
  <c r="A4665" i="26" s="1"/>
  <c r="B4666" i="26"/>
  <c r="A4666" i="26" s="1"/>
  <c r="B4667" i="26"/>
  <c r="A4667" i="26" s="1"/>
  <c r="B4668" i="26"/>
  <c r="A4668" i="26" s="1"/>
  <c r="B4669" i="26"/>
  <c r="A4669" i="26" s="1"/>
  <c r="B4670" i="26"/>
  <c r="A4670" i="26" s="1"/>
  <c r="B4671" i="26"/>
  <c r="A4671" i="26" s="1"/>
  <c r="B4672" i="26"/>
  <c r="A4672" i="26" s="1"/>
  <c r="B4673" i="26"/>
  <c r="A4673" i="26" s="1"/>
  <c r="B4674" i="26"/>
  <c r="A4674" i="26" s="1"/>
  <c r="B4675" i="26"/>
  <c r="A4675" i="26" s="1"/>
  <c r="B4676" i="26"/>
  <c r="A4676" i="26" s="1"/>
  <c r="B4677" i="26"/>
  <c r="A4677" i="26" s="1"/>
  <c r="B4678" i="26"/>
  <c r="A4678" i="26" s="1"/>
  <c r="B4679" i="26"/>
  <c r="A4679" i="26" s="1"/>
  <c r="B4680" i="26"/>
  <c r="A4680" i="26" s="1"/>
  <c r="B4681" i="26"/>
  <c r="A4681" i="26" s="1"/>
  <c r="B4682" i="26"/>
  <c r="A4682" i="26" s="1"/>
  <c r="B4683" i="26"/>
  <c r="A4683" i="26" s="1"/>
  <c r="B4684" i="26"/>
  <c r="A4684" i="26" s="1"/>
  <c r="B4685" i="26"/>
  <c r="A4685" i="26" s="1"/>
  <c r="B4686" i="26"/>
  <c r="A4686" i="26" s="1"/>
  <c r="B4687" i="26"/>
  <c r="A4687" i="26" s="1"/>
  <c r="B4688" i="26"/>
  <c r="A4688" i="26" s="1"/>
  <c r="B4689" i="26"/>
  <c r="A4689" i="26" s="1"/>
  <c r="B4690" i="26"/>
  <c r="A4690" i="26" s="1"/>
  <c r="B4691" i="26"/>
  <c r="A4691" i="26" s="1"/>
  <c r="B4692" i="26"/>
  <c r="A4692" i="26" s="1"/>
  <c r="B4693" i="26"/>
  <c r="A4693" i="26" s="1"/>
  <c r="B4694" i="26"/>
  <c r="A4694" i="26" s="1"/>
  <c r="B4695" i="26"/>
  <c r="A4695" i="26" s="1"/>
  <c r="B4696" i="26"/>
  <c r="A4696" i="26" s="1"/>
  <c r="B4697" i="26"/>
  <c r="A4697" i="26" s="1"/>
  <c r="B4698" i="26"/>
  <c r="A4698" i="26" s="1"/>
  <c r="B4699" i="26"/>
  <c r="A4699" i="26" s="1"/>
  <c r="B4700" i="26"/>
  <c r="A4700" i="26" s="1"/>
  <c r="B4701" i="26"/>
  <c r="A4701" i="26" s="1"/>
  <c r="B4702" i="26"/>
  <c r="A4702" i="26" s="1"/>
  <c r="B4703" i="26"/>
  <c r="A4703" i="26" s="1"/>
  <c r="B4704" i="26"/>
  <c r="A4704" i="26" s="1"/>
  <c r="B4705" i="26"/>
  <c r="A4705" i="26" s="1"/>
  <c r="B4706" i="26"/>
  <c r="A4706" i="26" s="1"/>
  <c r="B4707" i="26"/>
  <c r="A4707" i="26" s="1"/>
  <c r="B4708" i="26"/>
  <c r="A4708" i="26" s="1"/>
  <c r="B4709" i="26"/>
  <c r="A4709" i="26" s="1"/>
  <c r="B4710" i="26"/>
  <c r="A4710" i="26" s="1"/>
  <c r="B4711" i="26"/>
  <c r="A4711" i="26" s="1"/>
  <c r="B4712" i="26"/>
  <c r="A4712" i="26" s="1"/>
  <c r="B4713" i="26"/>
  <c r="A4713" i="26" s="1"/>
  <c r="B4714" i="26"/>
  <c r="A4714" i="26" s="1"/>
  <c r="B4715" i="26"/>
  <c r="A4715" i="26" s="1"/>
  <c r="B4716" i="26"/>
  <c r="A4716" i="26" s="1"/>
  <c r="B4717" i="26"/>
  <c r="A4717" i="26" s="1"/>
  <c r="B4718" i="26"/>
  <c r="A4718" i="26" s="1"/>
  <c r="B4719" i="26"/>
  <c r="A4719" i="26" s="1"/>
  <c r="B4720" i="26"/>
  <c r="A4720" i="26" s="1"/>
  <c r="B4721" i="26"/>
  <c r="A4721" i="26" s="1"/>
  <c r="B4722" i="26"/>
  <c r="A4722" i="26" s="1"/>
  <c r="B4723" i="26"/>
  <c r="A4723" i="26" s="1"/>
  <c r="B4724" i="26"/>
  <c r="A4724" i="26" s="1"/>
  <c r="B4725" i="26"/>
  <c r="A4725" i="26" s="1"/>
  <c r="B4726" i="26"/>
  <c r="A4726" i="26" s="1"/>
  <c r="B4727" i="26"/>
  <c r="A4727" i="26" s="1"/>
  <c r="B4728" i="26"/>
  <c r="A4728" i="26" s="1"/>
  <c r="B4729" i="26"/>
  <c r="A4729" i="26" s="1"/>
  <c r="B4730" i="26"/>
  <c r="A4730" i="26" s="1"/>
  <c r="B4731" i="26"/>
  <c r="A4731" i="26" s="1"/>
  <c r="B4732" i="26"/>
  <c r="A4732" i="26" s="1"/>
  <c r="B4733" i="26"/>
  <c r="A4733" i="26" s="1"/>
  <c r="B4734" i="26"/>
  <c r="A4734" i="26" s="1"/>
  <c r="B4735" i="26"/>
  <c r="A4735" i="26" s="1"/>
  <c r="B4736" i="26"/>
  <c r="A4736" i="26" s="1"/>
  <c r="B4737" i="26"/>
  <c r="A4737" i="26" s="1"/>
  <c r="B4738" i="26"/>
  <c r="A4738" i="26" s="1"/>
  <c r="B4739" i="26"/>
  <c r="A4739" i="26" s="1"/>
  <c r="B4740" i="26"/>
  <c r="A4740" i="26" s="1"/>
  <c r="B4741" i="26"/>
  <c r="A4741" i="26" s="1"/>
  <c r="B4742" i="26"/>
  <c r="A4742" i="26" s="1"/>
  <c r="B4743" i="26"/>
  <c r="A4743" i="26" s="1"/>
  <c r="B4744" i="26"/>
  <c r="A4744" i="26" s="1"/>
  <c r="B4745" i="26"/>
  <c r="A4745" i="26" s="1"/>
  <c r="B4746" i="26"/>
  <c r="A4746" i="26" s="1"/>
  <c r="B4747" i="26"/>
  <c r="A4747" i="26" s="1"/>
  <c r="B4748" i="26"/>
  <c r="A4748" i="26" s="1"/>
  <c r="B4749" i="26"/>
  <c r="A4749" i="26" s="1"/>
  <c r="B4750" i="26"/>
  <c r="A4750" i="26" s="1"/>
  <c r="B4751" i="26"/>
  <c r="A4751" i="26" s="1"/>
  <c r="B4752" i="26"/>
  <c r="A4752" i="26" s="1"/>
  <c r="B4753" i="26"/>
  <c r="A4753" i="26" s="1"/>
  <c r="B4754" i="26"/>
  <c r="A4754" i="26" s="1"/>
  <c r="B4755" i="26"/>
  <c r="A4755" i="26" s="1"/>
  <c r="B4756" i="26"/>
  <c r="A4756" i="26" s="1"/>
  <c r="B4757" i="26"/>
  <c r="A4757" i="26" s="1"/>
  <c r="B4758" i="26"/>
  <c r="A4758" i="26" s="1"/>
  <c r="B4759" i="26"/>
  <c r="A4759" i="26" s="1"/>
  <c r="B4760" i="26"/>
  <c r="A4760" i="26" s="1"/>
  <c r="B4761" i="26"/>
  <c r="A4761" i="26" s="1"/>
  <c r="B4762" i="26"/>
  <c r="A4762" i="26" s="1"/>
  <c r="B4763" i="26"/>
  <c r="A4763" i="26" s="1"/>
  <c r="B4764" i="26"/>
  <c r="A4764" i="26" s="1"/>
  <c r="B4765" i="26"/>
  <c r="A4765" i="26" s="1"/>
  <c r="B4766" i="26"/>
  <c r="A4766" i="26" s="1"/>
  <c r="B4767" i="26"/>
  <c r="A4767" i="26" s="1"/>
  <c r="B4768" i="26"/>
  <c r="A4768" i="26" s="1"/>
  <c r="B4769" i="26"/>
  <c r="A4769" i="26" s="1"/>
  <c r="B4770" i="26"/>
  <c r="A4770" i="26" s="1"/>
  <c r="B4771" i="26"/>
  <c r="A4771" i="26" s="1"/>
  <c r="B4772" i="26"/>
  <c r="A4772" i="26" s="1"/>
  <c r="B4773" i="26"/>
  <c r="A4773" i="26" s="1"/>
  <c r="B4774" i="26"/>
  <c r="A4774" i="26" s="1"/>
  <c r="B4775" i="26"/>
  <c r="A4775" i="26" s="1"/>
  <c r="B4776" i="26"/>
  <c r="A4776" i="26" s="1"/>
  <c r="B4777" i="26"/>
  <c r="A4777" i="26" s="1"/>
  <c r="B4778" i="26"/>
  <c r="A4778" i="26" s="1"/>
  <c r="B4779" i="26"/>
  <c r="A4779" i="26" s="1"/>
  <c r="B4780" i="26"/>
  <c r="A4780" i="26" s="1"/>
  <c r="B4781" i="26"/>
  <c r="A4781" i="26" s="1"/>
  <c r="B4782" i="26"/>
  <c r="A4782" i="26" s="1"/>
  <c r="B4783" i="26"/>
  <c r="A4783" i="26" s="1"/>
  <c r="B4784" i="26"/>
  <c r="A4784" i="26" s="1"/>
  <c r="B4785" i="26"/>
  <c r="A4785" i="26" s="1"/>
  <c r="B4786" i="26"/>
  <c r="A4786" i="26" s="1"/>
  <c r="B4787" i="26"/>
  <c r="A4787" i="26" s="1"/>
  <c r="B4788" i="26"/>
  <c r="A4788" i="26" s="1"/>
  <c r="B4789" i="26"/>
  <c r="A4789" i="26" s="1"/>
  <c r="B4790" i="26"/>
  <c r="A4790" i="26" s="1"/>
  <c r="B4791" i="26"/>
  <c r="A4791" i="26" s="1"/>
  <c r="B4792" i="26"/>
  <c r="A4792" i="26" s="1"/>
  <c r="B4793" i="26"/>
  <c r="A4793" i="26" s="1"/>
  <c r="B4794" i="26"/>
  <c r="A4794" i="26" s="1"/>
  <c r="B4795" i="26"/>
  <c r="A4795" i="26" s="1"/>
  <c r="B4796" i="26"/>
  <c r="A4796" i="26" s="1"/>
  <c r="B4797" i="26"/>
  <c r="A4797" i="26" s="1"/>
  <c r="B4798" i="26"/>
  <c r="A4798" i="26" s="1"/>
  <c r="B4799" i="26"/>
  <c r="A4799" i="26" s="1"/>
  <c r="B4800" i="26"/>
  <c r="A4800" i="26" s="1"/>
  <c r="B4801" i="26"/>
  <c r="A4801" i="26" s="1"/>
  <c r="B4802" i="26"/>
  <c r="A4802" i="26" s="1"/>
  <c r="B4803" i="26"/>
  <c r="A4803" i="26" s="1"/>
  <c r="B4804" i="26"/>
  <c r="A4804" i="26" s="1"/>
  <c r="B4805" i="26"/>
  <c r="A4805" i="26" s="1"/>
  <c r="B4806" i="26"/>
  <c r="A4806" i="26" s="1"/>
  <c r="B4807" i="26"/>
  <c r="A4807" i="26" s="1"/>
  <c r="B4808" i="26"/>
  <c r="A4808" i="26" s="1"/>
  <c r="B4809" i="26"/>
  <c r="A4809" i="26" s="1"/>
  <c r="B4810" i="26"/>
  <c r="A4810" i="26" s="1"/>
  <c r="B4811" i="26"/>
  <c r="A4811" i="26" s="1"/>
  <c r="B4812" i="26"/>
  <c r="A4812" i="26" s="1"/>
  <c r="B4813" i="26"/>
  <c r="A4813" i="26" s="1"/>
  <c r="B4814" i="26"/>
  <c r="A4814" i="26" s="1"/>
  <c r="B4815" i="26"/>
  <c r="A4815" i="26" s="1"/>
  <c r="B4816" i="26"/>
  <c r="A4816" i="26" s="1"/>
  <c r="B4817" i="26"/>
  <c r="A4817" i="26" s="1"/>
  <c r="B4818" i="26"/>
  <c r="A4818" i="26" s="1"/>
  <c r="B4819" i="26"/>
  <c r="A4819" i="26" s="1"/>
  <c r="B4820" i="26"/>
  <c r="A4820" i="26" s="1"/>
  <c r="B4821" i="26"/>
  <c r="A4821" i="26" s="1"/>
  <c r="B4822" i="26"/>
  <c r="A4822" i="26" s="1"/>
  <c r="B4823" i="26"/>
  <c r="A4823" i="26" s="1"/>
  <c r="B4824" i="26"/>
  <c r="A4824" i="26" s="1"/>
  <c r="B4825" i="26"/>
  <c r="A4825" i="26" s="1"/>
  <c r="B4826" i="26"/>
  <c r="A4826" i="26" s="1"/>
  <c r="B4827" i="26"/>
  <c r="A4827" i="26" s="1"/>
  <c r="B4828" i="26"/>
  <c r="A4828" i="26" s="1"/>
  <c r="B4829" i="26"/>
  <c r="A4829" i="26" s="1"/>
  <c r="B4830" i="26"/>
  <c r="A4830" i="26" s="1"/>
  <c r="B4831" i="26"/>
  <c r="A4831" i="26" s="1"/>
  <c r="B4832" i="26"/>
  <c r="A4832" i="26" s="1"/>
  <c r="B4833" i="26"/>
  <c r="A4833" i="26" s="1"/>
  <c r="B4834" i="26"/>
  <c r="A4834" i="26" s="1"/>
  <c r="B4835" i="26"/>
  <c r="A4835" i="26" s="1"/>
  <c r="B4836" i="26"/>
  <c r="A4836" i="26" s="1"/>
  <c r="B4837" i="26"/>
  <c r="A4837" i="26" s="1"/>
  <c r="B4838" i="26"/>
  <c r="A4838" i="26" s="1"/>
  <c r="B4839" i="26"/>
  <c r="A4839" i="26" s="1"/>
  <c r="B4840" i="26"/>
  <c r="A4840" i="26" s="1"/>
  <c r="B4841" i="26"/>
  <c r="A4841" i="26" s="1"/>
  <c r="B4842" i="26"/>
  <c r="A4842" i="26" s="1"/>
  <c r="B4843" i="26"/>
  <c r="A4843" i="26" s="1"/>
  <c r="B4844" i="26"/>
  <c r="A4844" i="26" s="1"/>
  <c r="B4845" i="26"/>
  <c r="A4845" i="26" s="1"/>
  <c r="B4846" i="26"/>
  <c r="A4846" i="26" s="1"/>
  <c r="B4847" i="26"/>
  <c r="A4847" i="26" s="1"/>
  <c r="B4848" i="26"/>
  <c r="A4848" i="26" s="1"/>
  <c r="B4849" i="26"/>
  <c r="A4849" i="26" s="1"/>
  <c r="B4850" i="26"/>
  <c r="A4850" i="26" s="1"/>
  <c r="B4851" i="26"/>
  <c r="A4851" i="26" s="1"/>
  <c r="B4852" i="26"/>
  <c r="A4852" i="26" s="1"/>
  <c r="B4853" i="26"/>
  <c r="A4853" i="26" s="1"/>
  <c r="B4854" i="26"/>
  <c r="A4854" i="26" s="1"/>
  <c r="B4855" i="26"/>
  <c r="A4855" i="26" s="1"/>
  <c r="B4856" i="26"/>
  <c r="A4856" i="26" s="1"/>
  <c r="B4857" i="26"/>
  <c r="A4857" i="26" s="1"/>
  <c r="B4858" i="26"/>
  <c r="A4858" i="26" s="1"/>
  <c r="B4859" i="26"/>
  <c r="A4859" i="26" s="1"/>
  <c r="B4860" i="26"/>
  <c r="A4860" i="26" s="1"/>
  <c r="B4861" i="26"/>
  <c r="A4861" i="26" s="1"/>
  <c r="B4862" i="26"/>
  <c r="A4862" i="26" s="1"/>
  <c r="B4863" i="26"/>
  <c r="A4863" i="26" s="1"/>
  <c r="B4864" i="26"/>
  <c r="A4864" i="26" s="1"/>
  <c r="B4865" i="26"/>
  <c r="A4865" i="26" s="1"/>
  <c r="B4866" i="26"/>
  <c r="A4866" i="26" s="1"/>
  <c r="B4867" i="26"/>
  <c r="A4867" i="26" s="1"/>
  <c r="B4868" i="26"/>
  <c r="A4868" i="26" s="1"/>
  <c r="B4869" i="26"/>
  <c r="A4869" i="26" s="1"/>
  <c r="B4870" i="26"/>
  <c r="A4870" i="26" s="1"/>
  <c r="B4871" i="26"/>
  <c r="A4871" i="26" s="1"/>
  <c r="B4872" i="26"/>
  <c r="A4872" i="26" s="1"/>
  <c r="B4873" i="26"/>
  <c r="A4873" i="26" s="1"/>
  <c r="B4874" i="26"/>
  <c r="A4874" i="26" s="1"/>
  <c r="B4875" i="26"/>
  <c r="A4875" i="26" s="1"/>
  <c r="B4876" i="26"/>
  <c r="A4876" i="26" s="1"/>
  <c r="B4877" i="26"/>
  <c r="A4877" i="26" s="1"/>
  <c r="B4878" i="26"/>
  <c r="A4878" i="26" s="1"/>
  <c r="B4879" i="26"/>
  <c r="A4879" i="26" s="1"/>
  <c r="B4880" i="26"/>
  <c r="A4880" i="26" s="1"/>
  <c r="B4881" i="26"/>
  <c r="A4881" i="26" s="1"/>
  <c r="B4882" i="26"/>
  <c r="A4882" i="26" s="1"/>
  <c r="B4883" i="26"/>
  <c r="A4883" i="26" s="1"/>
  <c r="B4884" i="26"/>
  <c r="A4884" i="26" s="1"/>
  <c r="B4885" i="26"/>
  <c r="A4885" i="26" s="1"/>
  <c r="B4886" i="26"/>
  <c r="A4886" i="26" s="1"/>
  <c r="B4887" i="26"/>
  <c r="A4887" i="26" s="1"/>
  <c r="B4888" i="26"/>
  <c r="A4888" i="26" s="1"/>
  <c r="B4889" i="26"/>
  <c r="A4889" i="26" s="1"/>
  <c r="B4890" i="26"/>
  <c r="A4890" i="26" s="1"/>
  <c r="B4891" i="26"/>
  <c r="A4891" i="26" s="1"/>
  <c r="B4892" i="26"/>
  <c r="A4892" i="26" s="1"/>
  <c r="B4893" i="26"/>
  <c r="A4893" i="26" s="1"/>
  <c r="B4894" i="26"/>
  <c r="A4894" i="26" s="1"/>
  <c r="B4895" i="26"/>
  <c r="A4895" i="26" s="1"/>
  <c r="B4896" i="26"/>
  <c r="A4896" i="26" s="1"/>
  <c r="B4897" i="26"/>
  <c r="A4897" i="26" s="1"/>
  <c r="B4898" i="26"/>
  <c r="A4898" i="26" s="1"/>
  <c r="B4899" i="26"/>
  <c r="A4899" i="26" s="1"/>
  <c r="B4900" i="26"/>
  <c r="A4900" i="26" s="1"/>
  <c r="B4901" i="26"/>
  <c r="A4901" i="26" s="1"/>
  <c r="B4902" i="26"/>
  <c r="A4902" i="26" s="1"/>
  <c r="B4903" i="26"/>
  <c r="A4903" i="26" s="1"/>
  <c r="B4904" i="26"/>
  <c r="A4904" i="26" s="1"/>
  <c r="B4905" i="26"/>
  <c r="A4905" i="26" s="1"/>
  <c r="B4906" i="26"/>
  <c r="A4906" i="26" s="1"/>
  <c r="B4907" i="26"/>
  <c r="A4907" i="26" s="1"/>
  <c r="B4908" i="26"/>
  <c r="A4908" i="26" s="1"/>
  <c r="B4909" i="26"/>
  <c r="A4909" i="26" s="1"/>
  <c r="B4910" i="26"/>
  <c r="A4910" i="26" s="1"/>
  <c r="B4911" i="26"/>
  <c r="A4911" i="26" s="1"/>
  <c r="B4912" i="26"/>
  <c r="A4912" i="26" s="1"/>
  <c r="B4913" i="26"/>
  <c r="A4913" i="26" s="1"/>
  <c r="B4914" i="26"/>
  <c r="A4914" i="26" s="1"/>
  <c r="B4915" i="26"/>
  <c r="A4915" i="26" s="1"/>
  <c r="B4916" i="26"/>
  <c r="A4916" i="26" s="1"/>
  <c r="B4917" i="26"/>
  <c r="A4917" i="26" s="1"/>
  <c r="B4918" i="26"/>
  <c r="A4918" i="26" s="1"/>
  <c r="B4919" i="26"/>
  <c r="A4919" i="26" s="1"/>
  <c r="B4920" i="26"/>
  <c r="A4920" i="26" s="1"/>
  <c r="B4921" i="26"/>
  <c r="A4921" i="26" s="1"/>
  <c r="B4922" i="26"/>
  <c r="A4922" i="26" s="1"/>
  <c r="B4923" i="26"/>
  <c r="A4923" i="26" s="1"/>
  <c r="B4924" i="26"/>
  <c r="A4924" i="26" s="1"/>
  <c r="B4925" i="26"/>
  <c r="A4925" i="26" s="1"/>
  <c r="B4926" i="26"/>
  <c r="A4926" i="26" s="1"/>
  <c r="B4927" i="26"/>
  <c r="A4927" i="26" s="1"/>
  <c r="B4928" i="26"/>
  <c r="A4928" i="26" s="1"/>
  <c r="B4929" i="26"/>
  <c r="A4929" i="26" s="1"/>
  <c r="B4930" i="26"/>
  <c r="A4930" i="26" s="1"/>
  <c r="B4931" i="26"/>
  <c r="A4931" i="26" s="1"/>
  <c r="B4932" i="26"/>
  <c r="A4932" i="26" s="1"/>
  <c r="B4933" i="26"/>
  <c r="A4933" i="26" s="1"/>
  <c r="B4934" i="26"/>
  <c r="A4934" i="26" s="1"/>
  <c r="B4935" i="26"/>
  <c r="A4935" i="26" s="1"/>
  <c r="B4936" i="26"/>
  <c r="A4936" i="26" s="1"/>
  <c r="B4937" i="26"/>
  <c r="A4937" i="26" s="1"/>
  <c r="B4938" i="26"/>
  <c r="A4938" i="26" s="1"/>
  <c r="B4939" i="26"/>
  <c r="A4939" i="26" s="1"/>
  <c r="B4940" i="26"/>
  <c r="A4940" i="26" s="1"/>
  <c r="B4941" i="26"/>
  <c r="A4941" i="26" s="1"/>
  <c r="B4942" i="26"/>
  <c r="A4942" i="26" s="1"/>
  <c r="B4943" i="26"/>
  <c r="A4943" i="26" s="1"/>
  <c r="B4944" i="26"/>
  <c r="A4944" i="26" s="1"/>
  <c r="B4945" i="26"/>
  <c r="A4945" i="26" s="1"/>
  <c r="B4946" i="26"/>
  <c r="A4946" i="26" s="1"/>
  <c r="B4947" i="26"/>
  <c r="A4947" i="26" s="1"/>
  <c r="B4948" i="26"/>
  <c r="A4948" i="26" s="1"/>
  <c r="B4949" i="26"/>
  <c r="A4949" i="26" s="1"/>
  <c r="B4950" i="26"/>
  <c r="A4950" i="26" s="1"/>
  <c r="B4951" i="26"/>
  <c r="A4951" i="26" s="1"/>
  <c r="B4952" i="26"/>
  <c r="A4952" i="26" s="1"/>
  <c r="B4953" i="26"/>
  <c r="A4953" i="26" s="1"/>
  <c r="B4954" i="26"/>
  <c r="A4954" i="26" s="1"/>
  <c r="B4955" i="26"/>
  <c r="A4955" i="26" s="1"/>
  <c r="B4956" i="26"/>
  <c r="A4956" i="26" s="1"/>
  <c r="B4957" i="26"/>
  <c r="A4957" i="26" s="1"/>
  <c r="B4958" i="26"/>
  <c r="A4958" i="26" s="1"/>
  <c r="B4959" i="26"/>
  <c r="A4959" i="26" s="1"/>
  <c r="B4960" i="26"/>
  <c r="A4960" i="26" s="1"/>
  <c r="B4961" i="26"/>
  <c r="A4961" i="26" s="1"/>
  <c r="B4962" i="26"/>
  <c r="A4962" i="26" s="1"/>
  <c r="B4963" i="26"/>
  <c r="A4963" i="26" s="1"/>
  <c r="B4964" i="26"/>
  <c r="A4964" i="26" s="1"/>
  <c r="B4965" i="26"/>
  <c r="A4965" i="26" s="1"/>
  <c r="B4966" i="26"/>
  <c r="A4966" i="26" s="1"/>
  <c r="B4967" i="26"/>
  <c r="A4967" i="26" s="1"/>
  <c r="B4968" i="26"/>
  <c r="A4968" i="26" s="1"/>
  <c r="B4969" i="26"/>
  <c r="A4969" i="26" s="1"/>
  <c r="B4970" i="26"/>
  <c r="A4970" i="26" s="1"/>
  <c r="B4971" i="26"/>
  <c r="A4971" i="26" s="1"/>
  <c r="B4972" i="26"/>
  <c r="A4972" i="26" s="1"/>
  <c r="B4973" i="26"/>
  <c r="A4973" i="26" s="1"/>
  <c r="B4974" i="26"/>
  <c r="A4974" i="26" s="1"/>
  <c r="B4975" i="26"/>
  <c r="A4975" i="26" s="1"/>
  <c r="B4976" i="26"/>
  <c r="A4976" i="26" s="1"/>
  <c r="B4977" i="26"/>
  <c r="A4977" i="26" s="1"/>
  <c r="B4978" i="26"/>
  <c r="A4978" i="26" s="1"/>
  <c r="B4979" i="26"/>
  <c r="A4979" i="26" s="1"/>
  <c r="B4980" i="26"/>
  <c r="A4980" i="26" s="1"/>
  <c r="B4981" i="26"/>
  <c r="A4981" i="26" s="1"/>
  <c r="B4982" i="26"/>
  <c r="A4982" i="26" s="1"/>
  <c r="B4983" i="26"/>
  <c r="A4983" i="26" s="1"/>
  <c r="B4984" i="26"/>
  <c r="A4984" i="26" s="1"/>
  <c r="B4985" i="26"/>
  <c r="A4985" i="26" s="1"/>
  <c r="B4986" i="26"/>
  <c r="A4986" i="26" s="1"/>
  <c r="B4987" i="26"/>
  <c r="A4987" i="26" s="1"/>
  <c r="B4988" i="26"/>
  <c r="A4988" i="26" s="1"/>
  <c r="B4989" i="26"/>
  <c r="A4989" i="26" s="1"/>
  <c r="B4990" i="26"/>
  <c r="A4990" i="26" s="1"/>
  <c r="B4991" i="26"/>
  <c r="A4991" i="26" s="1"/>
  <c r="B4992" i="26"/>
  <c r="A4992" i="26" s="1"/>
  <c r="B4993" i="26"/>
  <c r="A4993" i="26" s="1"/>
  <c r="B4994" i="26"/>
  <c r="A4994" i="26" s="1"/>
  <c r="B4995" i="26"/>
  <c r="A4995" i="26" s="1"/>
  <c r="B4996" i="26"/>
  <c r="A4996" i="26" s="1"/>
  <c r="B4997" i="26"/>
  <c r="A4997" i="26" s="1"/>
  <c r="B4998" i="26"/>
  <c r="A4998" i="26" s="1"/>
  <c r="B4999" i="26"/>
  <c r="A4999" i="26" s="1"/>
  <c r="B5000" i="26"/>
  <c r="A5000" i="26" s="1"/>
  <c r="B5001" i="26"/>
  <c r="A5001" i="26" s="1"/>
  <c r="B5002" i="26"/>
  <c r="A5002" i="26" s="1"/>
  <c r="B5003" i="26"/>
  <c r="A5003" i="26" s="1"/>
  <c r="B5004" i="26"/>
  <c r="A5004" i="26" s="1"/>
  <c r="B5005" i="26"/>
  <c r="A5005" i="26" s="1"/>
  <c r="B5006" i="26"/>
  <c r="A5006" i="26" s="1"/>
  <c r="B5007" i="26"/>
  <c r="A5007" i="26" s="1"/>
  <c r="B5008" i="26"/>
  <c r="A5008" i="26" s="1"/>
  <c r="B5009" i="26"/>
  <c r="A5009" i="26" s="1"/>
  <c r="B5010" i="26"/>
  <c r="A5010" i="26" s="1"/>
  <c r="B5011" i="26"/>
  <c r="A5011" i="26" s="1"/>
  <c r="B5012" i="26"/>
  <c r="A5012" i="26" s="1"/>
  <c r="B5013" i="26"/>
  <c r="A5013" i="26" s="1"/>
  <c r="B5014" i="26"/>
  <c r="A5014" i="26" s="1"/>
  <c r="B5015" i="26"/>
  <c r="A5015" i="26" s="1"/>
  <c r="B5016" i="26"/>
  <c r="A5016" i="26" s="1"/>
  <c r="B5017" i="26"/>
  <c r="A5017" i="26" s="1"/>
  <c r="B5018" i="26"/>
  <c r="A5018" i="26" s="1"/>
  <c r="B5019" i="26"/>
  <c r="A5019" i="26" s="1"/>
  <c r="B5020" i="26"/>
  <c r="A5020" i="26" s="1"/>
  <c r="B5021" i="26"/>
  <c r="A5021" i="26" s="1"/>
  <c r="B5022" i="26"/>
  <c r="A5022" i="26" s="1"/>
  <c r="B5023" i="26"/>
  <c r="A5023" i="26" s="1"/>
  <c r="B5024" i="26"/>
  <c r="A5024" i="26" s="1"/>
  <c r="B5025" i="26"/>
  <c r="A5025" i="26" s="1"/>
  <c r="B5026" i="26"/>
  <c r="A5026" i="26" s="1"/>
  <c r="B5027" i="26"/>
  <c r="A5027" i="26" s="1"/>
  <c r="B5028" i="26"/>
  <c r="A5028" i="26" s="1"/>
  <c r="B5029" i="26"/>
  <c r="A5029" i="26" s="1"/>
  <c r="B5030" i="26"/>
  <c r="A5030" i="26" s="1"/>
  <c r="B5031" i="26"/>
  <c r="A5031" i="26" s="1"/>
  <c r="B5032" i="26"/>
  <c r="A5032" i="26" s="1"/>
  <c r="B5033" i="26"/>
  <c r="A5033" i="26" s="1"/>
  <c r="B5034" i="26"/>
  <c r="A5034" i="26" s="1"/>
  <c r="B5035" i="26"/>
  <c r="A5035" i="26" s="1"/>
  <c r="B5036" i="26"/>
  <c r="A5036" i="26" s="1"/>
  <c r="B5037" i="26"/>
  <c r="A5037" i="26" s="1"/>
  <c r="B5038" i="26"/>
  <c r="A5038" i="26" s="1"/>
  <c r="B5039" i="26"/>
  <c r="A5039" i="26" s="1"/>
  <c r="B5040" i="26"/>
  <c r="A5040" i="26" s="1"/>
  <c r="B5041" i="26"/>
  <c r="A5041" i="26" s="1"/>
  <c r="B5042" i="26"/>
  <c r="A5042" i="26" s="1"/>
  <c r="B5043" i="26"/>
  <c r="A5043" i="26" s="1"/>
  <c r="B5044" i="26"/>
  <c r="A5044" i="26" s="1"/>
  <c r="B5045" i="26"/>
  <c r="A5045" i="26" s="1"/>
  <c r="B5046" i="26"/>
  <c r="A5046" i="26" s="1"/>
  <c r="B5047" i="26"/>
  <c r="A5047" i="26" s="1"/>
  <c r="B5048" i="26"/>
  <c r="A5048" i="26" s="1"/>
  <c r="B5049" i="26"/>
  <c r="A5049" i="26" s="1"/>
  <c r="B5050" i="26"/>
  <c r="A5050" i="26" s="1"/>
  <c r="B5051" i="26"/>
  <c r="A5051" i="26" s="1"/>
  <c r="B5052" i="26"/>
  <c r="A5052" i="26" s="1"/>
  <c r="B5053" i="26"/>
  <c r="A5053" i="26" s="1"/>
  <c r="B5054" i="26"/>
  <c r="A5054" i="26" s="1"/>
  <c r="B5055" i="26"/>
  <c r="A5055" i="26" s="1"/>
  <c r="B5056" i="26"/>
  <c r="A5056" i="26" s="1"/>
  <c r="B5057" i="26"/>
  <c r="A5057" i="26" s="1"/>
  <c r="B5058" i="26"/>
  <c r="A5058" i="26" s="1"/>
  <c r="B5059" i="26"/>
  <c r="A5059" i="26" s="1"/>
  <c r="B5060" i="26"/>
  <c r="A5060" i="26" s="1"/>
  <c r="B5061" i="26"/>
  <c r="A5061" i="26" s="1"/>
  <c r="B5062" i="26"/>
  <c r="A5062" i="26" s="1"/>
  <c r="B5063" i="26"/>
  <c r="A5063" i="26" s="1"/>
  <c r="B5064" i="26"/>
  <c r="A5064" i="26" s="1"/>
  <c r="B5065" i="26"/>
  <c r="A5065" i="26" s="1"/>
  <c r="B5066" i="26"/>
  <c r="A5066" i="26" s="1"/>
  <c r="B5067" i="26"/>
  <c r="A5067" i="26" s="1"/>
  <c r="B5068" i="26"/>
  <c r="A5068" i="26" s="1"/>
  <c r="B5069" i="26"/>
  <c r="A5069" i="26" s="1"/>
  <c r="B5070" i="26"/>
  <c r="A5070" i="26" s="1"/>
  <c r="B5071" i="26"/>
  <c r="A5071" i="26" s="1"/>
  <c r="B5072" i="26"/>
  <c r="A5072" i="26" s="1"/>
  <c r="B5073" i="26"/>
  <c r="A5073" i="26" s="1"/>
  <c r="B5074" i="26"/>
  <c r="A5074" i="26" s="1"/>
  <c r="B5075" i="26"/>
  <c r="A5075" i="26" s="1"/>
  <c r="B5076" i="26"/>
  <c r="A5076" i="26" s="1"/>
  <c r="B5077" i="26"/>
  <c r="A5077" i="26" s="1"/>
  <c r="B5078" i="26"/>
  <c r="A5078" i="26" s="1"/>
  <c r="B5079" i="26"/>
  <c r="A5079" i="26" s="1"/>
  <c r="B5080" i="26"/>
  <c r="A5080" i="26" s="1"/>
  <c r="B5081" i="26"/>
  <c r="A5081" i="26" s="1"/>
  <c r="B5082" i="26"/>
  <c r="A5082" i="26" s="1"/>
  <c r="B5083" i="26"/>
  <c r="A5083" i="26" s="1"/>
  <c r="B5084" i="26"/>
  <c r="A5084" i="26" s="1"/>
  <c r="B5085" i="26"/>
  <c r="A5085" i="26" s="1"/>
  <c r="B5086" i="26"/>
  <c r="A5086" i="26" s="1"/>
  <c r="B5087" i="26"/>
  <c r="A5087" i="26" s="1"/>
  <c r="B5088" i="26"/>
  <c r="A5088" i="26" s="1"/>
  <c r="B5089" i="26"/>
  <c r="A5089" i="26" s="1"/>
  <c r="B5090" i="26"/>
  <c r="A5090" i="26" s="1"/>
  <c r="B5091" i="26"/>
  <c r="A5091" i="26" s="1"/>
  <c r="B5092" i="26"/>
  <c r="A5092" i="26" s="1"/>
  <c r="B5093" i="26"/>
  <c r="A5093" i="26" s="1"/>
  <c r="B5094" i="26"/>
  <c r="A5094" i="26" s="1"/>
  <c r="B5095" i="26"/>
  <c r="A5095" i="26" s="1"/>
  <c r="B5096" i="26"/>
  <c r="A5096" i="26" s="1"/>
  <c r="B5097" i="26"/>
  <c r="A5097" i="26" s="1"/>
  <c r="B5098" i="26"/>
  <c r="A5098" i="26" s="1"/>
  <c r="B5099" i="26"/>
  <c r="A5099" i="26" s="1"/>
  <c r="B5100" i="26"/>
  <c r="A5100" i="26" s="1"/>
  <c r="B5101" i="26"/>
  <c r="A5101" i="26" s="1"/>
  <c r="B5102" i="26"/>
  <c r="A5102" i="26" s="1"/>
  <c r="B5103" i="26"/>
  <c r="A5103" i="26" s="1"/>
  <c r="B5104" i="26"/>
  <c r="A5104" i="26" s="1"/>
  <c r="B5105" i="26"/>
  <c r="A5105" i="26" s="1"/>
  <c r="B5106" i="26"/>
  <c r="A5106" i="26" s="1"/>
  <c r="B5107" i="26"/>
  <c r="A5107" i="26" s="1"/>
  <c r="B5108" i="26"/>
  <c r="A5108" i="26" s="1"/>
  <c r="B5109" i="26"/>
  <c r="A5109" i="26" s="1"/>
  <c r="B5110" i="26"/>
  <c r="A5110" i="26" s="1"/>
  <c r="B5111" i="26"/>
  <c r="A5111" i="26" s="1"/>
  <c r="B5112" i="26"/>
  <c r="A5112" i="26" s="1"/>
  <c r="B5113" i="26"/>
  <c r="A5113" i="26" s="1"/>
  <c r="B5114" i="26"/>
  <c r="A5114" i="26" s="1"/>
  <c r="B5115" i="26"/>
  <c r="A5115" i="26" s="1"/>
  <c r="B5116" i="26"/>
  <c r="A5116" i="26" s="1"/>
  <c r="B5117" i="26"/>
  <c r="A5117" i="26" s="1"/>
  <c r="B5118" i="26"/>
  <c r="A5118" i="26" s="1"/>
  <c r="B5119" i="26"/>
  <c r="A5119" i="26" s="1"/>
  <c r="B5120" i="26"/>
  <c r="A5120" i="26" s="1"/>
  <c r="B5121" i="26"/>
  <c r="A5121" i="26" s="1"/>
  <c r="B5122" i="26"/>
  <c r="A5122" i="26" s="1"/>
  <c r="B5123" i="26"/>
  <c r="A5123" i="26" s="1"/>
  <c r="B5124" i="26"/>
  <c r="A5124" i="26" s="1"/>
  <c r="B5125" i="26"/>
  <c r="A5125" i="26" s="1"/>
  <c r="B5126" i="26"/>
  <c r="A5126" i="26" s="1"/>
  <c r="B5127" i="26"/>
  <c r="A5127" i="26" s="1"/>
  <c r="B5128" i="26"/>
  <c r="A5128" i="26" s="1"/>
  <c r="B5129" i="26"/>
  <c r="A5129" i="26" s="1"/>
  <c r="B5130" i="26"/>
  <c r="A5130" i="26" s="1"/>
  <c r="B5131" i="26"/>
  <c r="A5131" i="26" s="1"/>
  <c r="B5132" i="26"/>
  <c r="A5132" i="26" s="1"/>
  <c r="B5133" i="26"/>
  <c r="A5133" i="26" s="1"/>
  <c r="B5134" i="26"/>
  <c r="A5134" i="26" s="1"/>
  <c r="B5135" i="26"/>
  <c r="A5135" i="26" s="1"/>
  <c r="B5136" i="26"/>
  <c r="A5136" i="26" s="1"/>
  <c r="B5137" i="26"/>
  <c r="A5137" i="26" s="1"/>
  <c r="B5138" i="26"/>
  <c r="A5138" i="26" s="1"/>
  <c r="B5139" i="26"/>
  <c r="A5139" i="26" s="1"/>
  <c r="B5140" i="26"/>
  <c r="A5140" i="26" s="1"/>
  <c r="B5141" i="26"/>
  <c r="A5141" i="26" s="1"/>
  <c r="B5142" i="26"/>
  <c r="A5142" i="26" s="1"/>
  <c r="B5143" i="26"/>
  <c r="A5143" i="26" s="1"/>
  <c r="B5144" i="26"/>
  <c r="A5144" i="26" s="1"/>
  <c r="B5145" i="26"/>
  <c r="A5145" i="26" s="1"/>
  <c r="B5146" i="26"/>
  <c r="A5146" i="26" s="1"/>
  <c r="B5147" i="26"/>
  <c r="A5147" i="26" s="1"/>
  <c r="B5148" i="26"/>
  <c r="A5148" i="26" s="1"/>
  <c r="B5149" i="26"/>
  <c r="A5149" i="26" s="1"/>
  <c r="B5150" i="26"/>
  <c r="A5150" i="26" s="1"/>
  <c r="B5151" i="26"/>
  <c r="A5151" i="26" s="1"/>
  <c r="B5152" i="26"/>
  <c r="A5152" i="26" s="1"/>
  <c r="B5153" i="26"/>
  <c r="A5153" i="26" s="1"/>
  <c r="B5154" i="26"/>
  <c r="A5154" i="26" s="1"/>
  <c r="B5155" i="26"/>
  <c r="A5155" i="26" s="1"/>
  <c r="B5156" i="26"/>
  <c r="A5156" i="26" s="1"/>
  <c r="B5157" i="26"/>
  <c r="A5157" i="26" s="1"/>
  <c r="B5158" i="26"/>
  <c r="A5158" i="26" s="1"/>
  <c r="B5159" i="26"/>
  <c r="A5159" i="26" s="1"/>
  <c r="B5160" i="26"/>
  <c r="A5160" i="26" s="1"/>
  <c r="B5161" i="26"/>
  <c r="A5161" i="26" s="1"/>
  <c r="B5162" i="26"/>
  <c r="A5162" i="26" s="1"/>
  <c r="B5163" i="26"/>
  <c r="A5163" i="26" s="1"/>
  <c r="B5164" i="26"/>
  <c r="A5164" i="26" s="1"/>
  <c r="B5165" i="26"/>
  <c r="A5165" i="26" s="1"/>
  <c r="B5166" i="26"/>
  <c r="A5166" i="26" s="1"/>
  <c r="B5167" i="26"/>
  <c r="A5167" i="26" s="1"/>
  <c r="B5168" i="26"/>
  <c r="A5168" i="26" s="1"/>
  <c r="B5169" i="26"/>
  <c r="A5169" i="26" s="1"/>
  <c r="B5170" i="26"/>
  <c r="A5170" i="26" s="1"/>
  <c r="B5171" i="26"/>
  <c r="A5171" i="26" s="1"/>
  <c r="B5172" i="26"/>
  <c r="A5172" i="26" s="1"/>
  <c r="B5173" i="26"/>
  <c r="A5173" i="26" s="1"/>
  <c r="B5174" i="26"/>
  <c r="A5174" i="26" s="1"/>
  <c r="B5175" i="26"/>
  <c r="A5175" i="26" s="1"/>
  <c r="B5176" i="26"/>
  <c r="A5176" i="26" s="1"/>
  <c r="B5177" i="26"/>
  <c r="A5177" i="26" s="1"/>
  <c r="B5178" i="26"/>
  <c r="A5178" i="26" s="1"/>
  <c r="B5179" i="26"/>
  <c r="A5179" i="26" s="1"/>
  <c r="B5180" i="26"/>
  <c r="A5180" i="26" s="1"/>
  <c r="B5181" i="26"/>
  <c r="A5181" i="26" s="1"/>
  <c r="B5182" i="26"/>
  <c r="A5182" i="26" s="1"/>
  <c r="B5183" i="26"/>
  <c r="A5183" i="26" s="1"/>
  <c r="B5184" i="26"/>
  <c r="A5184" i="26" s="1"/>
  <c r="B5185" i="26"/>
  <c r="A5185" i="26" s="1"/>
  <c r="B5186" i="26"/>
  <c r="A5186" i="26" s="1"/>
  <c r="B5187" i="26"/>
  <c r="A5187" i="26" s="1"/>
  <c r="B5188" i="26"/>
  <c r="A5188" i="26" s="1"/>
  <c r="B5189" i="26"/>
  <c r="A5189" i="26" s="1"/>
  <c r="B5190" i="26"/>
  <c r="A5190" i="26" s="1"/>
  <c r="B5191" i="26"/>
  <c r="A5191" i="26" s="1"/>
  <c r="B5192" i="26"/>
  <c r="A5192" i="26" s="1"/>
  <c r="B5193" i="26"/>
  <c r="A5193" i="26" s="1"/>
  <c r="B5194" i="26"/>
  <c r="A5194" i="26" s="1"/>
  <c r="B5195" i="26"/>
  <c r="A5195" i="26" s="1"/>
  <c r="B5196" i="26"/>
  <c r="A5196" i="26" s="1"/>
  <c r="B5197" i="26"/>
  <c r="A5197" i="26" s="1"/>
  <c r="B5198" i="26"/>
  <c r="A5198" i="26" s="1"/>
  <c r="B5199" i="26"/>
  <c r="A5199" i="26" s="1"/>
  <c r="B5200" i="26"/>
  <c r="A5200" i="26" s="1"/>
  <c r="B5201" i="26"/>
  <c r="A5201" i="26" s="1"/>
  <c r="B5202" i="26"/>
  <c r="A5202" i="26" s="1"/>
  <c r="B5203" i="26"/>
  <c r="A5203" i="26" s="1"/>
  <c r="B5204" i="26"/>
  <c r="A5204" i="26" s="1"/>
  <c r="B5205" i="26"/>
  <c r="A5205" i="26" s="1"/>
  <c r="B5206" i="26"/>
  <c r="A5206" i="26" s="1"/>
  <c r="B5207" i="26"/>
  <c r="A5207" i="26" s="1"/>
  <c r="B5208" i="26"/>
  <c r="A5208" i="26" s="1"/>
  <c r="B5209" i="26"/>
  <c r="A5209" i="26" s="1"/>
  <c r="B5210" i="26"/>
  <c r="A5210" i="26" s="1"/>
  <c r="B5211" i="26"/>
  <c r="A5211" i="26" s="1"/>
  <c r="B5212" i="26"/>
  <c r="A5212" i="26" s="1"/>
  <c r="B5213" i="26"/>
  <c r="A5213" i="26" s="1"/>
  <c r="B5214" i="26"/>
  <c r="A5214" i="26" s="1"/>
  <c r="B5215" i="26"/>
  <c r="A5215" i="26" s="1"/>
  <c r="B5216" i="26"/>
  <c r="A5216" i="26" s="1"/>
  <c r="B5217" i="26"/>
  <c r="A5217" i="26" s="1"/>
  <c r="B5218" i="26"/>
  <c r="A5218" i="26" s="1"/>
  <c r="B5219" i="26"/>
  <c r="A5219" i="26" s="1"/>
  <c r="B5220" i="26"/>
  <c r="A5220" i="26" s="1"/>
  <c r="B5221" i="26"/>
  <c r="A5221" i="26" s="1"/>
  <c r="B5222" i="26"/>
  <c r="A5222" i="26" s="1"/>
  <c r="B5223" i="26"/>
  <c r="A5223" i="26" s="1"/>
  <c r="B5224" i="26"/>
  <c r="A5224" i="26" s="1"/>
  <c r="B5225" i="26"/>
  <c r="A5225" i="26" s="1"/>
  <c r="B5226" i="26"/>
  <c r="A5226" i="26" s="1"/>
  <c r="B5227" i="26"/>
  <c r="A5227" i="26" s="1"/>
  <c r="B5228" i="26"/>
  <c r="A5228" i="26" s="1"/>
  <c r="B5229" i="26"/>
  <c r="A5229" i="26" s="1"/>
  <c r="B5230" i="26"/>
  <c r="A5230" i="26" s="1"/>
  <c r="B5231" i="26"/>
  <c r="A5231" i="26" s="1"/>
  <c r="B5232" i="26"/>
  <c r="A5232" i="26" s="1"/>
  <c r="B5233" i="26"/>
  <c r="A5233" i="26" s="1"/>
  <c r="B5234" i="26"/>
  <c r="A5234" i="26" s="1"/>
  <c r="B5235" i="26"/>
  <c r="A5235" i="26" s="1"/>
  <c r="B5236" i="26"/>
  <c r="A5236" i="26" s="1"/>
  <c r="B5237" i="26"/>
  <c r="A5237" i="26" s="1"/>
  <c r="B5238" i="26"/>
  <c r="A5238" i="26" s="1"/>
  <c r="B5239" i="26"/>
  <c r="A5239" i="26" s="1"/>
  <c r="B5240" i="26"/>
  <c r="A5240" i="26" s="1"/>
  <c r="B5241" i="26"/>
  <c r="A5241" i="26" s="1"/>
  <c r="B5242" i="26"/>
  <c r="A5242" i="26" s="1"/>
  <c r="B5243" i="26"/>
  <c r="A5243" i="26" s="1"/>
  <c r="B5244" i="26"/>
  <c r="A5244" i="26" s="1"/>
  <c r="B5245" i="26"/>
  <c r="A5245" i="26" s="1"/>
  <c r="B5246" i="26"/>
  <c r="A5246" i="26" s="1"/>
  <c r="B5247" i="26"/>
  <c r="A5247" i="26" s="1"/>
  <c r="B5248" i="26"/>
  <c r="A5248" i="26" s="1"/>
  <c r="B5249" i="26"/>
  <c r="A5249" i="26" s="1"/>
  <c r="B5250" i="26"/>
  <c r="A5250" i="26" s="1"/>
  <c r="B5251" i="26"/>
  <c r="A5251" i="26" s="1"/>
  <c r="B5252" i="26"/>
  <c r="A5252" i="26" s="1"/>
  <c r="B5253" i="26"/>
  <c r="A5253" i="26" s="1"/>
  <c r="B5254" i="26"/>
  <c r="A5254" i="26" s="1"/>
  <c r="B5255" i="26"/>
  <c r="A5255" i="26" s="1"/>
  <c r="B5256" i="26"/>
  <c r="A5256" i="26" s="1"/>
  <c r="B5257" i="26"/>
  <c r="A5257" i="26" s="1"/>
  <c r="B5258" i="26"/>
  <c r="A5258" i="26" s="1"/>
  <c r="B5259" i="26"/>
  <c r="A5259" i="26" s="1"/>
  <c r="B5260" i="26"/>
  <c r="A5260" i="26" s="1"/>
  <c r="B5261" i="26"/>
  <c r="A5261" i="26" s="1"/>
  <c r="B5262" i="26"/>
  <c r="A5262" i="26" s="1"/>
  <c r="B5263" i="26"/>
  <c r="A5263" i="26" s="1"/>
  <c r="B5264" i="26"/>
  <c r="A5264" i="26" s="1"/>
  <c r="B5265" i="26"/>
  <c r="A5265" i="26" s="1"/>
  <c r="B5266" i="26"/>
  <c r="A5266" i="26" s="1"/>
  <c r="B5267" i="26"/>
  <c r="A5267" i="26" s="1"/>
  <c r="B5268" i="26"/>
  <c r="A5268" i="26" s="1"/>
  <c r="B5269" i="26"/>
  <c r="A5269" i="26" s="1"/>
  <c r="B5270" i="26"/>
  <c r="A5270" i="26" s="1"/>
  <c r="B5271" i="26"/>
  <c r="A5271" i="26" s="1"/>
  <c r="B5272" i="26"/>
  <c r="A5272" i="26" s="1"/>
  <c r="B5273" i="26"/>
  <c r="A5273" i="26" s="1"/>
  <c r="B5274" i="26"/>
  <c r="A5274" i="26" s="1"/>
  <c r="B5275" i="26"/>
  <c r="A5275" i="26" s="1"/>
  <c r="B5276" i="26"/>
  <c r="A5276" i="26" s="1"/>
  <c r="B5277" i="26"/>
  <c r="A5277" i="26" s="1"/>
  <c r="B5278" i="26"/>
  <c r="A5278" i="26" s="1"/>
  <c r="B5279" i="26"/>
  <c r="A5279" i="26" s="1"/>
  <c r="B5280" i="26"/>
  <c r="A5280" i="26" s="1"/>
  <c r="B5281" i="26"/>
  <c r="A5281" i="26" s="1"/>
  <c r="B5282" i="26"/>
  <c r="A5282" i="26" s="1"/>
  <c r="B5283" i="26"/>
  <c r="A5283" i="26" s="1"/>
  <c r="B5284" i="26"/>
  <c r="A5284" i="26" s="1"/>
  <c r="B5285" i="26"/>
  <c r="A5285" i="26" s="1"/>
  <c r="B5286" i="26"/>
  <c r="A5286" i="26" s="1"/>
  <c r="B5287" i="26"/>
  <c r="A5287" i="26" s="1"/>
  <c r="B5288" i="26"/>
  <c r="A5288" i="26" s="1"/>
  <c r="B5289" i="26"/>
  <c r="A5289" i="26" s="1"/>
  <c r="B5290" i="26"/>
  <c r="A5290" i="26" s="1"/>
  <c r="B5291" i="26"/>
  <c r="A5291" i="26" s="1"/>
  <c r="B5292" i="26"/>
  <c r="A5292" i="26" s="1"/>
  <c r="B5293" i="26"/>
  <c r="A5293" i="26" s="1"/>
  <c r="B5294" i="26"/>
  <c r="A5294" i="26" s="1"/>
  <c r="B5295" i="26"/>
  <c r="A5295" i="26" s="1"/>
  <c r="B5296" i="26"/>
  <c r="A5296" i="26" s="1"/>
  <c r="B5297" i="26"/>
  <c r="A5297" i="26" s="1"/>
  <c r="B5298" i="26"/>
  <c r="A5298" i="26" s="1"/>
  <c r="B5299" i="26"/>
  <c r="A5299" i="26" s="1"/>
  <c r="B5300" i="26"/>
  <c r="A5300" i="26" s="1"/>
  <c r="B5301" i="26"/>
  <c r="A5301" i="26" s="1"/>
  <c r="B5302" i="26"/>
  <c r="A5302" i="26" s="1"/>
  <c r="B5303" i="26"/>
  <c r="A5303" i="26" s="1"/>
  <c r="B5304" i="26"/>
  <c r="A5304" i="26" s="1"/>
  <c r="B5305" i="26"/>
  <c r="A5305" i="26" s="1"/>
  <c r="B5306" i="26"/>
  <c r="A5306" i="26" s="1"/>
  <c r="B5307" i="26"/>
  <c r="A5307" i="26" s="1"/>
  <c r="B5308" i="26"/>
  <c r="A5308" i="26" s="1"/>
  <c r="B5309" i="26"/>
  <c r="A5309" i="26" s="1"/>
  <c r="B5310" i="26"/>
  <c r="A5310" i="26" s="1"/>
  <c r="B5311" i="26"/>
  <c r="A5311" i="26" s="1"/>
  <c r="B5312" i="26"/>
  <c r="A5312" i="26" s="1"/>
  <c r="B5313" i="26"/>
  <c r="A5313" i="26" s="1"/>
  <c r="B5314" i="26"/>
  <c r="A5314" i="26" s="1"/>
  <c r="B5315" i="26"/>
  <c r="A5315" i="26" s="1"/>
  <c r="B5316" i="26"/>
  <c r="A5316" i="26" s="1"/>
  <c r="B5317" i="26"/>
  <c r="A5317" i="26" s="1"/>
  <c r="B5318" i="26"/>
  <c r="A5318" i="26" s="1"/>
  <c r="B5319" i="26"/>
  <c r="A5319" i="26" s="1"/>
  <c r="B5320" i="26"/>
  <c r="A5320" i="26" s="1"/>
  <c r="B5321" i="26"/>
  <c r="A5321" i="26" s="1"/>
  <c r="B5322" i="26"/>
  <c r="A5322" i="26" s="1"/>
  <c r="B5323" i="26"/>
  <c r="A5323" i="26" s="1"/>
  <c r="B5324" i="26"/>
  <c r="A5324" i="26" s="1"/>
  <c r="B5325" i="26"/>
  <c r="A5325" i="26" s="1"/>
  <c r="B5326" i="26"/>
  <c r="A5326" i="26" s="1"/>
  <c r="B5327" i="26"/>
  <c r="A5327" i="26" s="1"/>
  <c r="B5328" i="26"/>
  <c r="A5328" i="26" s="1"/>
  <c r="B5329" i="26"/>
  <c r="A5329" i="26" s="1"/>
  <c r="B5330" i="26"/>
  <c r="A5330" i="26" s="1"/>
  <c r="B5331" i="26"/>
  <c r="A5331" i="26" s="1"/>
  <c r="B5332" i="26"/>
  <c r="A5332" i="26" s="1"/>
  <c r="B5333" i="26"/>
  <c r="A5333" i="26" s="1"/>
  <c r="B5334" i="26"/>
  <c r="A5334" i="26" s="1"/>
  <c r="B5335" i="26"/>
  <c r="A5335" i="26" s="1"/>
  <c r="B5336" i="26"/>
  <c r="A5336" i="26" s="1"/>
  <c r="B5337" i="26"/>
  <c r="A5337" i="26" s="1"/>
  <c r="B5338" i="26"/>
  <c r="A5338" i="26" s="1"/>
  <c r="B5339" i="26"/>
  <c r="A5339" i="26" s="1"/>
  <c r="B5340" i="26"/>
  <c r="A5340" i="26" s="1"/>
  <c r="B5341" i="26"/>
  <c r="A5341" i="26" s="1"/>
  <c r="B5342" i="26"/>
  <c r="A5342" i="26" s="1"/>
  <c r="B5343" i="26"/>
  <c r="A5343" i="26" s="1"/>
  <c r="B5344" i="26"/>
  <c r="A5344" i="26" s="1"/>
  <c r="B5345" i="26"/>
  <c r="A5345" i="26" s="1"/>
  <c r="B5346" i="26"/>
  <c r="A5346" i="26" s="1"/>
  <c r="B5347" i="26"/>
  <c r="A5347" i="26" s="1"/>
  <c r="B5348" i="26"/>
  <c r="A5348" i="26" s="1"/>
  <c r="B5349" i="26"/>
  <c r="A5349" i="26" s="1"/>
  <c r="B5350" i="26"/>
  <c r="A5350" i="26" s="1"/>
  <c r="B5351" i="26"/>
  <c r="A5351" i="26" s="1"/>
  <c r="B5352" i="26"/>
  <c r="A5352" i="26" s="1"/>
  <c r="B5353" i="26"/>
  <c r="A5353" i="26" s="1"/>
  <c r="B5354" i="26"/>
  <c r="A5354" i="26" s="1"/>
  <c r="B5355" i="26"/>
  <c r="A5355" i="26" s="1"/>
  <c r="B5356" i="26"/>
  <c r="A5356" i="26" s="1"/>
  <c r="B5357" i="26"/>
  <c r="A5357" i="26" s="1"/>
  <c r="B5358" i="26"/>
  <c r="A5358" i="26" s="1"/>
  <c r="B5359" i="26"/>
  <c r="A5359" i="26" s="1"/>
  <c r="B5360" i="26"/>
  <c r="A5360" i="26" s="1"/>
  <c r="B5361" i="26"/>
  <c r="A5361" i="26" s="1"/>
  <c r="B5362" i="26"/>
  <c r="A5362" i="26" s="1"/>
  <c r="B5363" i="26"/>
  <c r="A5363" i="26" s="1"/>
  <c r="B5364" i="26"/>
  <c r="A5364" i="26" s="1"/>
  <c r="B5365" i="26"/>
  <c r="A5365" i="26" s="1"/>
  <c r="B5366" i="26"/>
  <c r="A5366" i="26" s="1"/>
  <c r="B5367" i="26"/>
  <c r="A5367" i="26" s="1"/>
  <c r="B5368" i="26"/>
  <c r="A5368" i="26" s="1"/>
  <c r="B5369" i="26"/>
  <c r="A5369" i="26" s="1"/>
  <c r="B5370" i="26"/>
  <c r="A5370" i="26" s="1"/>
  <c r="B5371" i="26"/>
  <c r="A5371" i="26" s="1"/>
  <c r="B5372" i="26"/>
  <c r="A5372" i="26" s="1"/>
  <c r="B5373" i="26"/>
  <c r="A5373" i="26" s="1"/>
  <c r="B5374" i="26"/>
  <c r="A5374" i="26" s="1"/>
  <c r="B5375" i="26"/>
  <c r="A5375" i="26" s="1"/>
  <c r="B5376" i="26"/>
  <c r="A5376" i="26" s="1"/>
  <c r="B5377" i="26"/>
  <c r="A5377" i="26" s="1"/>
  <c r="B5378" i="26"/>
  <c r="A5378" i="26" s="1"/>
  <c r="B5379" i="26"/>
  <c r="A5379" i="26" s="1"/>
  <c r="B5380" i="26"/>
  <c r="A5380" i="26" s="1"/>
  <c r="B5381" i="26"/>
  <c r="A5381" i="26" s="1"/>
  <c r="B5382" i="26"/>
  <c r="A5382" i="26" s="1"/>
  <c r="B5383" i="26"/>
  <c r="A5383" i="26" s="1"/>
  <c r="B5384" i="26"/>
  <c r="A5384" i="26" s="1"/>
  <c r="B5385" i="26"/>
  <c r="A5385" i="26" s="1"/>
  <c r="B5386" i="26"/>
  <c r="A5386" i="26" s="1"/>
  <c r="B5387" i="26"/>
  <c r="A5387" i="26" s="1"/>
  <c r="B5388" i="26"/>
  <c r="A5388" i="26" s="1"/>
  <c r="B5389" i="26"/>
  <c r="A5389" i="26" s="1"/>
  <c r="B5390" i="26"/>
  <c r="A5390" i="26" s="1"/>
  <c r="B5391" i="26"/>
  <c r="A5391" i="26" s="1"/>
  <c r="B5392" i="26"/>
  <c r="A5392" i="26" s="1"/>
  <c r="B5393" i="26"/>
  <c r="A5393" i="26" s="1"/>
  <c r="B5394" i="26"/>
  <c r="A5394" i="26" s="1"/>
  <c r="B5395" i="26"/>
  <c r="A5395" i="26" s="1"/>
  <c r="B5396" i="26"/>
  <c r="A5396" i="26" s="1"/>
  <c r="B5397" i="26"/>
  <c r="A5397" i="26" s="1"/>
  <c r="B5398" i="26"/>
  <c r="A5398" i="26" s="1"/>
  <c r="B5399" i="26"/>
  <c r="A5399" i="26" s="1"/>
  <c r="B5400" i="26"/>
  <c r="A5400" i="26" s="1"/>
  <c r="B5401" i="26"/>
  <c r="A5401" i="26" s="1"/>
  <c r="B5402" i="26"/>
  <c r="A5402" i="26" s="1"/>
  <c r="B5403" i="26"/>
  <c r="A5403" i="26" s="1"/>
  <c r="B5404" i="26"/>
  <c r="A5404" i="26" s="1"/>
  <c r="B5405" i="26"/>
  <c r="A5405" i="26" s="1"/>
  <c r="B5406" i="26"/>
  <c r="A5406" i="26" s="1"/>
  <c r="B5407" i="26"/>
  <c r="A5407" i="26" s="1"/>
  <c r="B5408" i="26"/>
  <c r="A5408" i="26" s="1"/>
  <c r="B5409" i="26"/>
  <c r="A5409" i="26" s="1"/>
  <c r="B5410" i="26"/>
  <c r="A5410" i="26" s="1"/>
  <c r="B5411" i="26"/>
  <c r="A5411" i="26" s="1"/>
  <c r="B5412" i="26"/>
  <c r="A5412" i="26" s="1"/>
  <c r="B5413" i="26"/>
  <c r="A5413" i="26" s="1"/>
  <c r="B5414" i="26"/>
  <c r="A5414" i="26" s="1"/>
  <c r="B5415" i="26"/>
  <c r="A5415" i="26" s="1"/>
  <c r="B5416" i="26"/>
  <c r="A5416" i="26" s="1"/>
  <c r="B5417" i="26"/>
  <c r="A5417" i="26" s="1"/>
  <c r="B5418" i="26"/>
  <c r="A5418" i="26" s="1"/>
  <c r="B5419" i="26"/>
  <c r="A5419" i="26" s="1"/>
  <c r="B5420" i="26"/>
  <c r="A5420" i="26" s="1"/>
  <c r="B5421" i="26"/>
  <c r="A5421" i="26" s="1"/>
  <c r="B5422" i="26"/>
  <c r="A5422" i="26" s="1"/>
  <c r="B5423" i="26"/>
  <c r="A5423" i="26" s="1"/>
  <c r="B5424" i="26"/>
  <c r="A5424" i="26" s="1"/>
  <c r="B5425" i="26"/>
  <c r="A5425" i="26" s="1"/>
  <c r="B5426" i="26"/>
  <c r="A5426" i="26" s="1"/>
  <c r="B5427" i="26"/>
  <c r="A5427" i="26" s="1"/>
  <c r="B5428" i="26"/>
  <c r="A5428" i="26" s="1"/>
  <c r="B5429" i="26"/>
  <c r="A5429" i="26" s="1"/>
  <c r="B5430" i="26"/>
  <c r="A5430" i="26" s="1"/>
  <c r="B5431" i="26"/>
  <c r="A5431" i="26" s="1"/>
  <c r="B5432" i="26"/>
  <c r="A5432" i="26" s="1"/>
  <c r="B5433" i="26"/>
  <c r="A5433" i="26" s="1"/>
  <c r="B5434" i="26"/>
  <c r="A5434" i="26" s="1"/>
  <c r="B5435" i="26"/>
  <c r="A5435" i="26" s="1"/>
  <c r="B5436" i="26"/>
  <c r="A5436" i="26" s="1"/>
  <c r="B5437" i="26"/>
  <c r="A5437" i="26" s="1"/>
  <c r="B5438" i="26"/>
  <c r="A5438" i="26" s="1"/>
  <c r="B5439" i="26"/>
  <c r="A5439" i="26" s="1"/>
  <c r="B5440" i="26"/>
  <c r="A5440" i="26" s="1"/>
  <c r="B5441" i="26"/>
  <c r="A5441" i="26" s="1"/>
  <c r="B5442" i="26"/>
  <c r="A5442" i="26" s="1"/>
  <c r="B5443" i="26"/>
  <c r="A5443" i="26" s="1"/>
  <c r="B5444" i="26"/>
  <c r="A5444" i="26" s="1"/>
  <c r="B5445" i="26"/>
  <c r="A5445" i="26" s="1"/>
  <c r="B5446" i="26"/>
  <c r="A5446" i="26" s="1"/>
  <c r="B5447" i="26"/>
  <c r="A5447" i="26" s="1"/>
  <c r="B5448" i="26"/>
  <c r="A5448" i="26" s="1"/>
  <c r="B5449" i="26"/>
  <c r="A5449" i="26" s="1"/>
  <c r="B5450" i="26"/>
  <c r="A5450" i="26" s="1"/>
  <c r="B5451" i="26"/>
  <c r="A5451" i="26" s="1"/>
  <c r="B5452" i="26"/>
  <c r="A5452" i="26" s="1"/>
  <c r="B5453" i="26"/>
  <c r="A5453" i="26" s="1"/>
  <c r="B5454" i="26"/>
  <c r="A5454" i="26" s="1"/>
  <c r="B5455" i="26"/>
  <c r="A5455" i="26" s="1"/>
  <c r="B5456" i="26"/>
  <c r="A5456" i="26" s="1"/>
  <c r="B5457" i="26"/>
  <c r="A5457" i="26" s="1"/>
  <c r="B5458" i="26"/>
  <c r="A5458" i="26" s="1"/>
  <c r="B5459" i="26"/>
  <c r="A5459" i="26" s="1"/>
  <c r="B5460" i="26"/>
  <c r="A5460" i="26" s="1"/>
  <c r="B5461" i="26"/>
  <c r="A5461" i="26" s="1"/>
  <c r="B5462" i="26"/>
  <c r="A5462" i="26" s="1"/>
  <c r="B5463" i="26"/>
  <c r="A5463" i="26" s="1"/>
  <c r="B5464" i="26"/>
  <c r="A5464" i="26" s="1"/>
  <c r="B5465" i="26"/>
  <c r="A5465" i="26" s="1"/>
  <c r="B5466" i="26"/>
  <c r="A5466" i="26" s="1"/>
  <c r="B5467" i="26"/>
  <c r="A5467" i="26" s="1"/>
  <c r="B5468" i="26"/>
  <c r="A5468" i="26" s="1"/>
  <c r="B5469" i="26"/>
  <c r="A5469" i="26" s="1"/>
  <c r="B5470" i="26"/>
  <c r="A5470" i="26" s="1"/>
  <c r="B5471" i="26"/>
  <c r="A5471" i="26" s="1"/>
  <c r="B5472" i="26"/>
  <c r="A5472" i="26" s="1"/>
  <c r="B5473" i="26"/>
  <c r="A5473" i="26" s="1"/>
  <c r="B5474" i="26"/>
  <c r="A5474" i="26" s="1"/>
  <c r="B5475" i="26"/>
  <c r="A5475" i="26" s="1"/>
  <c r="B5476" i="26"/>
  <c r="A5476" i="26" s="1"/>
  <c r="B5477" i="26"/>
  <c r="A5477" i="26" s="1"/>
  <c r="B5478" i="26"/>
  <c r="A5478" i="26" s="1"/>
  <c r="B5479" i="26"/>
  <c r="A5479" i="26" s="1"/>
  <c r="B5480" i="26"/>
  <c r="A5480" i="26" s="1"/>
  <c r="B5481" i="26"/>
  <c r="A5481" i="26" s="1"/>
  <c r="B5482" i="26"/>
  <c r="A5482" i="26" s="1"/>
  <c r="B5483" i="26"/>
  <c r="A5483" i="26" s="1"/>
  <c r="B5484" i="26"/>
  <c r="A5484" i="26" s="1"/>
  <c r="B5485" i="26"/>
  <c r="A5485" i="26" s="1"/>
  <c r="B5486" i="26"/>
  <c r="A5486" i="26" s="1"/>
  <c r="B5487" i="26"/>
  <c r="A5487" i="26" s="1"/>
  <c r="B5488" i="26"/>
  <c r="A5488" i="26" s="1"/>
  <c r="B5489" i="26"/>
  <c r="A5489" i="26" s="1"/>
  <c r="B5490" i="26"/>
  <c r="A5490" i="26" s="1"/>
  <c r="B5491" i="26"/>
  <c r="A5491" i="26" s="1"/>
  <c r="B5492" i="26"/>
  <c r="A5492" i="26" s="1"/>
  <c r="B5493" i="26"/>
  <c r="A5493" i="26" s="1"/>
  <c r="B5494" i="26"/>
  <c r="A5494" i="26" s="1"/>
  <c r="B5495" i="26"/>
  <c r="A5495" i="26" s="1"/>
  <c r="B5496" i="26"/>
  <c r="A5496" i="26" s="1"/>
  <c r="B5497" i="26"/>
  <c r="A5497" i="26" s="1"/>
  <c r="B5498" i="26"/>
  <c r="A5498" i="26" s="1"/>
  <c r="B5499" i="26"/>
  <c r="A5499" i="26" s="1"/>
  <c r="B5500" i="26"/>
  <c r="A5500" i="26" s="1"/>
  <c r="B5501" i="26"/>
  <c r="A5501" i="26" s="1"/>
  <c r="B5502" i="26"/>
  <c r="A5502" i="26" s="1"/>
  <c r="B5503" i="26"/>
  <c r="A5503" i="26" s="1"/>
  <c r="B5504" i="26"/>
  <c r="A5504" i="26" s="1"/>
  <c r="B5505" i="26"/>
  <c r="A5505" i="26" s="1"/>
  <c r="B5506" i="26"/>
  <c r="A5506" i="26" s="1"/>
  <c r="B5507" i="26"/>
  <c r="A5507" i="26" s="1"/>
  <c r="B5508" i="26"/>
  <c r="A5508" i="26" s="1"/>
  <c r="B5509" i="26"/>
  <c r="A5509" i="26" s="1"/>
  <c r="B5510" i="26"/>
  <c r="A5510" i="26" s="1"/>
  <c r="B5511" i="26"/>
  <c r="A5511" i="26" s="1"/>
  <c r="B5512" i="26"/>
  <c r="A5512" i="26" s="1"/>
  <c r="B5513" i="26"/>
  <c r="A5513" i="26" s="1"/>
  <c r="B5514" i="26"/>
  <c r="A5514" i="26" s="1"/>
  <c r="B5515" i="26"/>
  <c r="A5515" i="26" s="1"/>
  <c r="B5516" i="26"/>
  <c r="A5516" i="26" s="1"/>
  <c r="B5517" i="26"/>
  <c r="A5517" i="26" s="1"/>
  <c r="B5518" i="26"/>
  <c r="A5518" i="26" s="1"/>
  <c r="B5519" i="26"/>
  <c r="A5519" i="26" s="1"/>
  <c r="B5520" i="26"/>
  <c r="A5520" i="26" s="1"/>
  <c r="B5521" i="26"/>
  <c r="A5521" i="26" s="1"/>
  <c r="B5522" i="26"/>
  <c r="A5522" i="26" s="1"/>
  <c r="B5523" i="26"/>
  <c r="A5523" i="26" s="1"/>
  <c r="B5524" i="26"/>
  <c r="A5524" i="26" s="1"/>
  <c r="B5525" i="26"/>
  <c r="A5525" i="26" s="1"/>
  <c r="B5526" i="26"/>
  <c r="A5526" i="26" s="1"/>
  <c r="B5527" i="26"/>
  <c r="A5527" i="26" s="1"/>
  <c r="B5528" i="26"/>
  <c r="A5528" i="26" s="1"/>
  <c r="B5529" i="26"/>
  <c r="A5529" i="26" s="1"/>
  <c r="B5530" i="26"/>
  <c r="A5530" i="26" s="1"/>
  <c r="B5531" i="26"/>
  <c r="A5531" i="26" s="1"/>
  <c r="B5532" i="26"/>
  <c r="A5532" i="26" s="1"/>
  <c r="B5533" i="26"/>
  <c r="A5533" i="26" s="1"/>
  <c r="B5534" i="26"/>
  <c r="A5534" i="26" s="1"/>
  <c r="B5535" i="26"/>
  <c r="A5535" i="26" s="1"/>
  <c r="B5536" i="26"/>
  <c r="A5536" i="26" s="1"/>
  <c r="B5537" i="26"/>
  <c r="A5537" i="26" s="1"/>
  <c r="B5538" i="26"/>
  <c r="A5538" i="26" s="1"/>
  <c r="B5539" i="26"/>
  <c r="A5539" i="26" s="1"/>
  <c r="B5540" i="26"/>
  <c r="A5540" i="26" s="1"/>
  <c r="B5541" i="26"/>
  <c r="A5541" i="26" s="1"/>
  <c r="B5542" i="26"/>
  <c r="A5542" i="26" s="1"/>
  <c r="B5543" i="26"/>
  <c r="A5543" i="26" s="1"/>
  <c r="B5544" i="26"/>
  <c r="A5544" i="26" s="1"/>
  <c r="B5545" i="26"/>
  <c r="A5545" i="26" s="1"/>
  <c r="B5546" i="26"/>
  <c r="A5546" i="26" s="1"/>
  <c r="B5547" i="26"/>
  <c r="A5547" i="26" s="1"/>
  <c r="B5548" i="26"/>
  <c r="A5548" i="26" s="1"/>
  <c r="B5549" i="26"/>
  <c r="A5549" i="26" s="1"/>
  <c r="B5550" i="26"/>
  <c r="A5550" i="26" s="1"/>
  <c r="B5551" i="26"/>
  <c r="A5551" i="26" s="1"/>
  <c r="B5552" i="26"/>
  <c r="A5552" i="26" s="1"/>
  <c r="B5553" i="26"/>
  <c r="A5553" i="26" s="1"/>
  <c r="B5554" i="26"/>
  <c r="A5554" i="26" s="1"/>
  <c r="B5555" i="26"/>
  <c r="A5555" i="26" s="1"/>
  <c r="B5556" i="26"/>
  <c r="A5556" i="26" s="1"/>
  <c r="B5557" i="26"/>
  <c r="A5557" i="26" s="1"/>
  <c r="B5558" i="26"/>
  <c r="A5558" i="26" s="1"/>
  <c r="B5559" i="26"/>
  <c r="A5559" i="26" s="1"/>
  <c r="B5560" i="26"/>
  <c r="A5560" i="26" s="1"/>
  <c r="B5561" i="26"/>
  <c r="A5561" i="26" s="1"/>
  <c r="B5562" i="26"/>
  <c r="A5562" i="26" s="1"/>
  <c r="B5563" i="26"/>
  <c r="A5563" i="26" s="1"/>
  <c r="B5564" i="26"/>
  <c r="A5564" i="26" s="1"/>
  <c r="B5565" i="26"/>
  <c r="A5565" i="26" s="1"/>
  <c r="B5566" i="26"/>
  <c r="A5566" i="26" s="1"/>
  <c r="B5567" i="26"/>
  <c r="A5567" i="26" s="1"/>
  <c r="B5568" i="26"/>
  <c r="A5568" i="26" s="1"/>
  <c r="B5569" i="26"/>
  <c r="A5569" i="26" s="1"/>
  <c r="B5570" i="26"/>
  <c r="A5570" i="26" s="1"/>
  <c r="B5571" i="26"/>
  <c r="A5571" i="26" s="1"/>
  <c r="B5572" i="26"/>
  <c r="A5572" i="26" s="1"/>
  <c r="B5573" i="26"/>
  <c r="A5573" i="26" s="1"/>
  <c r="B5574" i="26"/>
  <c r="A5574" i="26" s="1"/>
  <c r="B5575" i="26"/>
  <c r="A5575" i="26" s="1"/>
  <c r="B5576" i="26"/>
  <c r="A5576" i="26" s="1"/>
  <c r="B5577" i="26"/>
  <c r="A5577" i="26" s="1"/>
  <c r="B5578" i="26"/>
  <c r="A5578" i="26" s="1"/>
  <c r="B5579" i="26"/>
  <c r="A5579" i="26" s="1"/>
  <c r="B5580" i="26"/>
  <c r="A5580" i="26" s="1"/>
  <c r="B5581" i="26"/>
  <c r="A5581" i="26" s="1"/>
  <c r="B5582" i="26"/>
  <c r="A5582" i="26" s="1"/>
  <c r="B5583" i="26"/>
  <c r="A5583" i="26" s="1"/>
  <c r="B5584" i="26"/>
  <c r="A5584" i="26" s="1"/>
  <c r="B5585" i="26"/>
  <c r="A5585" i="26" s="1"/>
  <c r="B5586" i="26"/>
  <c r="A5586" i="26" s="1"/>
  <c r="B5587" i="26"/>
  <c r="A5587" i="26" s="1"/>
  <c r="B5588" i="26"/>
  <c r="A5588" i="26" s="1"/>
  <c r="B5589" i="26"/>
  <c r="A5589" i="26" s="1"/>
  <c r="B5590" i="26"/>
  <c r="A5590" i="26" s="1"/>
  <c r="B5591" i="26"/>
  <c r="A5591" i="26" s="1"/>
  <c r="B5592" i="26"/>
  <c r="A5592" i="26" s="1"/>
  <c r="B5593" i="26"/>
  <c r="A5593" i="26" s="1"/>
  <c r="B5594" i="26"/>
  <c r="A5594" i="26" s="1"/>
  <c r="B5595" i="26"/>
  <c r="A5595" i="26" s="1"/>
  <c r="B5596" i="26"/>
  <c r="A5596" i="26" s="1"/>
  <c r="B5597" i="26"/>
  <c r="A5597" i="26" s="1"/>
  <c r="B5598" i="26"/>
  <c r="A5598" i="26" s="1"/>
  <c r="B5599" i="26"/>
  <c r="A5599" i="26" s="1"/>
  <c r="B5600" i="26"/>
  <c r="A5600" i="26" s="1"/>
  <c r="B5601" i="26"/>
  <c r="A5601" i="26" s="1"/>
  <c r="B5602" i="26"/>
  <c r="A5602" i="26" s="1"/>
  <c r="B5603" i="26"/>
  <c r="A5603" i="26" s="1"/>
  <c r="B5604" i="26"/>
  <c r="A5604" i="26" s="1"/>
  <c r="B5605" i="26"/>
  <c r="A5605" i="26" s="1"/>
  <c r="B5606" i="26"/>
  <c r="A5606" i="26" s="1"/>
  <c r="B5607" i="26"/>
  <c r="A5607" i="26" s="1"/>
  <c r="B5608" i="26"/>
  <c r="A5608" i="26" s="1"/>
  <c r="B5609" i="26"/>
  <c r="A5609" i="26" s="1"/>
  <c r="B5610" i="26"/>
  <c r="A5610" i="26" s="1"/>
  <c r="B5611" i="26"/>
  <c r="A5611" i="26" s="1"/>
  <c r="B5612" i="26"/>
  <c r="A5612" i="26" s="1"/>
  <c r="B5613" i="26"/>
  <c r="A5613" i="26" s="1"/>
  <c r="B5614" i="26"/>
  <c r="A5614" i="26" s="1"/>
  <c r="B5615" i="26"/>
  <c r="A5615" i="26" s="1"/>
  <c r="B5616" i="26"/>
  <c r="A5616" i="26" s="1"/>
  <c r="B5617" i="26"/>
  <c r="A5617" i="26" s="1"/>
  <c r="B5618" i="26"/>
  <c r="A5618" i="26" s="1"/>
  <c r="B5619" i="26"/>
  <c r="A5619" i="26" s="1"/>
  <c r="B5620" i="26"/>
  <c r="A5620" i="26" s="1"/>
  <c r="B5621" i="26"/>
  <c r="A5621" i="26" s="1"/>
  <c r="B5622" i="26"/>
  <c r="A5622" i="26" s="1"/>
  <c r="B5623" i="26"/>
  <c r="A5623" i="26" s="1"/>
  <c r="B5624" i="26"/>
  <c r="A5624" i="26" s="1"/>
  <c r="B5625" i="26"/>
  <c r="A5625" i="26" s="1"/>
  <c r="B5626" i="26"/>
  <c r="A5626" i="26" s="1"/>
  <c r="B5627" i="26"/>
  <c r="A5627" i="26" s="1"/>
  <c r="B5628" i="26"/>
  <c r="A5628" i="26" s="1"/>
  <c r="B5629" i="26"/>
  <c r="A5629" i="26" s="1"/>
  <c r="B5630" i="26"/>
  <c r="A5630" i="26" s="1"/>
  <c r="B5631" i="26"/>
  <c r="A5631" i="26" s="1"/>
  <c r="B5632" i="26"/>
  <c r="A5632" i="26" s="1"/>
  <c r="B5633" i="26"/>
  <c r="A5633" i="26" s="1"/>
  <c r="B5634" i="26"/>
  <c r="A5634" i="26" s="1"/>
  <c r="B5635" i="26"/>
  <c r="A5635" i="26" s="1"/>
  <c r="B5636" i="26"/>
  <c r="A5636" i="26" s="1"/>
  <c r="B5637" i="26"/>
  <c r="A5637" i="26" s="1"/>
  <c r="B5638" i="26"/>
  <c r="A5638" i="26" s="1"/>
  <c r="B5639" i="26"/>
  <c r="A5639" i="26" s="1"/>
  <c r="B5640" i="26"/>
  <c r="A5640" i="26" s="1"/>
  <c r="B5641" i="26"/>
  <c r="A5641" i="26" s="1"/>
  <c r="B5642" i="26"/>
  <c r="A5642" i="26" s="1"/>
  <c r="B5643" i="26"/>
  <c r="A5643" i="26" s="1"/>
  <c r="B5644" i="26"/>
  <c r="A5644" i="26" s="1"/>
  <c r="B5645" i="26"/>
  <c r="A5645" i="26" s="1"/>
  <c r="B5646" i="26"/>
  <c r="A5646" i="26" s="1"/>
  <c r="B5647" i="26"/>
  <c r="A5647" i="26" s="1"/>
  <c r="B5648" i="26"/>
  <c r="A5648" i="26" s="1"/>
  <c r="B5649" i="26"/>
  <c r="A5649" i="26" s="1"/>
  <c r="B5650" i="26"/>
  <c r="A5650" i="26" s="1"/>
  <c r="B5651" i="26"/>
  <c r="A5651" i="26" s="1"/>
  <c r="B5652" i="26"/>
  <c r="A5652" i="26" s="1"/>
  <c r="B5653" i="26"/>
  <c r="A5653" i="26" s="1"/>
  <c r="B5654" i="26"/>
  <c r="A5654" i="26" s="1"/>
  <c r="B5655" i="26"/>
  <c r="A5655" i="26" s="1"/>
  <c r="B5656" i="26"/>
  <c r="A5656" i="26" s="1"/>
  <c r="B5657" i="26"/>
  <c r="A5657" i="26" s="1"/>
  <c r="B5658" i="26"/>
  <c r="A5658" i="26" s="1"/>
  <c r="B5659" i="26"/>
  <c r="A5659" i="26" s="1"/>
  <c r="B5660" i="26"/>
  <c r="A5660" i="26" s="1"/>
  <c r="B5661" i="26"/>
  <c r="A5661" i="26" s="1"/>
  <c r="B5662" i="26"/>
  <c r="A5662" i="26" s="1"/>
  <c r="B5663" i="26"/>
  <c r="A5663" i="26" s="1"/>
  <c r="B5664" i="26"/>
  <c r="A5664" i="26" s="1"/>
  <c r="B5665" i="26"/>
  <c r="A5665" i="26" s="1"/>
  <c r="B5666" i="26"/>
  <c r="A5666" i="26" s="1"/>
  <c r="B5667" i="26"/>
  <c r="A5667" i="26" s="1"/>
  <c r="B5668" i="26"/>
  <c r="A5668" i="26" s="1"/>
  <c r="B5669" i="26"/>
  <c r="A5669" i="26" s="1"/>
  <c r="B5670" i="26"/>
  <c r="A5670" i="26" s="1"/>
  <c r="B5671" i="26"/>
  <c r="A5671" i="26" s="1"/>
  <c r="B5672" i="26"/>
  <c r="A5672" i="26" s="1"/>
  <c r="B5673" i="26"/>
  <c r="A5673" i="26" s="1"/>
  <c r="B5674" i="26"/>
  <c r="A5674" i="26" s="1"/>
  <c r="B5675" i="26"/>
  <c r="A5675" i="26" s="1"/>
  <c r="B5676" i="26"/>
  <c r="A5676" i="26" s="1"/>
  <c r="B5677" i="26"/>
  <c r="A5677" i="26" s="1"/>
  <c r="B5678" i="26"/>
  <c r="A5678" i="26" s="1"/>
  <c r="B5679" i="26"/>
  <c r="A5679" i="26" s="1"/>
  <c r="B5680" i="26"/>
  <c r="A5680" i="26" s="1"/>
  <c r="B5681" i="26"/>
  <c r="A5681" i="26" s="1"/>
  <c r="B5682" i="26"/>
  <c r="A5682" i="26" s="1"/>
  <c r="B5683" i="26"/>
  <c r="A5683" i="26" s="1"/>
  <c r="B5684" i="26"/>
  <c r="A5684" i="26" s="1"/>
  <c r="B5685" i="26"/>
  <c r="A5685" i="26" s="1"/>
  <c r="B5686" i="26"/>
  <c r="A5686" i="26" s="1"/>
  <c r="B5687" i="26"/>
  <c r="A5687" i="26" s="1"/>
  <c r="B5688" i="26"/>
  <c r="A5688" i="26" s="1"/>
  <c r="B5689" i="26"/>
  <c r="A5689" i="26" s="1"/>
  <c r="B5690" i="26"/>
  <c r="A5690" i="26" s="1"/>
  <c r="B5691" i="26"/>
  <c r="A5691" i="26" s="1"/>
  <c r="B5692" i="26"/>
  <c r="A5692" i="26" s="1"/>
  <c r="B5693" i="26"/>
  <c r="A5693" i="26" s="1"/>
  <c r="B5694" i="26"/>
  <c r="A5694" i="26" s="1"/>
  <c r="B5695" i="26"/>
  <c r="A5695" i="26" s="1"/>
  <c r="B5696" i="26"/>
  <c r="A5696" i="26" s="1"/>
  <c r="B5697" i="26"/>
  <c r="A5697" i="26" s="1"/>
  <c r="B5698" i="26"/>
  <c r="A5698" i="26" s="1"/>
  <c r="B5699" i="26"/>
  <c r="A5699" i="26" s="1"/>
  <c r="B5700" i="26"/>
  <c r="A5700" i="26" s="1"/>
  <c r="B5701" i="26"/>
  <c r="A5701" i="26" s="1"/>
  <c r="B5702" i="26"/>
  <c r="A5702" i="26" s="1"/>
  <c r="B5703" i="26"/>
  <c r="A5703" i="26" s="1"/>
  <c r="B5704" i="26"/>
  <c r="A5704" i="26" s="1"/>
  <c r="B5705" i="26"/>
  <c r="A5705" i="26" s="1"/>
  <c r="B5706" i="26"/>
  <c r="A5706" i="26" s="1"/>
  <c r="B5707" i="26"/>
  <c r="A5707" i="26" s="1"/>
  <c r="B5708" i="26"/>
  <c r="A5708" i="26" s="1"/>
  <c r="B5709" i="26"/>
  <c r="A5709" i="26" s="1"/>
  <c r="B5710" i="26"/>
  <c r="A5710" i="26" s="1"/>
  <c r="B5711" i="26"/>
  <c r="A5711" i="26" s="1"/>
  <c r="B5712" i="26"/>
  <c r="A5712" i="26" s="1"/>
  <c r="B5713" i="26"/>
  <c r="A5713" i="26" s="1"/>
  <c r="B5714" i="26"/>
  <c r="A5714" i="26" s="1"/>
  <c r="B5715" i="26"/>
  <c r="A5715" i="26" s="1"/>
  <c r="B5716" i="26"/>
  <c r="A5716" i="26" s="1"/>
  <c r="B5717" i="26"/>
  <c r="A5717" i="26" s="1"/>
  <c r="B5718" i="26"/>
  <c r="A5718" i="26" s="1"/>
  <c r="B5719" i="26"/>
  <c r="A5719" i="26" s="1"/>
  <c r="B5720" i="26"/>
  <c r="A5720" i="26" s="1"/>
  <c r="B5721" i="26"/>
  <c r="A5721" i="26" s="1"/>
  <c r="B5722" i="26"/>
  <c r="A5722" i="26" s="1"/>
  <c r="B5723" i="26"/>
  <c r="A5723" i="26" s="1"/>
  <c r="B5724" i="26"/>
  <c r="A5724" i="26" s="1"/>
  <c r="B5725" i="26"/>
  <c r="A5725" i="26" s="1"/>
  <c r="B5726" i="26"/>
  <c r="A5726" i="26" s="1"/>
  <c r="B5727" i="26"/>
  <c r="A5727" i="26" s="1"/>
  <c r="B5728" i="26"/>
  <c r="A5728" i="26" s="1"/>
  <c r="B5729" i="26"/>
  <c r="A5729" i="26" s="1"/>
  <c r="B5730" i="26"/>
  <c r="A5730" i="26" s="1"/>
  <c r="B5731" i="26"/>
  <c r="A5731" i="26" s="1"/>
  <c r="B5732" i="26"/>
  <c r="A5732" i="26" s="1"/>
  <c r="B5733" i="26"/>
  <c r="A5733" i="26" s="1"/>
  <c r="B5734" i="26"/>
  <c r="A5734" i="26" s="1"/>
  <c r="B5735" i="26"/>
  <c r="A5735" i="26" s="1"/>
  <c r="B5736" i="26"/>
  <c r="A5736" i="26" s="1"/>
  <c r="B5737" i="26"/>
  <c r="A5737" i="26" s="1"/>
  <c r="B5738" i="26"/>
  <c r="A5738" i="26" s="1"/>
  <c r="B5739" i="26"/>
  <c r="A5739" i="26" s="1"/>
  <c r="B5740" i="26"/>
  <c r="A5740" i="26" s="1"/>
  <c r="B5741" i="26"/>
  <c r="A5741" i="26" s="1"/>
  <c r="B5742" i="26"/>
  <c r="A5742" i="26" s="1"/>
  <c r="B5743" i="26"/>
  <c r="A5743" i="26" s="1"/>
  <c r="B5744" i="26"/>
  <c r="A5744" i="26" s="1"/>
  <c r="B5745" i="26"/>
  <c r="A5745" i="26" s="1"/>
  <c r="B5746" i="26"/>
  <c r="A5746" i="26" s="1"/>
  <c r="B5747" i="26"/>
  <c r="A5747" i="26" s="1"/>
  <c r="B5748" i="26"/>
  <c r="A5748" i="26" s="1"/>
  <c r="B5749" i="26"/>
  <c r="A5749" i="26" s="1"/>
  <c r="B5750" i="26"/>
  <c r="A5750" i="26" s="1"/>
  <c r="B5751" i="26"/>
  <c r="A5751" i="26" s="1"/>
  <c r="B5752" i="26"/>
  <c r="A5752" i="26" s="1"/>
  <c r="B5753" i="26"/>
  <c r="A5753" i="26" s="1"/>
  <c r="B5754" i="26"/>
  <c r="A5754" i="26" s="1"/>
  <c r="B5755" i="26"/>
  <c r="A5755" i="26" s="1"/>
  <c r="B5756" i="26"/>
  <c r="A5756" i="26" s="1"/>
  <c r="B5757" i="26"/>
  <c r="A5757" i="26" s="1"/>
  <c r="B5758" i="26"/>
  <c r="A5758" i="26" s="1"/>
  <c r="B5759" i="26"/>
  <c r="A5759" i="26" s="1"/>
  <c r="B5760" i="26"/>
  <c r="A5760" i="26" s="1"/>
  <c r="B5761" i="26"/>
  <c r="A5761" i="26" s="1"/>
  <c r="B5762" i="26"/>
  <c r="A5762" i="26" s="1"/>
  <c r="B5763" i="26"/>
  <c r="A5763" i="26" s="1"/>
  <c r="B5764" i="26"/>
  <c r="A5764" i="26" s="1"/>
  <c r="B5765" i="26"/>
  <c r="A5765" i="26" s="1"/>
  <c r="B5766" i="26"/>
  <c r="A5766" i="26" s="1"/>
  <c r="B5767" i="26"/>
  <c r="A5767" i="26" s="1"/>
  <c r="B5768" i="26"/>
  <c r="A5768" i="26" s="1"/>
  <c r="B5769" i="26"/>
  <c r="A5769" i="26" s="1"/>
  <c r="B5770" i="26"/>
  <c r="A5770" i="26" s="1"/>
  <c r="B5771" i="26"/>
  <c r="A5771" i="26" s="1"/>
  <c r="B5772" i="26"/>
  <c r="A5772" i="26" s="1"/>
  <c r="B5773" i="26"/>
  <c r="A5773" i="26" s="1"/>
  <c r="B5774" i="26"/>
  <c r="A5774" i="26" s="1"/>
  <c r="B5775" i="26"/>
  <c r="A5775" i="26" s="1"/>
  <c r="B5776" i="26"/>
  <c r="A5776" i="26" s="1"/>
  <c r="B5777" i="26"/>
  <c r="A5777" i="26" s="1"/>
  <c r="B5778" i="26"/>
  <c r="A5778" i="26" s="1"/>
  <c r="B5779" i="26"/>
  <c r="A5779" i="26" s="1"/>
  <c r="B5780" i="26"/>
  <c r="A5780" i="26" s="1"/>
  <c r="B5781" i="26"/>
  <c r="A5781" i="26" s="1"/>
  <c r="B5782" i="26"/>
  <c r="A5782" i="26" s="1"/>
  <c r="B5783" i="26"/>
  <c r="A5783" i="26" s="1"/>
  <c r="B5784" i="26"/>
  <c r="A5784" i="26" s="1"/>
  <c r="B5785" i="26"/>
  <c r="A5785" i="26" s="1"/>
  <c r="B5786" i="26"/>
  <c r="A5786" i="26" s="1"/>
  <c r="B5787" i="26"/>
  <c r="A5787" i="26" s="1"/>
  <c r="B5788" i="26"/>
  <c r="A5788" i="26" s="1"/>
  <c r="B5789" i="26"/>
  <c r="A5789" i="26" s="1"/>
  <c r="B5790" i="26"/>
  <c r="A5790" i="26" s="1"/>
  <c r="B5791" i="26"/>
  <c r="A5791" i="26" s="1"/>
  <c r="B5792" i="26"/>
  <c r="A5792" i="26" s="1"/>
  <c r="B5793" i="26"/>
  <c r="A5793" i="26" s="1"/>
  <c r="B5794" i="26"/>
  <c r="A5794" i="26" s="1"/>
  <c r="B5795" i="26"/>
  <c r="A5795" i="26" s="1"/>
  <c r="B5796" i="26"/>
  <c r="A5796" i="26" s="1"/>
  <c r="B5797" i="26"/>
  <c r="A5797" i="26" s="1"/>
  <c r="B5798" i="26"/>
  <c r="A5798" i="26" s="1"/>
  <c r="B5799" i="26"/>
  <c r="A5799" i="26" s="1"/>
  <c r="B5800" i="26"/>
  <c r="A5800" i="26" s="1"/>
  <c r="B5801" i="26"/>
  <c r="A5801" i="26" s="1"/>
  <c r="B5802" i="26"/>
  <c r="A5802" i="26" s="1"/>
  <c r="B5803" i="26"/>
  <c r="A5803" i="26" s="1"/>
  <c r="B5804" i="26"/>
  <c r="A5804" i="26" s="1"/>
  <c r="B5805" i="26"/>
  <c r="A5805" i="26" s="1"/>
  <c r="B5806" i="26"/>
  <c r="A5806" i="26" s="1"/>
  <c r="B5807" i="26"/>
  <c r="A5807" i="26" s="1"/>
  <c r="B5808" i="26"/>
  <c r="A5808" i="26" s="1"/>
  <c r="B5809" i="26"/>
  <c r="A5809" i="26" s="1"/>
  <c r="B5810" i="26"/>
  <c r="A5810" i="26" s="1"/>
  <c r="B5811" i="26"/>
  <c r="A5811" i="26" s="1"/>
  <c r="B5812" i="26"/>
  <c r="A5812" i="26" s="1"/>
  <c r="B5813" i="26"/>
  <c r="A5813" i="26" s="1"/>
  <c r="B5814" i="26"/>
  <c r="A5814" i="26" s="1"/>
  <c r="B5815" i="26"/>
  <c r="A5815" i="26" s="1"/>
  <c r="B5816" i="26"/>
  <c r="A5816" i="26" s="1"/>
  <c r="B5817" i="26"/>
  <c r="A5817" i="26" s="1"/>
  <c r="B5818" i="26"/>
  <c r="A5818" i="26" s="1"/>
  <c r="B5819" i="26"/>
  <c r="A5819" i="26" s="1"/>
  <c r="B5820" i="26"/>
  <c r="A5820" i="26" s="1"/>
  <c r="B5821" i="26"/>
  <c r="A5821" i="26" s="1"/>
  <c r="B5822" i="26"/>
  <c r="A5822" i="26" s="1"/>
  <c r="B5823" i="26"/>
  <c r="A5823" i="26" s="1"/>
  <c r="B5824" i="26"/>
  <c r="A5824" i="26" s="1"/>
  <c r="B5825" i="26"/>
  <c r="A5825" i="26" s="1"/>
  <c r="B5826" i="26"/>
  <c r="A5826" i="26" s="1"/>
  <c r="B5827" i="26"/>
  <c r="A5827" i="26" s="1"/>
  <c r="B5828" i="26"/>
  <c r="A5828" i="26" s="1"/>
  <c r="B5829" i="26"/>
  <c r="A5829" i="26" s="1"/>
  <c r="B5830" i="26"/>
  <c r="A5830" i="26" s="1"/>
  <c r="B5831" i="26"/>
  <c r="A5831" i="26" s="1"/>
  <c r="B5832" i="26"/>
  <c r="A5832" i="26" s="1"/>
  <c r="B5833" i="26"/>
  <c r="A5833" i="26" s="1"/>
  <c r="B5834" i="26"/>
  <c r="A5834" i="26" s="1"/>
  <c r="B5835" i="26"/>
  <c r="A5835" i="26" s="1"/>
  <c r="B5836" i="26"/>
  <c r="A5836" i="26" s="1"/>
  <c r="B5837" i="26"/>
  <c r="A5837" i="26" s="1"/>
  <c r="B5838" i="26"/>
  <c r="A5838" i="26" s="1"/>
  <c r="B5839" i="26"/>
  <c r="A5839" i="26" s="1"/>
  <c r="B5840" i="26"/>
  <c r="A5840" i="26" s="1"/>
  <c r="B5841" i="26"/>
  <c r="A5841" i="26" s="1"/>
  <c r="B5842" i="26"/>
  <c r="A5842" i="26" s="1"/>
  <c r="B5843" i="26"/>
  <c r="A5843" i="26" s="1"/>
  <c r="B5844" i="26"/>
  <c r="A5844" i="26" s="1"/>
  <c r="B5845" i="26"/>
  <c r="A5845" i="26" s="1"/>
  <c r="B5846" i="26"/>
  <c r="A5846" i="26" s="1"/>
  <c r="B5847" i="26"/>
  <c r="A5847" i="26" s="1"/>
  <c r="B5848" i="26"/>
  <c r="A5848" i="26" s="1"/>
  <c r="B5849" i="26"/>
  <c r="A5849" i="26" s="1"/>
  <c r="B5850" i="26"/>
  <c r="A5850" i="26" s="1"/>
  <c r="B5851" i="26"/>
  <c r="A5851" i="26" s="1"/>
  <c r="B5852" i="26"/>
  <c r="A5852" i="26" s="1"/>
  <c r="B5853" i="26"/>
  <c r="A5853" i="26" s="1"/>
  <c r="B5854" i="26"/>
  <c r="A5854" i="26" s="1"/>
  <c r="B5855" i="26"/>
  <c r="A5855" i="26" s="1"/>
  <c r="B5856" i="26"/>
  <c r="A5856" i="26" s="1"/>
  <c r="B5857" i="26"/>
  <c r="A5857" i="26" s="1"/>
  <c r="B5858" i="26"/>
  <c r="A5858" i="26" s="1"/>
  <c r="B5859" i="26"/>
  <c r="A5859" i="26" s="1"/>
  <c r="B5860" i="26"/>
  <c r="A5860" i="26" s="1"/>
  <c r="B5861" i="26"/>
  <c r="A5861" i="26" s="1"/>
  <c r="B5862" i="26"/>
  <c r="A5862" i="26" s="1"/>
  <c r="B5863" i="26"/>
  <c r="A5863" i="26" s="1"/>
  <c r="B5864" i="26"/>
  <c r="A5864" i="26" s="1"/>
  <c r="B5865" i="26"/>
  <c r="A5865" i="26" s="1"/>
  <c r="B5866" i="26"/>
  <c r="A5866" i="26" s="1"/>
  <c r="B5867" i="26"/>
  <c r="A5867" i="26" s="1"/>
  <c r="B5868" i="26"/>
  <c r="A5868" i="26" s="1"/>
  <c r="B5869" i="26"/>
  <c r="A5869" i="26" s="1"/>
  <c r="B5870" i="26"/>
  <c r="A5870" i="26" s="1"/>
  <c r="B5871" i="26"/>
  <c r="A5871" i="26" s="1"/>
  <c r="B5872" i="26"/>
  <c r="A5872" i="26" s="1"/>
  <c r="B5873" i="26"/>
  <c r="A5873" i="26" s="1"/>
  <c r="B5874" i="26"/>
  <c r="A5874" i="26" s="1"/>
  <c r="B5875" i="26"/>
  <c r="A5875" i="26" s="1"/>
  <c r="B5876" i="26"/>
  <c r="A5876" i="26" s="1"/>
  <c r="B5877" i="26"/>
  <c r="A5877" i="26" s="1"/>
  <c r="B5878" i="26"/>
  <c r="A5878" i="26" s="1"/>
  <c r="B5879" i="26"/>
  <c r="A5879" i="26" s="1"/>
  <c r="B5880" i="26"/>
  <c r="A5880" i="26" s="1"/>
  <c r="B5881" i="26"/>
  <c r="A5881" i="26" s="1"/>
  <c r="B5882" i="26"/>
  <c r="A5882" i="26" s="1"/>
  <c r="B5883" i="26"/>
  <c r="A5883" i="26" s="1"/>
  <c r="B5884" i="26"/>
  <c r="A5884" i="26" s="1"/>
  <c r="B5885" i="26"/>
  <c r="A5885" i="26" s="1"/>
  <c r="B5886" i="26"/>
  <c r="A5886" i="26" s="1"/>
  <c r="B5887" i="26"/>
  <c r="A5887" i="26" s="1"/>
  <c r="B5888" i="26"/>
  <c r="A5888" i="26" s="1"/>
  <c r="B5889" i="26"/>
  <c r="A5889" i="26" s="1"/>
  <c r="B5890" i="26"/>
  <c r="A5890" i="26" s="1"/>
  <c r="B5891" i="26"/>
  <c r="A5891" i="26" s="1"/>
  <c r="B5892" i="26"/>
  <c r="A5892" i="26" s="1"/>
  <c r="B5893" i="26"/>
  <c r="A5893" i="26" s="1"/>
  <c r="B5894" i="26"/>
  <c r="A5894" i="26" s="1"/>
  <c r="B5895" i="26"/>
  <c r="A5895" i="26" s="1"/>
  <c r="B5896" i="26"/>
  <c r="A5896" i="26" s="1"/>
  <c r="B5897" i="26"/>
  <c r="A5897" i="26" s="1"/>
  <c r="B5898" i="26"/>
  <c r="A5898" i="26" s="1"/>
  <c r="B5899" i="26"/>
  <c r="A5899" i="26" s="1"/>
  <c r="B5900" i="26"/>
  <c r="A5900" i="26" s="1"/>
  <c r="B5901" i="26"/>
  <c r="A5901" i="26" s="1"/>
  <c r="B5902" i="26"/>
  <c r="A5902" i="26" s="1"/>
  <c r="B5903" i="26"/>
  <c r="A5903" i="26" s="1"/>
  <c r="B5904" i="26"/>
  <c r="A5904" i="26" s="1"/>
  <c r="B5905" i="26"/>
  <c r="A5905" i="26" s="1"/>
  <c r="B5906" i="26"/>
  <c r="A5906" i="26" s="1"/>
  <c r="B5907" i="26"/>
  <c r="A5907" i="26" s="1"/>
  <c r="B5908" i="26"/>
  <c r="A5908" i="26" s="1"/>
  <c r="B5909" i="26"/>
  <c r="A5909" i="26" s="1"/>
  <c r="B5910" i="26"/>
  <c r="A5910" i="26" s="1"/>
  <c r="B5911" i="26"/>
  <c r="A5911" i="26" s="1"/>
  <c r="B5912" i="26"/>
  <c r="A5912" i="26" s="1"/>
  <c r="B5913" i="26"/>
  <c r="A5913" i="26" s="1"/>
  <c r="B5914" i="26"/>
  <c r="A5914" i="26" s="1"/>
  <c r="B5915" i="26"/>
  <c r="A5915" i="26" s="1"/>
  <c r="B5916" i="26"/>
  <c r="A5916" i="26" s="1"/>
  <c r="B5917" i="26"/>
  <c r="A5917" i="26" s="1"/>
  <c r="B5918" i="26"/>
  <c r="A5918" i="26" s="1"/>
  <c r="B5919" i="26"/>
  <c r="A5919" i="26" s="1"/>
  <c r="B5920" i="26"/>
  <c r="A5920" i="26" s="1"/>
  <c r="B5921" i="26"/>
  <c r="A5921" i="26" s="1"/>
  <c r="B5922" i="26"/>
  <c r="A5922" i="26" s="1"/>
  <c r="B5923" i="26"/>
  <c r="A5923" i="26" s="1"/>
  <c r="B5924" i="26"/>
  <c r="A5924" i="26" s="1"/>
  <c r="B5925" i="26"/>
  <c r="A5925" i="26" s="1"/>
  <c r="B5926" i="26"/>
  <c r="A5926" i="26" s="1"/>
  <c r="B5927" i="26"/>
  <c r="A5927" i="26" s="1"/>
  <c r="B5928" i="26"/>
  <c r="A5928" i="26" s="1"/>
  <c r="B5929" i="26"/>
  <c r="A5929" i="26" s="1"/>
  <c r="B5930" i="26"/>
  <c r="A5930" i="26" s="1"/>
  <c r="B5931" i="26"/>
  <c r="A5931" i="26" s="1"/>
  <c r="B5932" i="26"/>
  <c r="A5932" i="26" s="1"/>
  <c r="B5933" i="26"/>
  <c r="A5933" i="26" s="1"/>
  <c r="B5934" i="26"/>
  <c r="A5934" i="26" s="1"/>
  <c r="B5935" i="26"/>
  <c r="A5935" i="26" s="1"/>
  <c r="B5936" i="26"/>
  <c r="A5936" i="26" s="1"/>
  <c r="B5937" i="26"/>
  <c r="A5937" i="26" s="1"/>
  <c r="B5938" i="26"/>
  <c r="A5938" i="26" s="1"/>
  <c r="B5939" i="26"/>
  <c r="A5939" i="26" s="1"/>
  <c r="B5940" i="26"/>
  <c r="A5940" i="26" s="1"/>
  <c r="B5941" i="26"/>
  <c r="A5941" i="26" s="1"/>
  <c r="B5942" i="26"/>
  <c r="A5942" i="26" s="1"/>
  <c r="B5943" i="26"/>
  <c r="A5943" i="26" s="1"/>
  <c r="B5944" i="26"/>
  <c r="A5944" i="26" s="1"/>
  <c r="B5945" i="26"/>
  <c r="A5945" i="26" s="1"/>
  <c r="B5946" i="26"/>
  <c r="A5946" i="26" s="1"/>
  <c r="B5947" i="26"/>
  <c r="A5947" i="26" s="1"/>
  <c r="B5948" i="26"/>
  <c r="A5948" i="26" s="1"/>
  <c r="B5949" i="26"/>
  <c r="A5949" i="26" s="1"/>
  <c r="B5950" i="26"/>
  <c r="A5950" i="26" s="1"/>
  <c r="B5951" i="26"/>
  <c r="A5951" i="26" s="1"/>
  <c r="B5952" i="26"/>
  <c r="A5952" i="26" s="1"/>
  <c r="B5953" i="26"/>
  <c r="A5953" i="26" s="1"/>
  <c r="B5954" i="26"/>
  <c r="A5954" i="26" s="1"/>
  <c r="B5955" i="26"/>
  <c r="A5955" i="26" s="1"/>
  <c r="B5956" i="26"/>
  <c r="A5956" i="26" s="1"/>
  <c r="B5957" i="26"/>
  <c r="A5957" i="26" s="1"/>
  <c r="B5958" i="26"/>
  <c r="A5958" i="26" s="1"/>
  <c r="B5959" i="26"/>
  <c r="A5959" i="26" s="1"/>
  <c r="B5960" i="26"/>
  <c r="A5960" i="26" s="1"/>
  <c r="B5961" i="26"/>
  <c r="A5961" i="26" s="1"/>
  <c r="B5962" i="26"/>
  <c r="A5962" i="26" s="1"/>
  <c r="B5963" i="26"/>
  <c r="A5963" i="26" s="1"/>
  <c r="B5964" i="26"/>
  <c r="A5964" i="26" s="1"/>
  <c r="B5965" i="26"/>
  <c r="A5965" i="26" s="1"/>
  <c r="B5966" i="26"/>
  <c r="A5966" i="26" s="1"/>
  <c r="B5967" i="26"/>
  <c r="A5967" i="26" s="1"/>
  <c r="B5968" i="26"/>
  <c r="A5968" i="26" s="1"/>
  <c r="B5969" i="26"/>
  <c r="A5969" i="26" s="1"/>
  <c r="B5970" i="26"/>
  <c r="A5970" i="26" s="1"/>
  <c r="B5971" i="26"/>
  <c r="A5971" i="26" s="1"/>
  <c r="B5972" i="26"/>
  <c r="A5972" i="26" s="1"/>
  <c r="B5973" i="26"/>
  <c r="A5973" i="26" s="1"/>
  <c r="B5974" i="26"/>
  <c r="A5974" i="26" s="1"/>
  <c r="B5975" i="26"/>
  <c r="A5975" i="26" s="1"/>
  <c r="B5976" i="26"/>
  <c r="A5976" i="26" s="1"/>
  <c r="B5977" i="26"/>
  <c r="A5977" i="26" s="1"/>
  <c r="B5978" i="26"/>
  <c r="A5978" i="26" s="1"/>
  <c r="B5979" i="26"/>
  <c r="A5979" i="26" s="1"/>
  <c r="B5980" i="26"/>
  <c r="A5980" i="26" s="1"/>
  <c r="B5981" i="26"/>
  <c r="A5981" i="26" s="1"/>
  <c r="B5982" i="26"/>
  <c r="A5982" i="26" s="1"/>
  <c r="B5983" i="26"/>
  <c r="A5983" i="26" s="1"/>
  <c r="B5984" i="26"/>
  <c r="A5984" i="26" s="1"/>
  <c r="B5985" i="26"/>
  <c r="A5985" i="26" s="1"/>
  <c r="B5986" i="26"/>
  <c r="A5986" i="26" s="1"/>
  <c r="B5987" i="26"/>
  <c r="A5987" i="26" s="1"/>
  <c r="B5988" i="26"/>
  <c r="A5988" i="26" s="1"/>
  <c r="B5989" i="26"/>
  <c r="A5989" i="26" s="1"/>
  <c r="B5990" i="26"/>
  <c r="A5990" i="26" s="1"/>
  <c r="B5991" i="26"/>
  <c r="A5991" i="26" s="1"/>
  <c r="B5992" i="26"/>
  <c r="A5992" i="26" s="1"/>
  <c r="B5993" i="26"/>
  <c r="A5993" i="26" s="1"/>
  <c r="B5994" i="26"/>
  <c r="A5994" i="26" s="1"/>
  <c r="B5995" i="26"/>
  <c r="A5995" i="26" s="1"/>
  <c r="B5996" i="26"/>
  <c r="A5996" i="26" s="1"/>
  <c r="B5997" i="26"/>
  <c r="A5997" i="26" s="1"/>
  <c r="B5998" i="26"/>
  <c r="A5998" i="26" s="1"/>
  <c r="B5999" i="26"/>
  <c r="A5999" i="26" s="1"/>
  <c r="B6000" i="26"/>
  <c r="A6000" i="26" s="1"/>
  <c r="B6001" i="26"/>
  <c r="A6001" i="26" s="1"/>
  <c r="B6002" i="26"/>
  <c r="A6002" i="26" s="1"/>
  <c r="B6003" i="26"/>
  <c r="A6003" i="26" s="1"/>
  <c r="B6004" i="26"/>
  <c r="A6004" i="26" s="1"/>
  <c r="B6005" i="26"/>
  <c r="A6005" i="26" s="1"/>
  <c r="B6006" i="26"/>
  <c r="A6006" i="26" s="1"/>
  <c r="B6007" i="26"/>
  <c r="A6007" i="26" s="1"/>
  <c r="B6008" i="26"/>
  <c r="A6008" i="26" s="1"/>
  <c r="B6009" i="26"/>
  <c r="A6009" i="26" s="1"/>
  <c r="B6010" i="26"/>
  <c r="A6010" i="26" s="1"/>
  <c r="B6011" i="26"/>
  <c r="A6011" i="26" s="1"/>
  <c r="B6012" i="26"/>
  <c r="A6012" i="26" s="1"/>
  <c r="B6013" i="26"/>
  <c r="A6013" i="26" s="1"/>
  <c r="B6014" i="26"/>
  <c r="A6014" i="26" s="1"/>
  <c r="B6015" i="26"/>
  <c r="A6015" i="26" s="1"/>
  <c r="B6016" i="26"/>
  <c r="A6016" i="26" s="1"/>
  <c r="B6017" i="26"/>
  <c r="A6017" i="26" s="1"/>
  <c r="B6018" i="26"/>
  <c r="A6018" i="26" s="1"/>
  <c r="B6019" i="26"/>
  <c r="A6019" i="26" s="1"/>
  <c r="B6020" i="26"/>
  <c r="A6020" i="26" s="1"/>
  <c r="B6021" i="26"/>
  <c r="A6021" i="26" s="1"/>
  <c r="B6022" i="26"/>
  <c r="A6022" i="26" s="1"/>
  <c r="B6023" i="26"/>
  <c r="A6023" i="26" s="1"/>
  <c r="B6024" i="26"/>
  <c r="A6024" i="26" s="1"/>
  <c r="B6025" i="26"/>
  <c r="A6025" i="26" s="1"/>
  <c r="B6026" i="26"/>
  <c r="A6026" i="26" s="1"/>
  <c r="B6027" i="26"/>
  <c r="A6027" i="26" s="1"/>
  <c r="B6028" i="26"/>
  <c r="A6028" i="26" s="1"/>
  <c r="B6029" i="26"/>
  <c r="A6029" i="26" s="1"/>
  <c r="B6030" i="26"/>
  <c r="A6030" i="26" s="1"/>
  <c r="B6031" i="26"/>
  <c r="A6031" i="26" s="1"/>
  <c r="B6032" i="26"/>
  <c r="A6032" i="26" s="1"/>
  <c r="B6033" i="26"/>
  <c r="A6033" i="26" s="1"/>
  <c r="B6034" i="26"/>
  <c r="A6034" i="26" s="1"/>
  <c r="B6035" i="26"/>
  <c r="A6035" i="26" s="1"/>
  <c r="B6036" i="26"/>
  <c r="A6036" i="26" s="1"/>
  <c r="B6037" i="26"/>
  <c r="A6037" i="26" s="1"/>
  <c r="B6038" i="26"/>
  <c r="A6038" i="26" s="1"/>
  <c r="B6039" i="26"/>
  <c r="A6039" i="26" s="1"/>
  <c r="B6040" i="26"/>
  <c r="A6040" i="26" s="1"/>
  <c r="B6041" i="26"/>
  <c r="A6041" i="26" s="1"/>
  <c r="B6042" i="26"/>
  <c r="A6042" i="26" s="1"/>
  <c r="B6043" i="26"/>
  <c r="A6043" i="26" s="1"/>
  <c r="B6044" i="26"/>
  <c r="A6044" i="26" s="1"/>
  <c r="B6045" i="26"/>
  <c r="A6045" i="26" s="1"/>
  <c r="B6046" i="26"/>
  <c r="A6046" i="26" s="1"/>
  <c r="B6047" i="26"/>
  <c r="A6047" i="26" s="1"/>
  <c r="B6048" i="26"/>
  <c r="A6048" i="26" s="1"/>
  <c r="B6049" i="26"/>
  <c r="A6049" i="26" s="1"/>
  <c r="B6050" i="26"/>
  <c r="A6050" i="26" s="1"/>
  <c r="B6051" i="26"/>
  <c r="A6051" i="26" s="1"/>
  <c r="B6052" i="26"/>
  <c r="A6052" i="26" s="1"/>
  <c r="B6053" i="26"/>
  <c r="A6053" i="26" s="1"/>
  <c r="B6054" i="26"/>
  <c r="A6054" i="26" s="1"/>
  <c r="B6055" i="26"/>
  <c r="A6055" i="26" s="1"/>
  <c r="B6056" i="26"/>
  <c r="A6056" i="26" s="1"/>
  <c r="B6057" i="26"/>
  <c r="A6057" i="26" s="1"/>
  <c r="B6058" i="26"/>
  <c r="A6058" i="26" s="1"/>
  <c r="B6059" i="26"/>
  <c r="A6059" i="26" s="1"/>
  <c r="B6060" i="26"/>
  <c r="A6060" i="26" s="1"/>
  <c r="B6061" i="26"/>
  <c r="A6061" i="26" s="1"/>
  <c r="B6062" i="26"/>
  <c r="A6062" i="26" s="1"/>
  <c r="B6063" i="26"/>
  <c r="A6063" i="26" s="1"/>
  <c r="B6064" i="26"/>
  <c r="A6064" i="26" s="1"/>
  <c r="B6065" i="26"/>
  <c r="A6065" i="26" s="1"/>
  <c r="B6066" i="26"/>
  <c r="A6066" i="26" s="1"/>
  <c r="B6067" i="26"/>
  <c r="A6067" i="26" s="1"/>
  <c r="B6068" i="26"/>
  <c r="A6068" i="26" s="1"/>
  <c r="B6069" i="26"/>
  <c r="A6069" i="26" s="1"/>
  <c r="B6070" i="26"/>
  <c r="A6070" i="26" s="1"/>
  <c r="B6071" i="26"/>
  <c r="A6071" i="26" s="1"/>
  <c r="B6072" i="26"/>
  <c r="A6072" i="26" s="1"/>
  <c r="B6073" i="26"/>
  <c r="A6073" i="26" s="1"/>
  <c r="B6074" i="26"/>
  <c r="A6074" i="26" s="1"/>
  <c r="B6075" i="26"/>
  <c r="A6075" i="26" s="1"/>
  <c r="B6076" i="26"/>
  <c r="A6076" i="26" s="1"/>
  <c r="B6077" i="26"/>
  <c r="A6077" i="26" s="1"/>
  <c r="B6078" i="26"/>
  <c r="A6078" i="26" s="1"/>
  <c r="B6079" i="26"/>
  <c r="A6079" i="26" s="1"/>
  <c r="B6080" i="26"/>
  <c r="A6080" i="26" s="1"/>
  <c r="B6081" i="26"/>
  <c r="A6081" i="26" s="1"/>
  <c r="B6082" i="26"/>
  <c r="A6082" i="26" s="1"/>
  <c r="B6083" i="26"/>
  <c r="A6083" i="26" s="1"/>
  <c r="B6084" i="26"/>
  <c r="A6084" i="26" s="1"/>
  <c r="B6085" i="26"/>
  <c r="A6085" i="26" s="1"/>
  <c r="B6086" i="26"/>
  <c r="A6086" i="26" s="1"/>
  <c r="B6087" i="26"/>
  <c r="A6087" i="26" s="1"/>
  <c r="B6088" i="26"/>
  <c r="A6088" i="26" s="1"/>
  <c r="B6089" i="26"/>
  <c r="A6089" i="26" s="1"/>
  <c r="B6090" i="26"/>
  <c r="A6090" i="26" s="1"/>
  <c r="B6091" i="26"/>
  <c r="A6091" i="26" s="1"/>
  <c r="B6092" i="26"/>
  <c r="A6092" i="26" s="1"/>
  <c r="B6093" i="26"/>
  <c r="A6093" i="26" s="1"/>
  <c r="B6094" i="26"/>
  <c r="A6094" i="26" s="1"/>
  <c r="B6095" i="26"/>
  <c r="A6095" i="26" s="1"/>
  <c r="B6096" i="26"/>
  <c r="A6096" i="26" s="1"/>
  <c r="B6097" i="26"/>
  <c r="A6097" i="26" s="1"/>
  <c r="B6098" i="26"/>
  <c r="A6098" i="26" s="1"/>
  <c r="B6099" i="26"/>
  <c r="A6099" i="26" s="1"/>
  <c r="B6100" i="26"/>
  <c r="A6100" i="26" s="1"/>
  <c r="B6101" i="26"/>
  <c r="A6101" i="26" s="1"/>
  <c r="B6102" i="26"/>
  <c r="A6102" i="26" s="1"/>
  <c r="B6103" i="26"/>
  <c r="A6103" i="26" s="1"/>
  <c r="B6104" i="26"/>
  <c r="A6104" i="26" s="1"/>
  <c r="B6105" i="26"/>
  <c r="A6105" i="26" s="1"/>
  <c r="B6106" i="26"/>
  <c r="A6106" i="26" s="1"/>
  <c r="B6107" i="26"/>
  <c r="A6107" i="26" s="1"/>
  <c r="B6108" i="26"/>
  <c r="A6108" i="26" s="1"/>
  <c r="B6109" i="26"/>
  <c r="A6109" i="26" s="1"/>
  <c r="B6110" i="26"/>
  <c r="A6110" i="26" s="1"/>
  <c r="B6111" i="26"/>
  <c r="A6111" i="26" s="1"/>
  <c r="B6112" i="26"/>
  <c r="A6112" i="26" s="1"/>
  <c r="B6113" i="26"/>
  <c r="A6113" i="26" s="1"/>
  <c r="B6114" i="26"/>
  <c r="A6114" i="26" s="1"/>
  <c r="B6115" i="26"/>
  <c r="A6115" i="26" s="1"/>
  <c r="B6116" i="26"/>
  <c r="A6116" i="26" s="1"/>
  <c r="B6117" i="26"/>
  <c r="A6117" i="26" s="1"/>
  <c r="B6118" i="26"/>
  <c r="A6118" i="26" s="1"/>
  <c r="B6119" i="26"/>
  <c r="A6119" i="26" s="1"/>
  <c r="B6120" i="26"/>
  <c r="A6120" i="26" s="1"/>
  <c r="B6121" i="26"/>
  <c r="A6121" i="26" s="1"/>
  <c r="B6122" i="26"/>
  <c r="A6122" i="26" s="1"/>
  <c r="B6123" i="26"/>
  <c r="A6123" i="26" s="1"/>
  <c r="B6124" i="26"/>
  <c r="A6124" i="26" s="1"/>
  <c r="B6125" i="26"/>
  <c r="A6125" i="26" s="1"/>
  <c r="B6126" i="26"/>
  <c r="A6126" i="26" s="1"/>
  <c r="B6127" i="26"/>
  <c r="A6127" i="26" s="1"/>
  <c r="B6128" i="26"/>
  <c r="A6128" i="26" s="1"/>
  <c r="B6129" i="26"/>
  <c r="A6129" i="26" s="1"/>
  <c r="B6130" i="26"/>
  <c r="A6130" i="26" s="1"/>
  <c r="B6131" i="26"/>
  <c r="A6131" i="26" s="1"/>
  <c r="B6132" i="26"/>
  <c r="A6132" i="26" s="1"/>
  <c r="B6133" i="26"/>
  <c r="A6133" i="26" s="1"/>
  <c r="B6134" i="26"/>
  <c r="A6134" i="26" s="1"/>
  <c r="B6135" i="26"/>
  <c r="A6135" i="26" s="1"/>
  <c r="B6136" i="26"/>
  <c r="A6136" i="26" s="1"/>
  <c r="B6137" i="26"/>
  <c r="A6137" i="26" s="1"/>
  <c r="B6138" i="26"/>
  <c r="A6138" i="26" s="1"/>
  <c r="B6139" i="26"/>
  <c r="A6139" i="26" s="1"/>
  <c r="B6140" i="26"/>
  <c r="A6140" i="26" s="1"/>
  <c r="B6141" i="26"/>
  <c r="A6141" i="26" s="1"/>
  <c r="B6142" i="26"/>
  <c r="A6142" i="26" s="1"/>
  <c r="B6143" i="26"/>
  <c r="A6143" i="26" s="1"/>
  <c r="B6144" i="26"/>
  <c r="A6144" i="26" s="1"/>
  <c r="B6145" i="26"/>
  <c r="A6145" i="26" s="1"/>
  <c r="B6146" i="26"/>
  <c r="A6146" i="26" s="1"/>
  <c r="B6147" i="26"/>
  <c r="A6147" i="26" s="1"/>
  <c r="B6148" i="26"/>
  <c r="A6148" i="26" s="1"/>
  <c r="B6149" i="26"/>
  <c r="A6149" i="26" s="1"/>
  <c r="B6150" i="26"/>
  <c r="A6150" i="26" s="1"/>
  <c r="B6151" i="26"/>
  <c r="A6151" i="26" s="1"/>
  <c r="B6152" i="26"/>
  <c r="A6152" i="26" s="1"/>
  <c r="B6153" i="26"/>
  <c r="A6153" i="26" s="1"/>
  <c r="B6154" i="26"/>
  <c r="A6154" i="26" s="1"/>
  <c r="B6155" i="26"/>
  <c r="A6155" i="26" s="1"/>
  <c r="B6156" i="26"/>
  <c r="A6156" i="26" s="1"/>
  <c r="B6157" i="26"/>
  <c r="A6157" i="26" s="1"/>
  <c r="B6158" i="26"/>
  <c r="A6158" i="26" s="1"/>
  <c r="B6159" i="26"/>
  <c r="A6159" i="26" s="1"/>
  <c r="B6160" i="26"/>
  <c r="A6160" i="26" s="1"/>
  <c r="B6161" i="26"/>
  <c r="A6161" i="26" s="1"/>
  <c r="B6162" i="26"/>
  <c r="A6162" i="26" s="1"/>
  <c r="B6163" i="26"/>
  <c r="A6163" i="26" s="1"/>
  <c r="B6164" i="26"/>
  <c r="A6164" i="26" s="1"/>
  <c r="B6165" i="26"/>
  <c r="A6165" i="26" s="1"/>
  <c r="B6166" i="26"/>
  <c r="A6166" i="26" s="1"/>
  <c r="B6167" i="26"/>
  <c r="A6167" i="26" s="1"/>
  <c r="B6168" i="26"/>
  <c r="A6168" i="26" s="1"/>
  <c r="B6169" i="26"/>
  <c r="A6169" i="26" s="1"/>
  <c r="B6170" i="26"/>
  <c r="A6170" i="26" s="1"/>
  <c r="B6171" i="26"/>
  <c r="A6171" i="26" s="1"/>
  <c r="B6172" i="26"/>
  <c r="A6172" i="26" s="1"/>
  <c r="B6173" i="26"/>
  <c r="A6173" i="26" s="1"/>
  <c r="B6174" i="26"/>
  <c r="A6174" i="26" s="1"/>
  <c r="B6175" i="26"/>
  <c r="A6175" i="26" s="1"/>
  <c r="B6176" i="26"/>
  <c r="A6176" i="26" s="1"/>
  <c r="B6177" i="26"/>
  <c r="A6177" i="26" s="1"/>
  <c r="B6178" i="26"/>
  <c r="A6178" i="26" s="1"/>
  <c r="B6179" i="26"/>
  <c r="A6179" i="26" s="1"/>
  <c r="B6180" i="26"/>
  <c r="A6180" i="26" s="1"/>
  <c r="B6181" i="26"/>
  <c r="A6181" i="26" s="1"/>
  <c r="B6182" i="26"/>
  <c r="A6182" i="26" s="1"/>
  <c r="B6183" i="26"/>
  <c r="A6183" i="26" s="1"/>
  <c r="B6184" i="26"/>
  <c r="A6184" i="26" s="1"/>
  <c r="B6185" i="26"/>
  <c r="A6185" i="26" s="1"/>
  <c r="B6186" i="26"/>
  <c r="A6186" i="26" s="1"/>
  <c r="B6187" i="26"/>
  <c r="A6187" i="26" s="1"/>
  <c r="B6188" i="26"/>
  <c r="A6188" i="26" s="1"/>
  <c r="B6189" i="26"/>
  <c r="A6189" i="26" s="1"/>
  <c r="B6190" i="26"/>
  <c r="A6190" i="26" s="1"/>
  <c r="B6191" i="26"/>
  <c r="A6191" i="26" s="1"/>
  <c r="B6192" i="26"/>
  <c r="A6192" i="26" s="1"/>
  <c r="B6193" i="26"/>
  <c r="A6193" i="26" s="1"/>
  <c r="B6194" i="26"/>
  <c r="A6194" i="26" s="1"/>
  <c r="B6195" i="26"/>
  <c r="A6195" i="26" s="1"/>
  <c r="B6196" i="26"/>
  <c r="A6196" i="26" s="1"/>
  <c r="B6197" i="26"/>
  <c r="A6197" i="26" s="1"/>
  <c r="B6198" i="26"/>
  <c r="A6198" i="26" s="1"/>
  <c r="B6199" i="26"/>
  <c r="A6199" i="26" s="1"/>
  <c r="B6200" i="26"/>
  <c r="A6200" i="26" s="1"/>
  <c r="B6201" i="26"/>
  <c r="A6201" i="26" s="1"/>
  <c r="B6202" i="26"/>
  <c r="A6202" i="26" s="1"/>
  <c r="B6203" i="26"/>
  <c r="A6203" i="26" s="1"/>
  <c r="B6204" i="26"/>
  <c r="A6204" i="26" s="1"/>
  <c r="B6205" i="26"/>
  <c r="A6205" i="26" s="1"/>
  <c r="B6206" i="26"/>
  <c r="A6206" i="26" s="1"/>
  <c r="B6207" i="26"/>
  <c r="A6207" i="26" s="1"/>
  <c r="B6208" i="26"/>
  <c r="A6208" i="26" s="1"/>
  <c r="B6209" i="26"/>
  <c r="A6209" i="26" s="1"/>
  <c r="B6210" i="26"/>
  <c r="A6210" i="26" s="1"/>
  <c r="B6211" i="26"/>
  <c r="A6211" i="26" s="1"/>
  <c r="B6212" i="26"/>
  <c r="A6212" i="26" s="1"/>
  <c r="B6213" i="26"/>
  <c r="A6213" i="26" s="1"/>
  <c r="B6214" i="26"/>
  <c r="A6214" i="26" s="1"/>
  <c r="B6215" i="26"/>
  <c r="A6215" i="26" s="1"/>
  <c r="B6216" i="26"/>
  <c r="A6216" i="26" s="1"/>
  <c r="B6217" i="26"/>
  <c r="A6217" i="26" s="1"/>
  <c r="B6218" i="26"/>
  <c r="A6218" i="26" s="1"/>
  <c r="B6219" i="26"/>
  <c r="A6219" i="26" s="1"/>
  <c r="B6220" i="26"/>
  <c r="A6220" i="26" s="1"/>
  <c r="B6221" i="26"/>
  <c r="A6221" i="26" s="1"/>
  <c r="B6222" i="26"/>
  <c r="A6222" i="26" s="1"/>
  <c r="B6223" i="26"/>
  <c r="A6223" i="26" s="1"/>
  <c r="B6224" i="26"/>
  <c r="A6224" i="26" s="1"/>
  <c r="B6225" i="26"/>
  <c r="A6225" i="26" s="1"/>
  <c r="B6226" i="26"/>
  <c r="A6226" i="26" s="1"/>
  <c r="B6227" i="26"/>
  <c r="A6227" i="26" s="1"/>
  <c r="B6228" i="26"/>
  <c r="A6228" i="26" s="1"/>
  <c r="B6229" i="26"/>
  <c r="A6229" i="26" s="1"/>
  <c r="B6230" i="26"/>
  <c r="A6230" i="26" s="1"/>
  <c r="B6231" i="26"/>
  <c r="A6231" i="26" s="1"/>
  <c r="B6232" i="26"/>
  <c r="A6232" i="26" s="1"/>
  <c r="B6233" i="26"/>
  <c r="A6233" i="26" s="1"/>
  <c r="B6234" i="26"/>
  <c r="A6234" i="26" s="1"/>
  <c r="B6235" i="26"/>
  <c r="A6235" i="26" s="1"/>
  <c r="B6236" i="26"/>
  <c r="A6236" i="26" s="1"/>
  <c r="B6237" i="26"/>
  <c r="A6237" i="26" s="1"/>
  <c r="B6238" i="26"/>
  <c r="A6238" i="26" s="1"/>
  <c r="B6239" i="26"/>
  <c r="A6239" i="26" s="1"/>
  <c r="B6240" i="26"/>
  <c r="A6240" i="26" s="1"/>
  <c r="B6241" i="26"/>
  <c r="A6241" i="26" s="1"/>
  <c r="B6242" i="26"/>
  <c r="A6242" i="26" s="1"/>
  <c r="B6243" i="26"/>
  <c r="A6243" i="26" s="1"/>
  <c r="B6244" i="26"/>
  <c r="A6244" i="26" s="1"/>
  <c r="B6245" i="26"/>
  <c r="A6245" i="26" s="1"/>
  <c r="B6246" i="26"/>
  <c r="A6246" i="26" s="1"/>
  <c r="B6247" i="26"/>
  <c r="A6247" i="26" s="1"/>
  <c r="B6248" i="26"/>
  <c r="A6248" i="26" s="1"/>
  <c r="B6249" i="26"/>
  <c r="A6249" i="26" s="1"/>
  <c r="B6250" i="26"/>
  <c r="A6250" i="26" s="1"/>
  <c r="B6251" i="26"/>
  <c r="A6251" i="26" s="1"/>
  <c r="B6252" i="26"/>
  <c r="A6252" i="26" s="1"/>
  <c r="B6253" i="26"/>
  <c r="A6253" i="26" s="1"/>
  <c r="B6254" i="26"/>
  <c r="A6254" i="26" s="1"/>
  <c r="B6255" i="26"/>
  <c r="A6255" i="26" s="1"/>
  <c r="B6256" i="26"/>
  <c r="A6256" i="26" s="1"/>
  <c r="B6257" i="26"/>
  <c r="A6257" i="26" s="1"/>
  <c r="B6258" i="26"/>
  <c r="A6258" i="26" s="1"/>
  <c r="B6259" i="26"/>
  <c r="A6259" i="26" s="1"/>
  <c r="B6260" i="26"/>
  <c r="A6260" i="26" s="1"/>
  <c r="B6261" i="26"/>
  <c r="A6261" i="26" s="1"/>
  <c r="B6262" i="26"/>
  <c r="A6262" i="26" s="1"/>
  <c r="B6263" i="26"/>
  <c r="A6263" i="26" s="1"/>
  <c r="B6264" i="26"/>
  <c r="A6264" i="26" s="1"/>
  <c r="B6265" i="26"/>
  <c r="A6265" i="26" s="1"/>
  <c r="B6266" i="26"/>
  <c r="A6266" i="26" s="1"/>
  <c r="B6267" i="26"/>
  <c r="A6267" i="26" s="1"/>
  <c r="B6268" i="26"/>
  <c r="A6268" i="26" s="1"/>
  <c r="B6269" i="26"/>
  <c r="A6269" i="26" s="1"/>
  <c r="B6270" i="26"/>
  <c r="A6270" i="26" s="1"/>
  <c r="B6271" i="26"/>
  <c r="A6271" i="26" s="1"/>
  <c r="B6272" i="26"/>
  <c r="A6272" i="26" s="1"/>
  <c r="B6273" i="26"/>
  <c r="A6273" i="26" s="1"/>
  <c r="B6274" i="26"/>
  <c r="A6274" i="26" s="1"/>
  <c r="B6275" i="26"/>
  <c r="A6275" i="26" s="1"/>
  <c r="B6276" i="26"/>
  <c r="A6276" i="26" s="1"/>
  <c r="B6277" i="26"/>
  <c r="A6277" i="26" s="1"/>
  <c r="B6278" i="26"/>
  <c r="A6278" i="26" s="1"/>
  <c r="B6279" i="26"/>
  <c r="A6279" i="26" s="1"/>
  <c r="B6280" i="26"/>
  <c r="A6280" i="26" s="1"/>
  <c r="B6281" i="26"/>
  <c r="A6281" i="26" s="1"/>
  <c r="B6282" i="26"/>
  <c r="A6282" i="26" s="1"/>
  <c r="B6283" i="26"/>
  <c r="A6283" i="26" s="1"/>
  <c r="B6284" i="26"/>
  <c r="A6284" i="26" s="1"/>
  <c r="B6285" i="26"/>
  <c r="A6285" i="26" s="1"/>
  <c r="B6286" i="26"/>
  <c r="A6286" i="26" s="1"/>
  <c r="B6287" i="26"/>
  <c r="A6287" i="26" s="1"/>
  <c r="B6288" i="26"/>
  <c r="A6288" i="26" s="1"/>
  <c r="B6289" i="26"/>
  <c r="A6289" i="26" s="1"/>
  <c r="B6290" i="26"/>
  <c r="A6290" i="26" s="1"/>
  <c r="B6291" i="26"/>
  <c r="A6291" i="26" s="1"/>
  <c r="B6292" i="26"/>
  <c r="A6292" i="26" s="1"/>
  <c r="B6293" i="26"/>
  <c r="A6293" i="26" s="1"/>
  <c r="B6294" i="26"/>
  <c r="A6294" i="26" s="1"/>
  <c r="B6295" i="26"/>
  <c r="A6295" i="26" s="1"/>
  <c r="B6296" i="26"/>
  <c r="A6296" i="26" s="1"/>
  <c r="B6297" i="26"/>
  <c r="A6297" i="26" s="1"/>
  <c r="B6298" i="26"/>
  <c r="A6298" i="26" s="1"/>
  <c r="B6299" i="26"/>
  <c r="A6299" i="26" s="1"/>
  <c r="B6300" i="26"/>
  <c r="A6300" i="26" s="1"/>
  <c r="B6301" i="26"/>
  <c r="A6301" i="26" s="1"/>
  <c r="B6302" i="26"/>
  <c r="A6302" i="26" s="1"/>
  <c r="B6303" i="26"/>
  <c r="A6303" i="26" s="1"/>
  <c r="B6304" i="26"/>
  <c r="A6304" i="26" s="1"/>
  <c r="B6305" i="26"/>
  <c r="A6305" i="26" s="1"/>
  <c r="B6306" i="26"/>
  <c r="A6306" i="26" s="1"/>
  <c r="B6307" i="26"/>
  <c r="A6307" i="26" s="1"/>
  <c r="B6308" i="26"/>
  <c r="A6308" i="26" s="1"/>
  <c r="B6309" i="26"/>
  <c r="A6309" i="26" s="1"/>
  <c r="B6310" i="26"/>
  <c r="A6310" i="26" s="1"/>
  <c r="B6311" i="26"/>
  <c r="A6311" i="26" s="1"/>
  <c r="B6312" i="26"/>
  <c r="A6312" i="26" s="1"/>
  <c r="B6313" i="26"/>
  <c r="A6313" i="26" s="1"/>
  <c r="B6314" i="26"/>
  <c r="A6314" i="26" s="1"/>
  <c r="B6315" i="26"/>
  <c r="A6315" i="26" s="1"/>
  <c r="B6316" i="26"/>
  <c r="A6316" i="26" s="1"/>
  <c r="B6317" i="26"/>
  <c r="A6317" i="26" s="1"/>
  <c r="B6318" i="26"/>
  <c r="A6318" i="26" s="1"/>
  <c r="B6319" i="26"/>
  <c r="A6319" i="26" s="1"/>
  <c r="B6320" i="26"/>
  <c r="A6320" i="26" s="1"/>
  <c r="B6321" i="26"/>
  <c r="A6321" i="26" s="1"/>
  <c r="B6322" i="26"/>
  <c r="A6322" i="26" s="1"/>
  <c r="B6323" i="26"/>
  <c r="A6323" i="26" s="1"/>
  <c r="B6324" i="26"/>
  <c r="A6324" i="26" s="1"/>
  <c r="B6325" i="26"/>
  <c r="A6325" i="26" s="1"/>
  <c r="B6326" i="26"/>
  <c r="A6326" i="26" s="1"/>
  <c r="B6327" i="26"/>
  <c r="A6327" i="26" s="1"/>
  <c r="B6328" i="26"/>
  <c r="A6328" i="26" s="1"/>
  <c r="B6329" i="26"/>
  <c r="A6329" i="26" s="1"/>
  <c r="B6330" i="26"/>
  <c r="A6330" i="26" s="1"/>
  <c r="B6331" i="26"/>
  <c r="A6331" i="26" s="1"/>
  <c r="B6332" i="26"/>
  <c r="A6332" i="26" s="1"/>
  <c r="B6333" i="26"/>
  <c r="A6333" i="26" s="1"/>
  <c r="B6334" i="26"/>
  <c r="A6334" i="26" s="1"/>
  <c r="B6335" i="26"/>
  <c r="A6335" i="26" s="1"/>
  <c r="B6336" i="26"/>
  <c r="A6336" i="26" s="1"/>
  <c r="B6337" i="26"/>
  <c r="A6337" i="26" s="1"/>
  <c r="B6338" i="26"/>
  <c r="A6338" i="26" s="1"/>
  <c r="B6339" i="26"/>
  <c r="A6339" i="26" s="1"/>
  <c r="B6340" i="26"/>
  <c r="A6340" i="26" s="1"/>
  <c r="B6341" i="26"/>
  <c r="A6341" i="26" s="1"/>
  <c r="B6342" i="26"/>
  <c r="A6342" i="26" s="1"/>
  <c r="B6343" i="26"/>
  <c r="A6343" i="26" s="1"/>
  <c r="B6344" i="26"/>
  <c r="A6344" i="26" s="1"/>
  <c r="B6345" i="26"/>
  <c r="A6345" i="26" s="1"/>
  <c r="B6346" i="26"/>
  <c r="A6346" i="26" s="1"/>
  <c r="B6347" i="26"/>
  <c r="A6347" i="26" s="1"/>
  <c r="B6348" i="26"/>
  <c r="A6348" i="26" s="1"/>
  <c r="B6349" i="26"/>
  <c r="A6349" i="26" s="1"/>
  <c r="B6350" i="26"/>
  <c r="A6350" i="26" s="1"/>
  <c r="B6351" i="26"/>
  <c r="A6351" i="26" s="1"/>
  <c r="B6352" i="26"/>
  <c r="A6352" i="26" s="1"/>
  <c r="B6353" i="26"/>
  <c r="A6353" i="26" s="1"/>
  <c r="B6354" i="26"/>
  <c r="A6354" i="26" s="1"/>
  <c r="B6355" i="26"/>
  <c r="A6355" i="26" s="1"/>
  <c r="B6356" i="26"/>
  <c r="A6356" i="26" s="1"/>
  <c r="B6357" i="26"/>
  <c r="A6357" i="26" s="1"/>
  <c r="B6358" i="26"/>
  <c r="A6358" i="26" s="1"/>
  <c r="B6359" i="26"/>
  <c r="A6359" i="26" s="1"/>
  <c r="B6360" i="26"/>
  <c r="A6360" i="26" s="1"/>
  <c r="B6361" i="26"/>
  <c r="A6361" i="26" s="1"/>
  <c r="B6362" i="26"/>
  <c r="A6362" i="26" s="1"/>
  <c r="B6363" i="26"/>
  <c r="A6363" i="26" s="1"/>
  <c r="B6364" i="26"/>
  <c r="A6364" i="26" s="1"/>
  <c r="B6365" i="26"/>
  <c r="A6365" i="26" s="1"/>
  <c r="B6366" i="26"/>
  <c r="A6366" i="26" s="1"/>
  <c r="B6367" i="26"/>
  <c r="A6367" i="26" s="1"/>
  <c r="B6368" i="26"/>
  <c r="A6368" i="26" s="1"/>
  <c r="B6369" i="26"/>
  <c r="A6369" i="26" s="1"/>
  <c r="B6370" i="26"/>
  <c r="A6370" i="26" s="1"/>
  <c r="B6371" i="26"/>
  <c r="A6371" i="26" s="1"/>
  <c r="B6372" i="26"/>
  <c r="A6372" i="26" s="1"/>
  <c r="B6373" i="26"/>
  <c r="A6373" i="26" s="1"/>
  <c r="B6374" i="26"/>
  <c r="A6374" i="26" s="1"/>
  <c r="B6375" i="26"/>
  <c r="A6375" i="26" s="1"/>
  <c r="B6376" i="26"/>
  <c r="A6376" i="26" s="1"/>
  <c r="B6377" i="26"/>
  <c r="A6377" i="26" s="1"/>
  <c r="B6378" i="26"/>
  <c r="A6378" i="26" s="1"/>
  <c r="B6379" i="26"/>
  <c r="A6379" i="26" s="1"/>
  <c r="B6380" i="26"/>
  <c r="A6380" i="26" s="1"/>
  <c r="B6381" i="26"/>
  <c r="A6381" i="26" s="1"/>
  <c r="B6382" i="26"/>
  <c r="A6382" i="26" s="1"/>
  <c r="B6383" i="26"/>
  <c r="A6383" i="26" s="1"/>
  <c r="B6384" i="26"/>
  <c r="A6384" i="26" s="1"/>
  <c r="B6385" i="26"/>
  <c r="A6385" i="26" s="1"/>
  <c r="B6386" i="26"/>
  <c r="A6386" i="26" s="1"/>
  <c r="B6387" i="26"/>
  <c r="A6387" i="26" s="1"/>
  <c r="B6388" i="26"/>
  <c r="A6388" i="26" s="1"/>
  <c r="B6389" i="26"/>
  <c r="A6389" i="26" s="1"/>
  <c r="B6390" i="26"/>
  <c r="A6390" i="26" s="1"/>
  <c r="B6391" i="26"/>
  <c r="A6391" i="26" s="1"/>
  <c r="B6392" i="26"/>
  <c r="A6392" i="26" s="1"/>
  <c r="B6393" i="26"/>
  <c r="A6393" i="26" s="1"/>
  <c r="B6394" i="26"/>
  <c r="A6394" i="26" s="1"/>
  <c r="B6395" i="26"/>
  <c r="A6395" i="26" s="1"/>
  <c r="B6396" i="26"/>
  <c r="A6396" i="26" s="1"/>
  <c r="B6397" i="26"/>
  <c r="A6397" i="26" s="1"/>
  <c r="B6398" i="26"/>
  <c r="A6398" i="26" s="1"/>
  <c r="B6399" i="26"/>
  <c r="A6399" i="26" s="1"/>
  <c r="B6400" i="26"/>
  <c r="A6400" i="26" s="1"/>
  <c r="B6401" i="26"/>
  <c r="A6401" i="26" s="1"/>
  <c r="B6402" i="26"/>
  <c r="A6402" i="26" s="1"/>
  <c r="B6403" i="26"/>
  <c r="A6403" i="26" s="1"/>
  <c r="B6404" i="26"/>
  <c r="A6404" i="26" s="1"/>
  <c r="B6405" i="26"/>
  <c r="A6405" i="26" s="1"/>
  <c r="B6406" i="26"/>
  <c r="A6406" i="26" s="1"/>
  <c r="B6407" i="26"/>
  <c r="A6407" i="26" s="1"/>
  <c r="B6408" i="26"/>
  <c r="A6408" i="26" s="1"/>
  <c r="B6409" i="26"/>
  <c r="A6409" i="26" s="1"/>
  <c r="B6410" i="26"/>
  <c r="A6410" i="26" s="1"/>
  <c r="B6411" i="26"/>
  <c r="A6411" i="26" s="1"/>
  <c r="B6412" i="26"/>
  <c r="A6412" i="26" s="1"/>
  <c r="B6413" i="26"/>
  <c r="A6413" i="26" s="1"/>
  <c r="B6414" i="26"/>
  <c r="A6414" i="26" s="1"/>
  <c r="B6415" i="26"/>
  <c r="A6415" i="26" s="1"/>
  <c r="B6416" i="26"/>
  <c r="A6416" i="26" s="1"/>
  <c r="B6417" i="26"/>
  <c r="A6417" i="26" s="1"/>
  <c r="B6418" i="26"/>
  <c r="A6418" i="26" s="1"/>
  <c r="B6419" i="26"/>
  <c r="A6419" i="26" s="1"/>
  <c r="B6420" i="26"/>
  <c r="A6420" i="26" s="1"/>
  <c r="B6421" i="26"/>
  <c r="A6421" i="26" s="1"/>
  <c r="B6422" i="26"/>
  <c r="A6422" i="26" s="1"/>
  <c r="B6423" i="26"/>
  <c r="A6423" i="26" s="1"/>
  <c r="B6424" i="26"/>
  <c r="A6424" i="26" s="1"/>
  <c r="B6425" i="26"/>
  <c r="A6425" i="26" s="1"/>
  <c r="B6426" i="26"/>
  <c r="A6426" i="26" s="1"/>
  <c r="B6427" i="26"/>
  <c r="A6427" i="26" s="1"/>
  <c r="B6428" i="26"/>
  <c r="A6428" i="26" s="1"/>
  <c r="B6429" i="26"/>
  <c r="A6429" i="26" s="1"/>
  <c r="B6430" i="26"/>
  <c r="A6430" i="26" s="1"/>
  <c r="B6431" i="26"/>
  <c r="A6431" i="26" s="1"/>
  <c r="B6432" i="26"/>
  <c r="A6432" i="26" s="1"/>
  <c r="B6433" i="26"/>
  <c r="A6433" i="26" s="1"/>
  <c r="B6434" i="26"/>
  <c r="A6434" i="26" s="1"/>
  <c r="B6435" i="26"/>
  <c r="A6435" i="26" s="1"/>
  <c r="B6436" i="26"/>
  <c r="A6436" i="26" s="1"/>
  <c r="B6437" i="26"/>
  <c r="A6437" i="26" s="1"/>
  <c r="B6438" i="26"/>
  <c r="A6438" i="26" s="1"/>
  <c r="B6439" i="26"/>
  <c r="A6439" i="26" s="1"/>
  <c r="B6440" i="26"/>
  <c r="A6440" i="26" s="1"/>
  <c r="B6441" i="26"/>
  <c r="A6441" i="26" s="1"/>
  <c r="B6442" i="26"/>
  <c r="A6442" i="26" s="1"/>
  <c r="B6443" i="26"/>
  <c r="A6443" i="26" s="1"/>
  <c r="B6444" i="26"/>
  <c r="A6444" i="26" s="1"/>
  <c r="B6445" i="26"/>
  <c r="A6445" i="26" s="1"/>
  <c r="B6446" i="26"/>
  <c r="A6446" i="26" s="1"/>
  <c r="B6447" i="26"/>
  <c r="A6447" i="26" s="1"/>
  <c r="B6448" i="26"/>
  <c r="A6448" i="26" s="1"/>
  <c r="B6449" i="26"/>
  <c r="A6449" i="26" s="1"/>
  <c r="B6450" i="26"/>
  <c r="A6450" i="26" s="1"/>
  <c r="B6451" i="26"/>
  <c r="A6451" i="26" s="1"/>
  <c r="B6452" i="26"/>
  <c r="A6452" i="26" s="1"/>
  <c r="B6453" i="26"/>
  <c r="A6453" i="26" s="1"/>
  <c r="B6454" i="26"/>
  <c r="A6454" i="26" s="1"/>
  <c r="B6455" i="26"/>
  <c r="A6455" i="26" s="1"/>
  <c r="B6456" i="26"/>
  <c r="A6456" i="26" s="1"/>
  <c r="B6457" i="26"/>
  <c r="A6457" i="26" s="1"/>
  <c r="B6458" i="26"/>
  <c r="A6458" i="26" s="1"/>
  <c r="B6459" i="26"/>
  <c r="A6459" i="26" s="1"/>
  <c r="B6460" i="26"/>
  <c r="A6460" i="26" s="1"/>
  <c r="B6461" i="26"/>
  <c r="A6461" i="26" s="1"/>
  <c r="B6462" i="26"/>
  <c r="A6462" i="26" s="1"/>
  <c r="B6463" i="26"/>
  <c r="A6463" i="26" s="1"/>
  <c r="B6464" i="26"/>
  <c r="A6464" i="26" s="1"/>
  <c r="B6465" i="26"/>
  <c r="A6465" i="26" s="1"/>
  <c r="B6466" i="26"/>
  <c r="A6466" i="26" s="1"/>
  <c r="B6467" i="26"/>
  <c r="A6467" i="26" s="1"/>
  <c r="B6468" i="26"/>
  <c r="A6468" i="26" s="1"/>
  <c r="B6469" i="26"/>
  <c r="A6469" i="26" s="1"/>
  <c r="B6470" i="26"/>
  <c r="A6470" i="26" s="1"/>
  <c r="B6471" i="26"/>
  <c r="A6471" i="26" s="1"/>
  <c r="B6472" i="26"/>
  <c r="A6472" i="26" s="1"/>
  <c r="B6473" i="26"/>
  <c r="A6473" i="26" s="1"/>
  <c r="B6474" i="26"/>
  <c r="A6474" i="26" s="1"/>
  <c r="B6475" i="26"/>
  <c r="A6475" i="26" s="1"/>
  <c r="B6476" i="26"/>
  <c r="A6476" i="26" s="1"/>
  <c r="B6477" i="26"/>
  <c r="A6477" i="26" s="1"/>
  <c r="B6478" i="26"/>
  <c r="A6478" i="26" s="1"/>
  <c r="B6479" i="26"/>
  <c r="A6479" i="26" s="1"/>
  <c r="B6480" i="26"/>
  <c r="A6480" i="26" s="1"/>
  <c r="B6481" i="26"/>
  <c r="A6481" i="26" s="1"/>
  <c r="B6482" i="26"/>
  <c r="A6482" i="26" s="1"/>
  <c r="B6483" i="26"/>
  <c r="A6483" i="26" s="1"/>
  <c r="B6484" i="26"/>
  <c r="A6484" i="26" s="1"/>
  <c r="B6485" i="26"/>
  <c r="A6485" i="26" s="1"/>
  <c r="B6486" i="26"/>
  <c r="A6486" i="26" s="1"/>
  <c r="B6487" i="26"/>
  <c r="A6487" i="26" s="1"/>
  <c r="B6488" i="26"/>
  <c r="A6488" i="26" s="1"/>
  <c r="B6489" i="26"/>
  <c r="A6489" i="26" s="1"/>
  <c r="B6490" i="26"/>
  <c r="A6490" i="26" s="1"/>
  <c r="B6491" i="26"/>
  <c r="A6491" i="26" s="1"/>
  <c r="B6492" i="26"/>
  <c r="A6492" i="26" s="1"/>
  <c r="B6493" i="26"/>
  <c r="A6493" i="26" s="1"/>
  <c r="B6494" i="26"/>
  <c r="A6494" i="26" s="1"/>
  <c r="B6495" i="26"/>
  <c r="A6495" i="26" s="1"/>
  <c r="B6496" i="26"/>
  <c r="A6496" i="26" s="1"/>
  <c r="B6497" i="26"/>
  <c r="A6497" i="26" s="1"/>
  <c r="B6498" i="26"/>
  <c r="A6498" i="26" s="1"/>
  <c r="B6499" i="26"/>
  <c r="A6499" i="26" s="1"/>
  <c r="B6500" i="26"/>
  <c r="A6500" i="26" s="1"/>
  <c r="B6501" i="26"/>
  <c r="A6501" i="26" s="1"/>
  <c r="B6502" i="26"/>
  <c r="A6502" i="26" s="1"/>
  <c r="B6503" i="26"/>
  <c r="A6503" i="26" s="1"/>
  <c r="B6504" i="26"/>
  <c r="A6504" i="26" s="1"/>
  <c r="B6505" i="26"/>
  <c r="A6505" i="26" s="1"/>
  <c r="B6506" i="26"/>
  <c r="A6506" i="26" s="1"/>
  <c r="B6507" i="26"/>
  <c r="A6507" i="26" s="1"/>
  <c r="B6508" i="26"/>
  <c r="A6508" i="26" s="1"/>
  <c r="B6509" i="26"/>
  <c r="A6509" i="26" s="1"/>
  <c r="B6510" i="26"/>
  <c r="A6510" i="26" s="1"/>
  <c r="B6511" i="26"/>
  <c r="A6511" i="26" s="1"/>
  <c r="B6512" i="26"/>
  <c r="A6512" i="26" s="1"/>
  <c r="B6513" i="26"/>
  <c r="A6513" i="26" s="1"/>
  <c r="B6514" i="26"/>
  <c r="A6514" i="26" s="1"/>
  <c r="B6515" i="26"/>
  <c r="A6515" i="26" s="1"/>
  <c r="B6516" i="26"/>
  <c r="A6516" i="26" s="1"/>
  <c r="B6517" i="26"/>
  <c r="A6517" i="26" s="1"/>
  <c r="B6518" i="26"/>
  <c r="A6518" i="26" s="1"/>
  <c r="B6519" i="26"/>
  <c r="A6519" i="26" s="1"/>
  <c r="B6520" i="26"/>
  <c r="A6520" i="26" s="1"/>
  <c r="B6521" i="26"/>
  <c r="A6521" i="26" s="1"/>
  <c r="B6522" i="26"/>
  <c r="A6522" i="26" s="1"/>
  <c r="B6523" i="26"/>
  <c r="A6523" i="26" s="1"/>
  <c r="B6524" i="26"/>
  <c r="A6524" i="26" s="1"/>
  <c r="B6525" i="26"/>
  <c r="A6525" i="26" s="1"/>
  <c r="B6526" i="26"/>
  <c r="A6526" i="26" s="1"/>
  <c r="B6527" i="26"/>
  <c r="A6527" i="26" s="1"/>
  <c r="B6528" i="26"/>
  <c r="A6528" i="26" s="1"/>
  <c r="B6529" i="26"/>
  <c r="A6529" i="26" s="1"/>
  <c r="B6530" i="26"/>
  <c r="A6530" i="26" s="1"/>
  <c r="B6531" i="26"/>
  <c r="A6531" i="26" s="1"/>
  <c r="B6532" i="26"/>
  <c r="A6532" i="26" s="1"/>
  <c r="B6533" i="26"/>
  <c r="A6533" i="26" s="1"/>
  <c r="B6534" i="26"/>
  <c r="A6534" i="26" s="1"/>
  <c r="B6535" i="26"/>
  <c r="A6535" i="26" s="1"/>
  <c r="B6536" i="26"/>
  <c r="A6536" i="26" s="1"/>
  <c r="B6537" i="26"/>
  <c r="A6537" i="26" s="1"/>
  <c r="B6538" i="26"/>
  <c r="A6538" i="26" s="1"/>
  <c r="B6539" i="26"/>
  <c r="A6539" i="26" s="1"/>
  <c r="B6540" i="26"/>
  <c r="A6540" i="26" s="1"/>
  <c r="B6541" i="26"/>
  <c r="A6541" i="26" s="1"/>
  <c r="B6542" i="26"/>
  <c r="A6542" i="26" s="1"/>
  <c r="B6543" i="26"/>
  <c r="A6543" i="26" s="1"/>
  <c r="B6544" i="26"/>
  <c r="A6544" i="26" s="1"/>
  <c r="B6545" i="26"/>
  <c r="A6545" i="26" s="1"/>
  <c r="B6546" i="26"/>
  <c r="A6546" i="26" s="1"/>
  <c r="B6547" i="26"/>
  <c r="A6547" i="26" s="1"/>
  <c r="B6548" i="26"/>
  <c r="A6548" i="26" s="1"/>
  <c r="B6549" i="26"/>
  <c r="A6549" i="26" s="1"/>
  <c r="B6550" i="26"/>
  <c r="A6550" i="26" s="1"/>
  <c r="B6551" i="26"/>
  <c r="A6551" i="26" s="1"/>
  <c r="B6552" i="26"/>
  <c r="A6552" i="26" s="1"/>
  <c r="B6553" i="26"/>
  <c r="A6553" i="26" s="1"/>
  <c r="B6554" i="26"/>
  <c r="A6554" i="26" s="1"/>
  <c r="B6555" i="26"/>
  <c r="A6555" i="26" s="1"/>
  <c r="B6556" i="26"/>
  <c r="A6556" i="26" s="1"/>
  <c r="B6557" i="26"/>
  <c r="A6557" i="26" s="1"/>
  <c r="B6558" i="26"/>
  <c r="A6558" i="26" s="1"/>
  <c r="B6559" i="26"/>
  <c r="A6559" i="26" s="1"/>
  <c r="B6560" i="26"/>
  <c r="A6560" i="26" s="1"/>
  <c r="B6561" i="26"/>
  <c r="A6561" i="26" s="1"/>
  <c r="B6562" i="26"/>
  <c r="A6562" i="26" s="1"/>
  <c r="B6563" i="26"/>
  <c r="A6563" i="26" s="1"/>
  <c r="B6564" i="26"/>
  <c r="A6564" i="26" s="1"/>
  <c r="B6565" i="26"/>
  <c r="A6565" i="26" s="1"/>
  <c r="B6566" i="26"/>
  <c r="A6566" i="26" s="1"/>
  <c r="B6567" i="26"/>
  <c r="A6567" i="26" s="1"/>
  <c r="B6568" i="26"/>
  <c r="A6568" i="26" s="1"/>
  <c r="B6569" i="26"/>
  <c r="A6569" i="26" s="1"/>
  <c r="B6570" i="26"/>
  <c r="A6570" i="26" s="1"/>
  <c r="B6571" i="26"/>
  <c r="A6571" i="26" s="1"/>
  <c r="B6572" i="26"/>
  <c r="A6572" i="26" s="1"/>
  <c r="B6573" i="26"/>
  <c r="A6573" i="26" s="1"/>
  <c r="B6574" i="26"/>
  <c r="A6574" i="26" s="1"/>
  <c r="B6575" i="26"/>
  <c r="A6575" i="26" s="1"/>
  <c r="B6576" i="26"/>
  <c r="A6576" i="26" s="1"/>
  <c r="B6577" i="26"/>
  <c r="A6577" i="26" s="1"/>
  <c r="B6578" i="26"/>
  <c r="A6578" i="26" s="1"/>
  <c r="B6579" i="26"/>
  <c r="A6579" i="26" s="1"/>
  <c r="B6580" i="26"/>
  <c r="A6580" i="26" s="1"/>
  <c r="B6581" i="26"/>
  <c r="A6581" i="26" s="1"/>
  <c r="B6582" i="26"/>
  <c r="A6582" i="26" s="1"/>
  <c r="B6583" i="26"/>
  <c r="A6583" i="26" s="1"/>
  <c r="B6584" i="26"/>
  <c r="A6584" i="26" s="1"/>
  <c r="B6585" i="26"/>
  <c r="A6585" i="26" s="1"/>
  <c r="B6586" i="26"/>
  <c r="A6586" i="26" s="1"/>
  <c r="B6587" i="26"/>
  <c r="A6587" i="26" s="1"/>
  <c r="B6588" i="26"/>
  <c r="A6588" i="26" s="1"/>
  <c r="B6589" i="26"/>
  <c r="A6589" i="26" s="1"/>
  <c r="B6590" i="26"/>
  <c r="A6590" i="26" s="1"/>
  <c r="B6591" i="26"/>
  <c r="A6591" i="26" s="1"/>
  <c r="B6592" i="26"/>
  <c r="A6592" i="26" s="1"/>
  <c r="B6593" i="26"/>
  <c r="A6593" i="26" s="1"/>
  <c r="B6594" i="26"/>
  <c r="A6594" i="26" s="1"/>
  <c r="B6595" i="26"/>
  <c r="A6595" i="26" s="1"/>
  <c r="B6596" i="26"/>
  <c r="A6596" i="26" s="1"/>
  <c r="B6597" i="26"/>
  <c r="A6597" i="26" s="1"/>
  <c r="B6598" i="26"/>
  <c r="A6598" i="26" s="1"/>
  <c r="B6599" i="26"/>
  <c r="A6599" i="26" s="1"/>
  <c r="B6600" i="26"/>
  <c r="A6600" i="26" s="1"/>
  <c r="B6601" i="26"/>
  <c r="A6601" i="26" s="1"/>
  <c r="B6602" i="26"/>
  <c r="A6602" i="26" s="1"/>
  <c r="B6603" i="26"/>
  <c r="A6603" i="26" s="1"/>
  <c r="B6604" i="26"/>
  <c r="A6604" i="26" s="1"/>
  <c r="B6605" i="26"/>
  <c r="A6605" i="26" s="1"/>
  <c r="B6606" i="26"/>
  <c r="A6606" i="26" s="1"/>
  <c r="B6607" i="26"/>
  <c r="A6607" i="26" s="1"/>
  <c r="B6608" i="26"/>
  <c r="A6608" i="26" s="1"/>
  <c r="B6609" i="26"/>
  <c r="A6609" i="26" s="1"/>
  <c r="B6610" i="26"/>
  <c r="A6610" i="26" s="1"/>
  <c r="B6611" i="26"/>
  <c r="A6611" i="26" s="1"/>
  <c r="B6612" i="26"/>
  <c r="A6612" i="26" s="1"/>
  <c r="B6613" i="26"/>
  <c r="A6613" i="26" s="1"/>
  <c r="B6614" i="26"/>
  <c r="A6614" i="26" s="1"/>
  <c r="B6615" i="26"/>
  <c r="A6615" i="26" s="1"/>
  <c r="B6616" i="26"/>
  <c r="A6616" i="26" s="1"/>
  <c r="B6617" i="26"/>
  <c r="A6617" i="26" s="1"/>
  <c r="B6618" i="26"/>
  <c r="A6618" i="26" s="1"/>
  <c r="B6619" i="26"/>
  <c r="A6619" i="26" s="1"/>
  <c r="B6620" i="26"/>
  <c r="A6620" i="26" s="1"/>
  <c r="B6621" i="26"/>
  <c r="A6621" i="26" s="1"/>
  <c r="B6622" i="26"/>
  <c r="A6622" i="26" s="1"/>
  <c r="B6623" i="26"/>
  <c r="A6623" i="26" s="1"/>
  <c r="B6624" i="26"/>
  <c r="A6624" i="26" s="1"/>
  <c r="B6625" i="26"/>
  <c r="A6625" i="26" s="1"/>
  <c r="B6626" i="26"/>
  <c r="A6626" i="26" s="1"/>
  <c r="B6627" i="26"/>
  <c r="A6627" i="26" s="1"/>
  <c r="B6628" i="26"/>
  <c r="A6628" i="26" s="1"/>
  <c r="B6629" i="26"/>
  <c r="A6629" i="26" s="1"/>
  <c r="B6630" i="26"/>
  <c r="A6630" i="26" s="1"/>
  <c r="B6631" i="26"/>
  <c r="A6631" i="26" s="1"/>
  <c r="B6632" i="26"/>
  <c r="A6632" i="26" s="1"/>
  <c r="B6633" i="26"/>
  <c r="A6633" i="26" s="1"/>
  <c r="B6634" i="26"/>
  <c r="A6634" i="26" s="1"/>
  <c r="B6635" i="26"/>
  <c r="A6635" i="26" s="1"/>
  <c r="B6636" i="26"/>
  <c r="A6636" i="26" s="1"/>
  <c r="B6637" i="26"/>
  <c r="A6637" i="26" s="1"/>
  <c r="B6638" i="26"/>
  <c r="A6638" i="26" s="1"/>
  <c r="B6639" i="26"/>
  <c r="A6639" i="26" s="1"/>
  <c r="B6640" i="26"/>
  <c r="A6640" i="26" s="1"/>
  <c r="B6641" i="26"/>
  <c r="A6641" i="26" s="1"/>
  <c r="B6642" i="26"/>
  <c r="A6642" i="26" s="1"/>
  <c r="B6643" i="26"/>
  <c r="A6643" i="26" s="1"/>
  <c r="B6644" i="26"/>
  <c r="A6644" i="26" s="1"/>
  <c r="B6645" i="26"/>
  <c r="A6645" i="26" s="1"/>
  <c r="B6646" i="26"/>
  <c r="A6646" i="26" s="1"/>
  <c r="B6647" i="26"/>
  <c r="A6647" i="26" s="1"/>
  <c r="B6648" i="26"/>
  <c r="A6648" i="26" s="1"/>
  <c r="B6649" i="26"/>
  <c r="A6649" i="26" s="1"/>
  <c r="B6650" i="26"/>
  <c r="A6650" i="26" s="1"/>
  <c r="B6651" i="26"/>
  <c r="A6651" i="26" s="1"/>
  <c r="B6652" i="26"/>
  <c r="A6652" i="26" s="1"/>
  <c r="B6653" i="26"/>
  <c r="A6653" i="26" s="1"/>
  <c r="B6654" i="26"/>
  <c r="A6654" i="26" s="1"/>
  <c r="B6655" i="26"/>
  <c r="A6655" i="26" s="1"/>
  <c r="B6656" i="26"/>
  <c r="A6656" i="26" s="1"/>
  <c r="B6657" i="26"/>
  <c r="A6657" i="26" s="1"/>
  <c r="B6658" i="26"/>
  <c r="A6658" i="26" s="1"/>
  <c r="B6659" i="26"/>
  <c r="A6659" i="26" s="1"/>
  <c r="B6660" i="26"/>
  <c r="A6660" i="26" s="1"/>
  <c r="B6661" i="26"/>
  <c r="A6661" i="26" s="1"/>
  <c r="B6662" i="26"/>
  <c r="A6662" i="26" s="1"/>
  <c r="B6663" i="26"/>
  <c r="A6663" i="26" s="1"/>
  <c r="B6664" i="26"/>
  <c r="A6664" i="26" s="1"/>
  <c r="B6665" i="26"/>
  <c r="A6665" i="26" s="1"/>
  <c r="B6666" i="26"/>
  <c r="A6666" i="26" s="1"/>
  <c r="B6667" i="26"/>
  <c r="A6667" i="26" s="1"/>
  <c r="B6668" i="26"/>
  <c r="A6668" i="26" s="1"/>
  <c r="B6669" i="26"/>
  <c r="A6669" i="26" s="1"/>
  <c r="B6670" i="26"/>
  <c r="A6670" i="26" s="1"/>
  <c r="B6671" i="26"/>
  <c r="A6671" i="26" s="1"/>
  <c r="B6672" i="26"/>
  <c r="A6672" i="26" s="1"/>
  <c r="B6673" i="26"/>
  <c r="A6673" i="26" s="1"/>
  <c r="B6674" i="26"/>
  <c r="A6674" i="26" s="1"/>
  <c r="B6675" i="26"/>
  <c r="A6675" i="26" s="1"/>
  <c r="B6676" i="26"/>
  <c r="A6676" i="26" s="1"/>
  <c r="B6677" i="26"/>
  <c r="A6677" i="26" s="1"/>
  <c r="B6678" i="26"/>
  <c r="A6678" i="26" s="1"/>
  <c r="B6679" i="26"/>
  <c r="A6679" i="26" s="1"/>
  <c r="B6680" i="26"/>
  <c r="A6680" i="26" s="1"/>
  <c r="B6681" i="26"/>
  <c r="A6681" i="26" s="1"/>
  <c r="B6682" i="26"/>
  <c r="A6682" i="26" s="1"/>
  <c r="B6683" i="26"/>
  <c r="A6683" i="26" s="1"/>
  <c r="B6684" i="26"/>
  <c r="A6684" i="26" s="1"/>
  <c r="B6685" i="26"/>
  <c r="A6685" i="26" s="1"/>
  <c r="B6686" i="26"/>
  <c r="A6686" i="26" s="1"/>
  <c r="B6687" i="26"/>
  <c r="A6687" i="26" s="1"/>
  <c r="B6688" i="26"/>
  <c r="A6688" i="26" s="1"/>
  <c r="B6689" i="26"/>
  <c r="A6689" i="26" s="1"/>
  <c r="B6690" i="26"/>
  <c r="A6690" i="26" s="1"/>
  <c r="B6691" i="26"/>
  <c r="A6691" i="26" s="1"/>
  <c r="B6692" i="26"/>
  <c r="A6692" i="26" s="1"/>
  <c r="B6693" i="26"/>
  <c r="A6693" i="26" s="1"/>
  <c r="B6694" i="26"/>
  <c r="A6694" i="26" s="1"/>
  <c r="B6695" i="26"/>
  <c r="A6695" i="26" s="1"/>
  <c r="B6696" i="26"/>
  <c r="A6696" i="26" s="1"/>
  <c r="B6697" i="26"/>
  <c r="A6697" i="26" s="1"/>
  <c r="B6698" i="26"/>
  <c r="A6698" i="26" s="1"/>
  <c r="B6699" i="26"/>
  <c r="A6699" i="26" s="1"/>
  <c r="B6700" i="26"/>
  <c r="A6700" i="26" s="1"/>
  <c r="B6701" i="26"/>
  <c r="A6701" i="26" s="1"/>
  <c r="B6702" i="26"/>
  <c r="A6702" i="26" s="1"/>
  <c r="B6703" i="26"/>
  <c r="A6703" i="26" s="1"/>
  <c r="B6704" i="26"/>
  <c r="A6704" i="26" s="1"/>
  <c r="B6705" i="26"/>
  <c r="A6705" i="26" s="1"/>
  <c r="B6706" i="26"/>
  <c r="A6706" i="26" s="1"/>
  <c r="B6707" i="26"/>
  <c r="A6707" i="26" s="1"/>
  <c r="B6708" i="26"/>
  <c r="A6708" i="26" s="1"/>
  <c r="B6709" i="26"/>
  <c r="A6709" i="26" s="1"/>
  <c r="B6710" i="26"/>
  <c r="A6710" i="26" s="1"/>
  <c r="B6711" i="26"/>
  <c r="A6711" i="26" s="1"/>
  <c r="B6712" i="26"/>
  <c r="A6712" i="26" s="1"/>
  <c r="B6713" i="26"/>
  <c r="A6713" i="26" s="1"/>
  <c r="B6714" i="26"/>
  <c r="A6714" i="26" s="1"/>
  <c r="B6715" i="26"/>
  <c r="A6715" i="26" s="1"/>
  <c r="B6716" i="26"/>
  <c r="A6716" i="26" s="1"/>
  <c r="B6717" i="26"/>
  <c r="A6717" i="26" s="1"/>
  <c r="B6718" i="26"/>
  <c r="A6718" i="26" s="1"/>
  <c r="B6719" i="26"/>
  <c r="A6719" i="26" s="1"/>
  <c r="B6720" i="26"/>
  <c r="A6720" i="26" s="1"/>
  <c r="B6721" i="26"/>
  <c r="A6721" i="26" s="1"/>
  <c r="B6722" i="26"/>
  <c r="A6722" i="26" s="1"/>
  <c r="B6723" i="26"/>
  <c r="A6723" i="26" s="1"/>
  <c r="B6724" i="26"/>
  <c r="A6724" i="26" s="1"/>
  <c r="B6725" i="26"/>
  <c r="A6725" i="26" s="1"/>
  <c r="B6726" i="26"/>
  <c r="A6726" i="26" s="1"/>
  <c r="B6727" i="26"/>
  <c r="A6727" i="26" s="1"/>
  <c r="B6728" i="26"/>
  <c r="A6728" i="26" s="1"/>
  <c r="B6729" i="26"/>
  <c r="A6729" i="26" s="1"/>
  <c r="B6730" i="26"/>
  <c r="A6730" i="26" s="1"/>
  <c r="B6731" i="26"/>
  <c r="A6731" i="26" s="1"/>
  <c r="B6732" i="26"/>
  <c r="A6732" i="26" s="1"/>
  <c r="B6733" i="26"/>
  <c r="A6733" i="26" s="1"/>
  <c r="B6734" i="26"/>
  <c r="A6734" i="26" s="1"/>
  <c r="B6735" i="26"/>
  <c r="A6735" i="26" s="1"/>
  <c r="B6736" i="26"/>
  <c r="A6736" i="26" s="1"/>
  <c r="B6737" i="26"/>
  <c r="A6737" i="26" s="1"/>
  <c r="B6738" i="26"/>
  <c r="A6738" i="26" s="1"/>
  <c r="B6739" i="26"/>
  <c r="A6739" i="26" s="1"/>
  <c r="B6740" i="26"/>
  <c r="A6740" i="26" s="1"/>
  <c r="B6741" i="26"/>
  <c r="A6741" i="26" s="1"/>
  <c r="B6742" i="26"/>
  <c r="A6742" i="26" s="1"/>
  <c r="B6743" i="26"/>
  <c r="A6743" i="26" s="1"/>
  <c r="B6744" i="26"/>
  <c r="A6744" i="26" s="1"/>
  <c r="B6745" i="26"/>
  <c r="A6745" i="26" s="1"/>
  <c r="B6746" i="26"/>
  <c r="A6746" i="26" s="1"/>
  <c r="B6747" i="26"/>
  <c r="A6747" i="26" s="1"/>
  <c r="B6748" i="26"/>
  <c r="A6748" i="26" s="1"/>
  <c r="B6749" i="26"/>
  <c r="A6749" i="26" s="1"/>
  <c r="B6750" i="26"/>
  <c r="A6750" i="26" s="1"/>
  <c r="B6751" i="26"/>
  <c r="A6751" i="26" s="1"/>
  <c r="B6752" i="26"/>
  <c r="A6752" i="26" s="1"/>
  <c r="B6753" i="26"/>
  <c r="A6753" i="26" s="1"/>
  <c r="B6754" i="26"/>
  <c r="A6754" i="26" s="1"/>
  <c r="B6755" i="26"/>
  <c r="A6755" i="26" s="1"/>
  <c r="B6756" i="26"/>
  <c r="A6756" i="26" s="1"/>
  <c r="B6757" i="26"/>
  <c r="A6757" i="26" s="1"/>
  <c r="B6758" i="26"/>
  <c r="A6758" i="26" s="1"/>
  <c r="B6759" i="26"/>
  <c r="A6759" i="26" s="1"/>
  <c r="B6760" i="26"/>
  <c r="A6760" i="26" s="1"/>
  <c r="B6761" i="26"/>
  <c r="A6761" i="26" s="1"/>
  <c r="B6762" i="26"/>
  <c r="A6762" i="26" s="1"/>
  <c r="B6763" i="26"/>
  <c r="A6763" i="26" s="1"/>
  <c r="B6764" i="26"/>
  <c r="A6764" i="26" s="1"/>
  <c r="B6765" i="26"/>
  <c r="A6765" i="26" s="1"/>
  <c r="B6766" i="26"/>
  <c r="A6766" i="26" s="1"/>
  <c r="B6767" i="26"/>
  <c r="A6767" i="26" s="1"/>
  <c r="B6768" i="26"/>
  <c r="A6768" i="26" s="1"/>
  <c r="B6769" i="26"/>
  <c r="A6769" i="26" s="1"/>
  <c r="B6770" i="26"/>
  <c r="A6770" i="26" s="1"/>
  <c r="B6771" i="26"/>
  <c r="A6771" i="26" s="1"/>
  <c r="B6772" i="26"/>
  <c r="A6772" i="26" s="1"/>
  <c r="B6773" i="26"/>
  <c r="A6773" i="26" s="1"/>
  <c r="B6774" i="26"/>
  <c r="A6774" i="26" s="1"/>
  <c r="B6775" i="26"/>
  <c r="A6775" i="26" s="1"/>
  <c r="B6776" i="26"/>
  <c r="A6776" i="26" s="1"/>
  <c r="B6777" i="26"/>
  <c r="A6777" i="26" s="1"/>
  <c r="B6778" i="26"/>
  <c r="A6778" i="26" s="1"/>
  <c r="B6779" i="26"/>
  <c r="A6779" i="26" s="1"/>
  <c r="B6780" i="26"/>
  <c r="A6780" i="26" s="1"/>
  <c r="B6781" i="26"/>
  <c r="A6781" i="26" s="1"/>
  <c r="B6782" i="26"/>
  <c r="A6782" i="26" s="1"/>
  <c r="B6783" i="26"/>
  <c r="A6783" i="26" s="1"/>
  <c r="B6784" i="26"/>
  <c r="A6784" i="26" s="1"/>
  <c r="B6785" i="26"/>
  <c r="A6785" i="26" s="1"/>
  <c r="B6786" i="26"/>
  <c r="A6786" i="26" s="1"/>
  <c r="B6787" i="26"/>
  <c r="A6787" i="26" s="1"/>
  <c r="B6788" i="26"/>
  <c r="A6788" i="26" s="1"/>
  <c r="B6789" i="26"/>
  <c r="A6789" i="26" s="1"/>
  <c r="B6790" i="26"/>
  <c r="A6790" i="26" s="1"/>
  <c r="B6791" i="26"/>
  <c r="A6791" i="26" s="1"/>
  <c r="B6792" i="26"/>
  <c r="A6792" i="26" s="1"/>
  <c r="B6793" i="26"/>
  <c r="A6793" i="26" s="1"/>
  <c r="B6794" i="26"/>
  <c r="A6794" i="26" s="1"/>
  <c r="B6795" i="26"/>
  <c r="A6795" i="26" s="1"/>
  <c r="B6796" i="26"/>
  <c r="A6796" i="26" s="1"/>
  <c r="B6797" i="26"/>
  <c r="A6797" i="26" s="1"/>
  <c r="B6798" i="26"/>
  <c r="A6798" i="26" s="1"/>
  <c r="B6799" i="26"/>
  <c r="A6799" i="26" s="1"/>
  <c r="B6800" i="26"/>
  <c r="A6800" i="26" s="1"/>
  <c r="B6801" i="26"/>
  <c r="A6801" i="26" s="1"/>
  <c r="B6802" i="26"/>
  <c r="A6802" i="26" s="1"/>
  <c r="B6803" i="26"/>
  <c r="A6803" i="26" s="1"/>
  <c r="B6804" i="26"/>
  <c r="A6804" i="26" s="1"/>
  <c r="B6805" i="26"/>
  <c r="A6805" i="26" s="1"/>
  <c r="B6806" i="26"/>
  <c r="A6806" i="26" s="1"/>
  <c r="B6807" i="26"/>
  <c r="A6807" i="26" s="1"/>
  <c r="B6808" i="26"/>
  <c r="A6808" i="26" s="1"/>
  <c r="B6809" i="26"/>
  <c r="A6809" i="26" s="1"/>
  <c r="B6810" i="26"/>
  <c r="A6810" i="26" s="1"/>
  <c r="B6811" i="26"/>
  <c r="A6811" i="26" s="1"/>
  <c r="B6812" i="26"/>
  <c r="A6812" i="26" s="1"/>
  <c r="B6813" i="26"/>
  <c r="A6813" i="26" s="1"/>
  <c r="B6814" i="26"/>
  <c r="A6814" i="26" s="1"/>
  <c r="B6815" i="26"/>
  <c r="A6815" i="26" s="1"/>
  <c r="B6816" i="26"/>
  <c r="A6816" i="26" s="1"/>
  <c r="B6817" i="26"/>
  <c r="A6817" i="26" s="1"/>
  <c r="B6818" i="26"/>
  <c r="A6818" i="26" s="1"/>
  <c r="B6819" i="26"/>
  <c r="A6819" i="26" s="1"/>
  <c r="B6820" i="26"/>
  <c r="A6820" i="26" s="1"/>
  <c r="B6821" i="26"/>
  <c r="A6821" i="26" s="1"/>
  <c r="B6822" i="26"/>
  <c r="A6822" i="26" s="1"/>
  <c r="B6823" i="26"/>
  <c r="A6823" i="26" s="1"/>
  <c r="B6824" i="26"/>
  <c r="A6824" i="26" s="1"/>
  <c r="B6825" i="26"/>
  <c r="A6825" i="26" s="1"/>
  <c r="B6826" i="26"/>
  <c r="A6826" i="26" s="1"/>
  <c r="B6827" i="26"/>
  <c r="A6827" i="26" s="1"/>
  <c r="B6828" i="26"/>
  <c r="A6828" i="26" s="1"/>
  <c r="B6829" i="26"/>
  <c r="A6829" i="26" s="1"/>
  <c r="B6830" i="26"/>
  <c r="A6830" i="26" s="1"/>
  <c r="B6831" i="26"/>
  <c r="A6831" i="26" s="1"/>
  <c r="B6832" i="26"/>
  <c r="A6832" i="26" s="1"/>
  <c r="B6833" i="26"/>
  <c r="A6833" i="26" s="1"/>
  <c r="B6834" i="26"/>
  <c r="A6834" i="26" s="1"/>
  <c r="B6835" i="26"/>
  <c r="A6835" i="26" s="1"/>
  <c r="B6836" i="26"/>
  <c r="A6836" i="26" s="1"/>
  <c r="B6837" i="26"/>
  <c r="A6837" i="26" s="1"/>
  <c r="B6838" i="26"/>
  <c r="A6838" i="26" s="1"/>
  <c r="B6839" i="26"/>
  <c r="A6839" i="26" s="1"/>
  <c r="B6840" i="26"/>
  <c r="A6840" i="26" s="1"/>
  <c r="B6841" i="26"/>
  <c r="A6841" i="26" s="1"/>
  <c r="B6842" i="26"/>
  <c r="A6842" i="26" s="1"/>
  <c r="B6843" i="26"/>
  <c r="A6843" i="26" s="1"/>
  <c r="B6844" i="26"/>
  <c r="A6844" i="26" s="1"/>
  <c r="B6845" i="26"/>
  <c r="A6845" i="26" s="1"/>
  <c r="B6846" i="26"/>
  <c r="A6846" i="26" s="1"/>
  <c r="B6847" i="26"/>
  <c r="A6847" i="26" s="1"/>
  <c r="B6848" i="26"/>
  <c r="A6848" i="26" s="1"/>
  <c r="B6849" i="26"/>
  <c r="A6849" i="26" s="1"/>
  <c r="B6850" i="26"/>
  <c r="A6850" i="26" s="1"/>
  <c r="B6851" i="26"/>
  <c r="A6851" i="26" s="1"/>
  <c r="B6852" i="26"/>
  <c r="A6852" i="26" s="1"/>
  <c r="B6853" i="26"/>
  <c r="A6853" i="26" s="1"/>
  <c r="B6854" i="26"/>
  <c r="A6854" i="26" s="1"/>
  <c r="B6855" i="26"/>
  <c r="A6855" i="26" s="1"/>
  <c r="B6856" i="26"/>
  <c r="A6856" i="26" s="1"/>
  <c r="B6857" i="26"/>
  <c r="A6857" i="26" s="1"/>
  <c r="B6858" i="26"/>
  <c r="A6858" i="26" s="1"/>
  <c r="B6859" i="26"/>
  <c r="A6859" i="26" s="1"/>
  <c r="B6860" i="26"/>
  <c r="A6860" i="26" s="1"/>
  <c r="B6861" i="26"/>
  <c r="A6861" i="26" s="1"/>
  <c r="B6862" i="26"/>
  <c r="A6862" i="26" s="1"/>
  <c r="B6863" i="26"/>
  <c r="A6863" i="26" s="1"/>
  <c r="B6864" i="26"/>
  <c r="A6864" i="26" s="1"/>
  <c r="B6865" i="26"/>
  <c r="A6865" i="26" s="1"/>
  <c r="B6866" i="26"/>
  <c r="A6866" i="26" s="1"/>
  <c r="B6867" i="26"/>
  <c r="A6867" i="26" s="1"/>
  <c r="B6868" i="26"/>
  <c r="A6868" i="26" s="1"/>
  <c r="B6869" i="26"/>
  <c r="A6869" i="26" s="1"/>
  <c r="B6870" i="26"/>
  <c r="A6870" i="26" s="1"/>
  <c r="B6871" i="26"/>
  <c r="A6871" i="26" s="1"/>
  <c r="B6872" i="26"/>
  <c r="A6872" i="26" s="1"/>
  <c r="B6873" i="26"/>
  <c r="A6873" i="26" s="1"/>
  <c r="B6874" i="26"/>
  <c r="A6874" i="26" s="1"/>
  <c r="B6875" i="26"/>
  <c r="A6875" i="26" s="1"/>
  <c r="B6876" i="26"/>
  <c r="A6876" i="26" s="1"/>
  <c r="B6877" i="26"/>
  <c r="A6877" i="26" s="1"/>
  <c r="B6878" i="26"/>
  <c r="A6878" i="26" s="1"/>
  <c r="B6879" i="26"/>
  <c r="A6879" i="26" s="1"/>
  <c r="B6880" i="26"/>
  <c r="A6880" i="26" s="1"/>
  <c r="B6881" i="26"/>
  <c r="A6881" i="26" s="1"/>
  <c r="B6882" i="26"/>
  <c r="A6882" i="26" s="1"/>
  <c r="B6883" i="26"/>
  <c r="A6883" i="26" s="1"/>
  <c r="B6884" i="26"/>
  <c r="A6884" i="26" s="1"/>
  <c r="B6885" i="26"/>
  <c r="A6885" i="26" s="1"/>
  <c r="B6886" i="26"/>
  <c r="A6886" i="26" s="1"/>
  <c r="B6887" i="26"/>
  <c r="A6887" i="26" s="1"/>
  <c r="B6888" i="26"/>
  <c r="A6888" i="26" s="1"/>
  <c r="B6889" i="26"/>
  <c r="A6889" i="26" s="1"/>
  <c r="B6890" i="26"/>
  <c r="A6890" i="26" s="1"/>
  <c r="B6891" i="26"/>
  <c r="A6891" i="26" s="1"/>
  <c r="B6892" i="26"/>
  <c r="A6892" i="26" s="1"/>
  <c r="B6893" i="26"/>
  <c r="A6893" i="26" s="1"/>
  <c r="B6894" i="26"/>
  <c r="A6894" i="26" s="1"/>
  <c r="B6895" i="26"/>
  <c r="A6895" i="26" s="1"/>
  <c r="B6896" i="26"/>
  <c r="A6896" i="26" s="1"/>
  <c r="B6897" i="26"/>
  <c r="A6897" i="26" s="1"/>
  <c r="B6898" i="26"/>
  <c r="A6898" i="26" s="1"/>
  <c r="B6899" i="26"/>
  <c r="A6899" i="26" s="1"/>
  <c r="B6900" i="26"/>
  <c r="A6900" i="26" s="1"/>
  <c r="B6901" i="26"/>
  <c r="A6901" i="26" s="1"/>
  <c r="B6902" i="26"/>
  <c r="A6902" i="26" s="1"/>
  <c r="B6903" i="26"/>
  <c r="A6903" i="26" s="1"/>
  <c r="B6904" i="26"/>
  <c r="A6904" i="26" s="1"/>
  <c r="B6905" i="26"/>
  <c r="A6905" i="26" s="1"/>
  <c r="B6906" i="26"/>
  <c r="A6906" i="26" s="1"/>
  <c r="B6907" i="26"/>
  <c r="A6907" i="26" s="1"/>
  <c r="B6908" i="26"/>
  <c r="A6908" i="26" s="1"/>
  <c r="B6909" i="26"/>
  <c r="A6909" i="26" s="1"/>
  <c r="B6910" i="26"/>
  <c r="A6910" i="26" s="1"/>
  <c r="B6911" i="26"/>
  <c r="A6911" i="26" s="1"/>
  <c r="B6912" i="26"/>
  <c r="A6912" i="26" s="1"/>
  <c r="B6913" i="26"/>
  <c r="A6913" i="26" s="1"/>
  <c r="B6914" i="26"/>
  <c r="A6914" i="26" s="1"/>
  <c r="B6915" i="26"/>
  <c r="A6915" i="26" s="1"/>
  <c r="B6916" i="26"/>
  <c r="A6916" i="26" s="1"/>
  <c r="B6917" i="26"/>
  <c r="A6917" i="26" s="1"/>
  <c r="B6918" i="26"/>
  <c r="A6918" i="26" s="1"/>
  <c r="B6919" i="26"/>
  <c r="A6919" i="26" s="1"/>
  <c r="B6920" i="26"/>
  <c r="A6920" i="26" s="1"/>
  <c r="B6921" i="26"/>
  <c r="A6921" i="26" s="1"/>
  <c r="B6922" i="26"/>
  <c r="A6922" i="26" s="1"/>
  <c r="B6923" i="26"/>
  <c r="A6923" i="26" s="1"/>
  <c r="B6924" i="26"/>
  <c r="A6924" i="26" s="1"/>
  <c r="B6925" i="26"/>
  <c r="A6925" i="26" s="1"/>
  <c r="B6926" i="26"/>
  <c r="A6926" i="26" s="1"/>
  <c r="B6927" i="26"/>
  <c r="A6927" i="26" s="1"/>
  <c r="B6928" i="26"/>
  <c r="A6928" i="26" s="1"/>
  <c r="B6929" i="26"/>
  <c r="A6929" i="26" s="1"/>
  <c r="B6930" i="26"/>
  <c r="A6930" i="26" s="1"/>
  <c r="B6931" i="26"/>
  <c r="A6931" i="26" s="1"/>
  <c r="B6932" i="26"/>
  <c r="A6932" i="26" s="1"/>
  <c r="B6933" i="26"/>
  <c r="A6933" i="26" s="1"/>
  <c r="B6934" i="26"/>
  <c r="A6934" i="26" s="1"/>
  <c r="B6935" i="26"/>
  <c r="A6935" i="26" s="1"/>
  <c r="B6936" i="26"/>
  <c r="A6936" i="26" s="1"/>
  <c r="B6937" i="26"/>
  <c r="A6937" i="26" s="1"/>
  <c r="B6938" i="26"/>
  <c r="A6938" i="26" s="1"/>
  <c r="B6939" i="26"/>
  <c r="A6939" i="26" s="1"/>
  <c r="B6940" i="26"/>
  <c r="A6940" i="26" s="1"/>
  <c r="B6941" i="26"/>
  <c r="A6941" i="26" s="1"/>
  <c r="B6942" i="26"/>
  <c r="A6942" i="26" s="1"/>
  <c r="B6943" i="26"/>
  <c r="A6943" i="26" s="1"/>
  <c r="B6944" i="26"/>
  <c r="A6944" i="26" s="1"/>
  <c r="B6945" i="26"/>
  <c r="A6945" i="26" s="1"/>
  <c r="B6946" i="26"/>
  <c r="A6946" i="26" s="1"/>
  <c r="B6947" i="26"/>
  <c r="A6947" i="26" s="1"/>
  <c r="B6948" i="26"/>
  <c r="A6948" i="26" s="1"/>
  <c r="B6949" i="26"/>
  <c r="A6949" i="26" s="1"/>
  <c r="B6950" i="26"/>
  <c r="A6950" i="26" s="1"/>
  <c r="B6951" i="26"/>
  <c r="A6951" i="26" s="1"/>
  <c r="B6952" i="26"/>
  <c r="A6952" i="26" s="1"/>
  <c r="B6953" i="26"/>
  <c r="A6953" i="26" s="1"/>
  <c r="B6954" i="26"/>
  <c r="A6954" i="26" s="1"/>
  <c r="B6955" i="26"/>
  <c r="A6955" i="26" s="1"/>
  <c r="B6956" i="26"/>
  <c r="A6956" i="26" s="1"/>
  <c r="B6957" i="26"/>
  <c r="A6957" i="26" s="1"/>
  <c r="B6958" i="26"/>
  <c r="A6958" i="26" s="1"/>
  <c r="B6959" i="26"/>
  <c r="A6959" i="26" s="1"/>
  <c r="B6960" i="26"/>
  <c r="A6960" i="26" s="1"/>
  <c r="B6961" i="26"/>
  <c r="A6961" i="26" s="1"/>
  <c r="B6962" i="26"/>
  <c r="A6962" i="26" s="1"/>
  <c r="B6963" i="26"/>
  <c r="A6963" i="26" s="1"/>
  <c r="B6964" i="26"/>
  <c r="A6964" i="26" s="1"/>
  <c r="B6965" i="26"/>
  <c r="A6965" i="26" s="1"/>
  <c r="B6966" i="26"/>
  <c r="A6966" i="26" s="1"/>
  <c r="B6967" i="26"/>
  <c r="A6967" i="26" s="1"/>
  <c r="B6968" i="26"/>
  <c r="A6968" i="26" s="1"/>
  <c r="B6969" i="26"/>
  <c r="A6969" i="26" s="1"/>
  <c r="B6970" i="26"/>
  <c r="A6970" i="26" s="1"/>
  <c r="B6971" i="26"/>
  <c r="A6971" i="26" s="1"/>
  <c r="B6972" i="26"/>
  <c r="A6972" i="26" s="1"/>
  <c r="B6973" i="26"/>
  <c r="A6973" i="26" s="1"/>
  <c r="B6974" i="26"/>
  <c r="A6974" i="26" s="1"/>
  <c r="B6975" i="26"/>
  <c r="A6975" i="26" s="1"/>
  <c r="B6976" i="26"/>
  <c r="A6976" i="26" s="1"/>
  <c r="B6977" i="26"/>
  <c r="A6977" i="26" s="1"/>
  <c r="B6978" i="26"/>
  <c r="A6978" i="26" s="1"/>
  <c r="B6979" i="26"/>
  <c r="A6979" i="26" s="1"/>
  <c r="B6980" i="26"/>
  <c r="A6980" i="26" s="1"/>
  <c r="B6981" i="26"/>
  <c r="A6981" i="26" s="1"/>
  <c r="B6982" i="26"/>
  <c r="A6982" i="26" s="1"/>
  <c r="B6983" i="26"/>
  <c r="A6983" i="26" s="1"/>
  <c r="B6984" i="26"/>
  <c r="A6984" i="26" s="1"/>
  <c r="B6985" i="26"/>
  <c r="A6985" i="26" s="1"/>
  <c r="B6986" i="26"/>
  <c r="A6986" i="26" s="1"/>
  <c r="B6987" i="26"/>
  <c r="A6987" i="26" s="1"/>
  <c r="B6988" i="26"/>
  <c r="A6988" i="26" s="1"/>
  <c r="B6989" i="26"/>
  <c r="A6989" i="26" s="1"/>
  <c r="B6990" i="26"/>
  <c r="A6990" i="26" s="1"/>
  <c r="B6991" i="26"/>
  <c r="A6991" i="26" s="1"/>
  <c r="B6992" i="26"/>
  <c r="A6992" i="26" s="1"/>
  <c r="B6993" i="26"/>
  <c r="A6993" i="26" s="1"/>
  <c r="B6994" i="26"/>
  <c r="A6994" i="26" s="1"/>
  <c r="B6995" i="26"/>
  <c r="A6995" i="26" s="1"/>
  <c r="B6996" i="26"/>
  <c r="A6996" i="26" s="1"/>
  <c r="B6997" i="26"/>
  <c r="A6997" i="26" s="1"/>
  <c r="B6998" i="26"/>
  <c r="A6998" i="26" s="1"/>
  <c r="B6999" i="26"/>
  <c r="A6999" i="26" s="1"/>
  <c r="B7000" i="26"/>
  <c r="A7000" i="26" s="1"/>
  <c r="B7001" i="26"/>
  <c r="A7001" i="26" s="1"/>
  <c r="B7002" i="26"/>
  <c r="A7002" i="26" s="1"/>
  <c r="B7003" i="26"/>
  <c r="A7003" i="26" s="1"/>
  <c r="B7004" i="26"/>
  <c r="A7004" i="26" s="1"/>
  <c r="B7005" i="26"/>
  <c r="A7005" i="26" s="1"/>
  <c r="B7006" i="26"/>
  <c r="A7006" i="26" s="1"/>
  <c r="B7007" i="26"/>
  <c r="A7007" i="26" s="1"/>
  <c r="B7008" i="26"/>
  <c r="A7008" i="26" s="1"/>
  <c r="B7009" i="26"/>
  <c r="A7009" i="26" s="1"/>
  <c r="B7010" i="26"/>
  <c r="A7010" i="26" s="1"/>
  <c r="B7011" i="26"/>
  <c r="A7011" i="26" s="1"/>
  <c r="B7012" i="26"/>
  <c r="A7012" i="26" s="1"/>
  <c r="B7013" i="26"/>
  <c r="A7013" i="26" s="1"/>
  <c r="B7014" i="26"/>
  <c r="A7014" i="26" s="1"/>
  <c r="B7015" i="26"/>
  <c r="A7015" i="26" s="1"/>
  <c r="B7016" i="26"/>
  <c r="A7016" i="26" s="1"/>
  <c r="B7017" i="26"/>
  <c r="A7017" i="26" s="1"/>
  <c r="B7018" i="26"/>
  <c r="A7018" i="26" s="1"/>
  <c r="B7019" i="26"/>
  <c r="A7019" i="26" s="1"/>
  <c r="B7020" i="26"/>
  <c r="A7020" i="26" s="1"/>
  <c r="B7021" i="26"/>
  <c r="A7021" i="26" s="1"/>
  <c r="B7022" i="26"/>
  <c r="A7022" i="26" s="1"/>
  <c r="B7023" i="26"/>
  <c r="A7023" i="26" s="1"/>
  <c r="B7024" i="26"/>
  <c r="A7024" i="26" s="1"/>
  <c r="B7025" i="26"/>
  <c r="A7025" i="26" s="1"/>
  <c r="B7026" i="26"/>
  <c r="A7026" i="26" s="1"/>
  <c r="B7027" i="26"/>
  <c r="A7027" i="26" s="1"/>
  <c r="B7028" i="26"/>
  <c r="A7028" i="26" s="1"/>
  <c r="B7029" i="26"/>
  <c r="A7029" i="26" s="1"/>
  <c r="B7030" i="26"/>
  <c r="A7030" i="26" s="1"/>
  <c r="B7031" i="26"/>
  <c r="A7031" i="26" s="1"/>
  <c r="B7032" i="26"/>
  <c r="A7032" i="26" s="1"/>
  <c r="B7033" i="26"/>
  <c r="A7033" i="26" s="1"/>
  <c r="B7034" i="26"/>
  <c r="A7034" i="26" s="1"/>
  <c r="B7035" i="26"/>
  <c r="A7035" i="26" s="1"/>
  <c r="B7036" i="26"/>
  <c r="A7036" i="26" s="1"/>
  <c r="B7037" i="26"/>
  <c r="A7037" i="26" s="1"/>
  <c r="B7038" i="26"/>
  <c r="A7038" i="26" s="1"/>
  <c r="B7039" i="26"/>
  <c r="A7039" i="26" s="1"/>
  <c r="B7040" i="26"/>
  <c r="A7040" i="26" s="1"/>
  <c r="B7041" i="26"/>
  <c r="A7041" i="26" s="1"/>
  <c r="B7042" i="26"/>
  <c r="A7042" i="26" s="1"/>
  <c r="B7043" i="26"/>
  <c r="A7043" i="26" s="1"/>
  <c r="B7044" i="26"/>
  <c r="A7044" i="26" s="1"/>
  <c r="B7045" i="26"/>
  <c r="A7045" i="26" s="1"/>
  <c r="B7046" i="26"/>
  <c r="A7046" i="26" s="1"/>
  <c r="B7047" i="26"/>
  <c r="A7047" i="26" s="1"/>
  <c r="B7048" i="26"/>
  <c r="A7048" i="26" s="1"/>
  <c r="B7049" i="26"/>
  <c r="A7049" i="26" s="1"/>
  <c r="B7050" i="26"/>
  <c r="A7050" i="26" s="1"/>
  <c r="B7051" i="26"/>
  <c r="A7051" i="26" s="1"/>
  <c r="B7052" i="26"/>
  <c r="A7052" i="26" s="1"/>
  <c r="B7053" i="26"/>
  <c r="A7053" i="26" s="1"/>
  <c r="B7054" i="26"/>
  <c r="A7054" i="26" s="1"/>
  <c r="B7055" i="26"/>
  <c r="A7055" i="26" s="1"/>
  <c r="B7056" i="26"/>
  <c r="A7056" i="26" s="1"/>
  <c r="B7057" i="26"/>
  <c r="A7057" i="26" s="1"/>
  <c r="B7058" i="26"/>
  <c r="A7058" i="26" s="1"/>
  <c r="B7059" i="26"/>
  <c r="A7059" i="26" s="1"/>
  <c r="B7060" i="26"/>
  <c r="A7060" i="26" s="1"/>
  <c r="B7061" i="26"/>
  <c r="A7061" i="26" s="1"/>
  <c r="B7062" i="26"/>
  <c r="A7062" i="26" s="1"/>
  <c r="B7063" i="26"/>
  <c r="A7063" i="26" s="1"/>
  <c r="B7064" i="26"/>
  <c r="A7064" i="26" s="1"/>
  <c r="B7065" i="26"/>
  <c r="A7065" i="26" s="1"/>
  <c r="B7066" i="26"/>
  <c r="A7066" i="26" s="1"/>
  <c r="B7067" i="26"/>
  <c r="A7067" i="26" s="1"/>
  <c r="B7068" i="26"/>
  <c r="A7068" i="26" s="1"/>
  <c r="B7069" i="26"/>
  <c r="A7069" i="26" s="1"/>
  <c r="B7070" i="26"/>
  <c r="A7070" i="26" s="1"/>
  <c r="B7071" i="26"/>
  <c r="A7071" i="26" s="1"/>
  <c r="B7072" i="26"/>
  <c r="A7072" i="26" s="1"/>
  <c r="B7073" i="26"/>
  <c r="A7073" i="26" s="1"/>
  <c r="B7074" i="26"/>
  <c r="A7074" i="26" s="1"/>
  <c r="B7075" i="26"/>
  <c r="A7075" i="26" s="1"/>
  <c r="B7076" i="26"/>
  <c r="A7076" i="26" s="1"/>
  <c r="B7077" i="26"/>
  <c r="A7077" i="26" s="1"/>
  <c r="B7078" i="26"/>
  <c r="A7078" i="26" s="1"/>
  <c r="B7079" i="26"/>
  <c r="A7079" i="26" s="1"/>
  <c r="B7080" i="26"/>
  <c r="A7080" i="26" s="1"/>
  <c r="B7081" i="26"/>
  <c r="A7081" i="26" s="1"/>
  <c r="B7082" i="26"/>
  <c r="A7082" i="26" s="1"/>
  <c r="B7083" i="26"/>
  <c r="A7083" i="26" s="1"/>
  <c r="B7084" i="26"/>
  <c r="A7084" i="26" s="1"/>
  <c r="B7085" i="26"/>
  <c r="A7085" i="26" s="1"/>
  <c r="B7086" i="26"/>
  <c r="A7086" i="26" s="1"/>
  <c r="B7087" i="26"/>
  <c r="A7087" i="26" s="1"/>
  <c r="B7088" i="26"/>
  <c r="A7088" i="26" s="1"/>
  <c r="B7089" i="26"/>
  <c r="A7089" i="26" s="1"/>
  <c r="B7090" i="26"/>
  <c r="A7090" i="26" s="1"/>
  <c r="B7091" i="26"/>
  <c r="A7091" i="26" s="1"/>
  <c r="B7092" i="26"/>
  <c r="A7092" i="26" s="1"/>
  <c r="B7093" i="26"/>
  <c r="A7093" i="26" s="1"/>
  <c r="B7094" i="26"/>
  <c r="A7094" i="26" s="1"/>
  <c r="B7095" i="26"/>
  <c r="A7095" i="26" s="1"/>
  <c r="B7096" i="26"/>
  <c r="A7096" i="26" s="1"/>
  <c r="B7097" i="26"/>
  <c r="A7097" i="26" s="1"/>
  <c r="B7098" i="26"/>
  <c r="A7098" i="26" s="1"/>
  <c r="B7099" i="26"/>
  <c r="A7099" i="26" s="1"/>
  <c r="B7100" i="26"/>
  <c r="A7100" i="26" s="1"/>
  <c r="B7101" i="26"/>
  <c r="A7101" i="26" s="1"/>
  <c r="B7102" i="26"/>
  <c r="A7102" i="26" s="1"/>
  <c r="B7103" i="26"/>
  <c r="A7103" i="26" s="1"/>
  <c r="B7104" i="26"/>
  <c r="A7104" i="26" s="1"/>
  <c r="B7105" i="26"/>
  <c r="A7105" i="26" s="1"/>
  <c r="B7106" i="26"/>
  <c r="A7106" i="26" s="1"/>
  <c r="B7107" i="26"/>
  <c r="A7107" i="26" s="1"/>
  <c r="B7108" i="26"/>
  <c r="A7108" i="26" s="1"/>
  <c r="B7109" i="26"/>
  <c r="A7109" i="26" s="1"/>
  <c r="B7110" i="26"/>
  <c r="A7110" i="26" s="1"/>
  <c r="B7111" i="26"/>
  <c r="A7111" i="26" s="1"/>
  <c r="B7112" i="26"/>
  <c r="A7112" i="26" s="1"/>
  <c r="B7113" i="26"/>
  <c r="A7113" i="26" s="1"/>
  <c r="B7114" i="26"/>
  <c r="A7114" i="26" s="1"/>
  <c r="B7115" i="26"/>
  <c r="A7115" i="26" s="1"/>
  <c r="B7116" i="26"/>
  <c r="A7116" i="26" s="1"/>
  <c r="B7117" i="26"/>
  <c r="A7117" i="26" s="1"/>
  <c r="B7118" i="26"/>
  <c r="A7118" i="26" s="1"/>
  <c r="B7119" i="26"/>
  <c r="A7119" i="26" s="1"/>
  <c r="B7120" i="26"/>
  <c r="A7120" i="26" s="1"/>
  <c r="B7121" i="26"/>
  <c r="A7121" i="26" s="1"/>
  <c r="B7122" i="26"/>
  <c r="A7122" i="26" s="1"/>
  <c r="B7123" i="26"/>
  <c r="A7123" i="26" s="1"/>
  <c r="B7124" i="26"/>
  <c r="A7124" i="26" s="1"/>
  <c r="B7125" i="26"/>
  <c r="A7125" i="26" s="1"/>
  <c r="B7126" i="26"/>
  <c r="A7126" i="26" s="1"/>
  <c r="B7127" i="26"/>
  <c r="A7127" i="26" s="1"/>
  <c r="B7128" i="26"/>
  <c r="A7128" i="26" s="1"/>
  <c r="B7129" i="26"/>
  <c r="A7129" i="26" s="1"/>
  <c r="B7130" i="26"/>
  <c r="A7130" i="26" s="1"/>
  <c r="B7131" i="26"/>
  <c r="A7131" i="26" s="1"/>
  <c r="B7132" i="26"/>
  <c r="A7132" i="26" s="1"/>
  <c r="B7133" i="26"/>
  <c r="A7133" i="26" s="1"/>
  <c r="B7134" i="26"/>
  <c r="A7134" i="26" s="1"/>
  <c r="B7135" i="26"/>
  <c r="A7135" i="26" s="1"/>
  <c r="B7136" i="26"/>
  <c r="A7136" i="26" s="1"/>
  <c r="B7137" i="26"/>
  <c r="A7137" i="26" s="1"/>
  <c r="B7138" i="26"/>
  <c r="A7138" i="26" s="1"/>
  <c r="B7139" i="26"/>
  <c r="A7139" i="26" s="1"/>
  <c r="B7140" i="26"/>
  <c r="A7140" i="26" s="1"/>
  <c r="B7141" i="26"/>
  <c r="A7141" i="26" s="1"/>
  <c r="B7142" i="26"/>
  <c r="A7142" i="26" s="1"/>
  <c r="B7143" i="26"/>
  <c r="A7143" i="26" s="1"/>
  <c r="B7144" i="26"/>
  <c r="A7144" i="26" s="1"/>
  <c r="B7145" i="26"/>
  <c r="A7145" i="26" s="1"/>
  <c r="B7146" i="26"/>
  <c r="A7146" i="26" s="1"/>
  <c r="B7147" i="26"/>
  <c r="A7147" i="26" s="1"/>
  <c r="B7148" i="26"/>
  <c r="A7148" i="26" s="1"/>
  <c r="B7149" i="26"/>
  <c r="A7149" i="26" s="1"/>
  <c r="B7150" i="26"/>
  <c r="A7150" i="26" s="1"/>
  <c r="B7151" i="26"/>
  <c r="A7151" i="26" s="1"/>
  <c r="B7152" i="26"/>
  <c r="A7152" i="26" s="1"/>
  <c r="B7153" i="26"/>
  <c r="A7153" i="26" s="1"/>
  <c r="B7154" i="26"/>
  <c r="A7154" i="26" s="1"/>
  <c r="B7155" i="26"/>
  <c r="A7155" i="26" s="1"/>
  <c r="B7156" i="26"/>
  <c r="A7156" i="26" s="1"/>
  <c r="B7157" i="26"/>
  <c r="A7157" i="26" s="1"/>
  <c r="B7158" i="26"/>
  <c r="A7158" i="26" s="1"/>
  <c r="B7159" i="26"/>
  <c r="A7159" i="26" s="1"/>
  <c r="B7160" i="26"/>
  <c r="A7160" i="26" s="1"/>
  <c r="B7161" i="26"/>
  <c r="A7161" i="26" s="1"/>
  <c r="B7162" i="26"/>
  <c r="A7162" i="26" s="1"/>
  <c r="B7163" i="26"/>
  <c r="A7163" i="26" s="1"/>
  <c r="B7164" i="26"/>
  <c r="A7164" i="26" s="1"/>
  <c r="B7165" i="26"/>
  <c r="A7165" i="26" s="1"/>
  <c r="B7166" i="26"/>
  <c r="A7166" i="26" s="1"/>
  <c r="B7167" i="26"/>
  <c r="A7167" i="26" s="1"/>
  <c r="B7168" i="26"/>
  <c r="A7168" i="26" s="1"/>
  <c r="B7169" i="26"/>
  <c r="A7169" i="26" s="1"/>
  <c r="B7170" i="26"/>
  <c r="A7170" i="26" s="1"/>
  <c r="B7171" i="26"/>
  <c r="A7171" i="26" s="1"/>
  <c r="B7172" i="26"/>
  <c r="A7172" i="26" s="1"/>
  <c r="B7173" i="26"/>
  <c r="A7173" i="26" s="1"/>
  <c r="B7174" i="26"/>
  <c r="A7174" i="26" s="1"/>
  <c r="B7175" i="26"/>
  <c r="A7175" i="26" s="1"/>
  <c r="B7176" i="26"/>
  <c r="A7176" i="26" s="1"/>
  <c r="B7177" i="26"/>
  <c r="A7177" i="26" s="1"/>
  <c r="B7178" i="26"/>
  <c r="A7178" i="26" s="1"/>
  <c r="B7179" i="26"/>
  <c r="A7179" i="26" s="1"/>
  <c r="B7180" i="26"/>
  <c r="A7180" i="26" s="1"/>
  <c r="B7181" i="26"/>
  <c r="A7181" i="26" s="1"/>
  <c r="B7182" i="26"/>
  <c r="A7182" i="26" s="1"/>
  <c r="B7183" i="26"/>
  <c r="A7183" i="26" s="1"/>
  <c r="B7184" i="26"/>
  <c r="A7184" i="26" s="1"/>
  <c r="B7185" i="26"/>
  <c r="A7185" i="26" s="1"/>
  <c r="B7186" i="26"/>
  <c r="A7186" i="26" s="1"/>
  <c r="B7187" i="26"/>
  <c r="A7187" i="26" s="1"/>
  <c r="B7188" i="26"/>
  <c r="A7188" i="26" s="1"/>
  <c r="B7189" i="26"/>
  <c r="A7189" i="26" s="1"/>
  <c r="B7190" i="26"/>
  <c r="A7190" i="26" s="1"/>
  <c r="B7191" i="26"/>
  <c r="A7191" i="26" s="1"/>
  <c r="B7192" i="26"/>
  <c r="A7192" i="26" s="1"/>
  <c r="B7193" i="26"/>
  <c r="A7193" i="26" s="1"/>
  <c r="B7194" i="26"/>
  <c r="A7194" i="26" s="1"/>
  <c r="B7195" i="26"/>
  <c r="A7195" i="26" s="1"/>
  <c r="B7196" i="26"/>
  <c r="A7196" i="26" s="1"/>
  <c r="B7197" i="26"/>
  <c r="A7197" i="26" s="1"/>
  <c r="B7198" i="26"/>
  <c r="A7198" i="26" s="1"/>
  <c r="B7199" i="26"/>
  <c r="A7199" i="26" s="1"/>
  <c r="B7200" i="26"/>
  <c r="A7200" i="26" s="1"/>
  <c r="B7201" i="26"/>
  <c r="A7201" i="26" s="1"/>
  <c r="B7202" i="26"/>
  <c r="A7202" i="26" s="1"/>
  <c r="B7203" i="26"/>
  <c r="A7203" i="26" s="1"/>
  <c r="B7204" i="26"/>
  <c r="A7204" i="26" s="1"/>
  <c r="B7205" i="26"/>
  <c r="A7205" i="26" s="1"/>
  <c r="B7206" i="26"/>
  <c r="A7206" i="26" s="1"/>
  <c r="B7207" i="26"/>
  <c r="A7207" i="26" s="1"/>
  <c r="B7208" i="26"/>
  <c r="A7208" i="26" s="1"/>
  <c r="B7209" i="26"/>
  <c r="A7209" i="26" s="1"/>
  <c r="B7210" i="26"/>
  <c r="A7210" i="26" s="1"/>
  <c r="B7211" i="26"/>
  <c r="A7211" i="26" s="1"/>
  <c r="B7212" i="26"/>
  <c r="A7212" i="26" s="1"/>
  <c r="B7213" i="26"/>
  <c r="A7213" i="26" s="1"/>
  <c r="B7214" i="26"/>
  <c r="A7214" i="26" s="1"/>
  <c r="B7215" i="26"/>
  <c r="A7215" i="26" s="1"/>
  <c r="B7216" i="26"/>
  <c r="A7216" i="26" s="1"/>
  <c r="B7217" i="26"/>
  <c r="A7217" i="26" s="1"/>
  <c r="B7218" i="26"/>
  <c r="A7218" i="26" s="1"/>
  <c r="B7219" i="26"/>
  <c r="A7219" i="26" s="1"/>
  <c r="B7220" i="26"/>
  <c r="A7220" i="26" s="1"/>
  <c r="B7221" i="26"/>
  <c r="A7221" i="26" s="1"/>
  <c r="B7222" i="26"/>
  <c r="A7222" i="26" s="1"/>
  <c r="B7223" i="26"/>
  <c r="A7223" i="26" s="1"/>
  <c r="B7224" i="26"/>
  <c r="A7224" i="26" s="1"/>
  <c r="B7225" i="26"/>
  <c r="A7225" i="26" s="1"/>
  <c r="B7226" i="26"/>
  <c r="A7226" i="26" s="1"/>
  <c r="B7227" i="26"/>
  <c r="A7227" i="26" s="1"/>
  <c r="B7228" i="26"/>
  <c r="A7228" i="26" s="1"/>
  <c r="B7229" i="26"/>
  <c r="A7229" i="26" s="1"/>
  <c r="B7230" i="26"/>
  <c r="A7230" i="26" s="1"/>
  <c r="B7231" i="26"/>
  <c r="A7231" i="26" s="1"/>
  <c r="B7232" i="26"/>
  <c r="A7232" i="26" s="1"/>
  <c r="B7233" i="26"/>
  <c r="A7233" i="26" s="1"/>
  <c r="B7234" i="26"/>
  <c r="A7234" i="26" s="1"/>
  <c r="B7235" i="26"/>
  <c r="A7235" i="26" s="1"/>
  <c r="B7236" i="26"/>
  <c r="A7236" i="26" s="1"/>
  <c r="B7237" i="26"/>
  <c r="A7237" i="26" s="1"/>
  <c r="B7238" i="26"/>
  <c r="A7238" i="26" s="1"/>
  <c r="B7239" i="26"/>
  <c r="A7239" i="26" s="1"/>
  <c r="B7240" i="26"/>
  <c r="A7240" i="26" s="1"/>
  <c r="B7241" i="26"/>
  <c r="A7241" i="26" s="1"/>
  <c r="B7242" i="26"/>
  <c r="A7242" i="26" s="1"/>
  <c r="B7243" i="26"/>
  <c r="A7243" i="26" s="1"/>
  <c r="B7244" i="26"/>
  <c r="A7244" i="26" s="1"/>
  <c r="B7245" i="26"/>
  <c r="A7245" i="26" s="1"/>
  <c r="B7246" i="26"/>
  <c r="A7246" i="26" s="1"/>
  <c r="B7247" i="26"/>
  <c r="A7247" i="26" s="1"/>
  <c r="B7248" i="26"/>
  <c r="A7248" i="26" s="1"/>
  <c r="B7249" i="26"/>
  <c r="A7249" i="26" s="1"/>
  <c r="B7250" i="26"/>
  <c r="A7250" i="26" s="1"/>
  <c r="B7251" i="26"/>
  <c r="A7251" i="26" s="1"/>
  <c r="B7252" i="26"/>
  <c r="A7252" i="26" s="1"/>
  <c r="B7253" i="26"/>
  <c r="A7253" i="26" s="1"/>
  <c r="B7254" i="26"/>
  <c r="A7254" i="26" s="1"/>
  <c r="B7255" i="26"/>
  <c r="A7255" i="26" s="1"/>
  <c r="B7256" i="26"/>
  <c r="A7256" i="26" s="1"/>
  <c r="B7257" i="26"/>
  <c r="A7257" i="26" s="1"/>
  <c r="B7258" i="26"/>
  <c r="A7258" i="26" s="1"/>
  <c r="B7259" i="26"/>
  <c r="A7259" i="26" s="1"/>
  <c r="B7260" i="26"/>
  <c r="A7260" i="26" s="1"/>
  <c r="B7261" i="26"/>
  <c r="A7261" i="26" s="1"/>
  <c r="B7262" i="26"/>
  <c r="A7262" i="26" s="1"/>
  <c r="B7263" i="26"/>
  <c r="A7263" i="26" s="1"/>
  <c r="B7264" i="26"/>
  <c r="A7264" i="26" s="1"/>
  <c r="B7265" i="26"/>
  <c r="A7265" i="26" s="1"/>
  <c r="B7266" i="26"/>
  <c r="A7266" i="26" s="1"/>
  <c r="B7267" i="26"/>
  <c r="A7267" i="26" s="1"/>
  <c r="B7268" i="26"/>
  <c r="A7268" i="26" s="1"/>
  <c r="B7269" i="26"/>
  <c r="A7269" i="26" s="1"/>
  <c r="B7270" i="26"/>
  <c r="A7270" i="26" s="1"/>
  <c r="B7271" i="26"/>
  <c r="A7271" i="26" s="1"/>
  <c r="B7272" i="26"/>
  <c r="A7272" i="26" s="1"/>
  <c r="B7273" i="26"/>
  <c r="A7273" i="26" s="1"/>
  <c r="B7274" i="26"/>
  <c r="A7274" i="26" s="1"/>
  <c r="B7275" i="26"/>
  <c r="A7275" i="26" s="1"/>
  <c r="B7276" i="26"/>
  <c r="A7276" i="26" s="1"/>
  <c r="B7277" i="26"/>
  <c r="A7277" i="26" s="1"/>
  <c r="B7278" i="26"/>
  <c r="A7278" i="26" s="1"/>
  <c r="B7279" i="26"/>
  <c r="A7279" i="26" s="1"/>
  <c r="B7280" i="26"/>
  <c r="A7280" i="26" s="1"/>
  <c r="B7281" i="26"/>
  <c r="A7281" i="26" s="1"/>
  <c r="B7282" i="26"/>
  <c r="A7282" i="26" s="1"/>
  <c r="B7283" i="26"/>
  <c r="A7283" i="26" s="1"/>
  <c r="B7284" i="26"/>
  <c r="A7284" i="26" s="1"/>
  <c r="B7285" i="26"/>
  <c r="A7285" i="26" s="1"/>
  <c r="B7286" i="26"/>
  <c r="A7286" i="26" s="1"/>
  <c r="B7287" i="26"/>
  <c r="A7287" i="26" s="1"/>
  <c r="B7288" i="26"/>
  <c r="A7288" i="26" s="1"/>
  <c r="B7289" i="26"/>
  <c r="A7289" i="26" s="1"/>
  <c r="B7290" i="26"/>
  <c r="A7290" i="26" s="1"/>
  <c r="B7291" i="26"/>
  <c r="A7291" i="26" s="1"/>
  <c r="B7292" i="26"/>
  <c r="A7292" i="26" s="1"/>
  <c r="B7293" i="26"/>
  <c r="A7293" i="26" s="1"/>
  <c r="B7294" i="26"/>
  <c r="A7294" i="26" s="1"/>
  <c r="B7295" i="26"/>
  <c r="A7295" i="26" s="1"/>
  <c r="B7296" i="26"/>
  <c r="A7296" i="26" s="1"/>
  <c r="B7297" i="26"/>
  <c r="A7297" i="26" s="1"/>
  <c r="B7298" i="26"/>
  <c r="A7298" i="26" s="1"/>
  <c r="B7299" i="26"/>
  <c r="A7299" i="26" s="1"/>
  <c r="B7300" i="26"/>
  <c r="A7300" i="26" s="1"/>
  <c r="B7301" i="26"/>
  <c r="A7301" i="26" s="1"/>
  <c r="B7302" i="26"/>
  <c r="A7302" i="26" s="1"/>
  <c r="B7303" i="26"/>
  <c r="A7303" i="26" s="1"/>
  <c r="B7304" i="26"/>
  <c r="A7304" i="26" s="1"/>
  <c r="B7305" i="26"/>
  <c r="A7305" i="26" s="1"/>
  <c r="B7306" i="26"/>
  <c r="A7306" i="26" s="1"/>
  <c r="B7307" i="26"/>
  <c r="A7307" i="26" s="1"/>
  <c r="B7308" i="26"/>
  <c r="A7308" i="26" s="1"/>
  <c r="B7309" i="26"/>
  <c r="A7309" i="26" s="1"/>
  <c r="B7310" i="26"/>
  <c r="A7310" i="26" s="1"/>
  <c r="B7311" i="26"/>
  <c r="A7311" i="26" s="1"/>
  <c r="B7312" i="26"/>
  <c r="A7312" i="26" s="1"/>
  <c r="B7313" i="26"/>
  <c r="A7313" i="26" s="1"/>
  <c r="B7314" i="26"/>
  <c r="A7314" i="26" s="1"/>
  <c r="B7315" i="26"/>
  <c r="A7315" i="26" s="1"/>
  <c r="B7316" i="26"/>
  <c r="A7316" i="26" s="1"/>
  <c r="B7317" i="26"/>
  <c r="A7317" i="26" s="1"/>
  <c r="B7318" i="26"/>
  <c r="A7318" i="26" s="1"/>
  <c r="B7319" i="26"/>
  <c r="A7319" i="26" s="1"/>
  <c r="B7320" i="26"/>
  <c r="A7320" i="26" s="1"/>
  <c r="B7321" i="26"/>
  <c r="A7321" i="26" s="1"/>
  <c r="B7322" i="26"/>
  <c r="A7322" i="26" s="1"/>
  <c r="B7323" i="26"/>
  <c r="A7323" i="26" s="1"/>
  <c r="B7324" i="26"/>
  <c r="A7324" i="26" s="1"/>
  <c r="B7325" i="26"/>
  <c r="A7325" i="26" s="1"/>
  <c r="B7326" i="26"/>
  <c r="A7326" i="26" s="1"/>
  <c r="B7327" i="26"/>
  <c r="A7327" i="26" s="1"/>
  <c r="B7328" i="26"/>
  <c r="A7328" i="26" s="1"/>
  <c r="B7329" i="26"/>
  <c r="A7329" i="26" s="1"/>
  <c r="B7330" i="26"/>
  <c r="A7330" i="26" s="1"/>
  <c r="B7331" i="26"/>
  <c r="A7331" i="26" s="1"/>
  <c r="B7332" i="26"/>
  <c r="A7332" i="26" s="1"/>
  <c r="B7333" i="26"/>
  <c r="A7333" i="26" s="1"/>
  <c r="B7334" i="26"/>
  <c r="A7334" i="26" s="1"/>
  <c r="B7335" i="26"/>
  <c r="A7335" i="26" s="1"/>
  <c r="B7336" i="26"/>
  <c r="A7336" i="26" s="1"/>
  <c r="B7337" i="26"/>
  <c r="A7337" i="26" s="1"/>
  <c r="B7338" i="26"/>
  <c r="A7338" i="26" s="1"/>
  <c r="B7339" i="26"/>
  <c r="A7339" i="26" s="1"/>
  <c r="B7340" i="26"/>
  <c r="A7340" i="26" s="1"/>
  <c r="B7341" i="26"/>
  <c r="A7341" i="26" s="1"/>
  <c r="B7342" i="26"/>
  <c r="A7342" i="26" s="1"/>
  <c r="B7343" i="26"/>
  <c r="A7343" i="26" s="1"/>
  <c r="B7344" i="26"/>
  <c r="A7344" i="26" s="1"/>
  <c r="B7345" i="26"/>
  <c r="A7345" i="26" s="1"/>
  <c r="B7346" i="26"/>
  <c r="A7346" i="26" s="1"/>
  <c r="B7347" i="26"/>
  <c r="A7347" i="26" s="1"/>
  <c r="B7348" i="26"/>
  <c r="A7348" i="26" s="1"/>
  <c r="B7349" i="26"/>
  <c r="A7349" i="26" s="1"/>
  <c r="B7350" i="26"/>
  <c r="A7350" i="26" s="1"/>
  <c r="B7351" i="26"/>
  <c r="A7351" i="26" s="1"/>
  <c r="B7352" i="26"/>
  <c r="A7352" i="26" s="1"/>
  <c r="B7353" i="26"/>
  <c r="A7353" i="26" s="1"/>
  <c r="B7354" i="26"/>
  <c r="A7354" i="26" s="1"/>
  <c r="B7355" i="26"/>
  <c r="A7355" i="26" s="1"/>
  <c r="B7356" i="26"/>
  <c r="A7356" i="26" s="1"/>
  <c r="B7357" i="26"/>
  <c r="A7357" i="26" s="1"/>
  <c r="B7358" i="26"/>
  <c r="A7358" i="26" s="1"/>
  <c r="B7359" i="26"/>
  <c r="A7359" i="26" s="1"/>
  <c r="B7360" i="26"/>
  <c r="A7360" i="26" s="1"/>
  <c r="B7361" i="26"/>
  <c r="A7361" i="26" s="1"/>
  <c r="B7362" i="26"/>
  <c r="A7362" i="26" s="1"/>
  <c r="B7363" i="26"/>
  <c r="A7363" i="26" s="1"/>
  <c r="B7364" i="26"/>
  <c r="A7364" i="26" s="1"/>
  <c r="B7365" i="26"/>
  <c r="A7365" i="26" s="1"/>
  <c r="B7366" i="26"/>
  <c r="A7366" i="26" s="1"/>
  <c r="B7367" i="26"/>
  <c r="A7367" i="26" s="1"/>
  <c r="B7368" i="26"/>
  <c r="A7368" i="26" s="1"/>
  <c r="B7369" i="26"/>
  <c r="A7369" i="26" s="1"/>
  <c r="B7370" i="26"/>
  <c r="A7370" i="26" s="1"/>
  <c r="B7371" i="26"/>
  <c r="A7371" i="26" s="1"/>
  <c r="B7372" i="26"/>
  <c r="A7372" i="26" s="1"/>
  <c r="B7373" i="26"/>
  <c r="A7373" i="26" s="1"/>
  <c r="B7374" i="26"/>
  <c r="A7374" i="26" s="1"/>
  <c r="B7375" i="26"/>
  <c r="A7375" i="26" s="1"/>
  <c r="B7376" i="26"/>
  <c r="A7376" i="26" s="1"/>
  <c r="B7377" i="26"/>
  <c r="A7377" i="26" s="1"/>
  <c r="B7378" i="26"/>
  <c r="A7378" i="26" s="1"/>
  <c r="B7379" i="26"/>
  <c r="A7379" i="26" s="1"/>
  <c r="B7380" i="26"/>
  <c r="A7380" i="26" s="1"/>
  <c r="B7381" i="26"/>
  <c r="A7381" i="26" s="1"/>
  <c r="B7382" i="26"/>
  <c r="A7382" i="26" s="1"/>
  <c r="B7383" i="26"/>
  <c r="A7383" i="26" s="1"/>
  <c r="B7384" i="26"/>
  <c r="A7384" i="26" s="1"/>
  <c r="B7385" i="26"/>
  <c r="A7385" i="26" s="1"/>
  <c r="B7386" i="26"/>
  <c r="A7386" i="26" s="1"/>
  <c r="B7387" i="26"/>
  <c r="A7387" i="26" s="1"/>
  <c r="B7388" i="26"/>
  <c r="A7388" i="26" s="1"/>
  <c r="B7389" i="26"/>
  <c r="A7389" i="26" s="1"/>
  <c r="B7390" i="26"/>
  <c r="A7390" i="26" s="1"/>
  <c r="B7391" i="26"/>
  <c r="A7391" i="26" s="1"/>
  <c r="B7392" i="26"/>
  <c r="A7392" i="26" s="1"/>
  <c r="B7393" i="26"/>
  <c r="A7393" i="26" s="1"/>
  <c r="B7394" i="26"/>
  <c r="A7394" i="26" s="1"/>
  <c r="B7395" i="26"/>
  <c r="A7395" i="26" s="1"/>
  <c r="B7396" i="26"/>
  <c r="A7396" i="26" s="1"/>
  <c r="B7397" i="26"/>
  <c r="A7397" i="26" s="1"/>
  <c r="B7398" i="26"/>
  <c r="A7398" i="26" s="1"/>
  <c r="B7399" i="26"/>
  <c r="A7399" i="26" s="1"/>
  <c r="B7400" i="26"/>
  <c r="A7400" i="26" s="1"/>
  <c r="B7401" i="26"/>
  <c r="A7401" i="26" s="1"/>
  <c r="B7402" i="26"/>
  <c r="A7402" i="26" s="1"/>
  <c r="B7403" i="26"/>
  <c r="A7403" i="26" s="1"/>
  <c r="B7404" i="26"/>
  <c r="A7404" i="26" s="1"/>
  <c r="B7405" i="26"/>
  <c r="A7405" i="26" s="1"/>
  <c r="B7406" i="26"/>
  <c r="A7406" i="26" s="1"/>
  <c r="B7407" i="26"/>
  <c r="A7407" i="26" s="1"/>
  <c r="B7408" i="26"/>
  <c r="A7408" i="26" s="1"/>
  <c r="B7409" i="26"/>
  <c r="A7409" i="26" s="1"/>
  <c r="B7410" i="26"/>
  <c r="A7410" i="26" s="1"/>
  <c r="B7411" i="26"/>
  <c r="A7411" i="26" s="1"/>
  <c r="B7412" i="26"/>
  <c r="A7412" i="26" s="1"/>
  <c r="B7413" i="26"/>
  <c r="A7413" i="26" s="1"/>
  <c r="B7414" i="26"/>
  <c r="A7414" i="26" s="1"/>
  <c r="B7415" i="26"/>
  <c r="A7415" i="26" s="1"/>
  <c r="B7416" i="26"/>
  <c r="A7416" i="26" s="1"/>
  <c r="B7417" i="26"/>
  <c r="A7417" i="26" s="1"/>
  <c r="B7418" i="26"/>
  <c r="A7418" i="26" s="1"/>
  <c r="B7419" i="26"/>
  <c r="A7419" i="26" s="1"/>
  <c r="B7420" i="26"/>
  <c r="A7420" i="26" s="1"/>
  <c r="B7421" i="26"/>
  <c r="A7421" i="26" s="1"/>
  <c r="B7422" i="26"/>
  <c r="A7422" i="26" s="1"/>
  <c r="B7423" i="26"/>
  <c r="A7423" i="26" s="1"/>
  <c r="B7424" i="26"/>
  <c r="A7424" i="26" s="1"/>
  <c r="B7425" i="26"/>
  <c r="A7425" i="26" s="1"/>
  <c r="B7426" i="26"/>
  <c r="A7426" i="26" s="1"/>
  <c r="B7427" i="26"/>
  <c r="A7427" i="26" s="1"/>
  <c r="B7428" i="26"/>
  <c r="A7428" i="26" s="1"/>
  <c r="B7429" i="26"/>
  <c r="A7429" i="26" s="1"/>
  <c r="B7430" i="26"/>
  <c r="A7430" i="26" s="1"/>
  <c r="B7431" i="26"/>
  <c r="A7431" i="26" s="1"/>
  <c r="B7432" i="26"/>
  <c r="A7432" i="26" s="1"/>
  <c r="B7433" i="26"/>
  <c r="A7433" i="26" s="1"/>
  <c r="B7434" i="26"/>
  <c r="A7434" i="26" s="1"/>
  <c r="B7435" i="26"/>
  <c r="A7435" i="26" s="1"/>
  <c r="B7436" i="26"/>
  <c r="A7436" i="26" s="1"/>
  <c r="B7437" i="26"/>
  <c r="A7437" i="26" s="1"/>
  <c r="B7438" i="26"/>
  <c r="A7438" i="26" s="1"/>
  <c r="B7439" i="26"/>
  <c r="A7439" i="26" s="1"/>
  <c r="B7440" i="26"/>
  <c r="A7440" i="26" s="1"/>
  <c r="B7441" i="26"/>
  <c r="A7441" i="26" s="1"/>
  <c r="B7442" i="26"/>
  <c r="A7442" i="26" s="1"/>
  <c r="B7443" i="26"/>
  <c r="A7443" i="26" s="1"/>
  <c r="B7444" i="26"/>
  <c r="A7444" i="26" s="1"/>
  <c r="B7445" i="26"/>
  <c r="A7445" i="26" s="1"/>
  <c r="B7446" i="26"/>
  <c r="A7446" i="26" s="1"/>
  <c r="B7447" i="26"/>
  <c r="A7447" i="26" s="1"/>
  <c r="B7448" i="26"/>
  <c r="A7448" i="26" s="1"/>
  <c r="B7449" i="26"/>
  <c r="A7449" i="26" s="1"/>
  <c r="B7450" i="26"/>
  <c r="A7450" i="26" s="1"/>
  <c r="B7451" i="26"/>
  <c r="A7451" i="26" s="1"/>
  <c r="B7452" i="26"/>
  <c r="A7452" i="26" s="1"/>
  <c r="B7453" i="26"/>
  <c r="A7453" i="26" s="1"/>
  <c r="B7454" i="26"/>
  <c r="A7454" i="26" s="1"/>
  <c r="B7455" i="26"/>
  <c r="A7455" i="26" s="1"/>
  <c r="B7456" i="26"/>
  <c r="A7456" i="26" s="1"/>
  <c r="B7457" i="26"/>
  <c r="A7457" i="26" s="1"/>
  <c r="B7458" i="26"/>
  <c r="A7458" i="26" s="1"/>
  <c r="B7459" i="26"/>
  <c r="A7459" i="26" s="1"/>
  <c r="B7460" i="26"/>
  <c r="A7460" i="26" s="1"/>
  <c r="B7461" i="26"/>
  <c r="A7461" i="26" s="1"/>
  <c r="B7462" i="26"/>
  <c r="A7462" i="26" s="1"/>
  <c r="B7463" i="26"/>
  <c r="A7463" i="26" s="1"/>
  <c r="B7464" i="26"/>
  <c r="A7464" i="26" s="1"/>
  <c r="B7465" i="26"/>
  <c r="A7465" i="26" s="1"/>
  <c r="B7466" i="26"/>
  <c r="A7466" i="26" s="1"/>
  <c r="B7467" i="26"/>
  <c r="A7467" i="26" s="1"/>
  <c r="B7468" i="26"/>
  <c r="A7468" i="26" s="1"/>
  <c r="B7469" i="26"/>
  <c r="A7469" i="26" s="1"/>
  <c r="B7470" i="26"/>
  <c r="A7470" i="26" s="1"/>
  <c r="B7471" i="26"/>
  <c r="A7471" i="26" s="1"/>
  <c r="B7472" i="26"/>
  <c r="A7472" i="26" s="1"/>
  <c r="B7473" i="26"/>
  <c r="A7473" i="26" s="1"/>
  <c r="B7474" i="26"/>
  <c r="A7474" i="26" s="1"/>
  <c r="B7475" i="26"/>
  <c r="A7475" i="26" s="1"/>
  <c r="B7476" i="26"/>
  <c r="A7476" i="26" s="1"/>
  <c r="B7477" i="26"/>
  <c r="A7477" i="26" s="1"/>
  <c r="B7478" i="26"/>
  <c r="A7478" i="26" s="1"/>
  <c r="B7479" i="26"/>
  <c r="A7479" i="26" s="1"/>
  <c r="B7480" i="26"/>
  <c r="A7480" i="26" s="1"/>
  <c r="B7481" i="26"/>
  <c r="A7481" i="26" s="1"/>
  <c r="B7482" i="26"/>
  <c r="A7482" i="26" s="1"/>
  <c r="B7483" i="26"/>
  <c r="A7483" i="26" s="1"/>
  <c r="B7484" i="26"/>
  <c r="A7484" i="26" s="1"/>
  <c r="B7485" i="26"/>
  <c r="A7485" i="26" s="1"/>
  <c r="B7486" i="26"/>
  <c r="A7486" i="26" s="1"/>
  <c r="B7487" i="26"/>
  <c r="A7487" i="26" s="1"/>
  <c r="B7488" i="26"/>
  <c r="A7488" i="26" s="1"/>
  <c r="B7489" i="26"/>
  <c r="A7489" i="26" s="1"/>
  <c r="B7490" i="26"/>
  <c r="A7490" i="26" s="1"/>
  <c r="B7491" i="26"/>
  <c r="A7491" i="26" s="1"/>
  <c r="B7492" i="26"/>
  <c r="A7492" i="26" s="1"/>
  <c r="B7493" i="26"/>
  <c r="A7493" i="26" s="1"/>
  <c r="B7494" i="26"/>
  <c r="A7494" i="26" s="1"/>
  <c r="B7495" i="26"/>
  <c r="A7495" i="26" s="1"/>
  <c r="B7496" i="26"/>
  <c r="A7496" i="26" s="1"/>
  <c r="B7497" i="26"/>
  <c r="A7497" i="26" s="1"/>
  <c r="B7498" i="26"/>
  <c r="A7498" i="26" s="1"/>
  <c r="B7499" i="26"/>
  <c r="A7499" i="26" s="1"/>
  <c r="B7500" i="26"/>
  <c r="A7500" i="26" s="1"/>
  <c r="B7501" i="26"/>
  <c r="A7501" i="26" s="1"/>
  <c r="B7502" i="26"/>
  <c r="A7502" i="26" s="1"/>
  <c r="B7503" i="26"/>
  <c r="A7503" i="26" s="1"/>
  <c r="B7504" i="26"/>
  <c r="A7504" i="26" s="1"/>
  <c r="B7505" i="26"/>
  <c r="A7505" i="26" s="1"/>
  <c r="B7506" i="26"/>
  <c r="A7506" i="26" s="1"/>
  <c r="B7507" i="26"/>
  <c r="A7507" i="26" s="1"/>
  <c r="B7508" i="26"/>
  <c r="A7508" i="26" s="1"/>
  <c r="B7509" i="26"/>
  <c r="A7509" i="26" s="1"/>
  <c r="B7510" i="26"/>
  <c r="A7510" i="26" s="1"/>
  <c r="B7511" i="26"/>
  <c r="A7511" i="26" s="1"/>
  <c r="B7512" i="26"/>
  <c r="A7512" i="26" s="1"/>
  <c r="B7513" i="26"/>
  <c r="A7513" i="26" s="1"/>
  <c r="B7514" i="26"/>
  <c r="A7514" i="26" s="1"/>
  <c r="B7515" i="26"/>
  <c r="A7515" i="26" s="1"/>
  <c r="B7516" i="26"/>
  <c r="A7516" i="26" s="1"/>
  <c r="B7517" i="26"/>
  <c r="A7517" i="26" s="1"/>
  <c r="B7518" i="26"/>
  <c r="A7518" i="26" s="1"/>
  <c r="B7519" i="26"/>
  <c r="A7519" i="26" s="1"/>
  <c r="B7520" i="26"/>
  <c r="A7520" i="26" s="1"/>
  <c r="B7521" i="26"/>
  <c r="A7521" i="26" s="1"/>
  <c r="B7522" i="26"/>
  <c r="A7522" i="26" s="1"/>
  <c r="B7523" i="26"/>
  <c r="A7523" i="26" s="1"/>
  <c r="B7524" i="26"/>
  <c r="A7524" i="26" s="1"/>
  <c r="B7525" i="26"/>
  <c r="A7525" i="26" s="1"/>
  <c r="B7526" i="26"/>
  <c r="A7526" i="26" s="1"/>
  <c r="B7527" i="26"/>
  <c r="A7527" i="26" s="1"/>
  <c r="B7528" i="26"/>
  <c r="A7528" i="26" s="1"/>
  <c r="B7529" i="26"/>
  <c r="A7529" i="26" s="1"/>
  <c r="B7530" i="26"/>
  <c r="A7530" i="26" s="1"/>
  <c r="B7531" i="26"/>
  <c r="A7531" i="26" s="1"/>
  <c r="B7532" i="26"/>
  <c r="A7532" i="26" s="1"/>
  <c r="B7533" i="26"/>
  <c r="A7533" i="26" s="1"/>
  <c r="B7534" i="26"/>
  <c r="A7534" i="26" s="1"/>
  <c r="B7535" i="26"/>
  <c r="A7535" i="26" s="1"/>
  <c r="B7536" i="26"/>
  <c r="A7536" i="26" s="1"/>
  <c r="B7537" i="26"/>
  <c r="A7537" i="26" s="1"/>
  <c r="B7538" i="26"/>
  <c r="A7538" i="26" s="1"/>
  <c r="B7539" i="26"/>
  <c r="A7539" i="26" s="1"/>
  <c r="B7540" i="26"/>
  <c r="A7540" i="26" s="1"/>
  <c r="B7541" i="26"/>
  <c r="A7541" i="26" s="1"/>
  <c r="B7542" i="26"/>
  <c r="A7542" i="26" s="1"/>
  <c r="B7543" i="26"/>
  <c r="A7543" i="26" s="1"/>
  <c r="B7544" i="26"/>
  <c r="A7544" i="26" s="1"/>
  <c r="B7545" i="26"/>
  <c r="A7545" i="26" s="1"/>
  <c r="B7546" i="26"/>
  <c r="A7546" i="26" s="1"/>
  <c r="B7547" i="26"/>
  <c r="A7547" i="26" s="1"/>
  <c r="B7548" i="26"/>
  <c r="A7548" i="26" s="1"/>
  <c r="B7549" i="26"/>
  <c r="A7549" i="26" s="1"/>
  <c r="B7550" i="26"/>
  <c r="A7550" i="26" s="1"/>
  <c r="B7551" i="26"/>
  <c r="A7551" i="26" s="1"/>
  <c r="B7552" i="26"/>
  <c r="A7552" i="26" s="1"/>
  <c r="B7553" i="26"/>
  <c r="A7553" i="26" s="1"/>
  <c r="B7554" i="26"/>
  <c r="A7554" i="26" s="1"/>
  <c r="B7555" i="26"/>
  <c r="A7555" i="26" s="1"/>
  <c r="B7556" i="26"/>
  <c r="A7556" i="26" s="1"/>
  <c r="B7557" i="26"/>
  <c r="A7557" i="26" s="1"/>
  <c r="B7558" i="26"/>
  <c r="A7558" i="26" s="1"/>
  <c r="B7559" i="26"/>
  <c r="A7559" i="26" s="1"/>
  <c r="B7560" i="26"/>
  <c r="A7560" i="26" s="1"/>
  <c r="B7561" i="26"/>
  <c r="A7561" i="26" s="1"/>
  <c r="B7562" i="26"/>
  <c r="A7562" i="26" s="1"/>
  <c r="B7563" i="26"/>
  <c r="A7563" i="26" s="1"/>
  <c r="B7564" i="26"/>
  <c r="A7564" i="26" s="1"/>
  <c r="B7565" i="26"/>
  <c r="A7565" i="26" s="1"/>
  <c r="B7566" i="26"/>
  <c r="A7566" i="26" s="1"/>
  <c r="B7567" i="26"/>
  <c r="A7567" i="26" s="1"/>
  <c r="B7568" i="26"/>
  <c r="A7568" i="26" s="1"/>
  <c r="B7569" i="26"/>
  <c r="A7569" i="26" s="1"/>
  <c r="B7570" i="26"/>
  <c r="A7570" i="26" s="1"/>
  <c r="B7571" i="26"/>
  <c r="A7571" i="26" s="1"/>
  <c r="B7572" i="26"/>
  <c r="A7572" i="26" s="1"/>
  <c r="B7573" i="26"/>
  <c r="A7573" i="26" s="1"/>
  <c r="B7574" i="26"/>
  <c r="A7574" i="26" s="1"/>
  <c r="B7575" i="26"/>
  <c r="A7575" i="26" s="1"/>
  <c r="B7576" i="26"/>
  <c r="A7576" i="26" s="1"/>
  <c r="B7577" i="26"/>
  <c r="A7577" i="26" s="1"/>
  <c r="B7578" i="26"/>
  <c r="A7578" i="26" s="1"/>
  <c r="B7579" i="26"/>
  <c r="A7579" i="26" s="1"/>
  <c r="B7580" i="26"/>
  <c r="A7580" i="26" s="1"/>
  <c r="B7581" i="26"/>
  <c r="A7581" i="26" s="1"/>
  <c r="B7582" i="26"/>
  <c r="A7582" i="26" s="1"/>
  <c r="B7583" i="26"/>
  <c r="A7583" i="26" s="1"/>
  <c r="B7584" i="26"/>
  <c r="A7584" i="26" s="1"/>
  <c r="B7585" i="26"/>
  <c r="A7585" i="26" s="1"/>
  <c r="B7586" i="26"/>
  <c r="A7586" i="26" s="1"/>
  <c r="B7587" i="26"/>
  <c r="A7587" i="26" s="1"/>
  <c r="B7588" i="26"/>
  <c r="A7588" i="26" s="1"/>
  <c r="B7589" i="26"/>
  <c r="A7589" i="26" s="1"/>
  <c r="B7590" i="26"/>
  <c r="A7590" i="26" s="1"/>
  <c r="B7591" i="26"/>
  <c r="A7591" i="26" s="1"/>
  <c r="B7592" i="26"/>
  <c r="A7592" i="26" s="1"/>
  <c r="B7593" i="26"/>
  <c r="A7593" i="26" s="1"/>
  <c r="B7594" i="26"/>
  <c r="A7594" i="26" s="1"/>
  <c r="B7595" i="26"/>
  <c r="A7595" i="26" s="1"/>
  <c r="B7596" i="26"/>
  <c r="A7596" i="26" s="1"/>
  <c r="B7597" i="26"/>
  <c r="A7597" i="26" s="1"/>
  <c r="B7598" i="26"/>
  <c r="A7598" i="26" s="1"/>
  <c r="B7599" i="26"/>
  <c r="A7599" i="26" s="1"/>
  <c r="B7600" i="26"/>
  <c r="A7600" i="26" s="1"/>
  <c r="B7601" i="26"/>
  <c r="A7601" i="26" s="1"/>
  <c r="B7602" i="26"/>
  <c r="A7602" i="26" s="1"/>
  <c r="B7603" i="26"/>
  <c r="A7603" i="26" s="1"/>
  <c r="B7604" i="26"/>
  <c r="A7604" i="26" s="1"/>
  <c r="B7605" i="26"/>
  <c r="A7605" i="26" s="1"/>
  <c r="B7606" i="26"/>
  <c r="A7606" i="26" s="1"/>
  <c r="B7607" i="26"/>
  <c r="A7607" i="26" s="1"/>
  <c r="B7608" i="26"/>
  <c r="A7608" i="26" s="1"/>
  <c r="B7609" i="26"/>
  <c r="A7609" i="26" s="1"/>
  <c r="B7610" i="26"/>
  <c r="A7610" i="26" s="1"/>
  <c r="B7611" i="26"/>
  <c r="A7611" i="26" s="1"/>
  <c r="B7612" i="26"/>
  <c r="A7612" i="26" s="1"/>
  <c r="B7613" i="26"/>
  <c r="A7613" i="26" s="1"/>
  <c r="B7614" i="26"/>
  <c r="A7614" i="26" s="1"/>
  <c r="B7615" i="26"/>
  <c r="A7615" i="26" s="1"/>
  <c r="B7616" i="26"/>
  <c r="A7616" i="26" s="1"/>
  <c r="B7617" i="26"/>
  <c r="A7617" i="26" s="1"/>
  <c r="B7618" i="26"/>
  <c r="A7618" i="26" s="1"/>
  <c r="B7619" i="26"/>
  <c r="A7619" i="26" s="1"/>
  <c r="B7620" i="26"/>
  <c r="A7620" i="26" s="1"/>
  <c r="B7621" i="26"/>
  <c r="A7621" i="26" s="1"/>
  <c r="B7622" i="26"/>
  <c r="A7622" i="26" s="1"/>
  <c r="B7623" i="26"/>
  <c r="A7623" i="26" s="1"/>
  <c r="B7624" i="26"/>
  <c r="A7624" i="26" s="1"/>
  <c r="B7625" i="26"/>
  <c r="A7625" i="26" s="1"/>
  <c r="B7626" i="26"/>
  <c r="A7626" i="26" s="1"/>
  <c r="B7627" i="26"/>
  <c r="A7627" i="26" s="1"/>
  <c r="B7628" i="26"/>
  <c r="A7628" i="26" s="1"/>
  <c r="B7629" i="26"/>
  <c r="A7629" i="26" s="1"/>
  <c r="B7630" i="26"/>
  <c r="A7630" i="26" s="1"/>
  <c r="B7631" i="26"/>
  <c r="A7631" i="26" s="1"/>
  <c r="B7632" i="26"/>
  <c r="A7632" i="26" s="1"/>
  <c r="B7633" i="26"/>
  <c r="A7633" i="26" s="1"/>
  <c r="B7634" i="26"/>
  <c r="A7634" i="26" s="1"/>
  <c r="B7635" i="26"/>
  <c r="A7635" i="26" s="1"/>
  <c r="B7636" i="26"/>
  <c r="A7636" i="26" s="1"/>
  <c r="B7637" i="26"/>
  <c r="A7637" i="26" s="1"/>
  <c r="B7638" i="26"/>
  <c r="A7638" i="26" s="1"/>
  <c r="B7639" i="26"/>
  <c r="A7639" i="26" s="1"/>
  <c r="B7640" i="26"/>
  <c r="A7640" i="26" s="1"/>
  <c r="B7641" i="26"/>
  <c r="A7641" i="26" s="1"/>
  <c r="B7642" i="26"/>
  <c r="A7642" i="26" s="1"/>
  <c r="B7643" i="26"/>
  <c r="A7643" i="26" s="1"/>
  <c r="B7644" i="26"/>
  <c r="A7644" i="26" s="1"/>
  <c r="B7645" i="26"/>
  <c r="A7645" i="26" s="1"/>
  <c r="B7646" i="26"/>
  <c r="A7646" i="26" s="1"/>
  <c r="B7647" i="26"/>
  <c r="A7647" i="26" s="1"/>
  <c r="B7648" i="26"/>
  <c r="A7648" i="26" s="1"/>
  <c r="B7649" i="26"/>
  <c r="A7649" i="26" s="1"/>
  <c r="B7650" i="26"/>
  <c r="A7650" i="26" s="1"/>
  <c r="B7651" i="26"/>
  <c r="A7651" i="26" s="1"/>
  <c r="B7652" i="26"/>
  <c r="A7652" i="26" s="1"/>
  <c r="B7653" i="26"/>
  <c r="A7653" i="26" s="1"/>
  <c r="B7654" i="26"/>
  <c r="A7654" i="26" s="1"/>
  <c r="B7655" i="26"/>
  <c r="A7655" i="26" s="1"/>
  <c r="B7656" i="26"/>
  <c r="A7656" i="26" s="1"/>
  <c r="B7657" i="26"/>
  <c r="A7657" i="26" s="1"/>
  <c r="B7658" i="26"/>
  <c r="A7658" i="26" s="1"/>
  <c r="B7659" i="26"/>
  <c r="A7659" i="26" s="1"/>
  <c r="B7660" i="26"/>
  <c r="A7660" i="26" s="1"/>
  <c r="B7661" i="26"/>
  <c r="A7661" i="26" s="1"/>
  <c r="B7662" i="26"/>
  <c r="A7662" i="26" s="1"/>
  <c r="B7663" i="26"/>
  <c r="A7663" i="26" s="1"/>
  <c r="B7664" i="26"/>
  <c r="A7664" i="26" s="1"/>
  <c r="B7665" i="26"/>
  <c r="A7665" i="26" s="1"/>
  <c r="B7666" i="26"/>
  <c r="A7666" i="26" s="1"/>
  <c r="B7667" i="26"/>
  <c r="A7667" i="26" s="1"/>
  <c r="B7668" i="26"/>
  <c r="A7668" i="26" s="1"/>
  <c r="B7669" i="26"/>
  <c r="A7669" i="26" s="1"/>
  <c r="B7670" i="26"/>
  <c r="A7670" i="26" s="1"/>
  <c r="B7671" i="26"/>
  <c r="A7671" i="26" s="1"/>
  <c r="B7672" i="26"/>
  <c r="A7672" i="26" s="1"/>
  <c r="B7673" i="26"/>
  <c r="A7673" i="26" s="1"/>
  <c r="B7674" i="26"/>
  <c r="A7674" i="26" s="1"/>
  <c r="B7675" i="26"/>
  <c r="A7675" i="26" s="1"/>
  <c r="B7676" i="26"/>
  <c r="A7676" i="26" s="1"/>
  <c r="B7677" i="26"/>
  <c r="A7677" i="26" s="1"/>
  <c r="B7678" i="26"/>
  <c r="A7678" i="26" s="1"/>
  <c r="B7679" i="26"/>
  <c r="A7679" i="26" s="1"/>
  <c r="B7680" i="26"/>
  <c r="A7680" i="26" s="1"/>
  <c r="B7681" i="26"/>
  <c r="A7681" i="26" s="1"/>
  <c r="B7682" i="26"/>
  <c r="A7682" i="26" s="1"/>
  <c r="B7683" i="26"/>
  <c r="A7683" i="26" s="1"/>
  <c r="B7684" i="26"/>
  <c r="A7684" i="26" s="1"/>
  <c r="B7685" i="26"/>
  <c r="A7685" i="26" s="1"/>
  <c r="B7686" i="26"/>
  <c r="A7686" i="26" s="1"/>
  <c r="B7687" i="26"/>
  <c r="A7687" i="26" s="1"/>
  <c r="B7688" i="26"/>
  <c r="A7688" i="26" s="1"/>
  <c r="B7689" i="26"/>
  <c r="A7689" i="26" s="1"/>
  <c r="B7690" i="26"/>
  <c r="A7690" i="26" s="1"/>
  <c r="B7691" i="26"/>
  <c r="A7691" i="26" s="1"/>
  <c r="B7692" i="26"/>
  <c r="A7692" i="26" s="1"/>
  <c r="B7693" i="26"/>
  <c r="A7693" i="26" s="1"/>
  <c r="B7694" i="26"/>
  <c r="A7694" i="26" s="1"/>
  <c r="B7695" i="26"/>
  <c r="A7695" i="26" s="1"/>
  <c r="B7696" i="26"/>
  <c r="A7696" i="26" s="1"/>
  <c r="B7697" i="26"/>
  <c r="A7697" i="26" s="1"/>
  <c r="B7698" i="26"/>
  <c r="A7698" i="26" s="1"/>
  <c r="B7699" i="26"/>
  <c r="A7699" i="26" s="1"/>
  <c r="B7700" i="26"/>
  <c r="A7700" i="26" s="1"/>
  <c r="B7701" i="26"/>
  <c r="A7701" i="26" s="1"/>
  <c r="B7702" i="26"/>
  <c r="A7702" i="26" s="1"/>
  <c r="B7703" i="26"/>
  <c r="A7703" i="26" s="1"/>
  <c r="B7704" i="26"/>
  <c r="A7704" i="26" s="1"/>
  <c r="B7705" i="26"/>
  <c r="A7705" i="26" s="1"/>
  <c r="B7706" i="26"/>
  <c r="A7706" i="26" s="1"/>
  <c r="B7707" i="26"/>
  <c r="A7707" i="26" s="1"/>
  <c r="B7708" i="26"/>
  <c r="A7708" i="26" s="1"/>
  <c r="B7709" i="26"/>
  <c r="A7709" i="26" s="1"/>
  <c r="B7710" i="26"/>
  <c r="A7710" i="26" s="1"/>
  <c r="B7711" i="26"/>
  <c r="A7711" i="26" s="1"/>
  <c r="B7712" i="26"/>
  <c r="A7712" i="26" s="1"/>
  <c r="B7713" i="26"/>
  <c r="A7713" i="26" s="1"/>
  <c r="B7714" i="26"/>
  <c r="A7714" i="26" s="1"/>
  <c r="B7715" i="26"/>
  <c r="A7715" i="26" s="1"/>
  <c r="B7716" i="26"/>
  <c r="A7716" i="26" s="1"/>
  <c r="B7717" i="26"/>
  <c r="A7717" i="26" s="1"/>
  <c r="B7718" i="26"/>
  <c r="A7718" i="26" s="1"/>
  <c r="B7719" i="26"/>
  <c r="A7719" i="26" s="1"/>
  <c r="B7720" i="26"/>
  <c r="A7720" i="26" s="1"/>
  <c r="B7721" i="26"/>
  <c r="A7721" i="26" s="1"/>
  <c r="B7722" i="26"/>
  <c r="A7722" i="26" s="1"/>
  <c r="B7723" i="26"/>
  <c r="A7723" i="26" s="1"/>
  <c r="B7724" i="26"/>
  <c r="A7724" i="26" s="1"/>
  <c r="B7725" i="26"/>
  <c r="A7725" i="26" s="1"/>
  <c r="B7726" i="26"/>
  <c r="A7726" i="26" s="1"/>
  <c r="B7727" i="26"/>
  <c r="A7727" i="26" s="1"/>
  <c r="B7728" i="26"/>
  <c r="A7728" i="26" s="1"/>
  <c r="B7729" i="26"/>
  <c r="A7729" i="26" s="1"/>
  <c r="B7730" i="26"/>
  <c r="A7730" i="26" s="1"/>
  <c r="B7731" i="26"/>
  <c r="A7731" i="26" s="1"/>
  <c r="B7732" i="26"/>
  <c r="A7732" i="26" s="1"/>
  <c r="B7733" i="26"/>
  <c r="A7733" i="26" s="1"/>
  <c r="B7734" i="26"/>
  <c r="A7734" i="26" s="1"/>
  <c r="B7735" i="26"/>
  <c r="A7735" i="26" s="1"/>
  <c r="B7736" i="26"/>
  <c r="A7736" i="26" s="1"/>
  <c r="B7737" i="26"/>
  <c r="A7737" i="26" s="1"/>
  <c r="B7738" i="26"/>
  <c r="A7738" i="26" s="1"/>
  <c r="B7739" i="26"/>
  <c r="A7739" i="26" s="1"/>
  <c r="B7740" i="26"/>
  <c r="A7740" i="26" s="1"/>
  <c r="B7741" i="26"/>
  <c r="A7741" i="26" s="1"/>
  <c r="B7742" i="26"/>
  <c r="A7742" i="26" s="1"/>
  <c r="B7743" i="26"/>
  <c r="A7743" i="26" s="1"/>
  <c r="B7744" i="26"/>
  <c r="A7744" i="26" s="1"/>
  <c r="B7745" i="26"/>
  <c r="A7745" i="26" s="1"/>
  <c r="B7746" i="26"/>
  <c r="A7746" i="26" s="1"/>
  <c r="B7747" i="26"/>
  <c r="A7747" i="26" s="1"/>
  <c r="B7748" i="26"/>
  <c r="A7748" i="26" s="1"/>
  <c r="B7749" i="26"/>
  <c r="A7749" i="26" s="1"/>
  <c r="B7750" i="26"/>
  <c r="A7750" i="26" s="1"/>
  <c r="B7751" i="26"/>
  <c r="A7751" i="26" s="1"/>
  <c r="B7752" i="26"/>
  <c r="A7752" i="26" s="1"/>
  <c r="B7753" i="26"/>
  <c r="A7753" i="26" s="1"/>
  <c r="B7754" i="26"/>
  <c r="A7754" i="26" s="1"/>
  <c r="B7755" i="26"/>
  <c r="A7755" i="26" s="1"/>
  <c r="B7756" i="26"/>
  <c r="A7756" i="26" s="1"/>
  <c r="B7757" i="26"/>
  <c r="A7757" i="26" s="1"/>
  <c r="B7758" i="26"/>
  <c r="A7758" i="26" s="1"/>
  <c r="B7759" i="26"/>
  <c r="A7759" i="26" s="1"/>
  <c r="B7760" i="26"/>
  <c r="A7760" i="26" s="1"/>
  <c r="B7761" i="26"/>
  <c r="A7761" i="26" s="1"/>
  <c r="B7762" i="26"/>
  <c r="A7762" i="26" s="1"/>
  <c r="B7763" i="26"/>
  <c r="A7763" i="26" s="1"/>
  <c r="B7764" i="26"/>
  <c r="A7764" i="26" s="1"/>
  <c r="B7765" i="26"/>
  <c r="A7765" i="26" s="1"/>
  <c r="B7766" i="26"/>
  <c r="A7766" i="26" s="1"/>
  <c r="B7767" i="26"/>
  <c r="A7767" i="26" s="1"/>
  <c r="B7768" i="26"/>
  <c r="A7768" i="26" s="1"/>
  <c r="B7769" i="26"/>
  <c r="A7769" i="26" s="1"/>
  <c r="B7770" i="26"/>
  <c r="A7770" i="26" s="1"/>
  <c r="B7771" i="26"/>
  <c r="A7771" i="26" s="1"/>
  <c r="B7772" i="26"/>
  <c r="A7772" i="26" s="1"/>
  <c r="B7773" i="26"/>
  <c r="A7773" i="26" s="1"/>
  <c r="B7774" i="26"/>
  <c r="A7774" i="26" s="1"/>
  <c r="B7775" i="26"/>
  <c r="A7775" i="26" s="1"/>
  <c r="B7776" i="26"/>
  <c r="A7776" i="26" s="1"/>
  <c r="B7777" i="26"/>
  <c r="A7777" i="26" s="1"/>
  <c r="B7778" i="26"/>
  <c r="A7778" i="26" s="1"/>
  <c r="B7779" i="26"/>
  <c r="A7779" i="26" s="1"/>
  <c r="B7780" i="26"/>
  <c r="A7780" i="26" s="1"/>
  <c r="B7781" i="26"/>
  <c r="A7781" i="26" s="1"/>
  <c r="B7782" i="26"/>
  <c r="A7782" i="26" s="1"/>
  <c r="B7783" i="26"/>
  <c r="A7783" i="26" s="1"/>
  <c r="B7784" i="26"/>
  <c r="A7784" i="26" s="1"/>
  <c r="B7785" i="26"/>
  <c r="A7785" i="26" s="1"/>
  <c r="B7786" i="26"/>
  <c r="A7786" i="26" s="1"/>
  <c r="B7787" i="26"/>
  <c r="A7787" i="26" s="1"/>
  <c r="B7788" i="26"/>
  <c r="A7788" i="26" s="1"/>
  <c r="B7789" i="26"/>
  <c r="A7789" i="26" s="1"/>
  <c r="B7790" i="26"/>
  <c r="A7790" i="26" s="1"/>
  <c r="B7791" i="26"/>
  <c r="A7791" i="26" s="1"/>
  <c r="B7792" i="26"/>
  <c r="A7792" i="26" s="1"/>
  <c r="B7793" i="26"/>
  <c r="A7793" i="26" s="1"/>
  <c r="B7794" i="26"/>
  <c r="A7794" i="26" s="1"/>
  <c r="B7795" i="26"/>
  <c r="A7795" i="26" s="1"/>
  <c r="B7796" i="26"/>
  <c r="A7796" i="26" s="1"/>
  <c r="B7797" i="26"/>
  <c r="A7797" i="26" s="1"/>
  <c r="B7798" i="26"/>
  <c r="A7798" i="26" s="1"/>
  <c r="B7799" i="26"/>
  <c r="A7799" i="26" s="1"/>
  <c r="B7800" i="26"/>
  <c r="A7800" i="26" s="1"/>
  <c r="B7801" i="26"/>
  <c r="A7801" i="26" s="1"/>
  <c r="B7802" i="26"/>
  <c r="A7802" i="26" s="1"/>
  <c r="B7803" i="26"/>
  <c r="A7803" i="26" s="1"/>
  <c r="B7804" i="26"/>
  <c r="A7804" i="26" s="1"/>
  <c r="B7805" i="26"/>
  <c r="A7805" i="26" s="1"/>
  <c r="B7806" i="26"/>
  <c r="A7806" i="26" s="1"/>
  <c r="B7807" i="26"/>
  <c r="A7807" i="26" s="1"/>
  <c r="B7808" i="26"/>
  <c r="A7808" i="26" s="1"/>
  <c r="B7809" i="26"/>
  <c r="A7809" i="26" s="1"/>
  <c r="B7810" i="26"/>
  <c r="A7810" i="26" s="1"/>
  <c r="B7811" i="26"/>
  <c r="A7811" i="26" s="1"/>
  <c r="B7812" i="26"/>
  <c r="A7812" i="26" s="1"/>
  <c r="B7813" i="26"/>
  <c r="A7813" i="26" s="1"/>
  <c r="B7814" i="26"/>
  <c r="A7814" i="26" s="1"/>
  <c r="B7815" i="26"/>
  <c r="A7815" i="26" s="1"/>
  <c r="B7816" i="26"/>
  <c r="A7816" i="26" s="1"/>
  <c r="B7817" i="26"/>
  <c r="A7817" i="26" s="1"/>
  <c r="B7818" i="26"/>
  <c r="A7818" i="26" s="1"/>
  <c r="B7819" i="26"/>
  <c r="A7819" i="26" s="1"/>
  <c r="B7820" i="26"/>
  <c r="A7820" i="26" s="1"/>
  <c r="B7821" i="26"/>
  <c r="A7821" i="26" s="1"/>
  <c r="B7822" i="26"/>
  <c r="A7822" i="26" s="1"/>
  <c r="B7823" i="26"/>
  <c r="A7823" i="26" s="1"/>
  <c r="B7824" i="26"/>
  <c r="A7824" i="26" s="1"/>
  <c r="B7825" i="26"/>
  <c r="A7825" i="26" s="1"/>
  <c r="B7826" i="26"/>
  <c r="A7826" i="26" s="1"/>
  <c r="B7827" i="26"/>
  <c r="A7827" i="26" s="1"/>
  <c r="B7828" i="26"/>
  <c r="A7828" i="26" s="1"/>
  <c r="B7829" i="26"/>
  <c r="A7829" i="26" s="1"/>
  <c r="B7830" i="26"/>
  <c r="A7830" i="26" s="1"/>
  <c r="B7831" i="26"/>
  <c r="A7831" i="26" s="1"/>
  <c r="B7832" i="26"/>
  <c r="A7832" i="26" s="1"/>
  <c r="B7833" i="26"/>
  <c r="A7833" i="26" s="1"/>
  <c r="B7834" i="26"/>
  <c r="A7834" i="26" s="1"/>
  <c r="B7835" i="26"/>
  <c r="A7835" i="26" s="1"/>
  <c r="B7836" i="26"/>
  <c r="A7836" i="26" s="1"/>
  <c r="B7837" i="26"/>
  <c r="A7837" i="26" s="1"/>
  <c r="B7838" i="26"/>
  <c r="A7838" i="26" s="1"/>
  <c r="B7839" i="26"/>
  <c r="A7839" i="26" s="1"/>
  <c r="B7840" i="26"/>
  <c r="A7840" i="26" s="1"/>
  <c r="B7841" i="26"/>
  <c r="A7841" i="26" s="1"/>
  <c r="B7842" i="26"/>
  <c r="A7842" i="26" s="1"/>
  <c r="B7843" i="26"/>
  <c r="A7843" i="26" s="1"/>
  <c r="B7844" i="26"/>
  <c r="A7844" i="26" s="1"/>
  <c r="B7845" i="26"/>
  <c r="A7845" i="26" s="1"/>
  <c r="B7846" i="26"/>
  <c r="A7846" i="26" s="1"/>
  <c r="B7847" i="26"/>
  <c r="A7847" i="26" s="1"/>
  <c r="B7848" i="26"/>
  <c r="A7848" i="26" s="1"/>
  <c r="B7849" i="26"/>
  <c r="A7849" i="26" s="1"/>
  <c r="B7850" i="26"/>
  <c r="A7850" i="26" s="1"/>
  <c r="B7851" i="26"/>
  <c r="A7851" i="26" s="1"/>
  <c r="B7852" i="26"/>
  <c r="A7852" i="26" s="1"/>
  <c r="B7853" i="26"/>
  <c r="A7853" i="26" s="1"/>
  <c r="B7854" i="26"/>
  <c r="A7854" i="26" s="1"/>
  <c r="B7855" i="26"/>
  <c r="A7855" i="26" s="1"/>
  <c r="B7856" i="26"/>
  <c r="A7856" i="26" s="1"/>
  <c r="B7857" i="26"/>
  <c r="A7857" i="26" s="1"/>
  <c r="B7858" i="26"/>
  <c r="A7858" i="26" s="1"/>
  <c r="B7859" i="26"/>
  <c r="A7859" i="26" s="1"/>
  <c r="B7860" i="26"/>
  <c r="A7860" i="26" s="1"/>
  <c r="B7861" i="26"/>
  <c r="A7861" i="26" s="1"/>
  <c r="B7862" i="26"/>
  <c r="A7862" i="26" s="1"/>
  <c r="B7863" i="26"/>
  <c r="A7863" i="26" s="1"/>
  <c r="B7864" i="26"/>
  <c r="A7864" i="26" s="1"/>
  <c r="B7865" i="26"/>
  <c r="A7865" i="26" s="1"/>
  <c r="B7866" i="26"/>
  <c r="A7866" i="26" s="1"/>
  <c r="B7867" i="26"/>
  <c r="A7867" i="26" s="1"/>
  <c r="B7868" i="26"/>
  <c r="A7868" i="26" s="1"/>
  <c r="B7869" i="26"/>
  <c r="A7869" i="26" s="1"/>
  <c r="B7870" i="26"/>
  <c r="A7870" i="26" s="1"/>
  <c r="B7871" i="26"/>
  <c r="A7871" i="26" s="1"/>
  <c r="B7872" i="26"/>
  <c r="A7872" i="26" s="1"/>
  <c r="B7873" i="26"/>
  <c r="A7873" i="26" s="1"/>
  <c r="B7874" i="26"/>
  <c r="A7874" i="26" s="1"/>
  <c r="B7875" i="26"/>
  <c r="A7875" i="26" s="1"/>
  <c r="B7876" i="26"/>
  <c r="A7876" i="26" s="1"/>
  <c r="B7877" i="26"/>
  <c r="A7877" i="26" s="1"/>
  <c r="B7878" i="26"/>
  <c r="A7878" i="26" s="1"/>
  <c r="B7879" i="26"/>
  <c r="A7879" i="26" s="1"/>
  <c r="B7880" i="26"/>
  <c r="A7880" i="26" s="1"/>
  <c r="B7881" i="26"/>
  <c r="A7881" i="26" s="1"/>
  <c r="B7882" i="26"/>
  <c r="A7882" i="26" s="1"/>
  <c r="B7883" i="26"/>
  <c r="A7883" i="26" s="1"/>
  <c r="B7884" i="26"/>
  <c r="A7884" i="26" s="1"/>
  <c r="B7885" i="26"/>
  <c r="A7885" i="26" s="1"/>
  <c r="B7886" i="26"/>
  <c r="A7886" i="26" s="1"/>
  <c r="B7887" i="26"/>
  <c r="A7887" i="26" s="1"/>
  <c r="B7888" i="26"/>
  <c r="A7888" i="26" s="1"/>
  <c r="B7889" i="26"/>
  <c r="A7889" i="26" s="1"/>
  <c r="B7890" i="26"/>
  <c r="A7890" i="26" s="1"/>
  <c r="B7891" i="26"/>
  <c r="A7891" i="26" s="1"/>
  <c r="B7892" i="26"/>
  <c r="A7892" i="26" s="1"/>
  <c r="B7893" i="26"/>
  <c r="A7893" i="26" s="1"/>
  <c r="B7894" i="26"/>
  <c r="A7894" i="26" s="1"/>
  <c r="B7895" i="26"/>
  <c r="A7895" i="26" s="1"/>
  <c r="B7896" i="26"/>
  <c r="A7896" i="26" s="1"/>
  <c r="B7897" i="26"/>
  <c r="A7897" i="26" s="1"/>
  <c r="B7898" i="26"/>
  <c r="A7898" i="26" s="1"/>
  <c r="B7899" i="26"/>
  <c r="A7899" i="26" s="1"/>
  <c r="B7900" i="26"/>
  <c r="A7900" i="26" s="1"/>
  <c r="B7901" i="26"/>
  <c r="A7901" i="26" s="1"/>
  <c r="B7902" i="26"/>
  <c r="A7902" i="26" s="1"/>
  <c r="B7903" i="26"/>
  <c r="A7903" i="26" s="1"/>
  <c r="B7904" i="26"/>
  <c r="A7904" i="26" s="1"/>
  <c r="B7905" i="26"/>
  <c r="A7905" i="26" s="1"/>
  <c r="B7906" i="26"/>
  <c r="A7906" i="26" s="1"/>
  <c r="B7907" i="26"/>
  <c r="A7907" i="26" s="1"/>
  <c r="B7908" i="26"/>
  <c r="A7908" i="26" s="1"/>
  <c r="B7909" i="26"/>
  <c r="A7909" i="26" s="1"/>
  <c r="B7910" i="26"/>
  <c r="A7910" i="26" s="1"/>
  <c r="B7911" i="26"/>
  <c r="A7911" i="26" s="1"/>
  <c r="B7912" i="26"/>
  <c r="A7912" i="26" s="1"/>
  <c r="B7913" i="26"/>
  <c r="A7913" i="26" s="1"/>
  <c r="B7914" i="26"/>
  <c r="A7914" i="26" s="1"/>
  <c r="B7915" i="26"/>
  <c r="A7915" i="26" s="1"/>
  <c r="B7916" i="26"/>
  <c r="A7916" i="26" s="1"/>
  <c r="B7917" i="26"/>
  <c r="A7917" i="26" s="1"/>
  <c r="B7918" i="26"/>
  <c r="A7918" i="26" s="1"/>
  <c r="B7919" i="26"/>
  <c r="A7919" i="26" s="1"/>
  <c r="B7920" i="26"/>
  <c r="A7920" i="26" s="1"/>
  <c r="B7921" i="26"/>
  <c r="A7921" i="26" s="1"/>
  <c r="B7922" i="26"/>
  <c r="A7922" i="26" s="1"/>
  <c r="B7923" i="26"/>
  <c r="A7923" i="26" s="1"/>
  <c r="B7924" i="26"/>
  <c r="A7924" i="26" s="1"/>
  <c r="B7925" i="26"/>
  <c r="A7925" i="26" s="1"/>
  <c r="B7926" i="26"/>
  <c r="A7926" i="26" s="1"/>
  <c r="B7927" i="26"/>
  <c r="A7927" i="26" s="1"/>
  <c r="B7928" i="26"/>
  <c r="A7928" i="26" s="1"/>
  <c r="B7929" i="26"/>
  <c r="A7929" i="26" s="1"/>
  <c r="B7930" i="26"/>
  <c r="A7930" i="26" s="1"/>
  <c r="B7931" i="26"/>
  <c r="A7931" i="26" s="1"/>
  <c r="B7932" i="26"/>
  <c r="A7932" i="26" s="1"/>
  <c r="B7933" i="26"/>
  <c r="A7933" i="26" s="1"/>
  <c r="B7934" i="26"/>
  <c r="A7934" i="26" s="1"/>
  <c r="B7935" i="26"/>
  <c r="A7935" i="26" s="1"/>
  <c r="B7936" i="26"/>
  <c r="A7936" i="26" s="1"/>
  <c r="B7937" i="26"/>
  <c r="A7937" i="26" s="1"/>
  <c r="B7938" i="26"/>
  <c r="A7938" i="26" s="1"/>
  <c r="B7939" i="26"/>
  <c r="A7939" i="26" s="1"/>
  <c r="B7940" i="26"/>
  <c r="A7940" i="26" s="1"/>
  <c r="B7941" i="26"/>
  <c r="A7941" i="26" s="1"/>
  <c r="B7942" i="26"/>
  <c r="A7942" i="26" s="1"/>
  <c r="B7943" i="26"/>
  <c r="A7943" i="26" s="1"/>
  <c r="B7944" i="26"/>
  <c r="A7944" i="26" s="1"/>
  <c r="B7945" i="26"/>
  <c r="A7945" i="26" s="1"/>
  <c r="B7946" i="26"/>
  <c r="A7946" i="26" s="1"/>
  <c r="B7947" i="26"/>
  <c r="A7947" i="26" s="1"/>
  <c r="B7948" i="26"/>
  <c r="A7948" i="26" s="1"/>
  <c r="B7949" i="26"/>
  <c r="A7949" i="26" s="1"/>
  <c r="B7950" i="26"/>
  <c r="A7950" i="26" s="1"/>
  <c r="B7951" i="26"/>
  <c r="A7951" i="26" s="1"/>
  <c r="B7952" i="26"/>
  <c r="A7952" i="26" s="1"/>
  <c r="B7953" i="26"/>
  <c r="A7953" i="26" s="1"/>
  <c r="B7954" i="26"/>
  <c r="A7954" i="26" s="1"/>
  <c r="B7955" i="26"/>
  <c r="A7955" i="26" s="1"/>
  <c r="B7956" i="26"/>
  <c r="A7956" i="26" s="1"/>
  <c r="B7957" i="26"/>
  <c r="A7957" i="26" s="1"/>
  <c r="B7958" i="26"/>
  <c r="A7958" i="26" s="1"/>
  <c r="B7959" i="26"/>
  <c r="A7959" i="26" s="1"/>
  <c r="B7960" i="26"/>
  <c r="A7960" i="26" s="1"/>
  <c r="B7961" i="26"/>
  <c r="A7961" i="26" s="1"/>
  <c r="B7962" i="26"/>
  <c r="A7962" i="26" s="1"/>
  <c r="B7963" i="26"/>
  <c r="A7963" i="26" s="1"/>
  <c r="B7964" i="26"/>
  <c r="A7964" i="26" s="1"/>
  <c r="B7965" i="26"/>
  <c r="A7965" i="26" s="1"/>
  <c r="B7966" i="26"/>
  <c r="A7966" i="26" s="1"/>
  <c r="B7967" i="26"/>
  <c r="A7967" i="26" s="1"/>
  <c r="B7968" i="26"/>
  <c r="A7968" i="26" s="1"/>
  <c r="B7969" i="26"/>
  <c r="A7969" i="26" s="1"/>
  <c r="B7970" i="26"/>
  <c r="A7970" i="26" s="1"/>
  <c r="B7971" i="26"/>
  <c r="A7971" i="26" s="1"/>
  <c r="B7972" i="26"/>
  <c r="A7972" i="26" s="1"/>
  <c r="B7973" i="26"/>
  <c r="A7973" i="26" s="1"/>
  <c r="B7974" i="26"/>
  <c r="A7974" i="26" s="1"/>
  <c r="B7975" i="26"/>
  <c r="A7975" i="26" s="1"/>
  <c r="B7976" i="26"/>
  <c r="A7976" i="26" s="1"/>
  <c r="B7977" i="26"/>
  <c r="A7977" i="26" s="1"/>
  <c r="B7978" i="26"/>
  <c r="A7978" i="26" s="1"/>
  <c r="B7979" i="26"/>
  <c r="A7979" i="26" s="1"/>
  <c r="B7980" i="26"/>
  <c r="A7980" i="26" s="1"/>
  <c r="B7981" i="26"/>
  <c r="A7981" i="26" s="1"/>
  <c r="B7982" i="26"/>
  <c r="A7982" i="26" s="1"/>
  <c r="B7983" i="26"/>
  <c r="A7983" i="26" s="1"/>
  <c r="B7984" i="26"/>
  <c r="A7984" i="26" s="1"/>
  <c r="B7985" i="26"/>
  <c r="A7985" i="26" s="1"/>
  <c r="B7986" i="26"/>
  <c r="A7986" i="26" s="1"/>
  <c r="B7987" i="26"/>
  <c r="A7987" i="26" s="1"/>
  <c r="B7988" i="26"/>
  <c r="A7988" i="26" s="1"/>
  <c r="B7989" i="26"/>
  <c r="A7989" i="26" s="1"/>
  <c r="B7990" i="26"/>
  <c r="A7990" i="26" s="1"/>
  <c r="B7991" i="26"/>
  <c r="A7991" i="26" s="1"/>
  <c r="B7992" i="26"/>
  <c r="A7992" i="26" s="1"/>
  <c r="B7993" i="26"/>
  <c r="A7993" i="26" s="1"/>
  <c r="B7994" i="26"/>
  <c r="A7994" i="26" s="1"/>
  <c r="B7995" i="26"/>
  <c r="A7995" i="26" s="1"/>
  <c r="B7996" i="26"/>
  <c r="A7996" i="26" s="1"/>
  <c r="B7997" i="26"/>
  <c r="A7997" i="26" s="1"/>
  <c r="B7998" i="26"/>
  <c r="A7998" i="26" s="1"/>
  <c r="B7999" i="26"/>
  <c r="A7999" i="26" s="1"/>
  <c r="B8000" i="26"/>
  <c r="A8000" i="26" s="1"/>
  <c r="B8001" i="26"/>
  <c r="A8001" i="26" s="1"/>
  <c r="B8002" i="26"/>
  <c r="A8002" i="26" s="1"/>
  <c r="B8003" i="26"/>
  <c r="A8003" i="26" s="1"/>
  <c r="B8004" i="26"/>
  <c r="A8004" i="26" s="1"/>
  <c r="B8005" i="26"/>
  <c r="A8005" i="26" s="1"/>
  <c r="B8006" i="26"/>
  <c r="A8006" i="26" s="1"/>
  <c r="B8007" i="26"/>
  <c r="A8007" i="26" s="1"/>
  <c r="B8008" i="26"/>
  <c r="A8008" i="26" s="1"/>
  <c r="B8009" i="26"/>
  <c r="A8009" i="26" s="1"/>
  <c r="B8010" i="26"/>
  <c r="A8010" i="26" s="1"/>
  <c r="B8011" i="26"/>
  <c r="A8011" i="26" s="1"/>
  <c r="B8012" i="26"/>
  <c r="A8012" i="26" s="1"/>
  <c r="B8013" i="26"/>
  <c r="A8013" i="26" s="1"/>
  <c r="B8014" i="26"/>
  <c r="A8014" i="26" s="1"/>
  <c r="B8015" i="26"/>
  <c r="A8015" i="26" s="1"/>
  <c r="B8016" i="26"/>
  <c r="A8016" i="26" s="1"/>
  <c r="B8017" i="26"/>
  <c r="A8017" i="26" s="1"/>
  <c r="B8018" i="26"/>
  <c r="A8018" i="26" s="1"/>
  <c r="B8019" i="26"/>
  <c r="A8019" i="26" s="1"/>
  <c r="B8020" i="26"/>
  <c r="A8020" i="26" s="1"/>
  <c r="B8021" i="26"/>
  <c r="A8021" i="26" s="1"/>
  <c r="B8022" i="26"/>
  <c r="A8022" i="26" s="1"/>
  <c r="B8023" i="26"/>
  <c r="A8023" i="26" s="1"/>
  <c r="B8024" i="26"/>
  <c r="A8024" i="26" s="1"/>
  <c r="B8025" i="26"/>
  <c r="A8025" i="26" s="1"/>
  <c r="B8026" i="26"/>
  <c r="A8026" i="26" s="1"/>
  <c r="B8027" i="26"/>
  <c r="A8027" i="26" s="1"/>
  <c r="B8028" i="26"/>
  <c r="A8028" i="26" s="1"/>
  <c r="B8029" i="26"/>
  <c r="A8029" i="26" s="1"/>
  <c r="B8030" i="26"/>
  <c r="A8030" i="26" s="1"/>
  <c r="B8031" i="26"/>
  <c r="A8031" i="26" s="1"/>
  <c r="B8032" i="26"/>
  <c r="A8032" i="26" s="1"/>
  <c r="B8033" i="26"/>
  <c r="A8033" i="26" s="1"/>
  <c r="B8034" i="26"/>
  <c r="A8034" i="26" s="1"/>
  <c r="B8035" i="26"/>
  <c r="A8035" i="26" s="1"/>
  <c r="B8036" i="26"/>
  <c r="A8036" i="26" s="1"/>
  <c r="B8037" i="26"/>
  <c r="A8037" i="26" s="1"/>
  <c r="B8038" i="26"/>
  <c r="A8038" i="26" s="1"/>
  <c r="B8039" i="26"/>
  <c r="A8039" i="26" s="1"/>
  <c r="B8040" i="26"/>
  <c r="A8040" i="26" s="1"/>
  <c r="B8041" i="26"/>
  <c r="A8041" i="26" s="1"/>
  <c r="B8042" i="26"/>
  <c r="A8042" i="26" s="1"/>
  <c r="B8043" i="26"/>
  <c r="A8043" i="26" s="1"/>
  <c r="B8044" i="26"/>
  <c r="A8044" i="26" s="1"/>
  <c r="B8045" i="26"/>
  <c r="A8045" i="26" s="1"/>
  <c r="B8046" i="26"/>
  <c r="A8046" i="26" s="1"/>
  <c r="B8047" i="26"/>
  <c r="A8047" i="26" s="1"/>
  <c r="B8048" i="26"/>
  <c r="A8048" i="26" s="1"/>
  <c r="B8049" i="26"/>
  <c r="A8049" i="26" s="1"/>
  <c r="B8050" i="26"/>
  <c r="A8050" i="26" s="1"/>
  <c r="B8051" i="26"/>
  <c r="A8051" i="26" s="1"/>
  <c r="B8052" i="26"/>
  <c r="A8052" i="26" s="1"/>
  <c r="B8053" i="26"/>
  <c r="A8053" i="26" s="1"/>
  <c r="B8054" i="26"/>
  <c r="A8054" i="26" s="1"/>
  <c r="B8055" i="26"/>
  <c r="A8055" i="26" s="1"/>
  <c r="B8056" i="26"/>
  <c r="A8056" i="26" s="1"/>
  <c r="B8057" i="26"/>
  <c r="A8057" i="26" s="1"/>
  <c r="B8058" i="26"/>
  <c r="A8058" i="26" s="1"/>
  <c r="B8059" i="26"/>
  <c r="A8059" i="26" s="1"/>
  <c r="B8060" i="26"/>
  <c r="A8060" i="26" s="1"/>
  <c r="B8061" i="26"/>
  <c r="A8061" i="26" s="1"/>
  <c r="B8062" i="26"/>
  <c r="A8062" i="26" s="1"/>
  <c r="B8063" i="26"/>
  <c r="A8063" i="26" s="1"/>
  <c r="B8064" i="26"/>
  <c r="A8064" i="26" s="1"/>
  <c r="B8065" i="26"/>
  <c r="A8065" i="26" s="1"/>
  <c r="B8066" i="26"/>
  <c r="A8066" i="26" s="1"/>
  <c r="B8067" i="26"/>
  <c r="A8067" i="26" s="1"/>
  <c r="B8068" i="26"/>
  <c r="A8068" i="26" s="1"/>
  <c r="B8069" i="26"/>
  <c r="A8069" i="26" s="1"/>
  <c r="B8070" i="26"/>
  <c r="A8070" i="26" s="1"/>
  <c r="B8071" i="26"/>
  <c r="A8071" i="26" s="1"/>
  <c r="B8072" i="26"/>
  <c r="A8072" i="26" s="1"/>
  <c r="B8073" i="26"/>
  <c r="A8073" i="26" s="1"/>
  <c r="B8074" i="26"/>
  <c r="A8074" i="26" s="1"/>
  <c r="B8075" i="26"/>
  <c r="A8075" i="26" s="1"/>
  <c r="B8076" i="26"/>
  <c r="A8076" i="26" s="1"/>
  <c r="B8077" i="26"/>
  <c r="A8077" i="26" s="1"/>
  <c r="B8078" i="26"/>
  <c r="A8078" i="26" s="1"/>
  <c r="B8079" i="26"/>
  <c r="A8079" i="26" s="1"/>
  <c r="B8080" i="26"/>
  <c r="A8080" i="26" s="1"/>
  <c r="B8081" i="26"/>
  <c r="A8081" i="26" s="1"/>
  <c r="B8082" i="26"/>
  <c r="A8082" i="26" s="1"/>
  <c r="B8083" i="26"/>
  <c r="A8083" i="26" s="1"/>
  <c r="B8084" i="26"/>
  <c r="A8084" i="26" s="1"/>
  <c r="B8085" i="26"/>
  <c r="A8085" i="26" s="1"/>
  <c r="B8086" i="26"/>
  <c r="A8086" i="26" s="1"/>
  <c r="B8087" i="26"/>
  <c r="A8087" i="26" s="1"/>
  <c r="B8088" i="26"/>
  <c r="A8088" i="26" s="1"/>
  <c r="B8089" i="26"/>
  <c r="A8089" i="26" s="1"/>
  <c r="B8090" i="26"/>
  <c r="A8090" i="26" s="1"/>
  <c r="B8091" i="26"/>
  <c r="A8091" i="26" s="1"/>
  <c r="B8092" i="26"/>
  <c r="A8092" i="26" s="1"/>
  <c r="B8093" i="26"/>
  <c r="A8093" i="26" s="1"/>
  <c r="B8094" i="26"/>
  <c r="A8094" i="26" s="1"/>
  <c r="B8095" i="26"/>
  <c r="A8095" i="26" s="1"/>
  <c r="B8096" i="26"/>
  <c r="A8096" i="26" s="1"/>
  <c r="B8097" i="26"/>
  <c r="A8097" i="26" s="1"/>
  <c r="B8098" i="26"/>
  <c r="A8098" i="26" s="1"/>
  <c r="B8099" i="26"/>
  <c r="A8099" i="26" s="1"/>
  <c r="B8100" i="26"/>
  <c r="A8100" i="26" s="1"/>
  <c r="B8101" i="26"/>
  <c r="A8101" i="26" s="1"/>
  <c r="B8102" i="26"/>
  <c r="A8102" i="26" s="1"/>
  <c r="B8103" i="26"/>
  <c r="A8103" i="26" s="1"/>
  <c r="B8104" i="26"/>
  <c r="A8104" i="26" s="1"/>
  <c r="B8105" i="26"/>
  <c r="A8105" i="26" s="1"/>
  <c r="B8106" i="26"/>
  <c r="A8106" i="26" s="1"/>
  <c r="B8107" i="26"/>
  <c r="A8107" i="26" s="1"/>
  <c r="B8108" i="26"/>
  <c r="A8108" i="26" s="1"/>
  <c r="B8109" i="26"/>
  <c r="A8109" i="26" s="1"/>
  <c r="B8110" i="26"/>
  <c r="A8110" i="26" s="1"/>
  <c r="B8111" i="26"/>
  <c r="A8111" i="26" s="1"/>
  <c r="B8112" i="26"/>
  <c r="A8112" i="26" s="1"/>
  <c r="B8113" i="26"/>
  <c r="A8113" i="26" s="1"/>
  <c r="B8114" i="26"/>
  <c r="A8114" i="26" s="1"/>
  <c r="B8115" i="26"/>
  <c r="A8115" i="26" s="1"/>
  <c r="B8116" i="26"/>
  <c r="A8116" i="26" s="1"/>
  <c r="B8117" i="26"/>
  <c r="A8117" i="26" s="1"/>
  <c r="B8118" i="26"/>
  <c r="A8118" i="26" s="1"/>
  <c r="B8119" i="26"/>
  <c r="A8119" i="26" s="1"/>
  <c r="B8120" i="26"/>
  <c r="A8120" i="26" s="1"/>
  <c r="B8121" i="26"/>
  <c r="A8121" i="26" s="1"/>
  <c r="B8122" i="26"/>
  <c r="A8122" i="26" s="1"/>
  <c r="B8123" i="26"/>
  <c r="A8123" i="26" s="1"/>
  <c r="B8124" i="26"/>
  <c r="A8124" i="26" s="1"/>
  <c r="B8125" i="26"/>
  <c r="A8125" i="26" s="1"/>
  <c r="B8126" i="26"/>
  <c r="A8126" i="26" s="1"/>
  <c r="B8127" i="26"/>
  <c r="A8127" i="26" s="1"/>
  <c r="B8128" i="26"/>
  <c r="A8128" i="26" s="1"/>
  <c r="B8129" i="26"/>
  <c r="A8129" i="26" s="1"/>
  <c r="B8130" i="26"/>
  <c r="A8130" i="26" s="1"/>
  <c r="B8131" i="26"/>
  <c r="A8131" i="26" s="1"/>
  <c r="B8132" i="26"/>
  <c r="A8132" i="26" s="1"/>
  <c r="B8133" i="26"/>
  <c r="A8133" i="26" s="1"/>
  <c r="B8134" i="26"/>
  <c r="A8134" i="26" s="1"/>
  <c r="B8135" i="26"/>
  <c r="A8135" i="26" s="1"/>
  <c r="B8136" i="26"/>
  <c r="A8136" i="26" s="1"/>
  <c r="B8137" i="26"/>
  <c r="A8137" i="26" s="1"/>
  <c r="B8138" i="26"/>
  <c r="A8138" i="26" s="1"/>
  <c r="B8139" i="26"/>
  <c r="A8139" i="26" s="1"/>
  <c r="B8140" i="26"/>
  <c r="A8140" i="26" s="1"/>
  <c r="B8141" i="26"/>
  <c r="A8141" i="26" s="1"/>
  <c r="B8142" i="26"/>
  <c r="A8142" i="26" s="1"/>
  <c r="B8143" i="26"/>
  <c r="A8143" i="26" s="1"/>
  <c r="B8144" i="26"/>
  <c r="A8144" i="26" s="1"/>
  <c r="B8145" i="26"/>
  <c r="A8145" i="26" s="1"/>
  <c r="B8146" i="26"/>
  <c r="A8146" i="26" s="1"/>
  <c r="B8147" i="26"/>
  <c r="A8147" i="26" s="1"/>
  <c r="B8148" i="26"/>
  <c r="A8148" i="26" s="1"/>
  <c r="B8149" i="26"/>
  <c r="A8149" i="26" s="1"/>
  <c r="B8150" i="26"/>
  <c r="A8150" i="26" s="1"/>
  <c r="B8151" i="26"/>
  <c r="A8151" i="26" s="1"/>
  <c r="B8152" i="26"/>
  <c r="A8152" i="26" s="1"/>
  <c r="B8153" i="26"/>
  <c r="A8153" i="26" s="1"/>
  <c r="B8154" i="26"/>
  <c r="A8154" i="26" s="1"/>
  <c r="B8155" i="26"/>
  <c r="A8155" i="26" s="1"/>
  <c r="B8156" i="26"/>
  <c r="A8156" i="26" s="1"/>
  <c r="B8157" i="26"/>
  <c r="A8157" i="26" s="1"/>
  <c r="B8158" i="26"/>
  <c r="A8158" i="26" s="1"/>
  <c r="B8159" i="26"/>
  <c r="A8159" i="26" s="1"/>
  <c r="B8160" i="26"/>
  <c r="A8160" i="26" s="1"/>
  <c r="B8161" i="26"/>
  <c r="A8161" i="26" s="1"/>
  <c r="B8162" i="26"/>
  <c r="A8162" i="26" s="1"/>
  <c r="B8163" i="26"/>
  <c r="A8163" i="26" s="1"/>
  <c r="B8164" i="26"/>
  <c r="A8164" i="26" s="1"/>
  <c r="B8165" i="26"/>
  <c r="A8165" i="26" s="1"/>
  <c r="B8166" i="26"/>
  <c r="A8166" i="26" s="1"/>
  <c r="B8167" i="26"/>
  <c r="A8167" i="26" s="1"/>
  <c r="B8168" i="26"/>
  <c r="A8168" i="26" s="1"/>
  <c r="B8169" i="26"/>
  <c r="A8169" i="26" s="1"/>
  <c r="B8170" i="26"/>
  <c r="A8170" i="26" s="1"/>
  <c r="B8171" i="26"/>
  <c r="A8171" i="26" s="1"/>
  <c r="B8172" i="26"/>
  <c r="A8172" i="26" s="1"/>
  <c r="B8173" i="26"/>
  <c r="A8173" i="26" s="1"/>
  <c r="B8174" i="26"/>
  <c r="A8174" i="26" s="1"/>
  <c r="B8175" i="26"/>
  <c r="A8175" i="26" s="1"/>
  <c r="B8176" i="26"/>
  <c r="A8176" i="26" s="1"/>
  <c r="B8177" i="26"/>
  <c r="A8177" i="26" s="1"/>
  <c r="B8178" i="26"/>
  <c r="A8178" i="26" s="1"/>
  <c r="B8179" i="26"/>
  <c r="A8179" i="26" s="1"/>
  <c r="B8180" i="26"/>
  <c r="A8180" i="26" s="1"/>
  <c r="B8181" i="26"/>
  <c r="A8181" i="26" s="1"/>
  <c r="B8182" i="26"/>
  <c r="A8182" i="26" s="1"/>
  <c r="B8183" i="26"/>
  <c r="A8183" i="26" s="1"/>
  <c r="B8184" i="26"/>
  <c r="A8184" i="26" s="1"/>
  <c r="B8185" i="26"/>
  <c r="A8185" i="26" s="1"/>
  <c r="B8186" i="26"/>
  <c r="A8186" i="26" s="1"/>
  <c r="B8187" i="26"/>
  <c r="A8187" i="26" s="1"/>
  <c r="B8188" i="26"/>
  <c r="A8188" i="26" s="1"/>
  <c r="B8189" i="26"/>
  <c r="A8189" i="26" s="1"/>
  <c r="B8190" i="26"/>
  <c r="A8190" i="26" s="1"/>
  <c r="B8191" i="26"/>
  <c r="A8191" i="26" s="1"/>
  <c r="B8192" i="26"/>
  <c r="A8192" i="26" s="1"/>
  <c r="B8193" i="26"/>
  <c r="A8193" i="26" s="1"/>
  <c r="B8194" i="26"/>
  <c r="A8194" i="26" s="1"/>
  <c r="B8195" i="26"/>
  <c r="A8195" i="26" s="1"/>
  <c r="B8196" i="26"/>
  <c r="A8196" i="26" s="1"/>
  <c r="B8197" i="26"/>
  <c r="A8197" i="26" s="1"/>
  <c r="B8198" i="26"/>
  <c r="A8198" i="26" s="1"/>
  <c r="B8199" i="26"/>
  <c r="A8199" i="26" s="1"/>
  <c r="B8200" i="26"/>
  <c r="A8200" i="26" s="1"/>
  <c r="B8201" i="26"/>
  <c r="A8201" i="26" s="1"/>
  <c r="B8202" i="26"/>
  <c r="A8202" i="26" s="1"/>
  <c r="B8203" i="26"/>
  <c r="A8203" i="26" s="1"/>
  <c r="B8204" i="26"/>
  <c r="A8204" i="26" s="1"/>
  <c r="B8205" i="26"/>
  <c r="A8205" i="26" s="1"/>
  <c r="B8206" i="26"/>
  <c r="A8206" i="26" s="1"/>
  <c r="B8207" i="26"/>
  <c r="A8207" i="26" s="1"/>
  <c r="B8208" i="26"/>
  <c r="A8208" i="26" s="1"/>
  <c r="B8209" i="26"/>
  <c r="A8209" i="26" s="1"/>
  <c r="B8210" i="26"/>
  <c r="A8210" i="26" s="1"/>
  <c r="B8211" i="26"/>
  <c r="A8211" i="26" s="1"/>
  <c r="B8212" i="26"/>
  <c r="A8212" i="26" s="1"/>
  <c r="B8213" i="26"/>
  <c r="A8213" i="26" s="1"/>
  <c r="B8214" i="26"/>
  <c r="A8214" i="26" s="1"/>
  <c r="B8215" i="26"/>
  <c r="A8215" i="26" s="1"/>
  <c r="B8216" i="26"/>
  <c r="A8216" i="26" s="1"/>
  <c r="B8217" i="26"/>
  <c r="A8217" i="26" s="1"/>
  <c r="B8218" i="26"/>
  <c r="A8218" i="26" s="1"/>
  <c r="B8219" i="26"/>
  <c r="A8219" i="26" s="1"/>
  <c r="B8220" i="26"/>
  <c r="A8220" i="26" s="1"/>
  <c r="B8221" i="26"/>
  <c r="A8221" i="26" s="1"/>
  <c r="B8222" i="26"/>
  <c r="A8222" i="26" s="1"/>
  <c r="B8223" i="26"/>
  <c r="A8223" i="26" s="1"/>
  <c r="B8224" i="26"/>
  <c r="A8224" i="26" s="1"/>
  <c r="B8225" i="26"/>
  <c r="A8225" i="26" s="1"/>
  <c r="B8226" i="26"/>
  <c r="A8226" i="26" s="1"/>
  <c r="B8227" i="26"/>
  <c r="A8227" i="26" s="1"/>
  <c r="B8228" i="26"/>
  <c r="A8228" i="26" s="1"/>
  <c r="B8229" i="26"/>
  <c r="A8229" i="26" s="1"/>
  <c r="B8230" i="26"/>
  <c r="A8230" i="26" s="1"/>
  <c r="B8231" i="26"/>
  <c r="A8231" i="26" s="1"/>
  <c r="B8232" i="26"/>
  <c r="A8232" i="26" s="1"/>
  <c r="B8233" i="26"/>
  <c r="A8233" i="26" s="1"/>
  <c r="B8234" i="26"/>
  <c r="A8234" i="26" s="1"/>
  <c r="B8235" i="26"/>
  <c r="A8235" i="26" s="1"/>
  <c r="B8236" i="26"/>
  <c r="A8236" i="26" s="1"/>
  <c r="B8237" i="26"/>
  <c r="A8237" i="26" s="1"/>
  <c r="B8238" i="26"/>
  <c r="A8238" i="26" s="1"/>
  <c r="B8239" i="26"/>
  <c r="A8239" i="26" s="1"/>
  <c r="B8240" i="26"/>
  <c r="A8240" i="26" s="1"/>
  <c r="B8241" i="26"/>
  <c r="A8241" i="26" s="1"/>
  <c r="B8242" i="26"/>
  <c r="A8242" i="26" s="1"/>
  <c r="B8243" i="26"/>
  <c r="A8243" i="26" s="1"/>
  <c r="B8244" i="26"/>
  <c r="A8244" i="26" s="1"/>
  <c r="B8245" i="26"/>
  <c r="A8245" i="26" s="1"/>
  <c r="B8246" i="26"/>
  <c r="A8246" i="26" s="1"/>
  <c r="B8247" i="26"/>
  <c r="A8247" i="26" s="1"/>
  <c r="B8248" i="26"/>
  <c r="A8248" i="26" s="1"/>
  <c r="B8249" i="26"/>
  <c r="A8249" i="26" s="1"/>
  <c r="B8250" i="26"/>
  <c r="A8250" i="26" s="1"/>
  <c r="B8251" i="26"/>
  <c r="A8251" i="26" s="1"/>
  <c r="B8252" i="26"/>
  <c r="A8252" i="26" s="1"/>
  <c r="B8253" i="26"/>
  <c r="A8253" i="26" s="1"/>
  <c r="B8254" i="26"/>
  <c r="A8254" i="26" s="1"/>
  <c r="B8255" i="26"/>
  <c r="A8255" i="26" s="1"/>
  <c r="B8256" i="26"/>
  <c r="A8256" i="26" s="1"/>
  <c r="B8257" i="26"/>
  <c r="A8257" i="26" s="1"/>
  <c r="B8258" i="26"/>
  <c r="A8258" i="26" s="1"/>
  <c r="B8259" i="26"/>
  <c r="A8259" i="26" s="1"/>
  <c r="B8260" i="26"/>
  <c r="A8260" i="26" s="1"/>
  <c r="B8261" i="26"/>
  <c r="A8261" i="26" s="1"/>
  <c r="B8262" i="26"/>
  <c r="A8262" i="26" s="1"/>
  <c r="B8263" i="26"/>
  <c r="A8263" i="26" s="1"/>
  <c r="B8264" i="26"/>
  <c r="A8264" i="26" s="1"/>
  <c r="B8265" i="26"/>
  <c r="A8265" i="26" s="1"/>
  <c r="B8266" i="26"/>
  <c r="A8266" i="26" s="1"/>
  <c r="B8267" i="26"/>
  <c r="A8267" i="26" s="1"/>
  <c r="B8268" i="26"/>
  <c r="A8268" i="26" s="1"/>
  <c r="B8269" i="26"/>
  <c r="A8269" i="26" s="1"/>
  <c r="B8270" i="26"/>
  <c r="A8270" i="26" s="1"/>
  <c r="B8271" i="26"/>
  <c r="A8271" i="26" s="1"/>
  <c r="B8272" i="26"/>
  <c r="A8272" i="26" s="1"/>
  <c r="B8273" i="26"/>
  <c r="A8273" i="26" s="1"/>
  <c r="B8274" i="26"/>
  <c r="A8274" i="26" s="1"/>
  <c r="B8275" i="26"/>
  <c r="A8275" i="26" s="1"/>
  <c r="B8276" i="26"/>
  <c r="A8276" i="26" s="1"/>
  <c r="B8277" i="26"/>
  <c r="A8277" i="26" s="1"/>
  <c r="B8278" i="26"/>
  <c r="A8278" i="26" s="1"/>
  <c r="B8279" i="26"/>
  <c r="A8279" i="26" s="1"/>
  <c r="B8280" i="26"/>
  <c r="A8280" i="26" s="1"/>
  <c r="B8281" i="26"/>
  <c r="A8281" i="26" s="1"/>
  <c r="B8282" i="26"/>
  <c r="A8282" i="26" s="1"/>
  <c r="B8283" i="26"/>
  <c r="A8283" i="26" s="1"/>
  <c r="B8284" i="26"/>
  <c r="A8284" i="26" s="1"/>
  <c r="B8285" i="26"/>
  <c r="A8285" i="26" s="1"/>
  <c r="B8286" i="26"/>
  <c r="A8286" i="26" s="1"/>
  <c r="B8287" i="26"/>
  <c r="A8287" i="26" s="1"/>
  <c r="B8288" i="26"/>
  <c r="A8288" i="26" s="1"/>
  <c r="B8289" i="26"/>
  <c r="A8289" i="26" s="1"/>
  <c r="B8290" i="26"/>
  <c r="A8290" i="26" s="1"/>
  <c r="B8291" i="26"/>
  <c r="A8291" i="26" s="1"/>
  <c r="B8292" i="26"/>
  <c r="A8292" i="26" s="1"/>
  <c r="B8293" i="26"/>
  <c r="A8293" i="26" s="1"/>
  <c r="B8294" i="26"/>
  <c r="A8294" i="26" s="1"/>
  <c r="B8295" i="26"/>
  <c r="A8295" i="26" s="1"/>
  <c r="B8296" i="26"/>
  <c r="A8296" i="26" s="1"/>
  <c r="B8297" i="26"/>
  <c r="A8297" i="26" s="1"/>
  <c r="B8298" i="26"/>
  <c r="A8298" i="26" s="1"/>
  <c r="B8299" i="26"/>
  <c r="A8299" i="26" s="1"/>
  <c r="B8300" i="26"/>
  <c r="A8300" i="26" s="1"/>
  <c r="B8301" i="26"/>
  <c r="A8301" i="26" s="1"/>
  <c r="B8302" i="26"/>
  <c r="A8302" i="26" s="1"/>
  <c r="B8303" i="26"/>
  <c r="A8303" i="26" s="1"/>
  <c r="B8304" i="26"/>
  <c r="A8304" i="26" s="1"/>
  <c r="B8305" i="26"/>
  <c r="A8305" i="26" s="1"/>
  <c r="B8306" i="26"/>
  <c r="A8306" i="26" s="1"/>
  <c r="B8307" i="26"/>
  <c r="A8307" i="26" s="1"/>
  <c r="B8308" i="26"/>
  <c r="A8308" i="26" s="1"/>
  <c r="B8309" i="26"/>
  <c r="A8309" i="26" s="1"/>
  <c r="B8310" i="26"/>
  <c r="A8310" i="26" s="1"/>
  <c r="B8311" i="26"/>
  <c r="A8311" i="26" s="1"/>
  <c r="B8312" i="26"/>
  <c r="A8312" i="26" s="1"/>
  <c r="B8313" i="26"/>
  <c r="A8313" i="26" s="1"/>
  <c r="B8314" i="26"/>
  <c r="A8314" i="26" s="1"/>
  <c r="B8315" i="26"/>
  <c r="A8315" i="26" s="1"/>
  <c r="B8316" i="26"/>
  <c r="A8316" i="26" s="1"/>
  <c r="B8317" i="26"/>
  <c r="A8317" i="26" s="1"/>
  <c r="B8318" i="26"/>
  <c r="A8318" i="26" s="1"/>
  <c r="B8319" i="26"/>
  <c r="A8319" i="26" s="1"/>
  <c r="B8320" i="26"/>
  <c r="A8320" i="26" s="1"/>
  <c r="B8321" i="26"/>
  <c r="A8321" i="26" s="1"/>
  <c r="B8322" i="26"/>
  <c r="A8322" i="26" s="1"/>
  <c r="B8323" i="26"/>
  <c r="A8323" i="26" s="1"/>
  <c r="B8324" i="26"/>
  <c r="A8324" i="26" s="1"/>
  <c r="B8325" i="26"/>
  <c r="A8325" i="26" s="1"/>
  <c r="B8326" i="26"/>
  <c r="A8326" i="26" s="1"/>
  <c r="B8327" i="26"/>
  <c r="A8327" i="26" s="1"/>
  <c r="B8328" i="26"/>
  <c r="A8328" i="26" s="1"/>
  <c r="B8329" i="26"/>
  <c r="A8329" i="26" s="1"/>
  <c r="B8330" i="26"/>
  <c r="A8330" i="26" s="1"/>
  <c r="B8331" i="26"/>
  <c r="A8331" i="26" s="1"/>
  <c r="B8332" i="26"/>
  <c r="A8332" i="26" s="1"/>
  <c r="B8333" i="26"/>
  <c r="A8333" i="26" s="1"/>
  <c r="B8334" i="26"/>
  <c r="A8334" i="26" s="1"/>
  <c r="B8335" i="26"/>
  <c r="A8335" i="26" s="1"/>
  <c r="B8336" i="26"/>
  <c r="A8336" i="26" s="1"/>
  <c r="B8337" i="26"/>
  <c r="A8337" i="26" s="1"/>
  <c r="B8338" i="26"/>
  <c r="A8338" i="26" s="1"/>
  <c r="B8339" i="26"/>
  <c r="A8339" i="26" s="1"/>
  <c r="B8340" i="26"/>
  <c r="A8340" i="26" s="1"/>
  <c r="B8341" i="26"/>
  <c r="A8341" i="26" s="1"/>
  <c r="B8342" i="26"/>
  <c r="A8342" i="26" s="1"/>
  <c r="B8343" i="26"/>
  <c r="A8343" i="26" s="1"/>
  <c r="B8344" i="26"/>
  <c r="A8344" i="26" s="1"/>
  <c r="B8345" i="26"/>
  <c r="A8345" i="26" s="1"/>
  <c r="B8346" i="26"/>
  <c r="A8346" i="26" s="1"/>
  <c r="B8347" i="26"/>
  <c r="A8347" i="26" s="1"/>
  <c r="B8348" i="26"/>
  <c r="A8348" i="26" s="1"/>
  <c r="B8349" i="26"/>
  <c r="A8349" i="26" s="1"/>
  <c r="B8350" i="26"/>
  <c r="A8350" i="26" s="1"/>
  <c r="B8351" i="26"/>
  <c r="A8351" i="26" s="1"/>
  <c r="B8352" i="26"/>
  <c r="A8352" i="26" s="1"/>
  <c r="B8353" i="26"/>
  <c r="A8353" i="26" s="1"/>
  <c r="B8354" i="26"/>
  <c r="A8354" i="26" s="1"/>
  <c r="B8355" i="26"/>
  <c r="A8355" i="26" s="1"/>
  <c r="B8356" i="26"/>
  <c r="A8356" i="26" s="1"/>
  <c r="B8357" i="26"/>
  <c r="A8357" i="26" s="1"/>
  <c r="B8358" i="26"/>
  <c r="A8358" i="26" s="1"/>
  <c r="B8359" i="26"/>
  <c r="A8359" i="26" s="1"/>
  <c r="B8360" i="26"/>
  <c r="A8360" i="26" s="1"/>
  <c r="B8361" i="26"/>
  <c r="A8361" i="26" s="1"/>
  <c r="B8362" i="26"/>
  <c r="A8362" i="26" s="1"/>
  <c r="B8363" i="26"/>
  <c r="A8363" i="26" s="1"/>
  <c r="B8364" i="26"/>
  <c r="A8364" i="26" s="1"/>
  <c r="B8365" i="26"/>
  <c r="A8365" i="26" s="1"/>
  <c r="B8366" i="26"/>
  <c r="A8366" i="26" s="1"/>
  <c r="B8367" i="26"/>
  <c r="A8367" i="26" s="1"/>
  <c r="B8368" i="26"/>
  <c r="A8368" i="26" s="1"/>
  <c r="B8369" i="26"/>
  <c r="A8369" i="26" s="1"/>
  <c r="B8370" i="26"/>
  <c r="A8370" i="26" s="1"/>
  <c r="B8371" i="26"/>
  <c r="A8371" i="26" s="1"/>
  <c r="B8372" i="26"/>
  <c r="A8372" i="26" s="1"/>
  <c r="B8373" i="26"/>
  <c r="A8373" i="26" s="1"/>
  <c r="B8374" i="26"/>
  <c r="A8374" i="26" s="1"/>
  <c r="B8375" i="26"/>
  <c r="A8375" i="26" s="1"/>
  <c r="B8376" i="26"/>
  <c r="A8376" i="26" s="1"/>
  <c r="B8377" i="26"/>
  <c r="A8377" i="26" s="1"/>
  <c r="B8378" i="26"/>
  <c r="A8378" i="26" s="1"/>
  <c r="B8379" i="26"/>
  <c r="A8379" i="26" s="1"/>
  <c r="B8380" i="26"/>
  <c r="A8380" i="26" s="1"/>
  <c r="B8381" i="26"/>
  <c r="A8381" i="26" s="1"/>
  <c r="B8382" i="26"/>
  <c r="A8382" i="26" s="1"/>
  <c r="B8383" i="26"/>
  <c r="A8383" i="26" s="1"/>
  <c r="B8384" i="26"/>
  <c r="A8384" i="26" s="1"/>
  <c r="B8385" i="26"/>
  <c r="A8385" i="26" s="1"/>
  <c r="B8386" i="26"/>
  <c r="A8386" i="26" s="1"/>
  <c r="B8387" i="26"/>
  <c r="A8387" i="26" s="1"/>
  <c r="B8388" i="26"/>
  <c r="A8388" i="26" s="1"/>
  <c r="B8389" i="26"/>
  <c r="A8389" i="26" s="1"/>
  <c r="B8390" i="26"/>
  <c r="A8390" i="26" s="1"/>
  <c r="B8391" i="26"/>
  <c r="A8391" i="26" s="1"/>
  <c r="B8392" i="26"/>
  <c r="A8392" i="26" s="1"/>
  <c r="B8393" i="26"/>
  <c r="A8393" i="26" s="1"/>
  <c r="B8394" i="26"/>
  <c r="A8394" i="26" s="1"/>
  <c r="B8395" i="26"/>
  <c r="A8395" i="26" s="1"/>
  <c r="B8396" i="26"/>
  <c r="A8396" i="26" s="1"/>
  <c r="B8397" i="26"/>
  <c r="A8397" i="26" s="1"/>
  <c r="B8398" i="26"/>
  <c r="A8398" i="26" s="1"/>
  <c r="B8399" i="26"/>
  <c r="A8399" i="26" s="1"/>
  <c r="B8400" i="26"/>
  <c r="A8400" i="26" s="1"/>
  <c r="B8401" i="26"/>
  <c r="A8401" i="26" s="1"/>
  <c r="B8402" i="26"/>
  <c r="A8402" i="26" s="1"/>
  <c r="B8403" i="26"/>
  <c r="A8403" i="26" s="1"/>
  <c r="B8404" i="26"/>
  <c r="A8404" i="26" s="1"/>
  <c r="B8405" i="26"/>
  <c r="A8405" i="26" s="1"/>
  <c r="B8406" i="26"/>
  <c r="A8406" i="26" s="1"/>
  <c r="B8407" i="26"/>
  <c r="A8407" i="26" s="1"/>
  <c r="B8408" i="26"/>
  <c r="A8408" i="26" s="1"/>
  <c r="B8409" i="26"/>
  <c r="A8409" i="26" s="1"/>
  <c r="B8410" i="26"/>
  <c r="A8410" i="26" s="1"/>
  <c r="B8411" i="26"/>
  <c r="A8411" i="26" s="1"/>
  <c r="B8412" i="26"/>
  <c r="A8412" i="26" s="1"/>
  <c r="B8413" i="26"/>
  <c r="A8413" i="26" s="1"/>
  <c r="B8414" i="26"/>
  <c r="A8414" i="26" s="1"/>
  <c r="B8415" i="26"/>
  <c r="A8415" i="26" s="1"/>
  <c r="B8416" i="26"/>
  <c r="A8416" i="26" s="1"/>
  <c r="B8417" i="26"/>
  <c r="A8417" i="26" s="1"/>
  <c r="B8418" i="26"/>
  <c r="A8418" i="26" s="1"/>
  <c r="B8419" i="26"/>
  <c r="A8419" i="26" s="1"/>
  <c r="B8420" i="26"/>
  <c r="A8420" i="26" s="1"/>
  <c r="B8421" i="26"/>
  <c r="A8421" i="26" s="1"/>
  <c r="B8422" i="26"/>
  <c r="A8422" i="26" s="1"/>
  <c r="B8423" i="26"/>
  <c r="A8423" i="26" s="1"/>
  <c r="B8424" i="26"/>
  <c r="A8424" i="26" s="1"/>
  <c r="B8425" i="26"/>
  <c r="A8425" i="26" s="1"/>
  <c r="B8426" i="26"/>
  <c r="A8426" i="26" s="1"/>
  <c r="B8427" i="26"/>
  <c r="A8427" i="26" s="1"/>
  <c r="B8428" i="26"/>
  <c r="A8428" i="26" s="1"/>
  <c r="B8429" i="26"/>
  <c r="A8429" i="26" s="1"/>
  <c r="B8430" i="26"/>
  <c r="A8430" i="26" s="1"/>
  <c r="B8431" i="26"/>
  <c r="A8431" i="26" s="1"/>
  <c r="B8432" i="26"/>
  <c r="A8432" i="26" s="1"/>
  <c r="B8433" i="26"/>
  <c r="A8433" i="26" s="1"/>
  <c r="B8434" i="26"/>
  <c r="A8434" i="26" s="1"/>
  <c r="B8435" i="26"/>
  <c r="A8435" i="26" s="1"/>
  <c r="B8436" i="26"/>
  <c r="A8436" i="26" s="1"/>
  <c r="B8437" i="26"/>
  <c r="A8437" i="26" s="1"/>
  <c r="B8438" i="26"/>
  <c r="A8438" i="26" s="1"/>
  <c r="B8439" i="26"/>
  <c r="A8439" i="26" s="1"/>
  <c r="B8440" i="26"/>
  <c r="A8440" i="26" s="1"/>
  <c r="B8441" i="26"/>
  <c r="A8441" i="26" s="1"/>
  <c r="B8442" i="26"/>
  <c r="A8442" i="26" s="1"/>
  <c r="B8443" i="26"/>
  <c r="A8443" i="26" s="1"/>
  <c r="B8444" i="26"/>
  <c r="A8444" i="26" s="1"/>
  <c r="B8445" i="26"/>
  <c r="A8445" i="26" s="1"/>
  <c r="B8446" i="26"/>
  <c r="A8446" i="26" s="1"/>
  <c r="B8447" i="26"/>
  <c r="A8447" i="26" s="1"/>
  <c r="B8448" i="26"/>
  <c r="A8448" i="26" s="1"/>
  <c r="B8449" i="26"/>
  <c r="A8449" i="26" s="1"/>
  <c r="B8450" i="26"/>
  <c r="A8450" i="26" s="1"/>
  <c r="B8451" i="26"/>
  <c r="A8451" i="26" s="1"/>
  <c r="B8452" i="26"/>
  <c r="A8452" i="26" s="1"/>
  <c r="B8453" i="26"/>
  <c r="A8453" i="26" s="1"/>
  <c r="B8454" i="26"/>
  <c r="A8454" i="26" s="1"/>
  <c r="B8455" i="26"/>
  <c r="A8455" i="26" s="1"/>
  <c r="B8456" i="26"/>
  <c r="A8456" i="26" s="1"/>
  <c r="B8457" i="26"/>
  <c r="A8457" i="26" s="1"/>
  <c r="B8458" i="26"/>
  <c r="A8458" i="26" s="1"/>
  <c r="B8459" i="26"/>
  <c r="A8459" i="26" s="1"/>
  <c r="B8460" i="26"/>
  <c r="A8460" i="26" s="1"/>
  <c r="B8461" i="26"/>
  <c r="A8461" i="26" s="1"/>
  <c r="B8462" i="26"/>
  <c r="A8462" i="26" s="1"/>
  <c r="B8463" i="26"/>
  <c r="A8463" i="26" s="1"/>
  <c r="B8464" i="26"/>
  <c r="A8464" i="26" s="1"/>
  <c r="B8465" i="26"/>
  <c r="A8465" i="26" s="1"/>
  <c r="B8466" i="26"/>
  <c r="A8466" i="26" s="1"/>
  <c r="B8467" i="26"/>
  <c r="A8467" i="26" s="1"/>
  <c r="B8468" i="26"/>
  <c r="A8468" i="26" s="1"/>
  <c r="B8469" i="26"/>
  <c r="A8469" i="26" s="1"/>
  <c r="B8470" i="26"/>
  <c r="A8470" i="26" s="1"/>
  <c r="B8471" i="26"/>
  <c r="A8471" i="26" s="1"/>
  <c r="B8472" i="26"/>
  <c r="A8472" i="26" s="1"/>
  <c r="B8473" i="26"/>
  <c r="A8473" i="26" s="1"/>
  <c r="B8474" i="26"/>
  <c r="A8474" i="26" s="1"/>
  <c r="B8475" i="26"/>
  <c r="A8475" i="26" s="1"/>
  <c r="B8476" i="26"/>
  <c r="A8476" i="26" s="1"/>
  <c r="B8477" i="26"/>
  <c r="A8477" i="26" s="1"/>
  <c r="B8478" i="26"/>
  <c r="A8478" i="26" s="1"/>
  <c r="B8479" i="26"/>
  <c r="A8479" i="26" s="1"/>
  <c r="B8480" i="26"/>
  <c r="A8480" i="26" s="1"/>
  <c r="B8481" i="26"/>
  <c r="A8481" i="26" s="1"/>
  <c r="B8482" i="26"/>
  <c r="A8482" i="26" s="1"/>
  <c r="B8483" i="26"/>
  <c r="A8483" i="26" s="1"/>
  <c r="B8484" i="26"/>
  <c r="A8484" i="26" s="1"/>
  <c r="B8485" i="26"/>
  <c r="A8485" i="26" s="1"/>
  <c r="B8486" i="26"/>
  <c r="A8486" i="26" s="1"/>
  <c r="B8487" i="26"/>
  <c r="A8487" i="26" s="1"/>
  <c r="B8488" i="26"/>
  <c r="A8488" i="26" s="1"/>
  <c r="B8489" i="26"/>
  <c r="A8489" i="26" s="1"/>
  <c r="B8490" i="26"/>
  <c r="A8490" i="26" s="1"/>
  <c r="B8491" i="26"/>
  <c r="A8491" i="26" s="1"/>
  <c r="B8492" i="26"/>
  <c r="A8492" i="26" s="1"/>
  <c r="B8493" i="26"/>
  <c r="A8493" i="26" s="1"/>
  <c r="B8494" i="26"/>
  <c r="A8494" i="26" s="1"/>
  <c r="B8495" i="26"/>
  <c r="A8495" i="26" s="1"/>
  <c r="B8496" i="26"/>
  <c r="A8496" i="26" s="1"/>
  <c r="B8497" i="26"/>
  <c r="A8497" i="26" s="1"/>
  <c r="B8498" i="26"/>
  <c r="A8498" i="26" s="1"/>
  <c r="B8499" i="26"/>
  <c r="A8499" i="26" s="1"/>
  <c r="B8500" i="26"/>
  <c r="A8500" i="26" s="1"/>
  <c r="B8501" i="26"/>
  <c r="A8501" i="26" s="1"/>
  <c r="B8502" i="26"/>
  <c r="A8502" i="26" s="1"/>
  <c r="B8503" i="26"/>
  <c r="A8503" i="26" s="1"/>
  <c r="B8504" i="26"/>
  <c r="A8504" i="26" s="1"/>
  <c r="B8505" i="26"/>
  <c r="A8505" i="26" s="1"/>
  <c r="B8506" i="26"/>
  <c r="A8506" i="26" s="1"/>
  <c r="B8507" i="26"/>
  <c r="A8507" i="26" s="1"/>
  <c r="B8508" i="26"/>
  <c r="A8508" i="26" s="1"/>
  <c r="B8509" i="26"/>
  <c r="A8509" i="26" s="1"/>
  <c r="B8510" i="26"/>
  <c r="A8510" i="26" s="1"/>
  <c r="B8511" i="26"/>
  <c r="A8511" i="26" s="1"/>
  <c r="B8512" i="26"/>
  <c r="A8512" i="26" s="1"/>
  <c r="B8513" i="26"/>
  <c r="A8513" i="26" s="1"/>
  <c r="B8514" i="26"/>
  <c r="A8514" i="26" s="1"/>
  <c r="B8515" i="26"/>
  <c r="A8515" i="26" s="1"/>
  <c r="B8516" i="26"/>
  <c r="A8516" i="26" s="1"/>
  <c r="B8517" i="26"/>
  <c r="A8517" i="26" s="1"/>
  <c r="B8518" i="26"/>
  <c r="A8518" i="26" s="1"/>
  <c r="B8519" i="26"/>
  <c r="A8519" i="26" s="1"/>
  <c r="B8520" i="26"/>
  <c r="A8520" i="26" s="1"/>
  <c r="B8521" i="26"/>
  <c r="A8521" i="26" s="1"/>
  <c r="B8522" i="26"/>
  <c r="A8522" i="26" s="1"/>
  <c r="B8523" i="26"/>
  <c r="A8523" i="26" s="1"/>
  <c r="B8524" i="26"/>
  <c r="A8524" i="26" s="1"/>
  <c r="B8525" i="26"/>
  <c r="A8525" i="26" s="1"/>
  <c r="B8526" i="26"/>
  <c r="A8526" i="26" s="1"/>
  <c r="B8527" i="26"/>
  <c r="A8527" i="26" s="1"/>
  <c r="B8528" i="26"/>
  <c r="A8528" i="26" s="1"/>
  <c r="B8529" i="26"/>
  <c r="A8529" i="26" s="1"/>
  <c r="B8530" i="26"/>
  <c r="A8530" i="26" s="1"/>
  <c r="B8531" i="26"/>
  <c r="A8531" i="26" s="1"/>
  <c r="B8532" i="26"/>
  <c r="A8532" i="26" s="1"/>
  <c r="B8533" i="26"/>
  <c r="A8533" i="26" s="1"/>
  <c r="B8534" i="26"/>
  <c r="A8534" i="26" s="1"/>
  <c r="B8535" i="26"/>
  <c r="A8535" i="26" s="1"/>
  <c r="B8536" i="26"/>
  <c r="A8536" i="26" s="1"/>
  <c r="B8537" i="26"/>
  <c r="A8537" i="26" s="1"/>
  <c r="B8538" i="26"/>
  <c r="A8538" i="26" s="1"/>
  <c r="B8539" i="26"/>
  <c r="A8539" i="26" s="1"/>
  <c r="B8540" i="26"/>
  <c r="A8540" i="26" s="1"/>
  <c r="B8541" i="26"/>
  <c r="A8541" i="26" s="1"/>
  <c r="B8542" i="26"/>
  <c r="A8542" i="26" s="1"/>
  <c r="B8543" i="26"/>
  <c r="A8543" i="26" s="1"/>
  <c r="B8544" i="26"/>
  <c r="A8544" i="26" s="1"/>
  <c r="B8545" i="26"/>
  <c r="A8545" i="26" s="1"/>
  <c r="B8546" i="26"/>
  <c r="A8546" i="26" s="1"/>
  <c r="B8547" i="26"/>
  <c r="A8547" i="26" s="1"/>
  <c r="B8548" i="26"/>
  <c r="A8548" i="26" s="1"/>
  <c r="B8549" i="26"/>
  <c r="A8549" i="26" s="1"/>
  <c r="B8550" i="26"/>
  <c r="A8550" i="26" s="1"/>
  <c r="B8551" i="26"/>
  <c r="A8551" i="26" s="1"/>
  <c r="B8552" i="26"/>
  <c r="A8552" i="26" s="1"/>
  <c r="B8553" i="26"/>
  <c r="A8553" i="26" s="1"/>
  <c r="B8554" i="26"/>
  <c r="A8554" i="26" s="1"/>
  <c r="B8555" i="26"/>
  <c r="A8555" i="26" s="1"/>
  <c r="B8556" i="26"/>
  <c r="A8556" i="26" s="1"/>
  <c r="B8557" i="26"/>
  <c r="A8557" i="26" s="1"/>
  <c r="B8558" i="26"/>
  <c r="A8558" i="26" s="1"/>
  <c r="B8559" i="26"/>
  <c r="A8559" i="26" s="1"/>
  <c r="B8560" i="26"/>
  <c r="A8560" i="26" s="1"/>
  <c r="B8561" i="26"/>
  <c r="A8561" i="26" s="1"/>
  <c r="B8562" i="26"/>
  <c r="A8562" i="26" s="1"/>
  <c r="B8563" i="26"/>
  <c r="A8563" i="26" s="1"/>
  <c r="B8564" i="26"/>
  <c r="A8564" i="26" s="1"/>
  <c r="B8565" i="26"/>
  <c r="A8565" i="26" s="1"/>
  <c r="B8566" i="26"/>
  <c r="A8566" i="26" s="1"/>
  <c r="B8567" i="26"/>
  <c r="A8567" i="26" s="1"/>
  <c r="B8568" i="26"/>
  <c r="A8568" i="26" s="1"/>
  <c r="B8569" i="26"/>
  <c r="A8569" i="26" s="1"/>
  <c r="B8570" i="26"/>
  <c r="A8570" i="26" s="1"/>
  <c r="B8571" i="26"/>
  <c r="A8571" i="26" s="1"/>
  <c r="B8572" i="26"/>
  <c r="A8572" i="26" s="1"/>
  <c r="B8573" i="26"/>
  <c r="A8573" i="26" s="1"/>
  <c r="B8574" i="26"/>
  <c r="A8574" i="26" s="1"/>
  <c r="B8575" i="26"/>
  <c r="A8575" i="26" s="1"/>
  <c r="B8576" i="26"/>
  <c r="A8576" i="26" s="1"/>
  <c r="B8577" i="26"/>
  <c r="A8577" i="26" s="1"/>
  <c r="B8578" i="26"/>
  <c r="A8578" i="26" s="1"/>
  <c r="B8579" i="26"/>
  <c r="A8579" i="26" s="1"/>
  <c r="B8580" i="26"/>
  <c r="A8580" i="26" s="1"/>
  <c r="B8581" i="26"/>
  <c r="A8581" i="26" s="1"/>
  <c r="B8582" i="26"/>
  <c r="A8582" i="26" s="1"/>
  <c r="B8583" i="26"/>
  <c r="A8583" i="26" s="1"/>
  <c r="B8584" i="26"/>
  <c r="A8584" i="26" s="1"/>
  <c r="B8585" i="26"/>
  <c r="A8585" i="26" s="1"/>
  <c r="B8586" i="26"/>
  <c r="A8586" i="26" s="1"/>
  <c r="B8587" i="26"/>
  <c r="A8587" i="26" s="1"/>
  <c r="B8588" i="26"/>
  <c r="A8588" i="26" s="1"/>
  <c r="B8589" i="26"/>
  <c r="A8589" i="26" s="1"/>
  <c r="B8590" i="26"/>
  <c r="A8590" i="26" s="1"/>
  <c r="B8591" i="26"/>
  <c r="A8591" i="26" s="1"/>
  <c r="B8592" i="26"/>
  <c r="A8592" i="26" s="1"/>
  <c r="B8593" i="26"/>
  <c r="A8593" i="26" s="1"/>
  <c r="B8594" i="26"/>
  <c r="A8594" i="26" s="1"/>
  <c r="B8595" i="26"/>
  <c r="A8595" i="26" s="1"/>
  <c r="B8596" i="26"/>
  <c r="A8596" i="26" s="1"/>
  <c r="B8597" i="26"/>
  <c r="A8597" i="26" s="1"/>
  <c r="B8598" i="26"/>
  <c r="A8598" i="26" s="1"/>
  <c r="B8599" i="26"/>
  <c r="A8599" i="26" s="1"/>
  <c r="B8600" i="26"/>
  <c r="A8600" i="26" s="1"/>
  <c r="B8601" i="26"/>
  <c r="A8601" i="26" s="1"/>
  <c r="B8602" i="26"/>
  <c r="A8602" i="26" s="1"/>
  <c r="B8603" i="26"/>
  <c r="A8603" i="26" s="1"/>
  <c r="B8604" i="26"/>
  <c r="A8604" i="26" s="1"/>
  <c r="B8605" i="26"/>
  <c r="A8605" i="26" s="1"/>
  <c r="B8606" i="26"/>
  <c r="A8606" i="26" s="1"/>
  <c r="B8607" i="26"/>
  <c r="A8607" i="26" s="1"/>
  <c r="B8608" i="26"/>
  <c r="A8608" i="26" s="1"/>
  <c r="B8609" i="26"/>
  <c r="A8609" i="26" s="1"/>
  <c r="B8610" i="26"/>
  <c r="A8610" i="26" s="1"/>
  <c r="B8611" i="26"/>
  <c r="A8611" i="26" s="1"/>
  <c r="B8612" i="26"/>
  <c r="A8612" i="26" s="1"/>
  <c r="B8613" i="26"/>
  <c r="A8613" i="26" s="1"/>
  <c r="B8614" i="26"/>
  <c r="A8614" i="26" s="1"/>
  <c r="B8615" i="26"/>
  <c r="A8615" i="26" s="1"/>
  <c r="B8616" i="26"/>
  <c r="A8616" i="26" s="1"/>
  <c r="B8617" i="26"/>
  <c r="A8617" i="26" s="1"/>
  <c r="B8618" i="26"/>
  <c r="A8618" i="26" s="1"/>
  <c r="B8619" i="26"/>
  <c r="A8619" i="26" s="1"/>
  <c r="B8620" i="26"/>
  <c r="A8620" i="26" s="1"/>
  <c r="B8621" i="26"/>
  <c r="A8621" i="26" s="1"/>
  <c r="B8622" i="26"/>
  <c r="A8622" i="26" s="1"/>
  <c r="B8623" i="26"/>
  <c r="A8623" i="26" s="1"/>
  <c r="B8624" i="26"/>
  <c r="A8624" i="26" s="1"/>
  <c r="B8625" i="26"/>
  <c r="A8625" i="26" s="1"/>
  <c r="B8626" i="26"/>
  <c r="A8626" i="26" s="1"/>
  <c r="B8627" i="26"/>
  <c r="A8627" i="26" s="1"/>
  <c r="B8628" i="26"/>
  <c r="A8628" i="26" s="1"/>
  <c r="B8629" i="26"/>
  <c r="A8629" i="26" s="1"/>
  <c r="B8630" i="26"/>
  <c r="A8630" i="26" s="1"/>
  <c r="B8631" i="26"/>
  <c r="A8631" i="26" s="1"/>
  <c r="B8632" i="26"/>
  <c r="A8632" i="26" s="1"/>
  <c r="B8633" i="26"/>
  <c r="A8633" i="26" s="1"/>
  <c r="B8634" i="26"/>
  <c r="A8634" i="26" s="1"/>
  <c r="B8635" i="26"/>
  <c r="A8635" i="26" s="1"/>
  <c r="B8636" i="26"/>
  <c r="A8636" i="26" s="1"/>
  <c r="B8637" i="26"/>
  <c r="A8637" i="26" s="1"/>
  <c r="B8638" i="26"/>
  <c r="A8638" i="26" s="1"/>
  <c r="B8639" i="26"/>
  <c r="A8639" i="26" s="1"/>
  <c r="B8640" i="26"/>
  <c r="A8640" i="26" s="1"/>
  <c r="B8641" i="26"/>
  <c r="A8641" i="26" s="1"/>
  <c r="B8642" i="26"/>
  <c r="A8642" i="26" s="1"/>
  <c r="B8643" i="26"/>
  <c r="A8643" i="26" s="1"/>
  <c r="B8644" i="26"/>
  <c r="A8644" i="26" s="1"/>
  <c r="B8645" i="26"/>
  <c r="A8645" i="26" s="1"/>
  <c r="B8646" i="26"/>
  <c r="A8646" i="26" s="1"/>
  <c r="B8647" i="26"/>
  <c r="A8647" i="26" s="1"/>
  <c r="B8648" i="26"/>
  <c r="A8648" i="26" s="1"/>
  <c r="B8649" i="26"/>
  <c r="A8649" i="26" s="1"/>
  <c r="B8650" i="26"/>
  <c r="A8650" i="26" s="1"/>
  <c r="B8651" i="26"/>
  <c r="A8651" i="26" s="1"/>
  <c r="B8652" i="26"/>
  <c r="A8652" i="26" s="1"/>
  <c r="B8653" i="26"/>
  <c r="A8653" i="26" s="1"/>
  <c r="B8654" i="26"/>
  <c r="A8654" i="26" s="1"/>
  <c r="B8655" i="26"/>
  <c r="A8655" i="26" s="1"/>
  <c r="B8656" i="26"/>
  <c r="A8656" i="26" s="1"/>
  <c r="B8657" i="26"/>
  <c r="A8657" i="26" s="1"/>
  <c r="B8658" i="26"/>
  <c r="A8658" i="26" s="1"/>
  <c r="B8659" i="26"/>
  <c r="A8659" i="26" s="1"/>
  <c r="B8660" i="26"/>
  <c r="A8660" i="26" s="1"/>
  <c r="B8661" i="26"/>
  <c r="A8661" i="26" s="1"/>
  <c r="B8662" i="26"/>
  <c r="A8662" i="26" s="1"/>
  <c r="B8663" i="26"/>
  <c r="A8663" i="26" s="1"/>
  <c r="B8664" i="26"/>
  <c r="A8664" i="26" s="1"/>
  <c r="B8665" i="26"/>
  <c r="A8665" i="26" s="1"/>
  <c r="B8666" i="26"/>
  <c r="A8666" i="26" s="1"/>
  <c r="B8667" i="26"/>
  <c r="A8667" i="26" s="1"/>
  <c r="B8668" i="26"/>
  <c r="A8668" i="26" s="1"/>
  <c r="B8669" i="26"/>
  <c r="A8669" i="26" s="1"/>
  <c r="B8670" i="26"/>
  <c r="A8670" i="26" s="1"/>
  <c r="B8671" i="26"/>
  <c r="A8671" i="26" s="1"/>
  <c r="B8672" i="26"/>
  <c r="A8672" i="26" s="1"/>
  <c r="B8673" i="26"/>
  <c r="A8673" i="26" s="1"/>
  <c r="B8674" i="26"/>
  <c r="A8674" i="26" s="1"/>
  <c r="B8675" i="26"/>
  <c r="A8675" i="26" s="1"/>
  <c r="B8676" i="26"/>
  <c r="A8676" i="26" s="1"/>
  <c r="B8677" i="26"/>
  <c r="A8677" i="26" s="1"/>
  <c r="B8678" i="26"/>
  <c r="A8678" i="26" s="1"/>
  <c r="B8679" i="26"/>
  <c r="A8679" i="26" s="1"/>
  <c r="B8680" i="26"/>
  <c r="A8680" i="26" s="1"/>
  <c r="B8681" i="26"/>
  <c r="A8681" i="26" s="1"/>
  <c r="B8682" i="26"/>
  <c r="A8682" i="26" s="1"/>
  <c r="B8683" i="26"/>
  <c r="A8683" i="26" s="1"/>
  <c r="B8684" i="26"/>
  <c r="A8684" i="26" s="1"/>
  <c r="B8685" i="26"/>
  <c r="A8685" i="26" s="1"/>
  <c r="B8686" i="26"/>
  <c r="A8686" i="26" s="1"/>
  <c r="B8687" i="26"/>
  <c r="A8687" i="26" s="1"/>
  <c r="B8688" i="26"/>
  <c r="A8688" i="26" s="1"/>
  <c r="B8689" i="26"/>
  <c r="A8689" i="26" s="1"/>
  <c r="B8690" i="26"/>
  <c r="A8690" i="26" s="1"/>
  <c r="B8691" i="26"/>
  <c r="A8691" i="26" s="1"/>
  <c r="B8692" i="26"/>
  <c r="A8692" i="26" s="1"/>
  <c r="B8693" i="26"/>
  <c r="A8693" i="26" s="1"/>
  <c r="B8694" i="26"/>
  <c r="A8694" i="26" s="1"/>
  <c r="B8695" i="26"/>
  <c r="A8695" i="26" s="1"/>
  <c r="B8696" i="26"/>
  <c r="A8696" i="26" s="1"/>
  <c r="B8697" i="26"/>
  <c r="A8697" i="26" s="1"/>
  <c r="B8698" i="26"/>
  <c r="A8698" i="26" s="1"/>
  <c r="B8699" i="26"/>
  <c r="A8699" i="26" s="1"/>
  <c r="B8700" i="26"/>
  <c r="A8700" i="26" s="1"/>
  <c r="B8701" i="26"/>
  <c r="A8701" i="26" s="1"/>
  <c r="B8702" i="26"/>
  <c r="A8702" i="26" s="1"/>
  <c r="B8703" i="26"/>
  <c r="A8703" i="26" s="1"/>
  <c r="B8704" i="26"/>
  <c r="A8704" i="26" s="1"/>
  <c r="B8705" i="26"/>
  <c r="A8705" i="26" s="1"/>
  <c r="B8706" i="26"/>
  <c r="A8706" i="26" s="1"/>
  <c r="B8707" i="26"/>
  <c r="A8707" i="26" s="1"/>
  <c r="B8708" i="26"/>
  <c r="A8708" i="26" s="1"/>
  <c r="B8709" i="26"/>
  <c r="A8709" i="26" s="1"/>
  <c r="B8710" i="26"/>
  <c r="A8710" i="26" s="1"/>
  <c r="B8711" i="26"/>
  <c r="A8711" i="26" s="1"/>
  <c r="B8712" i="26"/>
  <c r="A8712" i="26" s="1"/>
  <c r="B8713" i="26"/>
  <c r="A8713" i="26" s="1"/>
  <c r="B8714" i="26"/>
  <c r="A8714" i="26" s="1"/>
  <c r="B8715" i="26"/>
  <c r="A8715" i="26" s="1"/>
  <c r="B8716" i="26"/>
  <c r="A8716" i="26" s="1"/>
  <c r="B8717" i="26"/>
  <c r="A8717" i="26" s="1"/>
  <c r="B8718" i="26"/>
  <c r="A8718" i="26" s="1"/>
  <c r="B8719" i="26"/>
  <c r="A8719" i="26" s="1"/>
  <c r="B8720" i="26"/>
  <c r="A8720" i="26" s="1"/>
  <c r="B8721" i="26"/>
  <c r="A8721" i="26" s="1"/>
  <c r="B8722" i="26"/>
  <c r="A8722" i="26" s="1"/>
  <c r="B8723" i="26"/>
  <c r="A8723" i="26" s="1"/>
  <c r="B8724" i="26"/>
  <c r="A8724" i="26" s="1"/>
  <c r="B8725" i="26"/>
  <c r="A8725" i="26" s="1"/>
  <c r="B8726" i="26"/>
  <c r="A8726" i="26" s="1"/>
  <c r="B8727" i="26"/>
  <c r="A8727" i="26" s="1"/>
  <c r="B8728" i="26"/>
  <c r="A8728" i="26" s="1"/>
  <c r="B8729" i="26"/>
  <c r="A8729" i="26" s="1"/>
  <c r="B8730" i="26"/>
  <c r="A8730" i="26" s="1"/>
  <c r="B8731" i="26"/>
  <c r="A8731" i="26" s="1"/>
  <c r="B8732" i="26"/>
  <c r="A8732" i="26" s="1"/>
  <c r="B8733" i="26"/>
  <c r="A8733" i="26" s="1"/>
  <c r="B8734" i="26"/>
  <c r="A8734" i="26" s="1"/>
  <c r="B8735" i="26"/>
  <c r="A8735" i="26" s="1"/>
  <c r="B8736" i="26"/>
  <c r="A8736" i="26" s="1"/>
  <c r="B8737" i="26"/>
  <c r="A8737" i="26" s="1"/>
  <c r="B8738" i="26"/>
  <c r="A8738" i="26" s="1"/>
  <c r="B8739" i="26"/>
  <c r="A8739" i="26" s="1"/>
  <c r="B8740" i="26"/>
  <c r="A8740" i="26" s="1"/>
  <c r="B8741" i="26"/>
  <c r="A8741" i="26" s="1"/>
  <c r="B8742" i="26"/>
  <c r="A8742" i="26" s="1"/>
  <c r="B8743" i="26"/>
  <c r="A8743" i="26" s="1"/>
  <c r="B8744" i="26"/>
  <c r="A8744" i="26" s="1"/>
  <c r="B8745" i="26"/>
  <c r="A8745" i="26" s="1"/>
  <c r="B8746" i="26"/>
  <c r="A8746" i="26" s="1"/>
  <c r="B8747" i="26"/>
  <c r="A8747" i="26" s="1"/>
  <c r="B8748" i="26"/>
  <c r="A8748" i="26" s="1"/>
  <c r="B8749" i="26"/>
  <c r="A8749" i="26" s="1"/>
  <c r="B8750" i="26"/>
  <c r="A8750" i="26" s="1"/>
  <c r="B8751" i="26"/>
  <c r="A8751" i="26" s="1"/>
  <c r="B8752" i="26"/>
  <c r="A8752" i="26" s="1"/>
  <c r="B8753" i="26"/>
  <c r="A8753" i="26" s="1"/>
  <c r="B8754" i="26"/>
  <c r="A8754" i="26" s="1"/>
  <c r="B8755" i="26"/>
  <c r="A8755" i="26" s="1"/>
  <c r="B8756" i="26"/>
  <c r="A8756" i="26" s="1"/>
  <c r="B8757" i="26"/>
  <c r="A8757" i="26" s="1"/>
  <c r="B8758" i="26"/>
  <c r="A8758" i="26" s="1"/>
  <c r="B8759" i="26"/>
  <c r="A8759" i="26" s="1"/>
  <c r="B8760" i="26"/>
  <c r="A8760" i="26" s="1"/>
  <c r="B8761" i="26"/>
  <c r="A8761" i="26" s="1"/>
  <c r="B8762" i="26"/>
  <c r="A8762" i="26" s="1"/>
  <c r="B8763" i="26"/>
  <c r="A8763" i="26" s="1"/>
  <c r="B8764" i="26"/>
  <c r="A8764" i="26" s="1"/>
  <c r="B8765" i="26"/>
  <c r="A8765" i="26" s="1"/>
  <c r="B8766" i="26"/>
  <c r="A8766" i="26" s="1"/>
  <c r="B8767" i="26"/>
  <c r="A8767" i="26" s="1"/>
  <c r="B8768" i="26"/>
  <c r="A8768" i="26" s="1"/>
  <c r="B8769" i="26"/>
  <c r="A8769" i="26" s="1"/>
  <c r="B8770" i="26"/>
  <c r="A8770" i="26" s="1"/>
  <c r="B8771" i="26"/>
  <c r="A8771" i="26" s="1"/>
  <c r="B8772" i="26"/>
  <c r="A8772" i="26" s="1"/>
  <c r="B8773" i="26"/>
  <c r="A8773" i="26" s="1"/>
  <c r="B8774" i="26"/>
  <c r="A8774" i="26" s="1"/>
  <c r="B8775" i="26"/>
  <c r="A8775" i="26" s="1"/>
  <c r="B8776" i="26"/>
  <c r="A8776" i="26" s="1"/>
  <c r="B8777" i="26"/>
  <c r="A8777" i="26" s="1"/>
  <c r="B8778" i="26"/>
  <c r="A8778" i="26" s="1"/>
  <c r="B8779" i="26"/>
  <c r="A8779" i="26" s="1"/>
  <c r="B8780" i="26"/>
  <c r="A8780" i="26" s="1"/>
  <c r="B8781" i="26"/>
  <c r="A8781" i="26" s="1"/>
  <c r="B8782" i="26"/>
  <c r="A8782" i="26" s="1"/>
  <c r="B8783" i="26"/>
  <c r="A8783" i="26" s="1"/>
  <c r="B8784" i="26"/>
  <c r="A8784" i="26" s="1"/>
  <c r="B8785" i="26"/>
  <c r="A8785" i="26" s="1"/>
  <c r="B8786" i="26"/>
  <c r="A8786" i="26" s="1"/>
  <c r="B8787" i="26"/>
  <c r="A8787" i="26" s="1"/>
  <c r="B8788" i="26"/>
  <c r="A8788" i="26" s="1"/>
  <c r="B8789" i="26"/>
  <c r="A8789" i="26" s="1"/>
  <c r="B8790" i="26"/>
  <c r="A8790" i="26" s="1"/>
  <c r="B8791" i="26"/>
  <c r="A8791" i="26" s="1"/>
  <c r="B8792" i="26"/>
  <c r="A8792" i="26" s="1"/>
  <c r="B8793" i="26"/>
  <c r="A8793" i="26" s="1"/>
  <c r="B8794" i="26"/>
  <c r="A8794" i="26" s="1"/>
  <c r="B8795" i="26"/>
  <c r="A8795" i="26" s="1"/>
  <c r="B8796" i="26"/>
  <c r="A8796" i="26" s="1"/>
  <c r="B8797" i="26"/>
  <c r="A8797" i="26" s="1"/>
  <c r="B8798" i="26"/>
  <c r="A8798" i="26" s="1"/>
  <c r="B8799" i="26"/>
  <c r="A8799" i="26" s="1"/>
  <c r="B8800" i="26"/>
  <c r="A8800" i="26" s="1"/>
  <c r="B8801" i="26"/>
  <c r="A8801" i="26" s="1"/>
  <c r="B8802" i="26"/>
  <c r="A8802" i="26" s="1"/>
  <c r="B8803" i="26"/>
  <c r="A8803" i="26" s="1"/>
  <c r="B8804" i="26"/>
  <c r="A8804" i="26" s="1"/>
  <c r="B8805" i="26"/>
  <c r="A8805" i="26" s="1"/>
  <c r="B8806" i="26"/>
  <c r="A8806" i="26" s="1"/>
  <c r="B8807" i="26"/>
  <c r="A8807" i="26" s="1"/>
  <c r="B8808" i="26"/>
  <c r="A8808" i="26" s="1"/>
  <c r="B8809" i="26"/>
  <c r="A8809" i="26" s="1"/>
  <c r="B8810" i="26"/>
  <c r="A8810" i="26" s="1"/>
  <c r="B8811" i="26"/>
  <c r="A8811" i="26" s="1"/>
  <c r="B8812" i="26"/>
  <c r="A8812" i="26" s="1"/>
  <c r="B8813" i="26"/>
  <c r="A8813" i="26" s="1"/>
  <c r="B8814" i="26"/>
  <c r="A8814" i="26" s="1"/>
  <c r="B8815" i="26"/>
  <c r="A8815" i="26" s="1"/>
  <c r="B8816" i="26"/>
  <c r="A8816" i="26" s="1"/>
  <c r="B8817" i="26"/>
  <c r="A8817" i="26" s="1"/>
  <c r="B8818" i="26"/>
  <c r="A8818" i="26" s="1"/>
  <c r="B8819" i="26"/>
  <c r="A8819" i="26" s="1"/>
  <c r="B8820" i="26"/>
  <c r="A8820" i="26" s="1"/>
  <c r="B8821" i="26"/>
  <c r="A8821" i="26" s="1"/>
  <c r="B8822" i="26"/>
  <c r="A8822" i="26" s="1"/>
  <c r="B8823" i="26"/>
  <c r="A8823" i="26" s="1"/>
  <c r="B8824" i="26"/>
  <c r="A8824" i="26" s="1"/>
  <c r="B8825" i="26"/>
  <c r="A8825" i="26" s="1"/>
  <c r="B8826" i="26"/>
  <c r="A8826" i="26" s="1"/>
  <c r="B8827" i="26"/>
  <c r="A8827" i="26" s="1"/>
  <c r="B8828" i="26"/>
  <c r="A8828" i="26" s="1"/>
  <c r="B8829" i="26"/>
  <c r="A8829" i="26" s="1"/>
  <c r="B8830" i="26"/>
  <c r="A8830" i="26" s="1"/>
  <c r="B8831" i="26"/>
  <c r="A8831" i="26" s="1"/>
  <c r="B8832" i="26"/>
  <c r="A8832" i="26" s="1"/>
  <c r="B8833" i="26"/>
  <c r="A8833" i="26" s="1"/>
  <c r="B8834" i="26"/>
  <c r="A8834" i="26" s="1"/>
  <c r="B8835" i="26"/>
  <c r="A8835" i="26" s="1"/>
  <c r="B8836" i="26"/>
  <c r="A8836" i="26" s="1"/>
  <c r="B8837" i="26"/>
  <c r="A8837" i="26" s="1"/>
  <c r="B8838" i="26"/>
  <c r="A8838" i="26" s="1"/>
  <c r="B8839" i="26"/>
  <c r="A8839" i="26" s="1"/>
  <c r="B8840" i="26"/>
  <c r="A8840" i="26" s="1"/>
  <c r="B8841" i="26"/>
  <c r="A8841" i="26" s="1"/>
  <c r="B8842" i="26"/>
  <c r="A8842" i="26" s="1"/>
  <c r="B8843" i="26"/>
  <c r="A8843" i="26" s="1"/>
  <c r="B8844" i="26"/>
  <c r="A8844" i="26" s="1"/>
  <c r="B8845" i="26"/>
  <c r="A8845" i="26" s="1"/>
  <c r="B8846" i="26"/>
  <c r="A8846" i="26" s="1"/>
  <c r="B8847" i="26"/>
  <c r="A8847" i="26" s="1"/>
  <c r="B8848" i="26"/>
  <c r="A8848" i="26" s="1"/>
  <c r="B8849" i="26"/>
  <c r="A8849" i="26" s="1"/>
  <c r="B8850" i="26"/>
  <c r="A8850" i="26" s="1"/>
  <c r="B8851" i="26"/>
  <c r="A8851" i="26" s="1"/>
  <c r="B8852" i="26"/>
  <c r="A8852" i="26" s="1"/>
  <c r="B8853" i="26"/>
  <c r="A8853" i="26" s="1"/>
  <c r="B8854" i="26"/>
  <c r="A8854" i="26" s="1"/>
  <c r="B8855" i="26"/>
  <c r="A8855" i="26" s="1"/>
  <c r="B8856" i="26"/>
  <c r="A8856" i="26" s="1"/>
  <c r="B8857" i="26"/>
  <c r="A8857" i="26" s="1"/>
  <c r="B8858" i="26"/>
  <c r="A8858" i="26" s="1"/>
  <c r="B8859" i="26"/>
  <c r="A8859" i="26" s="1"/>
  <c r="B8860" i="26"/>
  <c r="A8860" i="26" s="1"/>
  <c r="B8861" i="26"/>
  <c r="A8861" i="26" s="1"/>
  <c r="B8862" i="26"/>
  <c r="A8862" i="26" s="1"/>
  <c r="B8863" i="26"/>
  <c r="A8863" i="26" s="1"/>
  <c r="B8864" i="26"/>
  <c r="A8864" i="26" s="1"/>
  <c r="B8865" i="26"/>
  <c r="A8865" i="26" s="1"/>
  <c r="B8866" i="26"/>
  <c r="A8866" i="26" s="1"/>
  <c r="B8867" i="26"/>
  <c r="A8867" i="26" s="1"/>
  <c r="B8868" i="26"/>
  <c r="A8868" i="26" s="1"/>
  <c r="B8869" i="26"/>
  <c r="A8869" i="26" s="1"/>
  <c r="B8870" i="26"/>
  <c r="A8870" i="26" s="1"/>
  <c r="B8871" i="26"/>
  <c r="A8871" i="26" s="1"/>
  <c r="B8872" i="26"/>
  <c r="A8872" i="26" s="1"/>
  <c r="B8873" i="26"/>
  <c r="A8873" i="26" s="1"/>
  <c r="B8874" i="26"/>
  <c r="A8874" i="26" s="1"/>
  <c r="B8875" i="26"/>
  <c r="A8875" i="26" s="1"/>
  <c r="B8876" i="26"/>
  <c r="A8876" i="26" s="1"/>
  <c r="B8877" i="26"/>
  <c r="A8877" i="26" s="1"/>
  <c r="B8878" i="26"/>
  <c r="A8878" i="26" s="1"/>
  <c r="B8879" i="26"/>
  <c r="A8879" i="26" s="1"/>
  <c r="B8880" i="26"/>
  <c r="A8880" i="26" s="1"/>
  <c r="B8881" i="26"/>
  <c r="A8881" i="26" s="1"/>
  <c r="B8882" i="26"/>
  <c r="A8882" i="26" s="1"/>
  <c r="B8883" i="26"/>
  <c r="A8883" i="26" s="1"/>
  <c r="B8884" i="26"/>
  <c r="A8884" i="26" s="1"/>
  <c r="B8885" i="26"/>
  <c r="A8885" i="26" s="1"/>
  <c r="B8886" i="26"/>
  <c r="A8886" i="26" s="1"/>
  <c r="B8887" i="26"/>
  <c r="A8887" i="26" s="1"/>
  <c r="B8888" i="26"/>
  <c r="A8888" i="26" s="1"/>
  <c r="B8889" i="26"/>
  <c r="A8889" i="26" s="1"/>
  <c r="B8890" i="26"/>
  <c r="A8890" i="26" s="1"/>
  <c r="B8891" i="26"/>
  <c r="A8891" i="26" s="1"/>
  <c r="B8892" i="26"/>
  <c r="A8892" i="26" s="1"/>
  <c r="B8893" i="26"/>
  <c r="A8893" i="26" s="1"/>
  <c r="B8894" i="26"/>
  <c r="A8894" i="26" s="1"/>
  <c r="B8895" i="26"/>
  <c r="A8895" i="26" s="1"/>
  <c r="B8896" i="26"/>
  <c r="A8896" i="26" s="1"/>
  <c r="B8897" i="26"/>
  <c r="A8897" i="26" s="1"/>
  <c r="B8898" i="26"/>
  <c r="A8898" i="26" s="1"/>
  <c r="B8899" i="26"/>
  <c r="A8899" i="26" s="1"/>
  <c r="B8900" i="26"/>
  <c r="A8900" i="26" s="1"/>
  <c r="B8901" i="26"/>
  <c r="A8901" i="26" s="1"/>
  <c r="B8902" i="26"/>
  <c r="A8902" i="26" s="1"/>
  <c r="B8903" i="26"/>
  <c r="A8903" i="26" s="1"/>
  <c r="B8904" i="26"/>
  <c r="A8904" i="26" s="1"/>
  <c r="B8905" i="26"/>
  <c r="A8905" i="26" s="1"/>
  <c r="B8906" i="26"/>
  <c r="A8906" i="26" s="1"/>
  <c r="B8907" i="26"/>
  <c r="A8907" i="26" s="1"/>
  <c r="B8908" i="26"/>
  <c r="A8908" i="26" s="1"/>
  <c r="B8909" i="26"/>
  <c r="A8909" i="26" s="1"/>
  <c r="B8910" i="26"/>
  <c r="A8910" i="26" s="1"/>
  <c r="B8911" i="26"/>
  <c r="A8911" i="26" s="1"/>
  <c r="B8912" i="26"/>
  <c r="A8912" i="26" s="1"/>
  <c r="B8913" i="26"/>
  <c r="A8913" i="26" s="1"/>
  <c r="B8914" i="26"/>
  <c r="A8914" i="26" s="1"/>
  <c r="B8915" i="26"/>
  <c r="A8915" i="26" s="1"/>
  <c r="B8916" i="26"/>
  <c r="A8916" i="26" s="1"/>
  <c r="B8917" i="26"/>
  <c r="A8917" i="26" s="1"/>
  <c r="B8918" i="26"/>
  <c r="A8918" i="26" s="1"/>
  <c r="B8919" i="26"/>
  <c r="A8919" i="26" s="1"/>
  <c r="B8920" i="26"/>
  <c r="A8920" i="26" s="1"/>
  <c r="B8921" i="26"/>
  <c r="A8921" i="26" s="1"/>
  <c r="B8922" i="26"/>
  <c r="A8922" i="26" s="1"/>
  <c r="B8923" i="26"/>
  <c r="A8923" i="26" s="1"/>
  <c r="B8924" i="26"/>
  <c r="A8924" i="26" s="1"/>
  <c r="B8925" i="26"/>
  <c r="A8925" i="26" s="1"/>
  <c r="B8926" i="26"/>
  <c r="A8926" i="26" s="1"/>
  <c r="B8927" i="26"/>
  <c r="A8927" i="26" s="1"/>
  <c r="B8928" i="26"/>
  <c r="A8928" i="26" s="1"/>
  <c r="B8929" i="26"/>
  <c r="A8929" i="26" s="1"/>
  <c r="B8930" i="26"/>
  <c r="A8930" i="26" s="1"/>
  <c r="B8931" i="26"/>
  <c r="A8931" i="26" s="1"/>
  <c r="B8932" i="26"/>
  <c r="A8932" i="26" s="1"/>
  <c r="B8933" i="26"/>
  <c r="A8933" i="26" s="1"/>
  <c r="B8934" i="26"/>
  <c r="A8934" i="26" s="1"/>
  <c r="B8935" i="26"/>
  <c r="A8935" i="26" s="1"/>
  <c r="B8936" i="26"/>
  <c r="A8936" i="26" s="1"/>
  <c r="B8937" i="26"/>
  <c r="A8937" i="26" s="1"/>
  <c r="B8938" i="26"/>
  <c r="A8938" i="26" s="1"/>
  <c r="B8939" i="26"/>
  <c r="A8939" i="26" s="1"/>
  <c r="B8940" i="26"/>
  <c r="A8940" i="26" s="1"/>
  <c r="B8941" i="26"/>
  <c r="A8941" i="26" s="1"/>
  <c r="B8942" i="26"/>
  <c r="A8942" i="26" s="1"/>
  <c r="B8943" i="26"/>
  <c r="A8943" i="26" s="1"/>
  <c r="B8944" i="26"/>
  <c r="A8944" i="26" s="1"/>
  <c r="B8945" i="26"/>
  <c r="A8945" i="26" s="1"/>
  <c r="B8946" i="26"/>
  <c r="A8946" i="26" s="1"/>
  <c r="B8947" i="26"/>
  <c r="A8947" i="26" s="1"/>
  <c r="B8948" i="26"/>
  <c r="A8948" i="26" s="1"/>
  <c r="B8949" i="26"/>
  <c r="A8949" i="26" s="1"/>
  <c r="B8950" i="26"/>
  <c r="A8950" i="26" s="1"/>
  <c r="B8951" i="26"/>
  <c r="A8951" i="26" s="1"/>
  <c r="B8952" i="26"/>
  <c r="A8952" i="26" s="1"/>
  <c r="B8953" i="26"/>
  <c r="A8953" i="26" s="1"/>
  <c r="B8954" i="26"/>
  <c r="A8954" i="26" s="1"/>
  <c r="B8955" i="26"/>
  <c r="A8955" i="26" s="1"/>
  <c r="B8956" i="26"/>
  <c r="A8956" i="26" s="1"/>
  <c r="B8957" i="26"/>
  <c r="A8957" i="26" s="1"/>
  <c r="B8958" i="26"/>
  <c r="A8958" i="26" s="1"/>
  <c r="B8959" i="26"/>
  <c r="A8959" i="26" s="1"/>
  <c r="B8960" i="26"/>
  <c r="A8960" i="26" s="1"/>
  <c r="B8961" i="26"/>
  <c r="A8961" i="26" s="1"/>
  <c r="B8962" i="26"/>
  <c r="A8962" i="26" s="1"/>
  <c r="B8963" i="26"/>
  <c r="A8963" i="26" s="1"/>
  <c r="B8964" i="26"/>
  <c r="A8964" i="26" s="1"/>
  <c r="B8965" i="26"/>
  <c r="A8965" i="26" s="1"/>
  <c r="B8966" i="26"/>
  <c r="A8966" i="26" s="1"/>
  <c r="B8967" i="26"/>
  <c r="A8967" i="26" s="1"/>
  <c r="B8968" i="26"/>
  <c r="A8968" i="26" s="1"/>
  <c r="B8969" i="26"/>
  <c r="A8969" i="26" s="1"/>
  <c r="B8970" i="26"/>
  <c r="A8970" i="26" s="1"/>
  <c r="B8971" i="26"/>
  <c r="A8971" i="26" s="1"/>
  <c r="B8972" i="26"/>
  <c r="A8972" i="26" s="1"/>
  <c r="B8973" i="26"/>
  <c r="A8973" i="26" s="1"/>
  <c r="B8974" i="26"/>
  <c r="A8974" i="26" s="1"/>
  <c r="B8975" i="26"/>
  <c r="A8975" i="26" s="1"/>
  <c r="B8976" i="26"/>
  <c r="A8976" i="26" s="1"/>
  <c r="B8977" i="26"/>
  <c r="A8977" i="26" s="1"/>
  <c r="B8978" i="26"/>
  <c r="A8978" i="26" s="1"/>
  <c r="B8979" i="26"/>
  <c r="A8979" i="26" s="1"/>
  <c r="B8980" i="26"/>
  <c r="A8980" i="26" s="1"/>
  <c r="B8981" i="26"/>
  <c r="A8981" i="26" s="1"/>
  <c r="B8982" i="26"/>
  <c r="A8982" i="26" s="1"/>
  <c r="B8983" i="26"/>
  <c r="A8983" i="26" s="1"/>
  <c r="B8984" i="26"/>
  <c r="A8984" i="26" s="1"/>
  <c r="B8985" i="26"/>
  <c r="A8985" i="26" s="1"/>
  <c r="B8986" i="26"/>
  <c r="A8986" i="26" s="1"/>
  <c r="B8987" i="26"/>
  <c r="A8987" i="26" s="1"/>
  <c r="B8988" i="26"/>
  <c r="A8988" i="26" s="1"/>
  <c r="B8989" i="26"/>
  <c r="A8989" i="26" s="1"/>
  <c r="B8990" i="26"/>
  <c r="A8990" i="26" s="1"/>
  <c r="B8991" i="26"/>
  <c r="A8991" i="26" s="1"/>
  <c r="B8992" i="26"/>
  <c r="A8992" i="26" s="1"/>
  <c r="B8993" i="26"/>
  <c r="A8993" i="26" s="1"/>
  <c r="B8994" i="26"/>
  <c r="A8994" i="26" s="1"/>
  <c r="B8995" i="26"/>
  <c r="A8995" i="26" s="1"/>
  <c r="B8996" i="26"/>
  <c r="A8996" i="26" s="1"/>
  <c r="B8997" i="26"/>
  <c r="A8997" i="26" s="1"/>
  <c r="B8998" i="26"/>
  <c r="A8998" i="26" s="1"/>
  <c r="B8999" i="26"/>
  <c r="A8999" i="26" s="1"/>
  <c r="B9000" i="26"/>
  <c r="A9000" i="26" s="1"/>
  <c r="B9001" i="26"/>
  <c r="A9001" i="26" s="1"/>
  <c r="B9002" i="26"/>
  <c r="A9002" i="26" s="1"/>
  <c r="B9003" i="26"/>
  <c r="A9003" i="26" s="1"/>
  <c r="B9004" i="26"/>
  <c r="A9004" i="26" s="1"/>
  <c r="B9005" i="26"/>
  <c r="A9005" i="26" s="1"/>
  <c r="B9006" i="26"/>
  <c r="A9006" i="26" s="1"/>
  <c r="B9007" i="26"/>
  <c r="A9007" i="26" s="1"/>
  <c r="B9008" i="26"/>
  <c r="A9008" i="26" s="1"/>
  <c r="B9009" i="26"/>
  <c r="A9009" i="26" s="1"/>
  <c r="B9010" i="26"/>
  <c r="A9010" i="26" s="1"/>
  <c r="B9011" i="26"/>
  <c r="A9011" i="26" s="1"/>
  <c r="B9012" i="26"/>
  <c r="A9012" i="26" s="1"/>
  <c r="B9013" i="26"/>
  <c r="A9013" i="26" s="1"/>
  <c r="B9014" i="26"/>
  <c r="A9014" i="26" s="1"/>
  <c r="B9015" i="26"/>
  <c r="A9015" i="26" s="1"/>
  <c r="B9016" i="26"/>
  <c r="A9016" i="26" s="1"/>
  <c r="B9017" i="26"/>
  <c r="A9017" i="26" s="1"/>
  <c r="B9018" i="26"/>
  <c r="A9018" i="26" s="1"/>
  <c r="B9019" i="26"/>
  <c r="A9019" i="26" s="1"/>
  <c r="B9020" i="26"/>
  <c r="A9020" i="26" s="1"/>
  <c r="B9021" i="26"/>
  <c r="A9021" i="26" s="1"/>
  <c r="B9022" i="26"/>
  <c r="A9022" i="26" s="1"/>
  <c r="B9023" i="26"/>
  <c r="A9023" i="26" s="1"/>
  <c r="B9024" i="26"/>
  <c r="A9024" i="26" s="1"/>
  <c r="B9025" i="26"/>
  <c r="A9025" i="26" s="1"/>
  <c r="B9026" i="26"/>
  <c r="A9026" i="26" s="1"/>
  <c r="B9027" i="26"/>
  <c r="A9027" i="26" s="1"/>
  <c r="B9028" i="26"/>
  <c r="A9028" i="26" s="1"/>
  <c r="B9029" i="26"/>
  <c r="A9029" i="26" s="1"/>
  <c r="B9030" i="26"/>
  <c r="A9030" i="26" s="1"/>
  <c r="B9031" i="26"/>
  <c r="A9031" i="26" s="1"/>
  <c r="B9032" i="26"/>
  <c r="A9032" i="26" s="1"/>
  <c r="B9033" i="26"/>
  <c r="A9033" i="26" s="1"/>
  <c r="B9034" i="26"/>
  <c r="A9034" i="26" s="1"/>
  <c r="B9035" i="26"/>
  <c r="A9035" i="26" s="1"/>
  <c r="B9036" i="26"/>
  <c r="A9036" i="26" s="1"/>
  <c r="B9037" i="26"/>
  <c r="A9037" i="26" s="1"/>
  <c r="B9038" i="26"/>
  <c r="A9038" i="26" s="1"/>
  <c r="B9039" i="26"/>
  <c r="A9039" i="26" s="1"/>
  <c r="B9040" i="26"/>
  <c r="A9040" i="26" s="1"/>
  <c r="B9041" i="26"/>
  <c r="A9041" i="26" s="1"/>
  <c r="B9042" i="26"/>
  <c r="A9042" i="26" s="1"/>
  <c r="B9043" i="26"/>
  <c r="A9043" i="26" s="1"/>
  <c r="B9044" i="26"/>
  <c r="A9044" i="26" s="1"/>
  <c r="B9045" i="26"/>
  <c r="A9045" i="26" s="1"/>
  <c r="B9046" i="26"/>
  <c r="A9046" i="26" s="1"/>
  <c r="B9047" i="26"/>
  <c r="A9047" i="26" s="1"/>
  <c r="B9048" i="26"/>
  <c r="A9048" i="26" s="1"/>
  <c r="B9049" i="26"/>
  <c r="A9049" i="26" s="1"/>
  <c r="B9050" i="26"/>
  <c r="A9050" i="26" s="1"/>
  <c r="B9051" i="26"/>
  <c r="A9051" i="26" s="1"/>
  <c r="B9052" i="26"/>
  <c r="A9052" i="26" s="1"/>
  <c r="B9053" i="26"/>
  <c r="A9053" i="26" s="1"/>
  <c r="B9054" i="26"/>
  <c r="A9054" i="26" s="1"/>
  <c r="B9055" i="26"/>
  <c r="A9055" i="26" s="1"/>
  <c r="B9056" i="26"/>
  <c r="A9056" i="26" s="1"/>
  <c r="B9057" i="26"/>
  <c r="A9057" i="26" s="1"/>
  <c r="B9058" i="26"/>
  <c r="A9058" i="26" s="1"/>
  <c r="B9059" i="26"/>
  <c r="A9059" i="26" s="1"/>
  <c r="B9060" i="26"/>
  <c r="A9060" i="26" s="1"/>
  <c r="B9061" i="26"/>
  <c r="A9061" i="26" s="1"/>
  <c r="B9062" i="26"/>
  <c r="A9062" i="26" s="1"/>
  <c r="B9063" i="26"/>
  <c r="A9063" i="26" s="1"/>
  <c r="B9064" i="26"/>
  <c r="A9064" i="26" s="1"/>
  <c r="B9065" i="26"/>
  <c r="A9065" i="26" s="1"/>
  <c r="B9066" i="26"/>
  <c r="A9066" i="26" s="1"/>
  <c r="B9067" i="26"/>
  <c r="A9067" i="26" s="1"/>
  <c r="B9068" i="26"/>
  <c r="A9068" i="26" s="1"/>
  <c r="B9069" i="26"/>
  <c r="A9069" i="26" s="1"/>
  <c r="B9070" i="26"/>
  <c r="A9070" i="26" s="1"/>
  <c r="B9071" i="26"/>
  <c r="A9071" i="26" s="1"/>
  <c r="B9072" i="26"/>
  <c r="A9072" i="26" s="1"/>
  <c r="B9073" i="26"/>
  <c r="A9073" i="26" s="1"/>
  <c r="B9074" i="26"/>
  <c r="A9074" i="26" s="1"/>
  <c r="B9075" i="26"/>
  <c r="A9075" i="26" s="1"/>
  <c r="B9076" i="26"/>
  <c r="A9076" i="26" s="1"/>
  <c r="B9077" i="26"/>
  <c r="A9077" i="26" s="1"/>
  <c r="B9078" i="26"/>
  <c r="A9078" i="26" s="1"/>
  <c r="B9079" i="26"/>
  <c r="A9079" i="26" s="1"/>
  <c r="B9080" i="26"/>
  <c r="A9080" i="26" s="1"/>
  <c r="B9081" i="26"/>
  <c r="A9081" i="26" s="1"/>
  <c r="B9082" i="26"/>
  <c r="A9082" i="26" s="1"/>
  <c r="B9083" i="26"/>
  <c r="A9083" i="26" s="1"/>
  <c r="B9084" i="26"/>
  <c r="A9084" i="26" s="1"/>
  <c r="B9085" i="26"/>
  <c r="A9085" i="26" s="1"/>
  <c r="B9086" i="26"/>
  <c r="A9086" i="26" s="1"/>
  <c r="B9087" i="26"/>
  <c r="A9087" i="26" s="1"/>
  <c r="B9088" i="26"/>
  <c r="A9088" i="26" s="1"/>
  <c r="B9089" i="26"/>
  <c r="A9089" i="26" s="1"/>
  <c r="B9090" i="26"/>
  <c r="A9090" i="26" s="1"/>
  <c r="B9091" i="26"/>
  <c r="A9091" i="26" s="1"/>
  <c r="B9092" i="26"/>
  <c r="A9092" i="26" s="1"/>
  <c r="B9093" i="26"/>
  <c r="A9093" i="26" s="1"/>
  <c r="B9094" i="26"/>
  <c r="A9094" i="26" s="1"/>
  <c r="B9095" i="26"/>
  <c r="A9095" i="26" s="1"/>
  <c r="B9096" i="26"/>
  <c r="A9096" i="26" s="1"/>
  <c r="B9097" i="26"/>
  <c r="A9097" i="26" s="1"/>
  <c r="B9098" i="26"/>
  <c r="A9098" i="26" s="1"/>
  <c r="B9099" i="26"/>
  <c r="A9099" i="26" s="1"/>
  <c r="B9100" i="26"/>
  <c r="A9100" i="26" s="1"/>
  <c r="B9101" i="26"/>
  <c r="A9101" i="26" s="1"/>
  <c r="B9102" i="26"/>
  <c r="A9102" i="26" s="1"/>
  <c r="B9103" i="26"/>
  <c r="A9103" i="26" s="1"/>
  <c r="B9104" i="26"/>
  <c r="A9104" i="26" s="1"/>
  <c r="B9105" i="26"/>
  <c r="A9105" i="26" s="1"/>
  <c r="B9106" i="26"/>
  <c r="A9106" i="26" s="1"/>
  <c r="B9107" i="26"/>
  <c r="A9107" i="26" s="1"/>
  <c r="B9108" i="26"/>
  <c r="A9108" i="26" s="1"/>
  <c r="B9109" i="26"/>
  <c r="A9109" i="26" s="1"/>
  <c r="B9110" i="26"/>
  <c r="A9110" i="26" s="1"/>
  <c r="B9111" i="26"/>
  <c r="A9111" i="26" s="1"/>
  <c r="B9112" i="26"/>
  <c r="A9112" i="26" s="1"/>
  <c r="B9113" i="26"/>
  <c r="A9113" i="26" s="1"/>
  <c r="B9114" i="26"/>
  <c r="A9114" i="26" s="1"/>
  <c r="B9115" i="26"/>
  <c r="A9115" i="26" s="1"/>
  <c r="B9116" i="26"/>
  <c r="A9116" i="26" s="1"/>
  <c r="B9117" i="26"/>
  <c r="A9117" i="26" s="1"/>
  <c r="B9118" i="26"/>
  <c r="A9118" i="26" s="1"/>
  <c r="B9119" i="26"/>
  <c r="A9119" i="26" s="1"/>
  <c r="B9120" i="26"/>
  <c r="A9120" i="26" s="1"/>
  <c r="B9121" i="26"/>
  <c r="A9121" i="26" s="1"/>
  <c r="B9122" i="26"/>
  <c r="A9122" i="26" s="1"/>
  <c r="B9123" i="26"/>
  <c r="A9123" i="26" s="1"/>
  <c r="B9124" i="26"/>
  <c r="A9124" i="26" s="1"/>
  <c r="B9125" i="26"/>
  <c r="A9125" i="26" s="1"/>
  <c r="B9126" i="26"/>
  <c r="A9126" i="26" s="1"/>
  <c r="B9127" i="26"/>
  <c r="A9127" i="26" s="1"/>
  <c r="B9128" i="26"/>
  <c r="A9128" i="26" s="1"/>
  <c r="B9129" i="26"/>
  <c r="A9129" i="26" s="1"/>
  <c r="B9130" i="26"/>
  <c r="A9130" i="26" s="1"/>
  <c r="B9131" i="26"/>
  <c r="A9131" i="26" s="1"/>
  <c r="B9132" i="26"/>
  <c r="A9132" i="26" s="1"/>
  <c r="B9133" i="26"/>
  <c r="A9133" i="26" s="1"/>
  <c r="B9134" i="26"/>
  <c r="A9134" i="26" s="1"/>
  <c r="B9135" i="26"/>
  <c r="A9135" i="26" s="1"/>
  <c r="B9136" i="26"/>
  <c r="A9136" i="26" s="1"/>
  <c r="B9137" i="26"/>
  <c r="A9137" i="26" s="1"/>
  <c r="B9138" i="26"/>
  <c r="A9138" i="26" s="1"/>
  <c r="B9139" i="26"/>
  <c r="A9139" i="26" s="1"/>
  <c r="B9140" i="26"/>
  <c r="A9140" i="26" s="1"/>
  <c r="B9141" i="26"/>
  <c r="A9141" i="26" s="1"/>
  <c r="B9142" i="26"/>
  <c r="A9142" i="26" s="1"/>
  <c r="B9143" i="26"/>
  <c r="A9143" i="26" s="1"/>
  <c r="B9144" i="26"/>
  <c r="A9144" i="26" s="1"/>
  <c r="B9145" i="26"/>
  <c r="A9145" i="26" s="1"/>
  <c r="B9146" i="26"/>
  <c r="A9146" i="26" s="1"/>
  <c r="B9147" i="26"/>
  <c r="A9147" i="26" s="1"/>
  <c r="B9148" i="26"/>
  <c r="A9148" i="26" s="1"/>
  <c r="B9149" i="26"/>
  <c r="A9149" i="26" s="1"/>
  <c r="B9150" i="26"/>
  <c r="A9150" i="26" s="1"/>
  <c r="B9151" i="26"/>
  <c r="A9151" i="26" s="1"/>
  <c r="B9152" i="26"/>
  <c r="A9152" i="26" s="1"/>
  <c r="B9153" i="26"/>
  <c r="A9153" i="26" s="1"/>
  <c r="B9154" i="26"/>
  <c r="A9154" i="26" s="1"/>
  <c r="B9155" i="26"/>
  <c r="A9155" i="26" s="1"/>
  <c r="B9156" i="26"/>
  <c r="A9156" i="26" s="1"/>
  <c r="B9157" i="26"/>
  <c r="A9157" i="26" s="1"/>
  <c r="B9158" i="26"/>
  <c r="A9158" i="26" s="1"/>
  <c r="B9159" i="26"/>
  <c r="A9159" i="26" s="1"/>
  <c r="B9160" i="26"/>
  <c r="A9160" i="26" s="1"/>
  <c r="B9161" i="26"/>
  <c r="A9161" i="26" s="1"/>
  <c r="B9162" i="26"/>
  <c r="A9162" i="26" s="1"/>
  <c r="B9163" i="26"/>
  <c r="A9163" i="26" s="1"/>
  <c r="B9164" i="26"/>
  <c r="A9164" i="26" s="1"/>
  <c r="B9165" i="26"/>
  <c r="A9165" i="26" s="1"/>
  <c r="B9166" i="26"/>
  <c r="A9166" i="26" s="1"/>
  <c r="B9167" i="26"/>
  <c r="A9167" i="26" s="1"/>
  <c r="B9168" i="26"/>
  <c r="A9168" i="26" s="1"/>
  <c r="B9169" i="26"/>
  <c r="A9169" i="26" s="1"/>
  <c r="B9170" i="26"/>
  <c r="A9170" i="26" s="1"/>
  <c r="B9171" i="26"/>
  <c r="A9171" i="26" s="1"/>
  <c r="B9172" i="26"/>
  <c r="A9172" i="26" s="1"/>
  <c r="B9173" i="26"/>
  <c r="A9173" i="26" s="1"/>
  <c r="B9174" i="26"/>
  <c r="A9174" i="26" s="1"/>
  <c r="B9175" i="26"/>
  <c r="A9175" i="26" s="1"/>
  <c r="B9176" i="26"/>
  <c r="A9176" i="26" s="1"/>
  <c r="B9177" i="26"/>
  <c r="A9177" i="26" s="1"/>
  <c r="B9178" i="26"/>
  <c r="A9178" i="26" s="1"/>
  <c r="B9179" i="26"/>
  <c r="A9179" i="26" s="1"/>
  <c r="B9180" i="26"/>
  <c r="A9180" i="26" s="1"/>
  <c r="B9181" i="26"/>
  <c r="A9181" i="26" s="1"/>
  <c r="B9182" i="26"/>
  <c r="A9182" i="26" s="1"/>
  <c r="B9183" i="26"/>
  <c r="A9183" i="26" s="1"/>
  <c r="B9184" i="26"/>
  <c r="A9184" i="26" s="1"/>
  <c r="B9185" i="26"/>
  <c r="A9185" i="26" s="1"/>
  <c r="B9186" i="26"/>
  <c r="A9186" i="26" s="1"/>
  <c r="B9187" i="26"/>
  <c r="A9187" i="26" s="1"/>
  <c r="B9188" i="26"/>
  <c r="A9188" i="26" s="1"/>
  <c r="B9189" i="26"/>
  <c r="A9189" i="26" s="1"/>
  <c r="B9190" i="26"/>
  <c r="A9190" i="26" s="1"/>
  <c r="B9191" i="26"/>
  <c r="A9191" i="26" s="1"/>
  <c r="B9192" i="26"/>
  <c r="A9192" i="26" s="1"/>
  <c r="B9193" i="26"/>
  <c r="A9193" i="26" s="1"/>
  <c r="B9194" i="26"/>
  <c r="A9194" i="26" s="1"/>
  <c r="B9195" i="26"/>
  <c r="A9195" i="26" s="1"/>
  <c r="B9196" i="26"/>
  <c r="A9196" i="26" s="1"/>
  <c r="B9197" i="26"/>
  <c r="A9197" i="26" s="1"/>
  <c r="B9198" i="26"/>
  <c r="A9198" i="26" s="1"/>
  <c r="B9199" i="26"/>
  <c r="A9199" i="26" s="1"/>
  <c r="B9200" i="26"/>
  <c r="A9200" i="26" s="1"/>
  <c r="B9201" i="26"/>
  <c r="A9201" i="26" s="1"/>
  <c r="B9202" i="26"/>
  <c r="A9202" i="26" s="1"/>
  <c r="B9203" i="26"/>
  <c r="A9203" i="26" s="1"/>
  <c r="B9204" i="26"/>
  <c r="A9204" i="26" s="1"/>
  <c r="B9205" i="26"/>
  <c r="A9205" i="26" s="1"/>
  <c r="B9206" i="26"/>
  <c r="A9206" i="26" s="1"/>
  <c r="B9207" i="26"/>
  <c r="A9207" i="26" s="1"/>
  <c r="B9208" i="26"/>
  <c r="A9208" i="26" s="1"/>
  <c r="B9209" i="26"/>
  <c r="A9209" i="26" s="1"/>
  <c r="B9210" i="26"/>
  <c r="A9210" i="26" s="1"/>
  <c r="B9211" i="26"/>
  <c r="A9211" i="26" s="1"/>
  <c r="B9212" i="26"/>
  <c r="A9212" i="26" s="1"/>
  <c r="B9213" i="26"/>
  <c r="A9213" i="26" s="1"/>
  <c r="B9214" i="26"/>
  <c r="A9214" i="26" s="1"/>
  <c r="B9215" i="26"/>
  <c r="A9215" i="26" s="1"/>
  <c r="B9216" i="26"/>
  <c r="A9216" i="26" s="1"/>
  <c r="B9217" i="26"/>
  <c r="A9217" i="26" s="1"/>
  <c r="B9218" i="26"/>
  <c r="A9218" i="26" s="1"/>
  <c r="B9219" i="26"/>
  <c r="A9219" i="26" s="1"/>
  <c r="B9220" i="26"/>
  <c r="A9220" i="26" s="1"/>
  <c r="B9221" i="26"/>
  <c r="A9221" i="26" s="1"/>
  <c r="B9222" i="26"/>
  <c r="A9222" i="26" s="1"/>
  <c r="B9223" i="26"/>
  <c r="A9223" i="26" s="1"/>
  <c r="B9224" i="26"/>
  <c r="A9224" i="26" s="1"/>
  <c r="B9225" i="26"/>
  <c r="A9225" i="26" s="1"/>
  <c r="B9226" i="26"/>
  <c r="A9226" i="26" s="1"/>
  <c r="B9227" i="26"/>
  <c r="A9227" i="26" s="1"/>
  <c r="B9228" i="26"/>
  <c r="A9228" i="26" s="1"/>
  <c r="B9229" i="26"/>
  <c r="A9229" i="26" s="1"/>
  <c r="B9230" i="26"/>
  <c r="A9230" i="26" s="1"/>
  <c r="B9231" i="26"/>
  <c r="A9231" i="26" s="1"/>
  <c r="B9232" i="26"/>
  <c r="A9232" i="26" s="1"/>
  <c r="B9233" i="26"/>
  <c r="A9233" i="26" s="1"/>
  <c r="B9234" i="26"/>
  <c r="A9234" i="26" s="1"/>
  <c r="B9235" i="26"/>
  <c r="A9235" i="26" s="1"/>
  <c r="B9236" i="26"/>
  <c r="A9236" i="26" s="1"/>
  <c r="B9237" i="26"/>
  <c r="A9237" i="26" s="1"/>
  <c r="B9238" i="26"/>
  <c r="A9238" i="26" s="1"/>
  <c r="B9239" i="26"/>
  <c r="A9239" i="26" s="1"/>
  <c r="B9240" i="26"/>
  <c r="A9240" i="26" s="1"/>
  <c r="B9241" i="26"/>
  <c r="A9241" i="26" s="1"/>
  <c r="B9242" i="26"/>
  <c r="A9242" i="26" s="1"/>
  <c r="B9243" i="26"/>
  <c r="A9243" i="26" s="1"/>
  <c r="B9244" i="26"/>
  <c r="A9244" i="26" s="1"/>
  <c r="B9245" i="26"/>
  <c r="A9245" i="26" s="1"/>
  <c r="B9246" i="26"/>
  <c r="A9246" i="26" s="1"/>
  <c r="B9247" i="26"/>
  <c r="A9247" i="26" s="1"/>
  <c r="B9248" i="26"/>
  <c r="A9248" i="26" s="1"/>
  <c r="B9249" i="26"/>
  <c r="A9249" i="26" s="1"/>
  <c r="B9250" i="26"/>
  <c r="A9250" i="26" s="1"/>
  <c r="B9251" i="26"/>
  <c r="A9251" i="26" s="1"/>
  <c r="B9252" i="26"/>
  <c r="A9252" i="26" s="1"/>
  <c r="B9253" i="26"/>
  <c r="A9253" i="26" s="1"/>
  <c r="B9254" i="26"/>
  <c r="A9254" i="26" s="1"/>
  <c r="B9255" i="26"/>
  <c r="A9255" i="26" s="1"/>
  <c r="B9256" i="26"/>
  <c r="A9256" i="26" s="1"/>
  <c r="B9257" i="26"/>
  <c r="A9257" i="26" s="1"/>
  <c r="B9258" i="26"/>
  <c r="A9258" i="26" s="1"/>
  <c r="B9259" i="26"/>
  <c r="A9259" i="26" s="1"/>
  <c r="B9260" i="26"/>
  <c r="A9260" i="26" s="1"/>
  <c r="B9261" i="26"/>
  <c r="A9261" i="26" s="1"/>
  <c r="B9262" i="26"/>
  <c r="A9262" i="26" s="1"/>
  <c r="B9263" i="26"/>
  <c r="A9263" i="26" s="1"/>
  <c r="B9264" i="26"/>
  <c r="A9264" i="26" s="1"/>
  <c r="B9265" i="26"/>
  <c r="A9265" i="26" s="1"/>
  <c r="B9266" i="26"/>
  <c r="A9266" i="26" s="1"/>
  <c r="B9267" i="26"/>
  <c r="A9267" i="26" s="1"/>
  <c r="B9268" i="26"/>
  <c r="A9268" i="26" s="1"/>
  <c r="B9269" i="26"/>
  <c r="A9269" i="26" s="1"/>
  <c r="B9270" i="26"/>
  <c r="A9270" i="26" s="1"/>
  <c r="B9271" i="26"/>
  <c r="A9271" i="26" s="1"/>
  <c r="B9272" i="26"/>
  <c r="A9272" i="26" s="1"/>
  <c r="B9273" i="26"/>
  <c r="A9273" i="26" s="1"/>
  <c r="B9274" i="26"/>
  <c r="A9274" i="26" s="1"/>
  <c r="B9275" i="26"/>
  <c r="A9275" i="26" s="1"/>
  <c r="B9276" i="26"/>
  <c r="A9276" i="26" s="1"/>
  <c r="B9277" i="26"/>
  <c r="A9277" i="26" s="1"/>
  <c r="B9278" i="26"/>
  <c r="A9278" i="26" s="1"/>
  <c r="B9279" i="26"/>
  <c r="A9279" i="26" s="1"/>
  <c r="B9280" i="26"/>
  <c r="A9280" i="26" s="1"/>
  <c r="B9281" i="26"/>
  <c r="A9281" i="26" s="1"/>
  <c r="B9282" i="26"/>
  <c r="A9282" i="26" s="1"/>
  <c r="B9283" i="26"/>
  <c r="A9283" i="26" s="1"/>
  <c r="B9284" i="26"/>
  <c r="A9284" i="26" s="1"/>
  <c r="B9285" i="26"/>
  <c r="A9285" i="26" s="1"/>
  <c r="B9286" i="26"/>
  <c r="A9286" i="26" s="1"/>
  <c r="B9287" i="26"/>
  <c r="A9287" i="26" s="1"/>
  <c r="B9288" i="26"/>
  <c r="A9288" i="26" s="1"/>
  <c r="B9289" i="26"/>
  <c r="A9289" i="26" s="1"/>
  <c r="B9290" i="26"/>
  <c r="A9290" i="26" s="1"/>
  <c r="B9291" i="26"/>
  <c r="A9291" i="26" s="1"/>
  <c r="B9292" i="26"/>
  <c r="A9292" i="26" s="1"/>
  <c r="B9293" i="26"/>
  <c r="A9293" i="26" s="1"/>
  <c r="B9294" i="26"/>
  <c r="A9294" i="26" s="1"/>
  <c r="B9295" i="26"/>
  <c r="A9295" i="26" s="1"/>
  <c r="B9296" i="26"/>
  <c r="A9296" i="26" s="1"/>
  <c r="B9297" i="26"/>
  <c r="A9297" i="26" s="1"/>
  <c r="B9298" i="26"/>
  <c r="A9298" i="26" s="1"/>
  <c r="B9299" i="26"/>
  <c r="A9299" i="26" s="1"/>
  <c r="B9300" i="26"/>
  <c r="A9300" i="26" s="1"/>
  <c r="B9301" i="26"/>
  <c r="A9301" i="26" s="1"/>
  <c r="B9302" i="26"/>
  <c r="A9302" i="26" s="1"/>
  <c r="B9303" i="26"/>
  <c r="A9303" i="26" s="1"/>
  <c r="B9304" i="26"/>
  <c r="A9304" i="26" s="1"/>
  <c r="B9305" i="26"/>
  <c r="A9305" i="26" s="1"/>
  <c r="B9306" i="26"/>
  <c r="A9306" i="26" s="1"/>
  <c r="B9307" i="26"/>
  <c r="A9307" i="26" s="1"/>
  <c r="B9308" i="26"/>
  <c r="A9308" i="26" s="1"/>
  <c r="B9309" i="26"/>
  <c r="A9309" i="26" s="1"/>
  <c r="B9310" i="26"/>
  <c r="A9310" i="26" s="1"/>
  <c r="B9311" i="26"/>
  <c r="A9311" i="26" s="1"/>
  <c r="B9312" i="26"/>
  <c r="A9312" i="26" s="1"/>
  <c r="B9313" i="26"/>
  <c r="A9313" i="26" s="1"/>
  <c r="B9314" i="26"/>
  <c r="A9314" i="26" s="1"/>
  <c r="B9315" i="26"/>
  <c r="A9315" i="26" s="1"/>
  <c r="B9316" i="26"/>
  <c r="A9316" i="26" s="1"/>
  <c r="B9317" i="26"/>
  <c r="A9317" i="26" s="1"/>
  <c r="B9318" i="26"/>
  <c r="A9318" i="26" s="1"/>
  <c r="B9319" i="26"/>
  <c r="A9319" i="26" s="1"/>
  <c r="B9320" i="26"/>
  <c r="A9320" i="26" s="1"/>
  <c r="B9321" i="26"/>
  <c r="A9321" i="26" s="1"/>
  <c r="B9322" i="26"/>
  <c r="A9322" i="26" s="1"/>
  <c r="B9323" i="26"/>
  <c r="A9323" i="26" s="1"/>
  <c r="B9324" i="26"/>
  <c r="A9324" i="26" s="1"/>
  <c r="B9325" i="26"/>
  <c r="A9325" i="26" s="1"/>
  <c r="B9326" i="26"/>
  <c r="A9326" i="26" s="1"/>
  <c r="B9327" i="26"/>
  <c r="A9327" i="26" s="1"/>
  <c r="B9328" i="26"/>
  <c r="A9328" i="26" s="1"/>
  <c r="B9329" i="26"/>
  <c r="A9329" i="26" s="1"/>
  <c r="B9330" i="26"/>
  <c r="A9330" i="26" s="1"/>
  <c r="B9331" i="26"/>
  <c r="A9331" i="26" s="1"/>
  <c r="B9332" i="26"/>
  <c r="A9332" i="26" s="1"/>
  <c r="B9333" i="26"/>
  <c r="A9333" i="26" s="1"/>
  <c r="B9334" i="26"/>
  <c r="A9334" i="26" s="1"/>
  <c r="B9335" i="26"/>
  <c r="A9335" i="26" s="1"/>
  <c r="B9336" i="26"/>
  <c r="A9336" i="26" s="1"/>
  <c r="B9337" i="26"/>
  <c r="A9337" i="26" s="1"/>
  <c r="B9338" i="26"/>
  <c r="A9338" i="26" s="1"/>
  <c r="B9339" i="26"/>
  <c r="A9339" i="26" s="1"/>
  <c r="B9340" i="26"/>
  <c r="A9340" i="26" s="1"/>
  <c r="B9341" i="26"/>
  <c r="A9341" i="26" s="1"/>
  <c r="B9342" i="26"/>
  <c r="A9342" i="26" s="1"/>
  <c r="B9343" i="26"/>
  <c r="A9343" i="26" s="1"/>
  <c r="B9344" i="26"/>
  <c r="A9344" i="26" s="1"/>
  <c r="B9345" i="26"/>
  <c r="A9345" i="26" s="1"/>
  <c r="B9346" i="26"/>
  <c r="A9346" i="26" s="1"/>
  <c r="B9347" i="26"/>
  <c r="A9347" i="26" s="1"/>
  <c r="B9348" i="26"/>
  <c r="A9348" i="26" s="1"/>
  <c r="B9349" i="26"/>
  <c r="A9349" i="26" s="1"/>
  <c r="B9350" i="26"/>
  <c r="A9350" i="26" s="1"/>
  <c r="B9351" i="26"/>
  <c r="A9351" i="26" s="1"/>
  <c r="B9352" i="26"/>
  <c r="A9352" i="26" s="1"/>
  <c r="B9353" i="26"/>
  <c r="A9353" i="26" s="1"/>
  <c r="B9354" i="26"/>
  <c r="A9354" i="26" s="1"/>
  <c r="B9355" i="26"/>
  <c r="A9355" i="26" s="1"/>
  <c r="B9356" i="26"/>
  <c r="A9356" i="26" s="1"/>
  <c r="B9357" i="26"/>
  <c r="A9357" i="26" s="1"/>
  <c r="B9358" i="26"/>
  <c r="A9358" i="26" s="1"/>
  <c r="B9359" i="26"/>
  <c r="A9359" i="26" s="1"/>
  <c r="B9360" i="26"/>
  <c r="A9360" i="26" s="1"/>
  <c r="B9361" i="26"/>
  <c r="A9361" i="26" s="1"/>
  <c r="B9362" i="26"/>
  <c r="A9362" i="26" s="1"/>
  <c r="B9363" i="26"/>
  <c r="A9363" i="26" s="1"/>
  <c r="B9364" i="26"/>
  <c r="A9364" i="26" s="1"/>
  <c r="B9365" i="26"/>
  <c r="A9365" i="26" s="1"/>
  <c r="B9366" i="26"/>
  <c r="A9366" i="26" s="1"/>
  <c r="B9367" i="26"/>
  <c r="A9367" i="26" s="1"/>
  <c r="B9368" i="26"/>
  <c r="A9368" i="26" s="1"/>
  <c r="B9369" i="26"/>
  <c r="A9369" i="26" s="1"/>
  <c r="B9370" i="26"/>
  <c r="A9370" i="26" s="1"/>
  <c r="B9371" i="26"/>
  <c r="A9371" i="26" s="1"/>
  <c r="B9372" i="26"/>
  <c r="A9372" i="26" s="1"/>
  <c r="B9373" i="26"/>
  <c r="A9373" i="26" s="1"/>
  <c r="B9374" i="26"/>
  <c r="A9374" i="26" s="1"/>
  <c r="B9375" i="26"/>
  <c r="A9375" i="26" s="1"/>
  <c r="B9376" i="26"/>
  <c r="A9376" i="26" s="1"/>
  <c r="B9377" i="26"/>
  <c r="A9377" i="26" s="1"/>
  <c r="B9378" i="26"/>
  <c r="A9378" i="26" s="1"/>
  <c r="B9379" i="26"/>
  <c r="A9379" i="26" s="1"/>
  <c r="B9380" i="26"/>
  <c r="A9380" i="26" s="1"/>
  <c r="B9381" i="26"/>
  <c r="A9381" i="26" s="1"/>
  <c r="B9382" i="26"/>
  <c r="A9382" i="26" s="1"/>
  <c r="B9383" i="26"/>
  <c r="A9383" i="26" s="1"/>
  <c r="B9384" i="26"/>
  <c r="A9384" i="26" s="1"/>
  <c r="B9385" i="26"/>
  <c r="A9385" i="26" s="1"/>
  <c r="B9386" i="26"/>
  <c r="A9386" i="26" s="1"/>
  <c r="B9387" i="26"/>
  <c r="A9387" i="26" s="1"/>
  <c r="B9388" i="26"/>
  <c r="A9388" i="26" s="1"/>
  <c r="B9389" i="26"/>
  <c r="A9389" i="26" s="1"/>
  <c r="B9390" i="26"/>
  <c r="A9390" i="26" s="1"/>
  <c r="B9391" i="26"/>
  <c r="A9391" i="26" s="1"/>
  <c r="B9392" i="26"/>
  <c r="A9392" i="26" s="1"/>
  <c r="B9393" i="26"/>
  <c r="A9393" i="26" s="1"/>
  <c r="B9394" i="26"/>
  <c r="A9394" i="26" s="1"/>
  <c r="B9395" i="26"/>
  <c r="A9395" i="26" s="1"/>
  <c r="B9396" i="26"/>
  <c r="A9396" i="26" s="1"/>
  <c r="B9397" i="26"/>
  <c r="A9397" i="26" s="1"/>
  <c r="B9398" i="26"/>
  <c r="A9398" i="26" s="1"/>
  <c r="B9399" i="26"/>
  <c r="A9399" i="26" s="1"/>
  <c r="B9400" i="26"/>
  <c r="A9400" i="26" s="1"/>
  <c r="B9401" i="26"/>
  <c r="A9401" i="26" s="1"/>
  <c r="B9402" i="26"/>
  <c r="A9402" i="26" s="1"/>
  <c r="B9403" i="26"/>
  <c r="A9403" i="26" s="1"/>
  <c r="B9404" i="26"/>
  <c r="A9404" i="26" s="1"/>
  <c r="B9405" i="26"/>
  <c r="A9405" i="26" s="1"/>
  <c r="B9406" i="26"/>
  <c r="A9406" i="26" s="1"/>
  <c r="B9407" i="26"/>
  <c r="A9407" i="26" s="1"/>
  <c r="B9408" i="26"/>
  <c r="A9408" i="26" s="1"/>
  <c r="B9409" i="26"/>
  <c r="A9409" i="26" s="1"/>
  <c r="B9410" i="26"/>
  <c r="A9410" i="26" s="1"/>
  <c r="B9411" i="26"/>
  <c r="A9411" i="26" s="1"/>
  <c r="B9412" i="26"/>
  <c r="A9412" i="26" s="1"/>
  <c r="B9413" i="26"/>
  <c r="A9413" i="26" s="1"/>
  <c r="B9414" i="26"/>
  <c r="A9414" i="26" s="1"/>
  <c r="B9415" i="26"/>
  <c r="A9415" i="26" s="1"/>
  <c r="B9416" i="26"/>
  <c r="A9416" i="26" s="1"/>
  <c r="B9417" i="26"/>
  <c r="A9417" i="26" s="1"/>
  <c r="B9418" i="26"/>
  <c r="A9418" i="26" s="1"/>
  <c r="B9419" i="26"/>
  <c r="A9419" i="26" s="1"/>
  <c r="B9420" i="26"/>
  <c r="A9420" i="26" s="1"/>
  <c r="B9421" i="26"/>
  <c r="A9421" i="26" s="1"/>
  <c r="B9422" i="26"/>
  <c r="A9422" i="26" s="1"/>
  <c r="B9423" i="26"/>
  <c r="A9423" i="26" s="1"/>
  <c r="B9424" i="26"/>
  <c r="A9424" i="26" s="1"/>
  <c r="B9425" i="26"/>
  <c r="A9425" i="26" s="1"/>
  <c r="B9426" i="26"/>
  <c r="A9426" i="26" s="1"/>
  <c r="B9427" i="26"/>
  <c r="A9427" i="26" s="1"/>
  <c r="B9428" i="26"/>
  <c r="A9428" i="26" s="1"/>
  <c r="B9429" i="26"/>
  <c r="A9429" i="26" s="1"/>
  <c r="B9430" i="26"/>
  <c r="A9430" i="26" s="1"/>
  <c r="B9431" i="26"/>
  <c r="A9431" i="26" s="1"/>
  <c r="B9432" i="26"/>
  <c r="A9432" i="26" s="1"/>
  <c r="B9433" i="26"/>
  <c r="A9433" i="26" s="1"/>
  <c r="B9434" i="26"/>
  <c r="A9434" i="26" s="1"/>
  <c r="B9435" i="26"/>
  <c r="A9435" i="26" s="1"/>
  <c r="B9436" i="26"/>
  <c r="A9436" i="26" s="1"/>
  <c r="B9437" i="26"/>
  <c r="A9437" i="26" s="1"/>
  <c r="B9438" i="26"/>
  <c r="A9438" i="26" s="1"/>
  <c r="B9439" i="26"/>
  <c r="A9439" i="26" s="1"/>
  <c r="B9440" i="26"/>
  <c r="A9440" i="26" s="1"/>
  <c r="B9441" i="26"/>
  <c r="A9441" i="26" s="1"/>
  <c r="B9442" i="26"/>
  <c r="A9442" i="26" s="1"/>
  <c r="B9443" i="26"/>
  <c r="A9443" i="26" s="1"/>
  <c r="B9444" i="26"/>
  <c r="A9444" i="26" s="1"/>
  <c r="B9445" i="26"/>
  <c r="A9445" i="26" s="1"/>
  <c r="B9446" i="26"/>
  <c r="A9446" i="26" s="1"/>
  <c r="B9447" i="26"/>
  <c r="A9447" i="26" s="1"/>
  <c r="B9448" i="26"/>
  <c r="A9448" i="26" s="1"/>
  <c r="B9449" i="26"/>
  <c r="A9449" i="26" s="1"/>
  <c r="B9450" i="26"/>
  <c r="A9450" i="26" s="1"/>
  <c r="B9451" i="26"/>
  <c r="A9451" i="26" s="1"/>
  <c r="B9452" i="26"/>
  <c r="A9452" i="26" s="1"/>
  <c r="B9453" i="26"/>
  <c r="A9453" i="26" s="1"/>
  <c r="B9454" i="26"/>
  <c r="A9454" i="26" s="1"/>
  <c r="B9455" i="26"/>
  <c r="A9455" i="26" s="1"/>
  <c r="B9456" i="26"/>
  <c r="A9456" i="26" s="1"/>
  <c r="B9457" i="26"/>
  <c r="A9457" i="26" s="1"/>
  <c r="B9458" i="26"/>
  <c r="A9458" i="26" s="1"/>
  <c r="B9459" i="26"/>
  <c r="A9459" i="26" s="1"/>
  <c r="B9460" i="26"/>
  <c r="A9460" i="26" s="1"/>
  <c r="B9461" i="26"/>
  <c r="A9461" i="26" s="1"/>
  <c r="B9462" i="26"/>
  <c r="A9462" i="26" s="1"/>
  <c r="B9463" i="26"/>
  <c r="A9463" i="26" s="1"/>
  <c r="B9464" i="26"/>
  <c r="A9464" i="26" s="1"/>
  <c r="B9465" i="26"/>
  <c r="A9465" i="26" s="1"/>
  <c r="B9466" i="26"/>
  <c r="A9466" i="26" s="1"/>
  <c r="B9467" i="26"/>
  <c r="A9467" i="26" s="1"/>
  <c r="B9468" i="26"/>
  <c r="A9468" i="26" s="1"/>
  <c r="B9469" i="26"/>
  <c r="A9469" i="26" s="1"/>
  <c r="B9470" i="26"/>
  <c r="A9470" i="26" s="1"/>
  <c r="B9471" i="26"/>
  <c r="A9471" i="26" s="1"/>
  <c r="B9472" i="26"/>
  <c r="A9472" i="26" s="1"/>
  <c r="B9473" i="26"/>
  <c r="A9473" i="26" s="1"/>
  <c r="B9474" i="26"/>
  <c r="A9474" i="26" s="1"/>
  <c r="B9475" i="26"/>
  <c r="A9475" i="26" s="1"/>
  <c r="B9476" i="26"/>
  <c r="A9476" i="26" s="1"/>
  <c r="B9477" i="26"/>
  <c r="A9477" i="26" s="1"/>
  <c r="B9478" i="26"/>
  <c r="A9478" i="26" s="1"/>
  <c r="B9479" i="26"/>
  <c r="A9479" i="26" s="1"/>
  <c r="B9480" i="26"/>
  <c r="A9480" i="26" s="1"/>
  <c r="B9481" i="26"/>
  <c r="A9481" i="26" s="1"/>
  <c r="B9482" i="26"/>
  <c r="A9482" i="26" s="1"/>
  <c r="B9483" i="26"/>
  <c r="A9483" i="26" s="1"/>
  <c r="B9484" i="26"/>
  <c r="A9484" i="26" s="1"/>
  <c r="B9485" i="26"/>
  <c r="A9485" i="26" s="1"/>
  <c r="B9486" i="26"/>
  <c r="A9486" i="26" s="1"/>
  <c r="B9487" i="26"/>
  <c r="A9487" i="26" s="1"/>
  <c r="B9488" i="26"/>
  <c r="A9488" i="26" s="1"/>
  <c r="B9489" i="26"/>
  <c r="A9489" i="26" s="1"/>
  <c r="B9490" i="26"/>
  <c r="A9490" i="26" s="1"/>
  <c r="B9491" i="26"/>
  <c r="A9491" i="26" s="1"/>
  <c r="B9492" i="26"/>
  <c r="A9492" i="26" s="1"/>
  <c r="B9493" i="26"/>
  <c r="A9493" i="26" s="1"/>
  <c r="B9494" i="26"/>
  <c r="A9494" i="26" s="1"/>
  <c r="B9495" i="26"/>
  <c r="A9495" i="26" s="1"/>
  <c r="B9496" i="26"/>
  <c r="A9496" i="26" s="1"/>
  <c r="B9497" i="26"/>
  <c r="A9497" i="26" s="1"/>
  <c r="B9498" i="26"/>
  <c r="A9498" i="26" s="1"/>
  <c r="B9499" i="26"/>
  <c r="A9499" i="26" s="1"/>
  <c r="B9500" i="26"/>
  <c r="A9500" i="26" s="1"/>
  <c r="B9501" i="26"/>
  <c r="A9501" i="26" s="1"/>
  <c r="B9502" i="26"/>
  <c r="A9502" i="26" s="1"/>
  <c r="B9503" i="26"/>
  <c r="A9503" i="26" s="1"/>
  <c r="B9504" i="26"/>
  <c r="A9504" i="26" s="1"/>
  <c r="B9505" i="26"/>
  <c r="A9505" i="26" s="1"/>
  <c r="B9506" i="26"/>
  <c r="A9506" i="26" s="1"/>
  <c r="B9507" i="26"/>
  <c r="A9507" i="26" s="1"/>
  <c r="B9508" i="26"/>
  <c r="A9508" i="26" s="1"/>
  <c r="B9509" i="26"/>
  <c r="A9509" i="26" s="1"/>
  <c r="B9510" i="26"/>
  <c r="A9510" i="26" s="1"/>
  <c r="B9511" i="26"/>
  <c r="A9511" i="26" s="1"/>
  <c r="B9512" i="26"/>
  <c r="A9512" i="26" s="1"/>
  <c r="B9513" i="26"/>
  <c r="A9513" i="26" s="1"/>
  <c r="B9514" i="26"/>
  <c r="A9514" i="26" s="1"/>
  <c r="B9515" i="26"/>
  <c r="A9515" i="26" s="1"/>
  <c r="B9516" i="26"/>
  <c r="A9516" i="26" s="1"/>
  <c r="B9517" i="26"/>
  <c r="A9517" i="26" s="1"/>
  <c r="B9518" i="26"/>
  <c r="A9518" i="26" s="1"/>
  <c r="B9519" i="26"/>
  <c r="A9519" i="26" s="1"/>
  <c r="B9520" i="26"/>
  <c r="A9520" i="26" s="1"/>
  <c r="B9521" i="26"/>
  <c r="A9521" i="26" s="1"/>
  <c r="B9522" i="26"/>
  <c r="A9522" i="26" s="1"/>
  <c r="B9523" i="26"/>
  <c r="A9523" i="26" s="1"/>
  <c r="B9524" i="26"/>
  <c r="A9524" i="26" s="1"/>
  <c r="B9525" i="26"/>
  <c r="A9525" i="26" s="1"/>
  <c r="B9526" i="26"/>
  <c r="A9526" i="26" s="1"/>
  <c r="B9527" i="26"/>
  <c r="A9527" i="26" s="1"/>
  <c r="B9528" i="26"/>
  <c r="A9528" i="26" s="1"/>
  <c r="B9529" i="26"/>
  <c r="A9529" i="26" s="1"/>
  <c r="B9530" i="26"/>
  <c r="A9530" i="26" s="1"/>
  <c r="B9531" i="26"/>
  <c r="A9531" i="26" s="1"/>
  <c r="B9532" i="26"/>
  <c r="A9532" i="26" s="1"/>
  <c r="B9533" i="26"/>
  <c r="A9533" i="26" s="1"/>
  <c r="B9534" i="26"/>
  <c r="A9534" i="26" s="1"/>
  <c r="B9535" i="26"/>
  <c r="A9535" i="26" s="1"/>
  <c r="B9536" i="26"/>
  <c r="A9536" i="26" s="1"/>
  <c r="B9537" i="26"/>
  <c r="A9537" i="26" s="1"/>
  <c r="B9538" i="26"/>
  <c r="A9538" i="26" s="1"/>
  <c r="B9539" i="26"/>
  <c r="A9539" i="26" s="1"/>
  <c r="B9540" i="26"/>
  <c r="A9540" i="26" s="1"/>
  <c r="B9541" i="26"/>
  <c r="A9541" i="26" s="1"/>
  <c r="B9542" i="26"/>
  <c r="A9542" i="26" s="1"/>
  <c r="B9543" i="26"/>
  <c r="A9543" i="26" s="1"/>
  <c r="B9544" i="26"/>
  <c r="A9544" i="26" s="1"/>
  <c r="B9545" i="26"/>
  <c r="A9545" i="26" s="1"/>
  <c r="B9546" i="26"/>
  <c r="A9546" i="26" s="1"/>
  <c r="B9547" i="26"/>
  <c r="A9547" i="26" s="1"/>
  <c r="B9548" i="26"/>
  <c r="A9548" i="26" s="1"/>
  <c r="B9549" i="26"/>
  <c r="A9549" i="26" s="1"/>
  <c r="B9550" i="26"/>
  <c r="A9550" i="26" s="1"/>
  <c r="B9551" i="26"/>
  <c r="A9551" i="26" s="1"/>
  <c r="B9552" i="26"/>
  <c r="A9552" i="26" s="1"/>
  <c r="B9553" i="26"/>
  <c r="A9553" i="26" s="1"/>
  <c r="B9554" i="26"/>
  <c r="A9554" i="26" s="1"/>
  <c r="B9555" i="26"/>
  <c r="A9555" i="26" s="1"/>
  <c r="B9556" i="26"/>
  <c r="A9556" i="26" s="1"/>
  <c r="B9557" i="26"/>
  <c r="A9557" i="26" s="1"/>
  <c r="B9558" i="26"/>
  <c r="A9558" i="26" s="1"/>
  <c r="B9559" i="26"/>
  <c r="A9559" i="26" s="1"/>
  <c r="B9560" i="26"/>
  <c r="A9560" i="26" s="1"/>
  <c r="B9561" i="26"/>
  <c r="A9561" i="26" s="1"/>
  <c r="B9562" i="26"/>
  <c r="A9562" i="26" s="1"/>
  <c r="B9563" i="26"/>
  <c r="A9563" i="26" s="1"/>
  <c r="B9564" i="26"/>
  <c r="A9564" i="26" s="1"/>
  <c r="B9565" i="26"/>
  <c r="A9565" i="26" s="1"/>
  <c r="B9566" i="26"/>
  <c r="A9566" i="26" s="1"/>
  <c r="B9567" i="26"/>
  <c r="A9567" i="26" s="1"/>
  <c r="B9568" i="26"/>
  <c r="A9568" i="26" s="1"/>
  <c r="B9569" i="26"/>
  <c r="A9569" i="26" s="1"/>
  <c r="B9570" i="26"/>
  <c r="A9570" i="26" s="1"/>
  <c r="B9571" i="26"/>
  <c r="A9571" i="26" s="1"/>
  <c r="B9572" i="26"/>
  <c r="A9572" i="26" s="1"/>
  <c r="B9573" i="26"/>
  <c r="A9573" i="26" s="1"/>
  <c r="B9574" i="26"/>
  <c r="A9574" i="26" s="1"/>
  <c r="B9575" i="26"/>
  <c r="A9575" i="26" s="1"/>
  <c r="B9576" i="26"/>
  <c r="A9576" i="26" s="1"/>
  <c r="B9577" i="26"/>
  <c r="A9577" i="26" s="1"/>
  <c r="B9578" i="26"/>
  <c r="A9578" i="26" s="1"/>
  <c r="B9579" i="26"/>
  <c r="A9579" i="26" s="1"/>
  <c r="B9580" i="26"/>
  <c r="A9580" i="26" s="1"/>
  <c r="B9581" i="26"/>
  <c r="A9581" i="26" s="1"/>
  <c r="B9582" i="26"/>
  <c r="A9582" i="26" s="1"/>
  <c r="B9583" i="26"/>
  <c r="A9583" i="26" s="1"/>
  <c r="B9584" i="26"/>
  <c r="A9584" i="26" s="1"/>
  <c r="B9585" i="26"/>
  <c r="A9585" i="26" s="1"/>
  <c r="B9586" i="26"/>
  <c r="A9586" i="26" s="1"/>
  <c r="B9587" i="26"/>
  <c r="A9587" i="26" s="1"/>
  <c r="B9588" i="26"/>
  <c r="A9588" i="26" s="1"/>
  <c r="B9589" i="26"/>
  <c r="A9589" i="26" s="1"/>
  <c r="B9590" i="26"/>
  <c r="A9590" i="26" s="1"/>
  <c r="B9591" i="26"/>
  <c r="A9591" i="26" s="1"/>
  <c r="B9592" i="26"/>
  <c r="A9592" i="26" s="1"/>
  <c r="B9593" i="26"/>
  <c r="A9593" i="26" s="1"/>
  <c r="B9594" i="26"/>
  <c r="A9594" i="26" s="1"/>
  <c r="B9595" i="26"/>
  <c r="A9595" i="26" s="1"/>
  <c r="B9596" i="26"/>
  <c r="A9596" i="26" s="1"/>
  <c r="B9597" i="26"/>
  <c r="A9597" i="26" s="1"/>
  <c r="B9598" i="26"/>
  <c r="A9598" i="26" s="1"/>
  <c r="B9599" i="26"/>
  <c r="A9599" i="26" s="1"/>
  <c r="B9600" i="26"/>
  <c r="A9600" i="26" s="1"/>
  <c r="B9601" i="26"/>
  <c r="A9601" i="26" s="1"/>
  <c r="B9602" i="26"/>
  <c r="A9602" i="26" s="1"/>
  <c r="B9603" i="26"/>
  <c r="A9603" i="26" s="1"/>
  <c r="B9604" i="26"/>
  <c r="A9604" i="26" s="1"/>
  <c r="B9605" i="26"/>
  <c r="A9605" i="26" s="1"/>
  <c r="B9606" i="26"/>
  <c r="A9606" i="26" s="1"/>
  <c r="B9607" i="26"/>
  <c r="A9607" i="26" s="1"/>
  <c r="B9608" i="26"/>
  <c r="A9608" i="26" s="1"/>
  <c r="B9609" i="26"/>
  <c r="A9609" i="26" s="1"/>
  <c r="B9610" i="26"/>
  <c r="A9610" i="26" s="1"/>
  <c r="B9611" i="26"/>
  <c r="A9611" i="26" s="1"/>
  <c r="B9612" i="26"/>
  <c r="A9612" i="26" s="1"/>
  <c r="B9613" i="26"/>
  <c r="A9613" i="26" s="1"/>
  <c r="B9614" i="26"/>
  <c r="A9614" i="26" s="1"/>
  <c r="B9615" i="26"/>
  <c r="A9615" i="26" s="1"/>
  <c r="B9616" i="26"/>
  <c r="A9616" i="26" s="1"/>
  <c r="B9617" i="26"/>
  <c r="A9617" i="26" s="1"/>
  <c r="B9618" i="26"/>
  <c r="A9618" i="26" s="1"/>
  <c r="B9619" i="26"/>
  <c r="A9619" i="26" s="1"/>
  <c r="B9620" i="26"/>
  <c r="A9620" i="26" s="1"/>
  <c r="B9621" i="26"/>
  <c r="A9621" i="26" s="1"/>
  <c r="B9622" i="26"/>
  <c r="A9622" i="26" s="1"/>
  <c r="B9623" i="26"/>
  <c r="A9623" i="26" s="1"/>
  <c r="B9624" i="26"/>
  <c r="A9624" i="26" s="1"/>
  <c r="B9625" i="26"/>
  <c r="A9625" i="26" s="1"/>
  <c r="B9626" i="26"/>
  <c r="A9626" i="26" s="1"/>
  <c r="B9627" i="26"/>
  <c r="A9627" i="26" s="1"/>
  <c r="B9628" i="26"/>
  <c r="A9628" i="26" s="1"/>
  <c r="B9629" i="26"/>
  <c r="A9629" i="26" s="1"/>
  <c r="B9630" i="26"/>
  <c r="A9630" i="26" s="1"/>
  <c r="B9631" i="26"/>
  <c r="A9631" i="26" s="1"/>
  <c r="B9632" i="26"/>
  <c r="A9632" i="26" s="1"/>
  <c r="B9633" i="26"/>
  <c r="A9633" i="26" s="1"/>
  <c r="B9634" i="26"/>
  <c r="A9634" i="26" s="1"/>
  <c r="B9635" i="26"/>
  <c r="A9635" i="26" s="1"/>
  <c r="B9636" i="26"/>
  <c r="A9636" i="26" s="1"/>
  <c r="B9637" i="26"/>
  <c r="A9637" i="26" s="1"/>
  <c r="B9638" i="26"/>
  <c r="A9638" i="26" s="1"/>
  <c r="B9639" i="26"/>
  <c r="A9639" i="26" s="1"/>
  <c r="B9640" i="26"/>
  <c r="A9640" i="26" s="1"/>
  <c r="B9641" i="26"/>
  <c r="A9641" i="26" s="1"/>
  <c r="B9642" i="26"/>
  <c r="A9642" i="26" s="1"/>
  <c r="B9643" i="26"/>
  <c r="A9643" i="26" s="1"/>
  <c r="B9644" i="26"/>
  <c r="A9644" i="26" s="1"/>
  <c r="B9645" i="26"/>
  <c r="A9645" i="26" s="1"/>
  <c r="B9646" i="26"/>
  <c r="A9646" i="26" s="1"/>
  <c r="B9647" i="26"/>
  <c r="A9647" i="26" s="1"/>
  <c r="B9648" i="26"/>
  <c r="A9648" i="26" s="1"/>
  <c r="B9649" i="26"/>
  <c r="A9649" i="26" s="1"/>
  <c r="B9650" i="26"/>
  <c r="A9650" i="26" s="1"/>
  <c r="B9651" i="26"/>
  <c r="A9651" i="26" s="1"/>
  <c r="B9652" i="26"/>
  <c r="A9652" i="26" s="1"/>
  <c r="B9653" i="26"/>
  <c r="A9653" i="26" s="1"/>
  <c r="B9654" i="26"/>
  <c r="A9654" i="26" s="1"/>
  <c r="B9655" i="26"/>
  <c r="A9655" i="26" s="1"/>
  <c r="B9656" i="26"/>
  <c r="A9656" i="26" s="1"/>
  <c r="B9657" i="26"/>
  <c r="A9657" i="26" s="1"/>
  <c r="B9658" i="26"/>
  <c r="A9658" i="26" s="1"/>
  <c r="B9659" i="26"/>
  <c r="A9659" i="26" s="1"/>
  <c r="B9660" i="26"/>
  <c r="A9660" i="26" s="1"/>
  <c r="B9661" i="26"/>
  <c r="A9661" i="26" s="1"/>
  <c r="B9662" i="26"/>
  <c r="A9662" i="26" s="1"/>
  <c r="B9663" i="26"/>
  <c r="A9663" i="26" s="1"/>
  <c r="B9664" i="26"/>
  <c r="A9664" i="26" s="1"/>
  <c r="B9665" i="26"/>
  <c r="A9665" i="26" s="1"/>
  <c r="B9666" i="26"/>
  <c r="A9666" i="26" s="1"/>
  <c r="B9667" i="26"/>
  <c r="A9667" i="26" s="1"/>
  <c r="B9668" i="26"/>
  <c r="A9668" i="26" s="1"/>
  <c r="B9669" i="26"/>
  <c r="A9669" i="26" s="1"/>
  <c r="B9670" i="26"/>
  <c r="A9670" i="26" s="1"/>
  <c r="B9671" i="26"/>
  <c r="A9671" i="26" s="1"/>
  <c r="B9672" i="26"/>
  <c r="A9672" i="26" s="1"/>
  <c r="B9673" i="26"/>
  <c r="A9673" i="26" s="1"/>
  <c r="B9674" i="26"/>
  <c r="A9674" i="26" s="1"/>
  <c r="B9675" i="26"/>
  <c r="A9675" i="26" s="1"/>
  <c r="B9676" i="26"/>
  <c r="A9676" i="26" s="1"/>
  <c r="B9677" i="26"/>
  <c r="A9677" i="26" s="1"/>
  <c r="B9678" i="26"/>
  <c r="A9678" i="26" s="1"/>
  <c r="B9679" i="26"/>
  <c r="A9679" i="26" s="1"/>
  <c r="B9680" i="26"/>
  <c r="A9680" i="26" s="1"/>
  <c r="B9681" i="26"/>
  <c r="A9681" i="26" s="1"/>
  <c r="B9682" i="26"/>
  <c r="A9682" i="26" s="1"/>
  <c r="B9683" i="26"/>
  <c r="A9683" i="26" s="1"/>
  <c r="B9684" i="26"/>
  <c r="A9684" i="26" s="1"/>
  <c r="B9685" i="26"/>
  <c r="A9685" i="26" s="1"/>
  <c r="B9686" i="26"/>
  <c r="A9686" i="26" s="1"/>
  <c r="B9687" i="26"/>
  <c r="A9687" i="26" s="1"/>
  <c r="B9688" i="26"/>
  <c r="A9688" i="26" s="1"/>
  <c r="B9689" i="26"/>
  <c r="A9689" i="26" s="1"/>
  <c r="B9690" i="26"/>
  <c r="A9690" i="26" s="1"/>
  <c r="B9691" i="26"/>
  <c r="A9691" i="26" s="1"/>
  <c r="B9692" i="26"/>
  <c r="A9692" i="26" s="1"/>
  <c r="B9693" i="26"/>
  <c r="A9693" i="26" s="1"/>
  <c r="B9694" i="26"/>
  <c r="A9694" i="26" s="1"/>
  <c r="B9695" i="26"/>
  <c r="A9695" i="26" s="1"/>
  <c r="B9696" i="26"/>
  <c r="A9696" i="26" s="1"/>
  <c r="B9697" i="26"/>
  <c r="A9697" i="26" s="1"/>
  <c r="B9698" i="26"/>
  <c r="A9698" i="26" s="1"/>
  <c r="B9699" i="26"/>
  <c r="A9699" i="26" s="1"/>
  <c r="B9700" i="26"/>
  <c r="A9700" i="26" s="1"/>
  <c r="B9701" i="26"/>
  <c r="A9701" i="26" s="1"/>
  <c r="B9702" i="26"/>
  <c r="A9702" i="26" s="1"/>
  <c r="B9703" i="26"/>
  <c r="A9703" i="26" s="1"/>
  <c r="B9704" i="26"/>
  <c r="A9704" i="26" s="1"/>
  <c r="B9705" i="26"/>
  <c r="A9705" i="26" s="1"/>
  <c r="B9706" i="26"/>
  <c r="A9706" i="26" s="1"/>
  <c r="B9707" i="26"/>
  <c r="A9707" i="26" s="1"/>
  <c r="B9708" i="26"/>
  <c r="A9708" i="26" s="1"/>
  <c r="B9709" i="26"/>
  <c r="A9709" i="26" s="1"/>
  <c r="B9710" i="26"/>
  <c r="A9710" i="26" s="1"/>
  <c r="B9711" i="26"/>
  <c r="A9711" i="26" s="1"/>
  <c r="B9712" i="26"/>
  <c r="A9712" i="26" s="1"/>
  <c r="B9713" i="26"/>
  <c r="A9713" i="26" s="1"/>
  <c r="B9714" i="26"/>
  <c r="A9714" i="26" s="1"/>
  <c r="B9715" i="26"/>
  <c r="A9715" i="26" s="1"/>
  <c r="B9716" i="26"/>
  <c r="A9716" i="26" s="1"/>
  <c r="B9717" i="26"/>
  <c r="A9717" i="26" s="1"/>
  <c r="B9718" i="26"/>
  <c r="A9718" i="26" s="1"/>
  <c r="B9719" i="26"/>
  <c r="A9719" i="26" s="1"/>
  <c r="B9720" i="26"/>
  <c r="A9720" i="26" s="1"/>
  <c r="B9721" i="26"/>
  <c r="A9721" i="26" s="1"/>
  <c r="B9722" i="26"/>
  <c r="A9722" i="26" s="1"/>
  <c r="B9723" i="26"/>
  <c r="A9723" i="26" s="1"/>
  <c r="B9724" i="26"/>
  <c r="A9724" i="26" s="1"/>
  <c r="B9725" i="26"/>
  <c r="A9725" i="26" s="1"/>
  <c r="B9726" i="26"/>
  <c r="A9726" i="26" s="1"/>
  <c r="B9727" i="26"/>
  <c r="A9727" i="26" s="1"/>
  <c r="B9728" i="26"/>
  <c r="A9728" i="26" s="1"/>
  <c r="B9729" i="26"/>
  <c r="A9729" i="26" s="1"/>
  <c r="B9730" i="26"/>
  <c r="A9730" i="26" s="1"/>
  <c r="B9731" i="26"/>
  <c r="A9731" i="26" s="1"/>
  <c r="B9732" i="26"/>
  <c r="A9732" i="26" s="1"/>
  <c r="B9733" i="26"/>
  <c r="A9733" i="26" s="1"/>
  <c r="B9734" i="26"/>
  <c r="A9734" i="26" s="1"/>
  <c r="B9735" i="26"/>
  <c r="A9735" i="26" s="1"/>
  <c r="B9736" i="26"/>
  <c r="A9736" i="26" s="1"/>
  <c r="B9737" i="26"/>
  <c r="A9737" i="26" s="1"/>
  <c r="B9738" i="26"/>
  <c r="A9738" i="26" s="1"/>
  <c r="B9739" i="26"/>
  <c r="A9739" i="26" s="1"/>
  <c r="B9740" i="26"/>
  <c r="A9740" i="26" s="1"/>
  <c r="B9741" i="26"/>
  <c r="A9741" i="26" s="1"/>
  <c r="B9742" i="26"/>
  <c r="A9742" i="26" s="1"/>
  <c r="B9743" i="26"/>
  <c r="A9743" i="26" s="1"/>
  <c r="B9744" i="26"/>
  <c r="A9744" i="26" s="1"/>
  <c r="B9745" i="26"/>
  <c r="A9745" i="26" s="1"/>
  <c r="B9746" i="26"/>
  <c r="A9746" i="26" s="1"/>
  <c r="B9747" i="26"/>
  <c r="A9747" i="26" s="1"/>
  <c r="B9748" i="26"/>
  <c r="A9748" i="26" s="1"/>
  <c r="B9749" i="26"/>
  <c r="A9749" i="26" s="1"/>
  <c r="B9750" i="26"/>
  <c r="A9750" i="26" s="1"/>
  <c r="B9751" i="26"/>
  <c r="A9751" i="26" s="1"/>
  <c r="B9752" i="26"/>
  <c r="A9752" i="26" s="1"/>
  <c r="B9753" i="26"/>
  <c r="A9753" i="26" s="1"/>
  <c r="B9754" i="26"/>
  <c r="A9754" i="26" s="1"/>
  <c r="B9755" i="26"/>
  <c r="A9755" i="26" s="1"/>
  <c r="B9756" i="26"/>
  <c r="A9756" i="26" s="1"/>
  <c r="B9757" i="26"/>
  <c r="A9757" i="26" s="1"/>
  <c r="B9758" i="26"/>
  <c r="A9758" i="26" s="1"/>
  <c r="B9759" i="26"/>
  <c r="A9759" i="26" s="1"/>
  <c r="B9760" i="26"/>
  <c r="A9760" i="26" s="1"/>
  <c r="B9761" i="26"/>
  <c r="A9761" i="26" s="1"/>
  <c r="B9762" i="26"/>
  <c r="A9762" i="26" s="1"/>
  <c r="B9763" i="26"/>
  <c r="A9763" i="26" s="1"/>
  <c r="B9764" i="26"/>
  <c r="A9764" i="26" s="1"/>
  <c r="B9765" i="26"/>
  <c r="A9765" i="26" s="1"/>
  <c r="B9766" i="26"/>
  <c r="A9766" i="26" s="1"/>
  <c r="B9767" i="26"/>
  <c r="A9767" i="26" s="1"/>
  <c r="B9768" i="26"/>
  <c r="A9768" i="26" s="1"/>
  <c r="B9769" i="26"/>
  <c r="A9769" i="26" s="1"/>
  <c r="B9770" i="26"/>
  <c r="A9770" i="26" s="1"/>
  <c r="B9771" i="26"/>
  <c r="A9771" i="26" s="1"/>
  <c r="B9772" i="26"/>
  <c r="A9772" i="26" s="1"/>
  <c r="B9773" i="26"/>
  <c r="A9773" i="26" s="1"/>
  <c r="B9774" i="26"/>
  <c r="A9774" i="26" s="1"/>
  <c r="B9775" i="26"/>
  <c r="A9775" i="26" s="1"/>
  <c r="B9776" i="26"/>
  <c r="A9776" i="26" s="1"/>
  <c r="B9777" i="26"/>
  <c r="A9777" i="26" s="1"/>
  <c r="B9778" i="26"/>
  <c r="A9778" i="26" s="1"/>
  <c r="B9779" i="26"/>
  <c r="A9779" i="26" s="1"/>
  <c r="B9780" i="26"/>
  <c r="A9780" i="26" s="1"/>
  <c r="B9781" i="26"/>
  <c r="A9781" i="26" s="1"/>
  <c r="B9782" i="26"/>
  <c r="A9782" i="26" s="1"/>
  <c r="B9783" i="26"/>
  <c r="A9783" i="26" s="1"/>
  <c r="B9784" i="26"/>
  <c r="A9784" i="26" s="1"/>
  <c r="B9785" i="26"/>
  <c r="A9785" i="26" s="1"/>
  <c r="B9786" i="26"/>
  <c r="A9786" i="26" s="1"/>
  <c r="B9787" i="26"/>
  <c r="A9787" i="26" s="1"/>
  <c r="B9788" i="26"/>
  <c r="A9788" i="26" s="1"/>
  <c r="B9789" i="26"/>
  <c r="A9789" i="26" s="1"/>
  <c r="B9790" i="26"/>
  <c r="A9790" i="26" s="1"/>
  <c r="B9791" i="26"/>
  <c r="A9791" i="26" s="1"/>
  <c r="B9792" i="26"/>
  <c r="A9792" i="26" s="1"/>
  <c r="B9793" i="26"/>
  <c r="A9793" i="26" s="1"/>
  <c r="B9794" i="26"/>
  <c r="A9794" i="26" s="1"/>
  <c r="B9795" i="26"/>
  <c r="A9795" i="26" s="1"/>
  <c r="B9796" i="26"/>
  <c r="A9796" i="26" s="1"/>
  <c r="B9797" i="26"/>
  <c r="A9797" i="26" s="1"/>
  <c r="B9798" i="26"/>
  <c r="A9798" i="26" s="1"/>
  <c r="B9799" i="26"/>
  <c r="A9799" i="26" s="1"/>
  <c r="B9800" i="26"/>
  <c r="A9800" i="26" s="1"/>
  <c r="B9801" i="26"/>
  <c r="A9801" i="26" s="1"/>
  <c r="B9802" i="26"/>
  <c r="A9802" i="26" s="1"/>
  <c r="B9803" i="26"/>
  <c r="A9803" i="26" s="1"/>
  <c r="B9804" i="26"/>
  <c r="A9804" i="26" s="1"/>
  <c r="B9805" i="26"/>
  <c r="A9805" i="26" s="1"/>
  <c r="B9806" i="26"/>
  <c r="A9806" i="26" s="1"/>
  <c r="B9807" i="26"/>
  <c r="A9807" i="26" s="1"/>
  <c r="B9808" i="26"/>
  <c r="A9808" i="26" s="1"/>
  <c r="B9809" i="26"/>
  <c r="A9809" i="26" s="1"/>
  <c r="B9810" i="26"/>
  <c r="A9810" i="26" s="1"/>
  <c r="B9811" i="26"/>
  <c r="A9811" i="26" s="1"/>
  <c r="B9812" i="26"/>
  <c r="A9812" i="26" s="1"/>
  <c r="B9813" i="26"/>
  <c r="A9813" i="26" s="1"/>
  <c r="B9814" i="26"/>
  <c r="A9814" i="26" s="1"/>
  <c r="B9815" i="26"/>
  <c r="A9815" i="26" s="1"/>
  <c r="B9816" i="26"/>
  <c r="A9816" i="26" s="1"/>
  <c r="B9817" i="26"/>
  <c r="A9817" i="26" s="1"/>
  <c r="B9818" i="26"/>
  <c r="A9818" i="26" s="1"/>
  <c r="B9819" i="26"/>
  <c r="A9819" i="26" s="1"/>
  <c r="B9820" i="26"/>
  <c r="A9820" i="26" s="1"/>
  <c r="B9821" i="26"/>
  <c r="A9821" i="26" s="1"/>
  <c r="B9822" i="26"/>
  <c r="A9822" i="26" s="1"/>
  <c r="B9823" i="26"/>
  <c r="A9823" i="26" s="1"/>
  <c r="B9824" i="26"/>
  <c r="A9824" i="26" s="1"/>
  <c r="B9825" i="26"/>
  <c r="A9825" i="26" s="1"/>
  <c r="B9826" i="26"/>
  <c r="A9826" i="26" s="1"/>
  <c r="B9827" i="26"/>
  <c r="A9827" i="26" s="1"/>
  <c r="B9828" i="26"/>
  <c r="A9828" i="26" s="1"/>
  <c r="B9829" i="26"/>
  <c r="A9829" i="26" s="1"/>
  <c r="B9830" i="26"/>
  <c r="A9830" i="26" s="1"/>
  <c r="B9831" i="26"/>
  <c r="A9831" i="26" s="1"/>
  <c r="B9832" i="26"/>
  <c r="A9832" i="26" s="1"/>
  <c r="B9833" i="26"/>
  <c r="A9833" i="26" s="1"/>
  <c r="B9834" i="26"/>
  <c r="A9834" i="26" s="1"/>
  <c r="B9835" i="26"/>
  <c r="A9835" i="26" s="1"/>
  <c r="B9836" i="26"/>
  <c r="A9836" i="26" s="1"/>
  <c r="B9837" i="26"/>
  <c r="A9837" i="26" s="1"/>
  <c r="B9838" i="26"/>
  <c r="A9838" i="26" s="1"/>
  <c r="B9839" i="26"/>
  <c r="A9839" i="26" s="1"/>
  <c r="B9840" i="26"/>
  <c r="A9840" i="26" s="1"/>
  <c r="B9841" i="26"/>
  <c r="A9841" i="26" s="1"/>
  <c r="B9842" i="26"/>
  <c r="A9842" i="26" s="1"/>
  <c r="B9843" i="26"/>
  <c r="A9843" i="26" s="1"/>
  <c r="B9844" i="26"/>
  <c r="A9844" i="26" s="1"/>
  <c r="B9845" i="26"/>
  <c r="A9845" i="26" s="1"/>
  <c r="B9846" i="26"/>
  <c r="A9846" i="26" s="1"/>
  <c r="B9847" i="26"/>
  <c r="A9847" i="26" s="1"/>
  <c r="B9848" i="26"/>
  <c r="A9848" i="26" s="1"/>
  <c r="B9849" i="26"/>
  <c r="A9849" i="26" s="1"/>
  <c r="B9850" i="26"/>
  <c r="A9850" i="26" s="1"/>
  <c r="B9851" i="26"/>
  <c r="A9851" i="26" s="1"/>
  <c r="B9852" i="26"/>
  <c r="A9852" i="26" s="1"/>
  <c r="B9853" i="26"/>
  <c r="A9853" i="26" s="1"/>
  <c r="B9854" i="26"/>
  <c r="A9854" i="26" s="1"/>
  <c r="B9855" i="26"/>
  <c r="A9855" i="26" s="1"/>
  <c r="B9856" i="26"/>
  <c r="A9856" i="26" s="1"/>
  <c r="B9857" i="26"/>
  <c r="A9857" i="26" s="1"/>
  <c r="B9858" i="26"/>
  <c r="A9858" i="26" s="1"/>
  <c r="B9859" i="26"/>
  <c r="A9859" i="26" s="1"/>
  <c r="B9860" i="26"/>
  <c r="A9860" i="26" s="1"/>
  <c r="B9861" i="26"/>
  <c r="A9861" i="26" s="1"/>
  <c r="B9862" i="26"/>
  <c r="A9862" i="26" s="1"/>
  <c r="B9863" i="26"/>
  <c r="A9863" i="26" s="1"/>
  <c r="B9864" i="26"/>
  <c r="A9864" i="26" s="1"/>
  <c r="B9865" i="26"/>
  <c r="A9865" i="26" s="1"/>
  <c r="B9866" i="26"/>
  <c r="A9866" i="26" s="1"/>
  <c r="B9867" i="26"/>
  <c r="A9867" i="26" s="1"/>
  <c r="B9868" i="26"/>
  <c r="A9868" i="26" s="1"/>
  <c r="B9869" i="26"/>
  <c r="A9869" i="26" s="1"/>
  <c r="B9870" i="26"/>
  <c r="A9870" i="26" s="1"/>
  <c r="B9871" i="26"/>
  <c r="A9871" i="26" s="1"/>
  <c r="B9872" i="26"/>
  <c r="A9872" i="26" s="1"/>
  <c r="B9873" i="26"/>
  <c r="A9873" i="26" s="1"/>
  <c r="B9874" i="26"/>
  <c r="A9874" i="26" s="1"/>
  <c r="B9875" i="26"/>
  <c r="A9875" i="26" s="1"/>
  <c r="B9876" i="26"/>
  <c r="A9876" i="26" s="1"/>
  <c r="B9877" i="26"/>
  <c r="A9877" i="26" s="1"/>
  <c r="B9878" i="26"/>
  <c r="A9878" i="26" s="1"/>
  <c r="B9879" i="26"/>
  <c r="A9879" i="26" s="1"/>
  <c r="B9880" i="26"/>
  <c r="A9880" i="26" s="1"/>
  <c r="B9881" i="26"/>
  <c r="A9881" i="26" s="1"/>
  <c r="B9882" i="26"/>
  <c r="A9882" i="26" s="1"/>
  <c r="B9883" i="26"/>
  <c r="A9883" i="26" s="1"/>
  <c r="B9884" i="26"/>
  <c r="A9884" i="26" s="1"/>
  <c r="B9885" i="26"/>
  <c r="A9885" i="26" s="1"/>
  <c r="B9886" i="26"/>
  <c r="A9886" i="26" s="1"/>
  <c r="B9887" i="26"/>
  <c r="A9887" i="26" s="1"/>
  <c r="B9888" i="26"/>
  <c r="A9888" i="26" s="1"/>
  <c r="B9889" i="26"/>
  <c r="A9889" i="26" s="1"/>
  <c r="B9890" i="26"/>
  <c r="A9890" i="26" s="1"/>
  <c r="B9891" i="26"/>
  <c r="A9891" i="26" s="1"/>
  <c r="B9892" i="26"/>
  <c r="A9892" i="26" s="1"/>
  <c r="B9893" i="26"/>
  <c r="A9893" i="26" s="1"/>
  <c r="B9894" i="26"/>
  <c r="A9894" i="26" s="1"/>
  <c r="B9895" i="26"/>
  <c r="A9895" i="26" s="1"/>
  <c r="B9896" i="26"/>
  <c r="A9896" i="26" s="1"/>
  <c r="B9897" i="26"/>
  <c r="A9897" i="26" s="1"/>
  <c r="B9898" i="26"/>
  <c r="A9898" i="26" s="1"/>
  <c r="B9899" i="26"/>
  <c r="A9899" i="26" s="1"/>
  <c r="B9900" i="26"/>
  <c r="A9900" i="26" s="1"/>
  <c r="B9901" i="26"/>
  <c r="A9901" i="26" s="1"/>
  <c r="B9902" i="26"/>
  <c r="A9902" i="26" s="1"/>
  <c r="B9903" i="26"/>
  <c r="A9903" i="26" s="1"/>
  <c r="B9904" i="26"/>
  <c r="A9904" i="26" s="1"/>
  <c r="B9905" i="26"/>
  <c r="A9905" i="26" s="1"/>
  <c r="B9906" i="26"/>
  <c r="A9906" i="26" s="1"/>
  <c r="B9907" i="26"/>
  <c r="A9907" i="26" s="1"/>
  <c r="B9908" i="26"/>
  <c r="A9908" i="26" s="1"/>
  <c r="B9909" i="26"/>
  <c r="A9909" i="26" s="1"/>
  <c r="B9910" i="26"/>
  <c r="A9910" i="26" s="1"/>
  <c r="B9911" i="26"/>
  <c r="A9911" i="26" s="1"/>
  <c r="B9912" i="26"/>
  <c r="A9912" i="26" s="1"/>
  <c r="B9913" i="26"/>
  <c r="A9913" i="26" s="1"/>
  <c r="B9914" i="26"/>
  <c r="A9914" i="26" s="1"/>
  <c r="B9915" i="26"/>
  <c r="A9915" i="26" s="1"/>
  <c r="B9916" i="26"/>
  <c r="A9916" i="26" s="1"/>
  <c r="B9917" i="26"/>
  <c r="A9917" i="26" s="1"/>
  <c r="B9918" i="26"/>
  <c r="A9918" i="26" s="1"/>
  <c r="B9919" i="26"/>
  <c r="A9919" i="26" s="1"/>
  <c r="B9920" i="26"/>
  <c r="A9920" i="26" s="1"/>
  <c r="B9921" i="26"/>
  <c r="A9921" i="26" s="1"/>
  <c r="B9922" i="26"/>
  <c r="A9922" i="26" s="1"/>
  <c r="B9923" i="26"/>
  <c r="A9923" i="26" s="1"/>
  <c r="B9924" i="26"/>
  <c r="A9924" i="26" s="1"/>
  <c r="B9925" i="26"/>
  <c r="A9925" i="26" s="1"/>
  <c r="B9926" i="26"/>
  <c r="A9926" i="26" s="1"/>
  <c r="B9927" i="26"/>
  <c r="A9927" i="26" s="1"/>
  <c r="B9928" i="26"/>
  <c r="A9928" i="26" s="1"/>
  <c r="B9929" i="26"/>
  <c r="A9929" i="26" s="1"/>
  <c r="B9930" i="26"/>
  <c r="A9930" i="26" s="1"/>
  <c r="B9931" i="26"/>
  <c r="A9931" i="26" s="1"/>
  <c r="B9932" i="26"/>
  <c r="A9932" i="26" s="1"/>
  <c r="B9933" i="26"/>
  <c r="A9933" i="26" s="1"/>
  <c r="B9934" i="26"/>
  <c r="A9934" i="26" s="1"/>
  <c r="B9935" i="26"/>
  <c r="A9935" i="26" s="1"/>
  <c r="B9936" i="26"/>
  <c r="A9936" i="26" s="1"/>
  <c r="B9937" i="26"/>
  <c r="A9937" i="26" s="1"/>
  <c r="B9938" i="26"/>
  <c r="A9938" i="26" s="1"/>
  <c r="B9939" i="26"/>
  <c r="A9939" i="26" s="1"/>
  <c r="B9940" i="26"/>
  <c r="A9940" i="26" s="1"/>
  <c r="B9941" i="26"/>
  <c r="A9941" i="26" s="1"/>
  <c r="B9942" i="26"/>
  <c r="A9942" i="26" s="1"/>
  <c r="B9943" i="26"/>
  <c r="A9943" i="26" s="1"/>
  <c r="B9944" i="26"/>
  <c r="A9944" i="26" s="1"/>
  <c r="B9945" i="26"/>
  <c r="A9945" i="26" s="1"/>
  <c r="B9946" i="26"/>
  <c r="A9946" i="26" s="1"/>
  <c r="B9947" i="26"/>
  <c r="A9947" i="26" s="1"/>
  <c r="B9948" i="26"/>
  <c r="A9948" i="26" s="1"/>
  <c r="B9949" i="26"/>
  <c r="A9949" i="26" s="1"/>
  <c r="B9950" i="26"/>
  <c r="A9950" i="26" s="1"/>
  <c r="B9951" i="26"/>
  <c r="A9951" i="26" s="1"/>
  <c r="B9952" i="26"/>
  <c r="A9952" i="26" s="1"/>
  <c r="B9953" i="26"/>
  <c r="A9953" i="26" s="1"/>
  <c r="B9954" i="26"/>
  <c r="A9954" i="26" s="1"/>
  <c r="B9955" i="26"/>
  <c r="A9955" i="26" s="1"/>
  <c r="B9956" i="26"/>
  <c r="A9956" i="26" s="1"/>
  <c r="B9957" i="26"/>
  <c r="A9957" i="26" s="1"/>
  <c r="B9958" i="26"/>
  <c r="A9958" i="26" s="1"/>
  <c r="B9959" i="26"/>
  <c r="A9959" i="26" s="1"/>
  <c r="B9960" i="26"/>
  <c r="A9960" i="26" s="1"/>
  <c r="B9961" i="26"/>
  <c r="A9961" i="26" s="1"/>
  <c r="B9962" i="26"/>
  <c r="A9962" i="26" s="1"/>
  <c r="B9963" i="26"/>
  <c r="A9963" i="26" s="1"/>
  <c r="B9964" i="26"/>
  <c r="A9964" i="26" s="1"/>
  <c r="B9965" i="26"/>
  <c r="A9965" i="26" s="1"/>
  <c r="B9966" i="26"/>
  <c r="A9966" i="26" s="1"/>
  <c r="B9967" i="26"/>
  <c r="A9967" i="26" s="1"/>
  <c r="B9968" i="26"/>
  <c r="A9968" i="26" s="1"/>
  <c r="B9969" i="26"/>
  <c r="A9969" i="26" s="1"/>
  <c r="B9970" i="26"/>
  <c r="A9970" i="26" s="1"/>
  <c r="B9971" i="26"/>
  <c r="A9971" i="26" s="1"/>
  <c r="B9972" i="26"/>
  <c r="A9972" i="26" s="1"/>
  <c r="B9973" i="26"/>
  <c r="A9973" i="26" s="1"/>
  <c r="B9974" i="26"/>
  <c r="A9974" i="26" s="1"/>
  <c r="B9975" i="26"/>
  <c r="A9975" i="26" s="1"/>
  <c r="B9976" i="26"/>
  <c r="A9976" i="26" s="1"/>
  <c r="B9977" i="26"/>
  <c r="A9977" i="26" s="1"/>
  <c r="B9978" i="26"/>
  <c r="A9978" i="26" s="1"/>
  <c r="B9979" i="26"/>
  <c r="A9979" i="26" s="1"/>
  <c r="B9980" i="26"/>
  <c r="A9980" i="26" s="1"/>
  <c r="B9981" i="26"/>
  <c r="A9981" i="26" s="1"/>
  <c r="B9982" i="26"/>
  <c r="A9982" i="26" s="1"/>
  <c r="B9983" i="26"/>
  <c r="A9983" i="26" s="1"/>
  <c r="B9984" i="26"/>
  <c r="A9984" i="26" s="1"/>
  <c r="B9985" i="26"/>
  <c r="A9985" i="26" s="1"/>
  <c r="B9986" i="26"/>
  <c r="A9986" i="26" s="1"/>
  <c r="B9987" i="26"/>
  <c r="A9987" i="26" s="1"/>
  <c r="B9988" i="26"/>
  <c r="A9988" i="26" s="1"/>
  <c r="B9989" i="26"/>
  <c r="A9989" i="26" s="1"/>
  <c r="B9990" i="26"/>
  <c r="A9990" i="26" s="1"/>
  <c r="B9991" i="26"/>
  <c r="A9991" i="26" s="1"/>
  <c r="B9992" i="26"/>
  <c r="A9992" i="26" s="1"/>
  <c r="B9993" i="26"/>
  <c r="A9993" i="26" s="1"/>
  <c r="B9994" i="26"/>
  <c r="A9994" i="26" s="1"/>
  <c r="B9995" i="26"/>
  <c r="A9995" i="26" s="1"/>
  <c r="B9996" i="26"/>
  <c r="A9996" i="26" s="1"/>
  <c r="B9997" i="26"/>
  <c r="A9997" i="26" s="1"/>
  <c r="B9998" i="26"/>
  <c r="A9998" i="26" s="1"/>
  <c r="B9999" i="26"/>
  <c r="A9999" i="26" s="1"/>
  <c r="B10000" i="26"/>
  <c r="A10000" i="26" s="1"/>
  <c r="B10001" i="26"/>
  <c r="A10001" i="26" s="1"/>
  <c r="B10002" i="26"/>
  <c r="A10002" i="26" s="1"/>
  <c r="B10003" i="26"/>
  <c r="A10003" i="26" s="1"/>
  <c r="B10004" i="26"/>
  <c r="A10004" i="26" s="1"/>
  <c r="B10005" i="26"/>
  <c r="A10005" i="26" s="1"/>
  <c r="B10006" i="26"/>
  <c r="A10006" i="26" s="1"/>
  <c r="B10007" i="26"/>
  <c r="A10007" i="26" s="1"/>
  <c r="B10008" i="26"/>
  <c r="A10008" i="26" s="1"/>
  <c r="B10009" i="26"/>
  <c r="A10009" i="26" s="1"/>
  <c r="B10010" i="26"/>
  <c r="A10010" i="26" s="1"/>
  <c r="B10011" i="26"/>
  <c r="A10011" i="26" s="1"/>
  <c r="B10012" i="26"/>
  <c r="A10012" i="26" s="1"/>
  <c r="B10013" i="26"/>
  <c r="A10013" i="26" s="1"/>
  <c r="B10014" i="26"/>
  <c r="A10014" i="26" s="1"/>
  <c r="B10015" i="26"/>
  <c r="A10015" i="26" s="1"/>
  <c r="B10016" i="26"/>
  <c r="A10016" i="26" s="1"/>
  <c r="B10017" i="26"/>
  <c r="A10017" i="26" s="1"/>
  <c r="B10018" i="26"/>
  <c r="A10018" i="26" s="1"/>
  <c r="B10019" i="26"/>
  <c r="A10019" i="26" s="1"/>
  <c r="B10020" i="26"/>
  <c r="A10020" i="26" s="1"/>
  <c r="B10021" i="26"/>
  <c r="A10021" i="26" s="1"/>
  <c r="B10022" i="26"/>
  <c r="A10022" i="26" s="1"/>
  <c r="B10023" i="26"/>
  <c r="A10023" i="26" s="1"/>
  <c r="B10024" i="26"/>
  <c r="A10024" i="26" s="1"/>
  <c r="B10025" i="26"/>
  <c r="A10025" i="26" s="1"/>
  <c r="B10026" i="26"/>
  <c r="A10026" i="26" s="1"/>
  <c r="B10027" i="26"/>
  <c r="A10027" i="26" s="1"/>
  <c r="B10028" i="26"/>
  <c r="A10028" i="26" s="1"/>
  <c r="B10029" i="26"/>
  <c r="A10029" i="26" s="1"/>
  <c r="B10030" i="26"/>
  <c r="A10030" i="26" s="1"/>
  <c r="B10031" i="26"/>
  <c r="A10031" i="26" s="1"/>
  <c r="B10032" i="26"/>
  <c r="A10032" i="26" s="1"/>
  <c r="B10033" i="26"/>
  <c r="A10033" i="26" s="1"/>
  <c r="B10034" i="26"/>
  <c r="A10034" i="26" s="1"/>
  <c r="B10035" i="26"/>
  <c r="A10035" i="26" s="1"/>
  <c r="B10036" i="26"/>
  <c r="A10036" i="26" s="1"/>
  <c r="B10037" i="26"/>
  <c r="A10037" i="26" s="1"/>
  <c r="B10038" i="26"/>
  <c r="A10038" i="26" s="1"/>
  <c r="B10039" i="26"/>
  <c r="A10039" i="26" s="1"/>
  <c r="B10040" i="26"/>
  <c r="A10040" i="26" s="1"/>
  <c r="B10041" i="26"/>
  <c r="A10041" i="26" s="1"/>
  <c r="B10042" i="26"/>
  <c r="A10042" i="26" s="1"/>
  <c r="B10043" i="26"/>
  <c r="A10043" i="26" s="1"/>
  <c r="B10044" i="26"/>
  <c r="A10044" i="26" s="1"/>
  <c r="B10045" i="26"/>
  <c r="A10045" i="26" s="1"/>
  <c r="B10046" i="26"/>
  <c r="A10046" i="26" s="1"/>
  <c r="B10047" i="26"/>
  <c r="A10047" i="26" s="1"/>
  <c r="B10048" i="26"/>
  <c r="A10048" i="26" s="1"/>
  <c r="B10049" i="26"/>
  <c r="A10049" i="26" s="1"/>
  <c r="B10050" i="26"/>
  <c r="A10050" i="26" s="1"/>
  <c r="B10051" i="26"/>
  <c r="A10051" i="26" s="1"/>
  <c r="B10052" i="26"/>
  <c r="A10052" i="26" s="1"/>
  <c r="B10053" i="26"/>
  <c r="A10053" i="26" s="1"/>
  <c r="B10054" i="26"/>
  <c r="A10054" i="26" s="1"/>
  <c r="B10055" i="26"/>
  <c r="A10055" i="26" s="1"/>
  <c r="B10056" i="26"/>
  <c r="A10056" i="26" s="1"/>
  <c r="B10057" i="26"/>
  <c r="A10057" i="26" s="1"/>
  <c r="B10058" i="26"/>
  <c r="A10058" i="26" s="1"/>
  <c r="B10059" i="26"/>
  <c r="A10059" i="26" s="1"/>
  <c r="B10060" i="26"/>
  <c r="A10060" i="26" s="1"/>
  <c r="B10061" i="26"/>
  <c r="A10061" i="26" s="1"/>
  <c r="B10062" i="26"/>
  <c r="A10062" i="26" s="1"/>
  <c r="B10063" i="26"/>
  <c r="A10063" i="26" s="1"/>
  <c r="B10064" i="26"/>
  <c r="A10064" i="26" s="1"/>
  <c r="B10065" i="26"/>
  <c r="A10065" i="26" s="1"/>
  <c r="B10066" i="26"/>
  <c r="A10066" i="26" s="1"/>
  <c r="B10067" i="26"/>
  <c r="A10067" i="26" s="1"/>
  <c r="B10068" i="26"/>
  <c r="A10068" i="26" s="1"/>
  <c r="B10069" i="26"/>
  <c r="A10069" i="26" s="1"/>
  <c r="B10070" i="26"/>
  <c r="A10070" i="26" s="1"/>
  <c r="B10071" i="26"/>
  <c r="A10071" i="26" s="1"/>
  <c r="B10072" i="26"/>
  <c r="A10072" i="26" s="1"/>
  <c r="B10073" i="26"/>
  <c r="A10073" i="26" s="1"/>
  <c r="B10074" i="26"/>
  <c r="A10074" i="26" s="1"/>
  <c r="B10075" i="26"/>
  <c r="A10075" i="26" s="1"/>
  <c r="B10076" i="26"/>
  <c r="A10076" i="26" s="1"/>
  <c r="B10077" i="26"/>
  <c r="A10077" i="26" s="1"/>
  <c r="B10078" i="26"/>
  <c r="A10078" i="26" s="1"/>
  <c r="B10079" i="26"/>
  <c r="A10079" i="26" s="1"/>
  <c r="B10080" i="26"/>
  <c r="A10080" i="26" s="1"/>
  <c r="B10081" i="26"/>
  <c r="A10081" i="26" s="1"/>
  <c r="B10082" i="26"/>
  <c r="A10082" i="26" s="1"/>
  <c r="B10083" i="26"/>
  <c r="A10083" i="26" s="1"/>
  <c r="B10084" i="26"/>
  <c r="A10084" i="26" s="1"/>
  <c r="B10085" i="26"/>
  <c r="A10085" i="26" s="1"/>
  <c r="B10086" i="26"/>
  <c r="A10086" i="26" s="1"/>
  <c r="B10087" i="26"/>
  <c r="A10087" i="26" s="1"/>
  <c r="B10088" i="26"/>
  <c r="A10088" i="26" s="1"/>
  <c r="B10089" i="26"/>
  <c r="A10089" i="26" s="1"/>
  <c r="B10090" i="26"/>
  <c r="A10090" i="26" s="1"/>
  <c r="B10091" i="26"/>
  <c r="A10091" i="26" s="1"/>
  <c r="B10092" i="26"/>
  <c r="A10092" i="26" s="1"/>
  <c r="B10093" i="26"/>
  <c r="A10093" i="26" s="1"/>
  <c r="B10094" i="26"/>
  <c r="A10094" i="26" s="1"/>
  <c r="B10095" i="26"/>
  <c r="A10095" i="26" s="1"/>
  <c r="B10096" i="26"/>
  <c r="A10096" i="26" s="1"/>
  <c r="B10097" i="26"/>
  <c r="A10097" i="26" s="1"/>
  <c r="B10098" i="26"/>
  <c r="A10098" i="26" s="1"/>
  <c r="B10099" i="26"/>
  <c r="A10099" i="26" s="1"/>
  <c r="B10100" i="26"/>
  <c r="A10100" i="26" s="1"/>
  <c r="B10101" i="26"/>
  <c r="A10101" i="26" s="1"/>
  <c r="B10102" i="26"/>
  <c r="A10102" i="26" s="1"/>
  <c r="B10103" i="26"/>
  <c r="A10103" i="26" s="1"/>
  <c r="B10104" i="26"/>
  <c r="A10104" i="26" s="1"/>
  <c r="B10105" i="26"/>
  <c r="A10105" i="26" s="1"/>
  <c r="B10106" i="26"/>
  <c r="A10106" i="26" s="1"/>
  <c r="B10107" i="26"/>
  <c r="A10107" i="26" s="1"/>
  <c r="B10108" i="26"/>
  <c r="A10108" i="26" s="1"/>
  <c r="B10109" i="26"/>
  <c r="A10109" i="26" s="1"/>
  <c r="B10110" i="26"/>
  <c r="A10110" i="26" s="1"/>
  <c r="B10111" i="26"/>
  <c r="A10111" i="26" s="1"/>
  <c r="B10112" i="26"/>
  <c r="A10112" i="26" s="1"/>
  <c r="B10113" i="26"/>
  <c r="A10113" i="26" s="1"/>
  <c r="B10114" i="26"/>
  <c r="A10114" i="26" s="1"/>
  <c r="B10115" i="26"/>
  <c r="A10115" i="26" s="1"/>
  <c r="B10116" i="26"/>
  <c r="A10116" i="26" s="1"/>
  <c r="B10117" i="26"/>
  <c r="A10117" i="26" s="1"/>
  <c r="B10118" i="26"/>
  <c r="A10118" i="26" s="1"/>
  <c r="B10119" i="26"/>
  <c r="A10119" i="26" s="1"/>
  <c r="B10120" i="26"/>
  <c r="A10120" i="26" s="1"/>
  <c r="B10121" i="26"/>
  <c r="A10121" i="26" s="1"/>
  <c r="B10122" i="26"/>
  <c r="A10122" i="26" s="1"/>
  <c r="B10123" i="26"/>
  <c r="A10123" i="26" s="1"/>
  <c r="B10124" i="26"/>
  <c r="A10124" i="26" s="1"/>
  <c r="B10125" i="26"/>
  <c r="A10125" i="26" s="1"/>
  <c r="B10126" i="26"/>
  <c r="A10126" i="26" s="1"/>
  <c r="B10127" i="26"/>
  <c r="A10127" i="26" s="1"/>
  <c r="B10128" i="26"/>
  <c r="A10128" i="26" s="1"/>
  <c r="B10129" i="26"/>
  <c r="A10129" i="26" s="1"/>
  <c r="B10130" i="26"/>
  <c r="A10130" i="26" s="1"/>
  <c r="B10131" i="26"/>
  <c r="A10131" i="26" s="1"/>
  <c r="B10132" i="26"/>
  <c r="A10132" i="26" s="1"/>
  <c r="B10133" i="26"/>
  <c r="A10133" i="26" s="1"/>
  <c r="B10134" i="26"/>
  <c r="A10134" i="26" s="1"/>
  <c r="B10135" i="26"/>
  <c r="A10135" i="26" s="1"/>
  <c r="B10136" i="26"/>
  <c r="A10136" i="26" s="1"/>
  <c r="B10137" i="26"/>
  <c r="A10137" i="26" s="1"/>
  <c r="B10138" i="26"/>
  <c r="A10138" i="26" s="1"/>
  <c r="B10139" i="26"/>
  <c r="A10139" i="26" s="1"/>
  <c r="B10140" i="26"/>
  <c r="A10140" i="26" s="1"/>
  <c r="B10141" i="26"/>
  <c r="A10141" i="26" s="1"/>
  <c r="B10142" i="26"/>
  <c r="A10142" i="26" s="1"/>
  <c r="B10143" i="26"/>
  <c r="A10143" i="26" s="1"/>
  <c r="B10144" i="26"/>
  <c r="A10144" i="26" s="1"/>
  <c r="B10145" i="26"/>
  <c r="A10145" i="26" s="1"/>
  <c r="B10146" i="26"/>
  <c r="A10146" i="26" s="1"/>
  <c r="B10147" i="26"/>
  <c r="A10147" i="26" s="1"/>
  <c r="B10148" i="26"/>
  <c r="A10148" i="26" s="1"/>
  <c r="B10149" i="26"/>
  <c r="A10149" i="26" s="1"/>
  <c r="B10150" i="26"/>
  <c r="A10150" i="26" s="1"/>
  <c r="B10151" i="26"/>
  <c r="A10151" i="26" s="1"/>
  <c r="B10152" i="26"/>
  <c r="A10152" i="26" s="1"/>
  <c r="B10153" i="26"/>
  <c r="A10153" i="26" s="1"/>
  <c r="B10154" i="26"/>
  <c r="A10154" i="26" s="1"/>
  <c r="B10155" i="26"/>
  <c r="A10155" i="26" s="1"/>
  <c r="B10156" i="26"/>
  <c r="A10156" i="26" s="1"/>
  <c r="B10157" i="26"/>
  <c r="A10157" i="26" s="1"/>
  <c r="B10158" i="26"/>
  <c r="A10158" i="26" s="1"/>
  <c r="B10159" i="26"/>
  <c r="A10159" i="26" s="1"/>
  <c r="B10160" i="26"/>
  <c r="A10160" i="26" s="1"/>
  <c r="B10161" i="26"/>
  <c r="A10161" i="26" s="1"/>
  <c r="B10162" i="26"/>
  <c r="A10162" i="26" s="1"/>
  <c r="B10163" i="26"/>
  <c r="A10163" i="26" s="1"/>
  <c r="B10164" i="26"/>
  <c r="A10164" i="26" s="1"/>
  <c r="B10165" i="26"/>
  <c r="A10165" i="26" s="1"/>
  <c r="B10166" i="26"/>
  <c r="A10166" i="26" s="1"/>
  <c r="B10167" i="26"/>
  <c r="A10167" i="26" s="1"/>
  <c r="B10168" i="26"/>
  <c r="A10168" i="26" s="1"/>
  <c r="B10169" i="26"/>
  <c r="A10169" i="26" s="1"/>
  <c r="B10170" i="26"/>
  <c r="A10170" i="26" s="1"/>
  <c r="B10171" i="26"/>
  <c r="A10171" i="26" s="1"/>
  <c r="B10172" i="26"/>
  <c r="A10172" i="26" s="1"/>
  <c r="B10173" i="26"/>
  <c r="A10173" i="26" s="1"/>
  <c r="B10174" i="26"/>
  <c r="A10174" i="26" s="1"/>
  <c r="B10175" i="26"/>
  <c r="A10175" i="26" s="1"/>
  <c r="B10176" i="26"/>
  <c r="A10176" i="26" s="1"/>
  <c r="B10177" i="26"/>
  <c r="A10177" i="26" s="1"/>
  <c r="B10178" i="26"/>
  <c r="A10178" i="26" s="1"/>
  <c r="B10179" i="26"/>
  <c r="A10179" i="26" s="1"/>
  <c r="B10180" i="26"/>
  <c r="A10180" i="26" s="1"/>
  <c r="B10181" i="26"/>
  <c r="A10181" i="26" s="1"/>
  <c r="B10182" i="26"/>
  <c r="A10182" i="26" s="1"/>
  <c r="B10183" i="26"/>
  <c r="A10183" i="26" s="1"/>
  <c r="B10184" i="26"/>
  <c r="A10184" i="26" s="1"/>
  <c r="B10185" i="26"/>
  <c r="A10185" i="26" s="1"/>
  <c r="B10186" i="26"/>
  <c r="A10186" i="26" s="1"/>
  <c r="B10187" i="26"/>
  <c r="A10187" i="26" s="1"/>
  <c r="B10188" i="26"/>
  <c r="A10188" i="26" s="1"/>
  <c r="B10189" i="26"/>
  <c r="A10189" i="26" s="1"/>
  <c r="B10190" i="26"/>
  <c r="A10190" i="26" s="1"/>
  <c r="B10191" i="26"/>
  <c r="A10191" i="26" s="1"/>
  <c r="B10192" i="26"/>
  <c r="A10192" i="26" s="1"/>
  <c r="B10193" i="26"/>
  <c r="A10193" i="26" s="1"/>
  <c r="B10194" i="26"/>
  <c r="A10194" i="26" s="1"/>
  <c r="B10195" i="26"/>
  <c r="A10195" i="26" s="1"/>
  <c r="B10196" i="26"/>
  <c r="A10196" i="26" s="1"/>
  <c r="B10197" i="26"/>
  <c r="A10197" i="26" s="1"/>
  <c r="B10198" i="26"/>
  <c r="A10198" i="26" s="1"/>
  <c r="B10199" i="26"/>
  <c r="A10199" i="26" s="1"/>
  <c r="B10200" i="26"/>
  <c r="A10200" i="26" s="1"/>
  <c r="B10201" i="26"/>
  <c r="A10201" i="26" s="1"/>
  <c r="B10202" i="26"/>
  <c r="A10202" i="26" s="1"/>
  <c r="B10203" i="26"/>
  <c r="A10203" i="26" s="1"/>
  <c r="B10204" i="26"/>
  <c r="A10204" i="26" s="1"/>
  <c r="B10205" i="26"/>
  <c r="A10205" i="26" s="1"/>
  <c r="B10206" i="26"/>
  <c r="A10206" i="26" s="1"/>
  <c r="B10207" i="26"/>
  <c r="A10207" i="26" s="1"/>
  <c r="B10208" i="26"/>
  <c r="A10208" i="26" s="1"/>
  <c r="B10209" i="26"/>
  <c r="A10209" i="26" s="1"/>
  <c r="B10210" i="26"/>
  <c r="A10210" i="26" s="1"/>
  <c r="B10211" i="26"/>
  <c r="A10211" i="26" s="1"/>
  <c r="B10212" i="26"/>
  <c r="A10212" i="26" s="1"/>
  <c r="B10213" i="26"/>
  <c r="A10213" i="26" s="1"/>
  <c r="B10214" i="26"/>
  <c r="A10214" i="26" s="1"/>
  <c r="B10215" i="26"/>
  <c r="A10215" i="26" s="1"/>
  <c r="B10216" i="26"/>
  <c r="A10216" i="26" s="1"/>
  <c r="B10217" i="26"/>
  <c r="A10217" i="26" s="1"/>
  <c r="B10218" i="26"/>
  <c r="A10218" i="26" s="1"/>
  <c r="B10219" i="26"/>
  <c r="A10219" i="26" s="1"/>
  <c r="B10220" i="26"/>
  <c r="A10220" i="26" s="1"/>
  <c r="B10221" i="26"/>
  <c r="A10221" i="26" s="1"/>
  <c r="B10222" i="26"/>
  <c r="A10222" i="26" s="1"/>
  <c r="B10223" i="26"/>
  <c r="A10223" i="26" s="1"/>
  <c r="B10224" i="26"/>
  <c r="A10224" i="26" s="1"/>
  <c r="B10225" i="26"/>
  <c r="A10225" i="26" s="1"/>
  <c r="B10226" i="26"/>
  <c r="A10226" i="26" s="1"/>
  <c r="B10227" i="26"/>
  <c r="A10227" i="26" s="1"/>
  <c r="B10228" i="26"/>
  <c r="A10228" i="26" s="1"/>
  <c r="B10229" i="26"/>
  <c r="A10229" i="26" s="1"/>
  <c r="B10230" i="26"/>
  <c r="A10230" i="26" s="1"/>
  <c r="B10231" i="26"/>
  <c r="A10231" i="26" s="1"/>
  <c r="B10232" i="26"/>
  <c r="A10232" i="26" s="1"/>
  <c r="B10233" i="26"/>
  <c r="A10233" i="26" s="1"/>
  <c r="B10234" i="26"/>
  <c r="A10234" i="26" s="1"/>
  <c r="B10235" i="26"/>
  <c r="A10235" i="26" s="1"/>
  <c r="B10236" i="26"/>
  <c r="A10236" i="26" s="1"/>
  <c r="B10237" i="26"/>
  <c r="A10237" i="26" s="1"/>
  <c r="B10238" i="26"/>
  <c r="A10238" i="26" s="1"/>
  <c r="B10239" i="26"/>
  <c r="A10239" i="26" s="1"/>
  <c r="B10240" i="26"/>
  <c r="A10240" i="26" s="1"/>
  <c r="B10241" i="26"/>
  <c r="A10241" i="26" s="1"/>
  <c r="B10242" i="26"/>
  <c r="A10242" i="26" s="1"/>
  <c r="B10243" i="26"/>
  <c r="A10243" i="26" s="1"/>
  <c r="B10244" i="26"/>
  <c r="A10244" i="26" s="1"/>
  <c r="B10245" i="26"/>
  <c r="A10245" i="26" s="1"/>
  <c r="B10246" i="26"/>
  <c r="A10246" i="26" s="1"/>
  <c r="B10247" i="26"/>
  <c r="A10247" i="26" s="1"/>
  <c r="B10248" i="26"/>
  <c r="A10248" i="26" s="1"/>
  <c r="B10249" i="26"/>
  <c r="A10249" i="26" s="1"/>
  <c r="B10250" i="26"/>
  <c r="A10250" i="26" s="1"/>
  <c r="B10251" i="26"/>
  <c r="A10251" i="26" s="1"/>
  <c r="B10252" i="26"/>
  <c r="A10252" i="26" s="1"/>
  <c r="B10253" i="26"/>
  <c r="A10253" i="26" s="1"/>
  <c r="B10254" i="26"/>
  <c r="A10254" i="26" s="1"/>
  <c r="B10255" i="26"/>
  <c r="A10255" i="26" s="1"/>
  <c r="B10256" i="26"/>
  <c r="A10256" i="26" s="1"/>
  <c r="B10257" i="26"/>
  <c r="A10257" i="26" s="1"/>
  <c r="B10258" i="26"/>
  <c r="A10258" i="26" s="1"/>
  <c r="B10259" i="26"/>
  <c r="A10259" i="26" s="1"/>
  <c r="B10260" i="26"/>
  <c r="A10260" i="26" s="1"/>
  <c r="B10261" i="26"/>
  <c r="A10261" i="26" s="1"/>
  <c r="B10262" i="26"/>
  <c r="A10262" i="26" s="1"/>
  <c r="B10263" i="26"/>
  <c r="A10263" i="26" s="1"/>
  <c r="B10264" i="26"/>
  <c r="A10264" i="26" s="1"/>
  <c r="B10265" i="26"/>
  <c r="A10265" i="26" s="1"/>
  <c r="B10266" i="26"/>
  <c r="A10266" i="26" s="1"/>
  <c r="B10267" i="26"/>
  <c r="A10267" i="26" s="1"/>
  <c r="B10268" i="26"/>
  <c r="A10268" i="26" s="1"/>
  <c r="B10269" i="26"/>
  <c r="A10269" i="26" s="1"/>
  <c r="B10270" i="26"/>
  <c r="A10270" i="26" s="1"/>
  <c r="B10271" i="26"/>
  <c r="A10271" i="26" s="1"/>
  <c r="B10272" i="26"/>
  <c r="A10272" i="26" s="1"/>
  <c r="B10273" i="26"/>
  <c r="A10273" i="26" s="1"/>
  <c r="B10274" i="26"/>
  <c r="A10274" i="26" s="1"/>
  <c r="B10275" i="26"/>
  <c r="A10275" i="26" s="1"/>
  <c r="B10276" i="26"/>
  <c r="A10276" i="26" s="1"/>
  <c r="B10277" i="26"/>
  <c r="A10277" i="26" s="1"/>
  <c r="B10278" i="26"/>
  <c r="A10278" i="26" s="1"/>
  <c r="B10279" i="26"/>
  <c r="A10279" i="26" s="1"/>
  <c r="B10280" i="26"/>
  <c r="A10280" i="26" s="1"/>
  <c r="B10281" i="26"/>
  <c r="A10281" i="26" s="1"/>
  <c r="B10282" i="26"/>
  <c r="A10282" i="26" s="1"/>
  <c r="B10283" i="26"/>
  <c r="A10283" i="26" s="1"/>
  <c r="B10284" i="26"/>
  <c r="A10284" i="26" s="1"/>
  <c r="B10285" i="26"/>
  <c r="A10285" i="26" s="1"/>
  <c r="B10286" i="26"/>
  <c r="A10286" i="26" s="1"/>
  <c r="B10287" i="26"/>
  <c r="A10287" i="26" s="1"/>
  <c r="B10288" i="26"/>
  <c r="A10288" i="26" s="1"/>
  <c r="B10289" i="26"/>
  <c r="A10289" i="26" s="1"/>
  <c r="B10290" i="26"/>
  <c r="A10290" i="26" s="1"/>
  <c r="B10291" i="26"/>
  <c r="A10291" i="26" s="1"/>
  <c r="B10292" i="26"/>
  <c r="A10292" i="26" s="1"/>
  <c r="B10293" i="26"/>
  <c r="A10293" i="26" s="1"/>
  <c r="B10294" i="26"/>
  <c r="A10294" i="26" s="1"/>
  <c r="B10295" i="26"/>
  <c r="A10295" i="26" s="1"/>
  <c r="B10296" i="26"/>
  <c r="A10296" i="26" s="1"/>
  <c r="B10297" i="26"/>
  <c r="A10297" i="26" s="1"/>
  <c r="B10298" i="26"/>
  <c r="A10298" i="26" s="1"/>
  <c r="B10299" i="26"/>
  <c r="A10299" i="26" s="1"/>
  <c r="B10300" i="26"/>
  <c r="A10300" i="26" s="1"/>
  <c r="B10301" i="26"/>
  <c r="A10301" i="26" s="1"/>
  <c r="B10302" i="26"/>
  <c r="A10302" i="26" s="1"/>
  <c r="B10303" i="26"/>
  <c r="A10303" i="26" s="1"/>
  <c r="B10304" i="26"/>
  <c r="A10304" i="26" s="1"/>
  <c r="B17" i="26" l="1"/>
  <c r="A17" i="26" s="1"/>
  <c r="B29" i="26"/>
  <c r="B4" i="26"/>
  <c r="B18" i="26" l="1"/>
  <c r="A29" i="26"/>
  <c r="B30" i="26"/>
  <c r="A18" i="26"/>
  <c r="B19" i="26"/>
  <c r="A4" i="26"/>
  <c r="B5" i="26"/>
  <c r="A30" i="26" l="1"/>
  <c r="B31" i="26"/>
  <c r="A19" i="26"/>
  <c r="B20" i="26"/>
  <c r="A5" i="26"/>
  <c r="B6" i="26"/>
  <c r="A31" i="26" l="1"/>
  <c r="B32" i="26"/>
  <c r="A20" i="26"/>
  <c r="B21" i="26"/>
  <c r="A6" i="26"/>
  <c r="B7" i="26"/>
  <c r="A32" i="26" l="1"/>
  <c r="B33" i="26"/>
  <c r="A21" i="26"/>
  <c r="B22" i="26"/>
  <c r="A7" i="26"/>
  <c r="B8" i="26"/>
  <c r="A33" i="26" l="1"/>
  <c r="B34" i="26"/>
  <c r="A22" i="26"/>
  <c r="B23" i="26"/>
  <c r="A8" i="26"/>
  <c r="B9" i="26"/>
  <c r="A34" i="26" l="1"/>
  <c r="B35" i="26"/>
  <c r="A23" i="26"/>
  <c r="B24" i="26"/>
  <c r="A9" i="26"/>
  <c r="B10" i="26"/>
  <c r="A35" i="26" l="1"/>
  <c r="B36" i="26"/>
  <c r="A24" i="26"/>
  <c r="B25" i="26"/>
  <c r="A10" i="26"/>
  <c r="B11" i="26"/>
  <c r="A36" i="26" l="1"/>
  <c r="B37" i="26"/>
  <c r="A25" i="26"/>
  <c r="B26" i="26"/>
  <c r="A11" i="26"/>
  <c r="B12" i="26"/>
  <c r="A37" i="26" l="1"/>
  <c r="B38" i="26"/>
  <c r="A26" i="26"/>
  <c r="B27" i="26"/>
  <c r="A27" i="26" s="1"/>
  <c r="A12" i="26"/>
  <c r="B13" i="26"/>
  <c r="A38" i="26" l="1"/>
  <c r="B39" i="26"/>
  <c r="A13" i="26"/>
  <c r="B14" i="26"/>
  <c r="A14" i="26" s="1"/>
  <c r="A39" i="26" l="1"/>
  <c r="B40" i="26"/>
  <c r="A40" i="26" s="1"/>
  <c r="Z5" i="28" l="1"/>
  <c r="H99" i="13" a="1"/>
  <c r="H97" i="13" a="1"/>
  <c r="H102" i="13" a="1"/>
  <c r="H101" i="13" a="1"/>
  <c r="H29" i="13" a="1"/>
  <c r="H30" i="13" a="1"/>
  <c r="H107" i="13" a="1"/>
  <c r="H21" i="13" a="1"/>
  <c r="H114" i="13" a="1"/>
  <c r="H101" i="13" l="1"/>
  <c r="H102" i="13"/>
  <c r="H97" i="13"/>
  <c r="H99" i="13"/>
  <c r="H21" i="13"/>
  <c r="H29" i="13"/>
  <c r="H30" i="13"/>
  <c r="H107" i="13"/>
  <c r="H114" i="13"/>
  <c r="H46" i="13" a="1"/>
  <c r="H47" i="13" a="1"/>
  <c r="H45" i="13" a="1"/>
  <c r="P26" i="28" l="1"/>
  <c r="Z39" i="28" a="1"/>
  <c r="Z39" i="28" s="1"/>
  <c r="Z30" i="28" a="1"/>
  <c r="Z30" i="28" s="1"/>
  <c r="Z35" i="28" a="1"/>
  <c r="Z35" i="28" s="1"/>
  <c r="H47" i="13"/>
  <c r="H45" i="13"/>
  <c r="H46" i="13"/>
  <c r="H49" i="13" a="1"/>
  <c r="H53" i="13" a="1"/>
  <c r="H50" i="13" a="1"/>
  <c r="H89" i="13" a="1"/>
  <c r="H75" i="13" a="1"/>
  <c r="H88" i="13" a="1"/>
  <c r="H80" i="13" a="1"/>
  <c r="H20" i="13" a="1"/>
  <c r="H78" i="13" a="1"/>
  <c r="H84" i="13" a="1"/>
  <c r="H77" i="13" a="1"/>
  <c r="H43" i="13" a="1"/>
  <c r="H12" i="13" a="1"/>
  <c r="H81" i="13" a="1"/>
  <c r="H83" i="13" a="1"/>
  <c r="H55" i="13" a="1"/>
  <c r="H90" i="13" a="1"/>
  <c r="H40" i="13" a="1"/>
  <c r="H48" i="13" a="1"/>
  <c r="H51" i="13" a="1"/>
  <c r="H58" i="13" a="1"/>
  <c r="H87" i="13" a="1"/>
  <c r="H15" i="13" a="1"/>
  <c r="H41" i="13" a="1"/>
  <c r="H115" i="13" a="1"/>
  <c r="Z14" i="28" l="1" a="1"/>
  <c r="Z14" i="28" s="1"/>
  <c r="Z42" i="28" a="1"/>
  <c r="Z42" i="28" s="1"/>
  <c r="Z11" i="28" a="1"/>
  <c r="Z11" i="28" s="1"/>
  <c r="Z69" i="28" a="1"/>
  <c r="Z69" i="28" s="1"/>
  <c r="Z21" i="28" a="1"/>
  <c r="Z21" i="28" s="1"/>
  <c r="Z43" i="28" a="1"/>
  <c r="Z43" i="28" s="1"/>
  <c r="Z34" i="28" a="1"/>
  <c r="Z34" i="28" s="1"/>
  <c r="Z27" i="28" a="1"/>
  <c r="Z27" i="28" s="1"/>
  <c r="Z53" i="28" a="1"/>
  <c r="Z53" i="28" s="1"/>
  <c r="Z24" i="28" a="1"/>
  <c r="Z24" i="28" s="1"/>
  <c r="Z13" i="28" a="1"/>
  <c r="Z13" i="28" s="1"/>
  <c r="Z68" i="28" a="1"/>
  <c r="Z68" i="28" s="1"/>
  <c r="Z25" i="28" a="1"/>
  <c r="Z25" i="28" s="1"/>
  <c r="Z36" i="28" a="1"/>
  <c r="Z36" i="28" s="1"/>
  <c r="Z62" i="28" a="1"/>
  <c r="Z62" i="28" s="1"/>
  <c r="Z58" i="28" a="1"/>
  <c r="Z58" i="28" s="1"/>
  <c r="Z23" i="28" a="1"/>
  <c r="Z23" i="28" s="1"/>
  <c r="Z50" i="28" a="1"/>
  <c r="Z50" i="28" s="1"/>
  <c r="Z55" i="28" a="1"/>
  <c r="Z55" i="28" s="1"/>
  <c r="Z57" i="28" a="1"/>
  <c r="Z57" i="28" s="1"/>
  <c r="Z56" i="28" a="1"/>
  <c r="Z56" i="28" s="1"/>
  <c r="Z52" i="28" a="1"/>
  <c r="Z52" i="28" s="1"/>
  <c r="Z60" i="28" a="1"/>
  <c r="Z60" i="28" s="1"/>
  <c r="Z59" i="28" a="1"/>
  <c r="Z59" i="28" s="1"/>
  <c r="Z47" i="28" a="1"/>
  <c r="Z47" i="28" s="1"/>
  <c r="Z64" i="28" a="1"/>
  <c r="Z64" i="28" s="1"/>
  <c r="Z54" i="28" a="1"/>
  <c r="Z54" i="28" s="1"/>
  <c r="Z51" i="28" a="1"/>
  <c r="Z51" i="28" s="1"/>
  <c r="Z49" i="28" a="1"/>
  <c r="Z49" i="28" s="1"/>
  <c r="Z44" i="28" a="1"/>
  <c r="Z44" i="28" s="1"/>
  <c r="Z12" i="28" a="1"/>
  <c r="Z12" i="28" s="1"/>
  <c r="Z22" i="28" a="1"/>
  <c r="Z22" i="28" s="1"/>
  <c r="Z26" i="28" a="1"/>
  <c r="Z26" i="28" s="1"/>
  <c r="Z15" i="28" a="1"/>
  <c r="Z15" i="28" s="1"/>
  <c r="Z41" i="28" a="1"/>
  <c r="Z41" i="28" s="1"/>
  <c r="Z45" i="28" a="1"/>
  <c r="Z45" i="28" s="1"/>
  <c r="Z46" i="28" a="1"/>
  <c r="Z46" i="28" s="1"/>
  <c r="Z38" i="28" a="1"/>
  <c r="Z38" i="28" s="1"/>
  <c r="Z29" i="28" a="1"/>
  <c r="Z29" i="28" s="1"/>
  <c r="Z31" i="28" a="1"/>
  <c r="Z31" i="28" s="1"/>
  <c r="Z37" i="28" a="1"/>
  <c r="Z37" i="28" s="1"/>
  <c r="Z32" i="28" a="1"/>
  <c r="Z32" i="28" s="1"/>
  <c r="Z33" i="28" a="1"/>
  <c r="Z33" i="28" s="1"/>
  <c r="H90" i="13"/>
  <c r="H43" i="13"/>
  <c r="H20" i="13"/>
  <c r="H89" i="13"/>
  <c r="H48" i="13"/>
  <c r="H49" i="13"/>
  <c r="H41" i="13"/>
  <c r="H40" i="13"/>
  <c r="H78" i="13"/>
  <c r="H81" i="13"/>
  <c r="H88" i="13"/>
  <c r="H53" i="13"/>
  <c r="H58" i="13"/>
  <c r="H50" i="13"/>
  <c r="H87" i="13"/>
  <c r="H51" i="13"/>
  <c r="H80" i="13"/>
  <c r="H77" i="13"/>
  <c r="H15" i="13"/>
  <c r="H55" i="13"/>
  <c r="H75" i="13"/>
  <c r="H84" i="13"/>
  <c r="H83" i="13"/>
  <c r="H115" i="13"/>
  <c r="H12" i="13"/>
  <c r="H117" i="13" a="1"/>
  <c r="H65" i="13" a="1"/>
  <c r="H68" i="13" a="1"/>
  <c r="H56" i="13" a="1"/>
  <c r="H22" i="13" a="1"/>
  <c r="H25" i="13" a="1"/>
  <c r="H71" i="13" a="1"/>
  <c r="H57" i="13" a="1"/>
  <c r="H110" i="13" a="1"/>
  <c r="H26" i="13" a="1"/>
  <c r="H64" i="13" a="1"/>
  <c r="H76" i="13" a="1"/>
  <c r="H54" i="13" a="1"/>
  <c r="H108" i="13" a="1"/>
  <c r="H113" i="13" a="1"/>
  <c r="H111" i="13" a="1"/>
  <c r="H70" i="13" a="1"/>
  <c r="H72" i="13" a="1"/>
  <c r="H27" i="13" a="1"/>
  <c r="H109" i="13" a="1"/>
  <c r="H66" i="13" a="1"/>
  <c r="H60" i="13" a="1"/>
  <c r="H69" i="13" a="1"/>
  <c r="P5" i="28" l="1"/>
  <c r="H76" i="13"/>
  <c r="H113" i="13"/>
  <c r="H26" i="13"/>
  <c r="H25" i="13"/>
  <c r="H22" i="13"/>
  <c r="H27" i="13"/>
  <c r="H71" i="13"/>
  <c r="H69" i="13"/>
  <c r="H70" i="13"/>
  <c r="H72" i="13"/>
  <c r="H60" i="13"/>
  <c r="H57" i="13"/>
  <c r="H56" i="13"/>
  <c r="H65" i="13"/>
  <c r="H54" i="13"/>
  <c r="H111" i="13"/>
  <c r="H110" i="13"/>
  <c r="H117" i="13"/>
  <c r="H108" i="13"/>
  <c r="H109" i="13"/>
  <c r="H64" i="13"/>
  <c r="H66" i="13"/>
  <c r="H68" i="13"/>
  <c r="H8" i="13" a="1"/>
  <c r="H10" i="13" a="1"/>
  <c r="H67" i="13" a="1"/>
  <c r="H85" i="13" a="1"/>
  <c r="H116" i="13" a="1"/>
  <c r="H9" i="13" a="1"/>
  <c r="H116" i="13" l="1"/>
  <c r="H9" i="13"/>
  <c r="H10" i="13"/>
  <c r="H8" i="13"/>
  <c r="H85" i="13"/>
  <c r="H67" i="13"/>
  <c r="H112" i="13" a="1"/>
  <c r="H112" i="13" l="1"/>
  <c r="M4" i="13" a="1"/>
  <c r="M4" i="13" l="1"/>
  <c r="QL2" i="24" l="1"/>
  <c r="WN2" i="24" s="1"/>
  <c r="QL3" i="24" l="1"/>
  <c r="WN3" i="24" s="1"/>
  <c r="N42" i="13" l="1"/>
  <c r="N112" i="13"/>
  <c r="N97" i="13"/>
  <c r="N40" i="13"/>
  <c r="N55" i="13"/>
  <c r="N8" i="13"/>
  <c r="N6" i="13"/>
  <c r="N99" i="13"/>
  <c r="N15" i="13"/>
  <c r="N7" i="13"/>
  <c r="N101" i="13"/>
  <c r="N66" i="13"/>
  <c r="N60" i="13"/>
  <c r="N53" i="13"/>
  <c r="N5" i="13"/>
  <c r="N38" i="13"/>
  <c r="N58" i="13"/>
  <c r="N64" i="13"/>
  <c r="N67" i="13"/>
  <c r="N57" i="13"/>
  <c r="N21" i="13"/>
  <c r="N56" i="13"/>
  <c r="N12" i="13"/>
  <c r="N54" i="13"/>
  <c r="N43" i="13"/>
  <c r="N59" i="13"/>
  <c r="N45" i="13"/>
  <c r="N48" i="13"/>
  <c r="N3" i="13" l="1"/>
  <c r="EJ3" i="13" a="1"/>
  <c r="EJ3" i="13" s="1"/>
  <c r="X3" i="13" a="1"/>
  <c r="X3" i="13" s="1"/>
  <c r="Z3" i="13" a="1"/>
  <c r="Z3" i="13" s="1"/>
  <c r="BZ3" i="13" a="1"/>
  <c r="BZ3" i="13" s="1"/>
  <c r="AN3" i="13" a="1"/>
  <c r="AN3" i="13" s="1"/>
  <c r="CF3" i="13" a="1"/>
  <c r="CF3" i="13" s="1"/>
  <c r="P3" i="13" a="1"/>
  <c r="P3" i="13" s="1"/>
  <c r="BB3" i="13" a="1"/>
  <c r="BB3" i="13" s="1"/>
  <c r="T3" i="13" a="1"/>
  <c r="T3" i="13" s="1"/>
  <c r="DJ3" i="13" a="1"/>
  <c r="DJ3" i="13" s="1"/>
  <c r="AJ3" i="13" a="1"/>
  <c r="AJ3" i="13" s="1"/>
  <c r="AT3" i="13" a="1"/>
  <c r="AT3" i="13" s="1"/>
  <c r="CD3" i="13" a="1"/>
  <c r="CD3" i="13" s="1"/>
  <c r="ES3" i="13" a="1"/>
  <c r="ES3" i="13" s="1"/>
  <c r="AZ3" i="13" a="1"/>
  <c r="AZ3" i="13" s="1"/>
  <c r="BV3" i="13" a="1"/>
  <c r="BV3" i="13" s="1"/>
  <c r="CN3" i="13" a="1"/>
  <c r="CN3" i="13" s="1"/>
  <c r="EN3" i="13" a="1"/>
  <c r="EN3" i="13" s="1"/>
  <c r="AF3" i="13" a="1"/>
  <c r="AF3" i="13" s="1"/>
  <c r="CB3" i="13" a="1"/>
  <c r="CB3" i="13" s="1"/>
  <c r="BT3" i="13" a="1"/>
  <c r="BT3" i="13" s="1"/>
  <c r="BX3" i="13" a="1"/>
  <c r="BX3" i="13" s="1"/>
  <c r="DL3" i="13" a="1"/>
  <c r="DL3" i="13" s="1"/>
  <c r="BF3" i="13" a="1"/>
  <c r="BF3" i="13" s="1"/>
  <c r="EP3" i="13" a="1"/>
  <c r="EP3" i="13" s="1"/>
  <c r="EL3" i="13" a="1"/>
  <c r="EL3" i="13" s="1"/>
  <c r="DB3" i="13" a="1"/>
  <c r="DB3" i="13" s="1"/>
  <c r="ED3" i="13" a="1"/>
  <c r="ED3" i="13" s="1"/>
  <c r="DF3" i="13" a="1"/>
  <c r="DF3" i="13" s="1"/>
  <c r="AD3" i="13" a="1"/>
  <c r="AD3" i="13" s="1"/>
  <c r="DP3" i="13" a="1"/>
  <c r="DP3" i="13" s="1"/>
  <c r="CR3" i="13" a="1"/>
  <c r="CR3" i="13" s="1"/>
  <c r="BP3" i="13" a="1"/>
  <c r="BP3" i="13" s="1"/>
  <c r="AB3" i="13" a="1"/>
  <c r="AB3" i="13" s="1"/>
  <c r="EF3" i="13" a="1"/>
  <c r="EF3" i="13" s="1"/>
  <c r="CL3" i="13" a="1"/>
  <c r="CL3" i="13" s="1"/>
  <c r="CJ3" i="13" a="1"/>
  <c r="CJ3" i="13" s="1"/>
  <c r="AX3" i="13" a="1"/>
  <c r="AX3" i="13" s="1"/>
  <c r="BL3" i="13" a="1"/>
  <c r="BL3" i="13" s="1"/>
  <c r="BR3" i="13" a="1"/>
  <c r="BR3" i="13" s="1"/>
  <c r="AP3" i="13" a="1"/>
  <c r="AP3" i="13" s="1"/>
  <c r="CZ3" i="13" a="1"/>
  <c r="CZ3" i="13" s="1"/>
  <c r="BH3" i="13" a="1"/>
  <c r="BH3" i="13" s="1"/>
  <c r="EH3" i="13" a="1"/>
  <c r="EH3" i="13" s="1"/>
  <c r="AL3" i="13" a="1"/>
  <c r="AL3" i="13" s="1"/>
  <c r="AV3" i="13" a="1"/>
  <c r="AV3" i="13" s="1"/>
  <c r="EB3" i="13" a="1"/>
  <c r="EB3" i="13" s="1"/>
  <c r="CV3" i="13" a="1"/>
  <c r="CV3" i="13" s="1"/>
  <c r="CT3" i="13" a="1"/>
  <c r="CT3" i="13" s="1"/>
  <c r="CP3" i="13" a="1"/>
  <c r="CP3" i="13" s="1"/>
  <c r="V3" i="13" a="1"/>
  <c r="V3" i="13" s="1"/>
  <c r="CH3" i="13" a="1"/>
  <c r="CH3" i="13" s="1"/>
  <c r="DV3" i="13" a="1"/>
  <c r="DV3" i="13" s="1"/>
  <c r="DX3" i="13" a="1"/>
  <c r="DX3" i="13" s="1"/>
  <c r="DR3" i="13" a="1"/>
  <c r="DR3" i="13" s="1"/>
  <c r="AH3" i="13" a="1"/>
  <c r="AH3" i="13" s="1"/>
  <c r="BD3" i="13" a="1"/>
  <c r="BD3" i="13" s="1"/>
  <c r="BN3" i="13" a="1"/>
  <c r="BN3" i="13" s="1"/>
  <c r="CX3" i="13" a="1"/>
  <c r="CX3" i="13" s="1"/>
  <c r="DD3" i="13" a="1"/>
  <c r="DD3" i="13" s="1"/>
  <c r="DZ3" i="13" a="1"/>
  <c r="DZ3" i="13" s="1"/>
  <c r="DT3" i="13" a="1"/>
  <c r="DT3" i="13" s="1"/>
  <c r="BJ3" i="13" a="1"/>
  <c r="BJ3" i="13" s="1"/>
  <c r="R3" i="13" a="1"/>
  <c r="R3" i="13" s="1"/>
  <c r="DN3" i="13" a="1"/>
  <c r="DN3" i="13" s="1"/>
  <c r="DH3" i="13" a="1"/>
  <c r="DH3" i="13" s="1"/>
  <c r="AR3" i="13" a="1"/>
  <c r="AR3" i="13" s="1"/>
  <c r="F22" i="28" l="1"/>
  <c r="F26" i="28"/>
  <c r="F30" i="28"/>
  <c r="F34" i="28"/>
  <c r="F38" i="28"/>
  <c r="F42" i="28"/>
  <c r="F46" i="28"/>
  <c r="F50" i="28"/>
  <c r="F54" i="28"/>
  <c r="F58" i="28"/>
  <c r="F62" i="28"/>
  <c r="F66" i="28"/>
  <c r="F70" i="28"/>
  <c r="F74" i="28"/>
  <c r="G22" i="28"/>
  <c r="G26" i="28"/>
  <c r="G30" i="28"/>
  <c r="G34" i="28"/>
  <c r="G38" i="28"/>
  <c r="G42" i="28"/>
  <c r="G46" i="28"/>
  <c r="G50" i="28"/>
  <c r="G54" i="28"/>
  <c r="G58" i="28"/>
  <c r="G62" i="28"/>
  <c r="G66" i="28"/>
  <c r="G70" i="28"/>
  <c r="G74" i="28"/>
  <c r="F23" i="28"/>
  <c r="F27" i="28"/>
  <c r="F31" i="28"/>
  <c r="F35" i="28"/>
  <c r="F39" i="28"/>
  <c r="F43" i="28"/>
  <c r="F47" i="28"/>
  <c r="F51" i="28"/>
  <c r="F55" i="28"/>
  <c r="F59" i="28"/>
  <c r="F63" i="28"/>
  <c r="F67" i="28"/>
  <c r="F71" i="28"/>
  <c r="F75" i="28"/>
  <c r="G23" i="28"/>
  <c r="G27" i="28"/>
  <c r="G31" i="28"/>
  <c r="G35" i="28"/>
  <c r="G39" i="28"/>
  <c r="G43" i="28"/>
  <c r="G47" i="28"/>
  <c r="G51" i="28"/>
  <c r="G55" i="28"/>
  <c r="G59" i="28"/>
  <c r="G63" i="28"/>
  <c r="G67" i="28"/>
  <c r="G71" i="28"/>
  <c r="G75" i="28"/>
  <c r="F24" i="28"/>
  <c r="F28" i="28"/>
  <c r="F32" i="28"/>
  <c r="F36" i="28"/>
  <c r="F40" i="28"/>
  <c r="F44" i="28"/>
  <c r="F48" i="28"/>
  <c r="F52" i="28"/>
  <c r="F56" i="28"/>
  <c r="F60" i="28"/>
  <c r="F64" i="28"/>
  <c r="F68" i="28"/>
  <c r="F72" i="28"/>
  <c r="F76" i="28"/>
  <c r="G24" i="28"/>
  <c r="G28" i="28"/>
  <c r="G32" i="28"/>
  <c r="G36" i="28"/>
  <c r="G40" i="28"/>
  <c r="G44" i="28"/>
  <c r="G48" i="28"/>
  <c r="G52" i="28"/>
  <c r="G56" i="28"/>
  <c r="G60" i="28"/>
  <c r="G64" i="28"/>
  <c r="G68" i="28"/>
  <c r="G72" i="28"/>
  <c r="G76" i="28"/>
  <c r="F25" i="28"/>
  <c r="F29" i="28"/>
  <c r="F33" i="28"/>
  <c r="F37" i="28"/>
  <c r="F41" i="28"/>
  <c r="F45" i="28"/>
  <c r="F49" i="28"/>
  <c r="F53" i="28"/>
  <c r="F57" i="28"/>
  <c r="F61" i="28"/>
  <c r="F65" i="28"/>
  <c r="F69" i="28"/>
  <c r="F73" i="28"/>
  <c r="G25" i="28"/>
  <c r="G29" i="28"/>
  <c r="G33" i="28"/>
  <c r="G37" i="28"/>
  <c r="G41" i="28"/>
  <c r="G45" i="28"/>
  <c r="G49" i="28"/>
  <c r="G53" i="28"/>
  <c r="G57" i="28"/>
  <c r="G61" i="28"/>
  <c r="G65" i="28"/>
  <c r="G69" i="28"/>
  <c r="G73" i="28"/>
  <c r="FA2" i="24" l="1"/>
  <c r="EZ2" i="24"/>
  <c r="EW2" i="24"/>
  <c r="EX2" i="24"/>
  <c r="EV2" i="24"/>
  <c r="EY2" i="24" l="1"/>
  <c r="FC2" i="24"/>
  <c r="EZ3" i="24"/>
  <c r="EX3" i="24"/>
  <c r="FA3" i="24"/>
  <c r="EW3" i="24"/>
  <c r="EV3" i="24"/>
  <c r="FB2" i="24"/>
  <c r="FD2" i="24" l="1" a="1"/>
  <c r="FD2" i="24" s="1"/>
  <c r="FE2" i="24" s="1" a="1"/>
  <c r="FE2" i="24" s="1"/>
  <c r="FC3" i="24"/>
  <c r="FB3" i="24"/>
  <c r="EY3" i="24"/>
  <c r="FD3" i="24" l="1" a="1"/>
  <c r="FD3" i="24" s="1"/>
  <c r="FE3" i="24" s="1" a="1"/>
  <c r="FE3" i="24" s="1"/>
  <c r="AF3" i="59" l="1"/>
  <c r="AG3" i="59" s="1"/>
  <c r="AF6" i="59"/>
  <c r="AG6" i="59" s="1"/>
  <c r="AF2" i="59"/>
  <c r="AG2" i="59" s="1"/>
  <c r="AG1" i="59"/>
  <c r="AF5" i="59"/>
  <c r="AG5" i="59" s="1"/>
  <c r="AF4" i="59"/>
  <c r="AG4" i="59" s="1"/>
  <c r="A2" i="70" l="1" a="1"/>
  <c r="P1" i="70" a="1"/>
  <c r="P1" i="70" s="1"/>
  <c r="A2" i="70" l="1"/>
  <c r="RE2" i="24"/>
  <c r="RK2" i="24" s="1"/>
  <c r="RH2" i="24"/>
  <c r="RJ2" i="24" s="1" a="1"/>
  <c r="RJ2" i="24" s="1"/>
  <c r="RF2" i="24"/>
  <c r="RH3" i="24"/>
  <c r="RJ3" i="24" s="1" a="1"/>
  <c r="RJ3" i="24" s="1"/>
  <c r="RE3" i="24"/>
  <c r="RK3" i="24" s="1"/>
  <c r="RF3" i="24"/>
  <c r="R2" i="59" l="1"/>
  <c r="RG2" i="24"/>
  <c r="RL2" i="24" a="1"/>
  <c r="RL2" i="24" s="1"/>
  <c r="VP2" i="24" s="1"/>
  <c r="RL3" i="24" a="1"/>
  <c r="RL3" i="24" s="1"/>
  <c r="VP3" i="24" s="1"/>
  <c r="RG3" i="24" l="1"/>
  <c r="RI3" i="24"/>
  <c r="A1" i="75" a="1"/>
  <c r="A1" i="75" s="1"/>
  <c r="RI2" i="24"/>
  <c r="RM3" i="24"/>
  <c r="RZ3" i="24" s="1"/>
  <c r="SI3" i="24"/>
  <c r="RY2" i="24"/>
  <c r="RY3" i="24"/>
  <c r="SI2" i="24"/>
  <c r="RM2" i="24"/>
  <c r="RZ2" i="24" s="1"/>
  <c r="UC3" i="24" l="1"/>
  <c r="UD3" i="24"/>
  <c r="SA3" i="24"/>
  <c r="SA2" i="24"/>
  <c r="UC2" i="24"/>
  <c r="UD2" i="24"/>
  <c r="TD2" i="24"/>
  <c r="XB2" i="24" s="1"/>
  <c r="TM2" i="24"/>
  <c r="TO2" i="24" s="1"/>
  <c r="TD3" i="24"/>
  <c r="XB3" i="24" s="1"/>
  <c r="TM3" i="24"/>
  <c r="TO3" i="24" s="1"/>
  <c r="TP3" i="24" l="1"/>
  <c r="TR3" i="24" s="1"/>
  <c r="TT3" i="24" s="1" a="1"/>
  <c r="TT3" i="24" s="1"/>
  <c r="XE3" i="24" s="1"/>
  <c r="TQ3" i="24"/>
  <c r="TS3" i="24" s="1"/>
  <c r="TP2" i="24"/>
  <c r="TR2" i="24" s="1"/>
  <c r="TQ2" i="24"/>
  <c r="TS2" i="24" s="1"/>
  <c r="TA2" i="24"/>
  <c r="UL2" i="24" a="1"/>
  <c r="UL2" i="24" s="1"/>
  <c r="TA3" i="24"/>
  <c r="UL3" i="24" a="1"/>
  <c r="UL3" i="24" s="1"/>
  <c r="TT2" i="24" l="1" a="1"/>
  <c r="TT2" i="24" s="1"/>
  <c r="XE2" i="24" s="1"/>
  <c r="UO2" i="24"/>
  <c r="UP2" i="24" s="1" a="1"/>
  <c r="UP2" i="24" s="1"/>
  <c r="UQ2" i="24" s="1"/>
  <c r="VK2" i="24" s="1"/>
  <c r="UM2" i="24"/>
  <c r="UN2" i="24"/>
  <c r="TF2" i="24"/>
  <c r="WY2" i="24"/>
  <c r="UO3" i="24"/>
  <c r="UM3" i="24"/>
  <c r="UN3" i="24"/>
  <c r="WY3" i="24"/>
  <c r="TF3" i="24"/>
  <c r="UV2" i="24" l="1" a="1"/>
  <c r="UV2" i="24" s="1"/>
  <c r="UW2" i="24" s="1"/>
  <c r="WV2" i="24" s="1"/>
  <c r="UP3" i="24" a="1"/>
  <c r="UP3" i="24" s="1"/>
  <c r="UQ3" i="24" s="1"/>
  <c r="VK3" i="24" s="1"/>
  <c r="TG2" i="24"/>
  <c r="TI2" i="24" s="1"/>
  <c r="TH2" i="24"/>
  <c r="TJ2" i="24" s="1"/>
  <c r="TG3" i="24"/>
  <c r="TI3" i="24" s="1"/>
  <c r="TH3" i="24"/>
  <c r="TJ3" i="24" s="1"/>
  <c r="TK2" i="24" l="1" a="1"/>
  <c r="TK2" i="24" s="1"/>
  <c r="TU2" i="24" s="1"/>
  <c r="TK3" i="24" a="1"/>
  <c r="TK3" i="24" s="1"/>
  <c r="XD3" i="24" s="1"/>
  <c r="UV3" i="24" a="1"/>
  <c r="UV3" i="24" s="1"/>
  <c r="UW3" i="24" s="1"/>
  <c r="WV3" i="24" s="1"/>
  <c r="XD2" i="24" l="1"/>
  <c r="TU3" i="24"/>
  <c r="TW3" i="24" s="1"/>
  <c r="TY3" i="24" s="1" a="1"/>
  <c r="TY3" i="24" s="1"/>
  <c r="VE3" i="24" s="1"/>
  <c r="UY2" i="24" a="1"/>
  <c r="UY2" i="24" s="1"/>
  <c r="TW2" i="24"/>
  <c r="TY2" i="24" s="1" a="1"/>
  <c r="TY2" i="24" s="1"/>
  <c r="VE2" i="24" s="1"/>
  <c r="UR2" i="24"/>
  <c r="XF2" i="24"/>
  <c r="XF3" i="24" l="1"/>
  <c r="UR3" i="24"/>
  <c r="US3" i="24" s="1" a="1"/>
  <c r="US3" i="24" s="1"/>
  <c r="UT3" i="24" s="1"/>
  <c r="WX3" i="24" s="1"/>
  <c r="UY3" i="24" a="1"/>
  <c r="UY3" i="24" s="1"/>
  <c r="US2" i="24" a="1"/>
  <c r="US2" i="24" s="1"/>
  <c r="UT2" i="24" s="1"/>
  <c r="WX2" i="24" s="1"/>
  <c r="WW2" i="24"/>
  <c r="B21" i="28" a="1"/>
  <c r="B21" i="28" s="1"/>
  <c r="WW3" i="24" l="1"/>
  <c r="A2" i="89" s="1" a="1"/>
  <c r="A2" i="89" s="1"/>
  <c r="G21" i="28"/>
  <c r="F21" i="28"/>
  <c r="WQ2" i="24"/>
  <c r="WR2" i="24"/>
  <c r="WQ3" i="24" l="1"/>
  <c r="TX3" i="24" s="1" a="1"/>
  <c r="TX3" i="24" s="1"/>
  <c r="VD3" i="24" s="1"/>
  <c r="WR3" i="24"/>
  <c r="TX2" i="24" a="1"/>
  <c r="TX2" i="24" s="1"/>
  <c r="UA2" i="24" s="1"/>
  <c r="UZ2" i="24" s="1"/>
  <c r="UA3" i="24" l="1"/>
  <c r="UZ3" i="24" s="1"/>
  <c r="VD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Ashok Chilukuri</author>
  </authors>
  <commentList>
    <comment ref="K8" authorId="0" shapeId="0" xr:uid="{EE60BDE2-5432-4841-A1EB-C185667BDBA5}">
      <text>
        <r>
          <rPr>
            <b/>
            <sz val="9"/>
            <color indexed="81"/>
            <rFont val="Tahoma"/>
            <family val="2"/>
          </rPr>
          <t>Ashok Chilukuri:</t>
        </r>
        <r>
          <rPr>
            <sz val="9"/>
            <color indexed="81"/>
            <rFont val="Tahoma"/>
            <family val="2"/>
          </rPr>
          <t xml:space="preserve">
A rising MOVE Index can signal increated uncertainity. If the MOVE index is elevated, 
- Reduce exposure to high risk stocks
- Increase your cash holdings
- Implement hedging stratagies</t>
        </r>
      </text>
    </comment>
    <comment ref="AB9" authorId="0" shapeId="0" xr:uid="{BA8ED6E5-CFDF-4180-9605-CFAE50FDC638}">
      <text>
        <r>
          <rPr>
            <b/>
            <sz val="9"/>
            <color indexed="81"/>
            <rFont val="Tahoma"/>
            <family val="2"/>
          </rPr>
          <t>Ashok Chilukuri:</t>
        </r>
        <r>
          <rPr>
            <sz val="9"/>
            <color indexed="81"/>
            <rFont val="Tahoma"/>
            <family val="2"/>
          </rPr>
          <t xml:space="preserve">
If workday and less than current day or If workday,&gt;= current day and hours greater than 16, use {today} as market close day. Otherwise previous day as close day. </t>
        </r>
      </text>
    </comment>
    <comment ref="K21" authorId="0" shapeId="0" xr:uid="{F537C16F-D809-433C-8090-1EDED2B2E85A}">
      <text>
        <r>
          <rPr>
            <b/>
            <sz val="9"/>
            <color indexed="81"/>
            <rFont val="Tahoma"/>
            <family val="2"/>
          </rPr>
          <t xml:space="preserve">Ashok Chilukuri:
</t>
        </r>
        <r>
          <rPr>
            <sz val="9"/>
            <color indexed="81"/>
            <rFont val="Tahoma"/>
            <family val="2"/>
          </rPr>
          <t xml:space="preserve">Rising DXY
- Safe-haven flows during times of uncertanity
- expectations of stronger US economic performance
- Rising US interest Rates
- Downward pressure on commodity prices (oil)
Falling DXY
- Decreased demand for the dollar
- Increased risk appetite
- expectations of weeker U.S. economic performance
- Upward pressure on commodity prices (oil)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Ashok Chilukuri</author>
  </authors>
  <commentList>
    <comment ref="AK1" authorId="0" shapeId="0" xr:uid="{B9AA65F0-3D2E-4AB7-AF62-3B2698529F3D}">
      <text>
        <r>
          <rPr>
            <b/>
            <sz val="9"/>
            <color indexed="81"/>
            <rFont val="Tahoma"/>
            <family val="2"/>
          </rPr>
          <t>Ashok Chilukuri:</t>
        </r>
        <r>
          <rPr>
            <sz val="9"/>
            <color indexed="81"/>
            <rFont val="Tahoma"/>
            <family val="2"/>
          </rPr>
          <t xml:space="preserve">
IV Percentile → tells you where you are in the volatility cycle
IV &gt; HV → expectations exceed recent reality
IV rising → anticipation increasing
HV rising → movement confirming
Exit early when either loses momentum
Ashok Chilukuri:
IVP &gt; 90 (Extreme Hype/Panic): Avoids buying into maximum market emotion where a "volatility crush" is imminent.
IVP &lt;= 10 (Dead Money): Filters out stagnant stocks with no institutional interest or price movement.
IV/HV &gt; 2 (Pricing Bubble): Prevents entry when the options market is over-expecting a move (often seen before earnings).
HV3/HV7 &gt; 1.25 (Parabolic): Excludes stocks where the short-term volatility (HV3) has spiked significantly above the weekly average (HV7), indicating an over-extended move.
Avoids "Cooling" stocks. Both realized and implied volatility are fading; the "story" is over.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Ashok Chilukuri</author>
  </authors>
  <commentList>
    <comment ref="O1" authorId="0" shapeId="0" xr:uid="{3C6B9092-9A73-45BF-8103-9CF0E153307E}">
      <text>
        <r>
          <rPr>
            <b/>
            <sz val="9"/>
            <color indexed="81"/>
            <rFont val="Tahoma"/>
            <family val="2"/>
          </rPr>
          <t>Ashok Chilukuri:</t>
        </r>
        <r>
          <rPr>
            <sz val="9"/>
            <color indexed="81"/>
            <rFont val="Tahoma"/>
            <family val="2"/>
          </rPr>
          <t xml:space="preserve">
trend breaks and direction is down (MACD-H)</t>
        </r>
      </text>
    </comment>
    <comment ref="Q1" authorId="0" shapeId="0" xr:uid="{BE110F7F-5781-4279-8B62-BDD359C87FB0}">
      <text>
        <r>
          <rPr>
            <b/>
            <sz val="9"/>
            <color indexed="81"/>
            <rFont val="Tahoma"/>
            <family val="2"/>
          </rPr>
          <t>Ashok Chilukuri:</t>
        </r>
        <r>
          <rPr>
            <sz val="9"/>
            <color indexed="81"/>
            <rFont val="Tahoma"/>
            <family val="2"/>
          </rPr>
          <t xml:space="preserve">
streak is very  bad</t>
        </r>
      </text>
    </comment>
    <comment ref="S1" authorId="0" shapeId="0" xr:uid="{049E4F7A-4FDA-4A92-A8AD-15022E17A818}">
      <text>
        <r>
          <rPr>
            <b/>
            <sz val="9"/>
            <color indexed="81"/>
            <rFont val="Tahoma"/>
            <family val="2"/>
          </rPr>
          <t>Ashok Chilukuri:</t>
        </r>
        <r>
          <rPr>
            <sz val="9"/>
            <color indexed="81"/>
            <rFont val="Tahoma"/>
            <family val="2"/>
          </rPr>
          <t xml:space="preserve">
volume spikes and price down and volatility high/low</t>
        </r>
      </text>
    </comment>
    <comment ref="U1" authorId="0" shapeId="0" xr:uid="{455A1A9E-C111-44B1-B28D-F9D947DA01D8}">
      <text>
        <r>
          <rPr>
            <b/>
            <sz val="9"/>
            <color indexed="81"/>
            <rFont val="Tahoma"/>
            <family val="2"/>
          </rPr>
          <t>Ashok Chilukuri:</t>
        </r>
        <r>
          <rPr>
            <sz val="9"/>
            <color indexed="81"/>
            <rFont val="Tahoma"/>
            <family val="2"/>
          </rPr>
          <t xml:space="preserve">
trade breaks. Trade is below trend.</t>
        </r>
      </text>
    </comment>
    <comment ref="W1" authorId="0" shapeId="0" xr:uid="{7CB888F7-6D29-4E92-AD34-7223CDC938B2}">
      <text>
        <r>
          <rPr>
            <b/>
            <sz val="9"/>
            <color indexed="81"/>
            <rFont val="Tahoma"/>
            <family val="2"/>
          </rPr>
          <t>Ashok Chilukuri:</t>
        </r>
        <r>
          <rPr>
            <sz val="9"/>
            <color indexed="81"/>
            <rFont val="Tahoma"/>
            <family val="2"/>
          </rPr>
          <t xml:space="preserve">
If not bull, stock goes in reverse direction(Streak was high for 1 or 2 days and current day is -ve) . Below TR and TN</t>
        </r>
      </text>
    </comment>
    <comment ref="Y1" authorId="0" shapeId="0" xr:uid="{505D596B-F689-4898-B3FA-0C9224268BB1}">
      <text>
        <r>
          <rPr>
            <b/>
            <sz val="9"/>
            <color indexed="81"/>
            <rFont val="Tahoma"/>
            <family val="2"/>
          </rPr>
          <t>Ashok Chilukuri:</t>
        </r>
        <r>
          <rPr>
            <sz val="9"/>
            <color indexed="81"/>
            <rFont val="Tahoma"/>
            <family val="2"/>
          </rPr>
          <t xml:space="preserve">
!Bull, TRR</t>
        </r>
      </text>
    </comment>
    <comment ref="AA1" authorId="0" shapeId="0" xr:uid="{7509B029-16CA-4C02-A4C0-CA71DEE48427}">
      <text>
        <r>
          <rPr>
            <b/>
            <sz val="9"/>
            <color indexed="81"/>
            <rFont val="Tahoma"/>
            <family val="2"/>
          </rPr>
          <t>Ashok Chilukuri:</t>
        </r>
        <r>
          <rPr>
            <sz val="9"/>
            <color indexed="81"/>
            <rFont val="Tahoma"/>
            <family val="2"/>
          </rPr>
          <t xml:space="preserve">
Trend below TRR</t>
        </r>
      </text>
    </comment>
    <comment ref="AC1" authorId="0" shapeId="0" xr:uid="{D8AE2E4D-E7E5-4457-98F9-B59EAC0A0DEE}">
      <text>
        <r>
          <rPr>
            <b/>
            <sz val="9"/>
            <color indexed="81"/>
            <rFont val="Tahoma"/>
            <family val="2"/>
          </rPr>
          <t>Ashok Chilukuri:</t>
        </r>
        <r>
          <rPr>
            <sz val="9"/>
            <color indexed="81"/>
            <rFont val="Tahoma"/>
            <family val="2"/>
          </rPr>
          <t xml:space="preserve">
all indicators are in overbought state. RSI, IV, HV, BRR, MACD, MACDH</t>
        </r>
      </text>
    </comment>
    <comment ref="AE1" authorId="0" shapeId="0" xr:uid="{537881B1-F98D-4594-BAC7-A491036D94CE}">
      <text>
        <r>
          <rPr>
            <b/>
            <sz val="9"/>
            <color indexed="81"/>
            <rFont val="Tahoma"/>
            <family val="2"/>
          </rPr>
          <t>Ashok Chilukuri:</t>
        </r>
        <r>
          <rPr>
            <sz val="9"/>
            <color indexed="81"/>
            <rFont val="Tahoma"/>
            <family val="2"/>
          </rPr>
          <t xml:space="preserve">
Bull, crosses Bridge Band Threshold towards bottom</t>
        </r>
      </text>
    </comment>
    <comment ref="AG1" authorId="0" shapeId="0" xr:uid="{FA96B024-F20C-4546-BE85-A4617B592350}">
      <text>
        <r>
          <rPr>
            <b/>
            <sz val="9"/>
            <color indexed="81"/>
            <rFont val="Tahoma"/>
            <family val="2"/>
          </rPr>
          <t>Ashok Chilukuri:</t>
        </r>
        <r>
          <rPr>
            <sz val="9"/>
            <color indexed="81"/>
            <rFont val="Tahoma"/>
            <family val="2"/>
          </rPr>
          <t xml:space="preserve">
Bull, crosses Bridge Band Threshold towards bottom</t>
        </r>
      </text>
    </comment>
    <comment ref="AI1" authorId="0" shapeId="0" xr:uid="{62631AA5-A170-42E7-BE09-A29DD1B6BECD}">
      <text>
        <r>
          <rPr>
            <b/>
            <sz val="9"/>
            <color indexed="81"/>
            <rFont val="Tahoma"/>
            <family val="2"/>
          </rPr>
          <t>Ashok Chilukuri:</t>
        </r>
        <r>
          <rPr>
            <sz val="9"/>
            <color indexed="81"/>
            <rFont val="Tahoma"/>
            <family val="2"/>
          </rPr>
          <t xml:space="preserve">
Bull, crosses Bridge Band Threshold towards bottom</t>
        </r>
      </text>
    </comment>
    <comment ref="AK1" authorId="0" shapeId="0" xr:uid="{937CA068-78F3-44CC-A5D4-AB965EBEF3FD}">
      <text>
        <r>
          <rPr>
            <b/>
            <sz val="9"/>
            <color indexed="81"/>
            <rFont val="Tahoma"/>
            <family val="2"/>
          </rPr>
          <t>Ashok Chilukuri:</t>
        </r>
        <r>
          <rPr>
            <sz val="9"/>
            <color indexed="81"/>
            <rFont val="Tahoma"/>
            <family val="2"/>
          </rPr>
          <t xml:space="preserve">
Bull, crosses Bridge Band Threshold towards bottom</t>
        </r>
      </text>
    </comment>
    <comment ref="AM1" authorId="0" shapeId="0" xr:uid="{CCA6E36B-2935-47C6-8205-A7E08B586590}">
      <text>
        <r>
          <rPr>
            <b/>
            <sz val="9"/>
            <color indexed="81"/>
            <rFont val="Tahoma"/>
            <family val="2"/>
          </rPr>
          <t>Ashok Chilukuri:</t>
        </r>
        <r>
          <rPr>
            <sz val="9"/>
            <color indexed="81"/>
            <rFont val="Tahoma"/>
            <family val="2"/>
          </rPr>
          <t xml:space="preserve">
Bull, crosses Bridge Band Threshold towards bottom</t>
        </r>
      </text>
    </comment>
    <comment ref="AO1" authorId="0" shapeId="0" xr:uid="{4DD49EAE-8D73-48AF-93D0-153C0403A4DD}">
      <text>
        <r>
          <rPr>
            <b/>
            <sz val="9"/>
            <color indexed="81"/>
            <rFont val="Tahoma"/>
            <family val="2"/>
          </rPr>
          <t>Ashok Chilukuri:</t>
        </r>
        <r>
          <rPr>
            <sz val="9"/>
            <color indexed="81"/>
            <rFont val="Tahoma"/>
            <family val="2"/>
          </rPr>
          <t xml:space="preserve">
If not bull, stock goes in reverse direction(Streak was high before 2 days and not beyond 4 days.
</t>
        </r>
      </text>
    </comment>
    <comment ref="AQ1" authorId="0" shapeId="0" xr:uid="{13A6731F-1C23-4C12-8278-6130F47BA884}">
      <text>
        <r>
          <rPr>
            <b/>
            <sz val="9"/>
            <color indexed="81"/>
            <rFont val="Tahoma"/>
            <family val="2"/>
          </rPr>
          <t>Ashok Chilukuri:</t>
        </r>
        <r>
          <rPr>
            <sz val="9"/>
            <color indexed="81"/>
            <rFont val="Tahoma"/>
            <family val="2"/>
          </rPr>
          <t xml:space="preserve">
Bull, crosses Bridge Band Threshold towards bottom</t>
        </r>
      </text>
    </comment>
    <comment ref="AS1" authorId="0" shapeId="0" xr:uid="{AC4D9CAB-CF4B-49AC-BA22-9F3E5BB80489}">
      <text>
        <r>
          <rPr>
            <b/>
            <sz val="9"/>
            <color indexed="81"/>
            <rFont val="Tahoma"/>
            <family val="2"/>
          </rPr>
          <t>Ashok Chilukuri:</t>
        </r>
        <r>
          <rPr>
            <sz val="9"/>
            <color indexed="81"/>
            <rFont val="Tahoma"/>
            <family val="2"/>
          </rPr>
          <t xml:space="preserve">
If not bull, stock goes in reverse direction(Streak was high for 1 or 2 days and current day is -ve) . Above trend and below trade.</t>
        </r>
      </text>
    </comment>
    <comment ref="AU1" authorId="0" shapeId="0" xr:uid="{A4D3499E-E129-470C-899E-D1D959C88EE9}">
      <text>
        <r>
          <rPr>
            <b/>
            <sz val="9"/>
            <color indexed="81"/>
            <rFont val="Tahoma"/>
            <family val="2"/>
          </rPr>
          <t>Ashok Chilukuri:</t>
        </r>
        <r>
          <rPr>
            <sz val="9"/>
            <color indexed="81"/>
            <rFont val="Tahoma"/>
            <family val="2"/>
          </rPr>
          <t xml:space="preserve">
!Bull, TRR</t>
        </r>
      </text>
    </comment>
    <comment ref="AW1" authorId="0" shapeId="0" xr:uid="{557A1194-EB8E-43F8-B7A8-DCF3D038ED84}">
      <text>
        <r>
          <rPr>
            <b/>
            <sz val="9"/>
            <color indexed="81"/>
            <rFont val="Tahoma"/>
            <family val="2"/>
          </rPr>
          <t>Ashok Chilukuri:</t>
        </r>
        <r>
          <rPr>
            <sz val="9"/>
            <color indexed="81"/>
            <rFont val="Tahoma"/>
            <family val="2"/>
          </rPr>
          <t xml:space="preserve">
Sell if earnings date is approaching</t>
        </r>
      </text>
    </comment>
    <comment ref="AY1" authorId="0" shapeId="0" xr:uid="{D474B3E2-AC85-40E3-995A-F77B061D563D}">
      <text>
        <r>
          <rPr>
            <b/>
            <sz val="9"/>
            <color indexed="81"/>
            <rFont val="Tahoma"/>
            <family val="2"/>
          </rPr>
          <t>Ashok Chilukuri:</t>
        </r>
        <r>
          <rPr>
            <sz val="9"/>
            <color indexed="81"/>
            <rFont val="Tahoma"/>
            <family val="2"/>
          </rPr>
          <t xml:space="preserve">
If not bull. Top of Risk Range, IV, RSI and MACD</t>
        </r>
      </text>
    </comment>
    <comment ref="BA1" authorId="0" shapeId="0" xr:uid="{12497628-1A07-47AE-958F-7701C026DE6B}">
      <text>
        <r>
          <rPr>
            <b/>
            <sz val="9"/>
            <color indexed="81"/>
            <rFont val="Tahoma"/>
            <family val="2"/>
          </rPr>
          <t>Ashok Chilukuri:</t>
        </r>
        <r>
          <rPr>
            <sz val="9"/>
            <color indexed="81"/>
            <rFont val="Tahoma"/>
            <family val="2"/>
          </rPr>
          <t xml:space="preserve">
!Bull, TRR</t>
        </r>
      </text>
    </comment>
    <comment ref="BC1" authorId="0" shapeId="0" xr:uid="{1E89F804-F688-4F96-AD53-0DB1AAAC4B40}">
      <text>
        <r>
          <rPr>
            <b/>
            <sz val="9"/>
            <color indexed="81"/>
            <rFont val="Tahoma"/>
            <family val="2"/>
          </rPr>
          <t>Ashok Chilukuri:</t>
        </r>
        <r>
          <rPr>
            <sz val="9"/>
            <color indexed="81"/>
            <rFont val="Tahoma"/>
            <family val="2"/>
          </rPr>
          <t xml:space="preserve">
Bull, streak was positive before few days. Loosing stream.</t>
        </r>
      </text>
    </comment>
    <comment ref="BE1" authorId="0" shapeId="0" xr:uid="{E813616C-3DB2-4A4C-AF9E-7E31FB3FC21F}">
      <text>
        <r>
          <rPr>
            <b/>
            <sz val="9"/>
            <color indexed="81"/>
            <rFont val="Tahoma"/>
            <family val="2"/>
          </rPr>
          <t>Ashok Chilukuri:</t>
        </r>
        <r>
          <rPr>
            <sz val="9"/>
            <color indexed="81"/>
            <rFont val="Tahoma"/>
            <family val="2"/>
          </rPr>
          <t xml:space="preserve">
BULL. Top of Risk Range, IV, RSI and MACD</t>
        </r>
      </text>
    </comment>
    <comment ref="BG1" authorId="0" shapeId="0" xr:uid="{2B0222D0-D40D-4837-9D85-DE8FFB49FE01}">
      <text>
        <r>
          <rPr>
            <b/>
            <sz val="9"/>
            <color indexed="81"/>
            <rFont val="Tahoma"/>
            <family val="2"/>
          </rPr>
          <t>Ashok Chilukuri:</t>
        </r>
        <r>
          <rPr>
            <sz val="9"/>
            <color indexed="81"/>
            <rFont val="Tahoma"/>
            <family val="2"/>
          </rPr>
          <t xml:space="preserve">
trade breaks</t>
        </r>
      </text>
    </comment>
    <comment ref="BI1" authorId="0" shapeId="0" xr:uid="{9F67170E-AB39-48CD-AF23-67E9BFFA6471}">
      <text>
        <r>
          <rPr>
            <b/>
            <sz val="9"/>
            <color indexed="81"/>
            <rFont val="Tahoma"/>
            <family val="2"/>
          </rPr>
          <t>Ashok Chilukuri:</t>
        </r>
        <r>
          <rPr>
            <sz val="9"/>
            <color indexed="81"/>
            <rFont val="Tahoma"/>
            <family val="2"/>
          </rPr>
          <t xml:space="preserve">
Streak started going bad</t>
        </r>
      </text>
    </comment>
    <comment ref="BK1" authorId="0" shapeId="0" xr:uid="{D25BA8B1-5383-4552-AA6F-DCED3EA1ED34}">
      <text>
        <r>
          <rPr>
            <b/>
            <sz val="9"/>
            <color indexed="81"/>
            <rFont val="Tahoma"/>
            <family val="2"/>
          </rPr>
          <t>Ashok Chilukuri:</t>
        </r>
        <r>
          <rPr>
            <sz val="9"/>
            <color indexed="81"/>
            <rFont val="Tahoma"/>
            <family val="2"/>
          </rPr>
          <t xml:space="preserve">
Sellsome - Volume spike price down</t>
        </r>
      </text>
    </comment>
    <comment ref="BM1" authorId="0" shapeId="0" xr:uid="{9078AA7A-F84B-4F6E-A085-1E565740A941}">
      <text>
        <r>
          <rPr>
            <b/>
            <sz val="9"/>
            <color indexed="81"/>
            <rFont val="Tahoma"/>
            <family val="2"/>
          </rPr>
          <t>Ashok Chilukuri:</t>
        </r>
        <r>
          <rPr>
            <sz val="9"/>
            <color indexed="81"/>
            <rFont val="Tahoma"/>
            <family val="2"/>
          </rPr>
          <t xml:space="preserve">
Close to 3M High if it was before 5 days</t>
        </r>
      </text>
    </comment>
    <comment ref="BO1" authorId="0" shapeId="0" xr:uid="{933945D8-1D12-44EE-87AB-14A5E4A03C2C}">
      <text>
        <r>
          <rPr>
            <b/>
            <sz val="9"/>
            <color indexed="81"/>
            <rFont val="Tahoma"/>
            <family val="2"/>
          </rPr>
          <t>Ashok Chilukuri:</t>
        </r>
        <r>
          <rPr>
            <sz val="9"/>
            <color indexed="81"/>
            <rFont val="Tahoma"/>
            <family val="2"/>
          </rPr>
          <t xml:space="preserve">
Top end of the range is close to Trade and stock is close to TRR</t>
        </r>
      </text>
    </comment>
    <comment ref="BQ1" authorId="0" shapeId="0" xr:uid="{EE29A371-BBE4-46FE-8259-3A64BA1F290A}">
      <text>
        <r>
          <rPr>
            <b/>
            <sz val="9"/>
            <color indexed="81"/>
            <rFont val="Tahoma"/>
            <family val="2"/>
          </rPr>
          <t>Ashok Chilukuri:</t>
        </r>
        <r>
          <rPr>
            <sz val="9"/>
            <color indexed="81"/>
            <rFont val="Tahoma"/>
            <family val="2"/>
          </rPr>
          <t xml:space="preserve">
Resistance while going up.If stock goes above some markers (Trend, 50 DMA, 200 DMA) and comes back down.</t>
        </r>
      </text>
    </comment>
    <comment ref="BS1" authorId="0" shapeId="0" xr:uid="{5BE297DD-5ACA-4B47-8C1B-F46A8E087DC2}">
      <text>
        <r>
          <rPr>
            <b/>
            <sz val="9"/>
            <color indexed="81"/>
            <rFont val="Tahoma"/>
            <family val="2"/>
          </rPr>
          <t>Ashok Chilukuri:</t>
        </r>
        <r>
          <rPr>
            <sz val="9"/>
            <color indexed="81"/>
            <rFont val="Tahoma"/>
            <family val="2"/>
          </rPr>
          <t xml:space="preserve">
Sell if earnings date is approaching</t>
        </r>
      </text>
    </comment>
    <comment ref="BU1" authorId="0" shapeId="0" xr:uid="{9ADF40F0-FF85-4262-A750-BBD1C7AD7A51}">
      <text>
        <r>
          <rPr>
            <b/>
            <sz val="9"/>
            <color indexed="81"/>
            <rFont val="Tahoma"/>
            <family val="2"/>
          </rPr>
          <t>Ashok Chilukuri:</t>
        </r>
        <r>
          <rPr>
            <sz val="9"/>
            <color indexed="81"/>
            <rFont val="Tahoma"/>
            <family val="2"/>
          </rPr>
          <t xml:space="preserve">
Sell if earnings date is approaching</t>
        </r>
      </text>
    </comment>
    <comment ref="BW1" authorId="0" shapeId="0" xr:uid="{C5CA9FE5-6117-4566-8287-CF2DAD49D1C6}">
      <text>
        <r>
          <rPr>
            <b/>
            <sz val="9"/>
            <color indexed="81"/>
            <rFont val="Tahoma"/>
            <family val="2"/>
          </rPr>
          <t>Ashok Chilukuri:</t>
        </r>
        <r>
          <rPr>
            <sz val="9"/>
            <color indexed="81"/>
            <rFont val="Tahoma"/>
            <family val="2"/>
          </rPr>
          <t xml:space="preserve">
Low end of the risk range, going up, and above trend and above trade. Confirmed by MACD</t>
        </r>
      </text>
    </comment>
    <comment ref="BY1" authorId="0" shapeId="0" xr:uid="{73300938-A4CE-4B96-B4A6-0C843D4AE9EA}">
      <text>
        <r>
          <rPr>
            <b/>
            <sz val="9"/>
            <color indexed="81"/>
            <rFont val="Tahoma"/>
            <family val="2"/>
          </rPr>
          <t>Ashok Chilukuri:</t>
        </r>
        <r>
          <rPr>
            <sz val="9"/>
            <color indexed="81"/>
            <rFont val="Tahoma"/>
            <family val="2"/>
          </rPr>
          <t xml:space="preserve">
Low end of the risk range and above trend and above trade. Not confirmed by MACD or UpDays rule</t>
        </r>
      </text>
    </comment>
    <comment ref="CA1" authorId="0" shapeId="0" xr:uid="{A7A2DD7F-AA69-4A87-8D70-9D7D538449C5}">
      <text>
        <r>
          <rPr>
            <b/>
            <sz val="9"/>
            <color indexed="81"/>
            <rFont val="Tahoma"/>
            <family val="2"/>
          </rPr>
          <t>Ashok Chilukuri:</t>
        </r>
        <r>
          <rPr>
            <sz val="9"/>
            <color indexed="81"/>
            <rFont val="Tahoma"/>
            <family val="2"/>
          </rPr>
          <t xml:space="preserve">
Low end of the risk range, going up, and above trend and above trade. Confirmed by MACD</t>
        </r>
      </text>
    </comment>
    <comment ref="CC1" authorId="0" shapeId="0" xr:uid="{311B32F2-44DC-4804-88A0-99B9308E0F54}">
      <text>
        <r>
          <rPr>
            <b/>
            <sz val="9"/>
            <color indexed="81"/>
            <rFont val="Tahoma"/>
            <family val="2"/>
          </rPr>
          <t>Ashok Chilukuri:</t>
        </r>
        <r>
          <rPr>
            <sz val="9"/>
            <color indexed="81"/>
            <rFont val="Tahoma"/>
            <family val="2"/>
          </rPr>
          <t xml:space="preserve">
Low end of the risk range, going up by at least one day, and above trend and above trade. Confirmed by Up day(s).</t>
        </r>
      </text>
    </comment>
    <comment ref="CE1" authorId="0" shapeId="0" xr:uid="{C36A97F9-7BFF-453A-83B4-8A93234AD70E}">
      <text>
        <r>
          <rPr>
            <b/>
            <sz val="9"/>
            <color indexed="81"/>
            <rFont val="Tahoma"/>
            <family val="2"/>
          </rPr>
          <t>Ashok Chilukuri:</t>
        </r>
        <r>
          <rPr>
            <sz val="9"/>
            <color indexed="81"/>
            <rFont val="Tahoma"/>
            <family val="2"/>
          </rPr>
          <t xml:space="preserve">
Low end of the risk range and above trend and above trade. Not confirmed by MACD or UpDays rule</t>
        </r>
      </text>
    </comment>
    <comment ref="CG1" authorId="0" shapeId="0" xr:uid="{BDB3D8D0-8897-4F16-8B32-F257A19F9225}">
      <text>
        <r>
          <rPr>
            <b/>
            <sz val="9"/>
            <color indexed="81"/>
            <rFont val="Tahoma"/>
            <family val="2"/>
          </rPr>
          <t>Ashok Chilukuri:</t>
        </r>
        <r>
          <rPr>
            <sz val="9"/>
            <color indexed="81"/>
            <rFont val="Tahoma"/>
            <family val="2"/>
          </rPr>
          <t xml:space="preserve">
Low end of the risk range, going up, and above trend and below trade. Confirmed by MACD</t>
        </r>
      </text>
    </comment>
    <comment ref="CI1" authorId="0" shapeId="0" xr:uid="{331D437F-D3CC-45E0-9A5A-C38B4A711886}">
      <text>
        <r>
          <rPr>
            <b/>
            <sz val="9"/>
            <color indexed="81"/>
            <rFont val="Tahoma"/>
            <family val="2"/>
          </rPr>
          <t>Ashok Chilukuri:</t>
        </r>
        <r>
          <rPr>
            <sz val="9"/>
            <color indexed="81"/>
            <rFont val="Tahoma"/>
            <family val="2"/>
          </rPr>
          <t xml:space="preserve">
Low end of the risk range and above trend and above trade. Not confirmed by MACD or UpDays rule</t>
        </r>
      </text>
    </comment>
    <comment ref="CK1" authorId="0" shapeId="0" xr:uid="{504331E0-F609-436A-B8F7-4DEDF340AFEC}">
      <text>
        <r>
          <rPr>
            <b/>
            <sz val="9"/>
            <color indexed="81"/>
            <rFont val="Tahoma"/>
            <family val="2"/>
          </rPr>
          <t>Ashok Chilukuri:</t>
        </r>
        <r>
          <rPr>
            <sz val="9"/>
            <color indexed="81"/>
            <rFont val="Tahoma"/>
            <family val="2"/>
          </rPr>
          <t xml:space="preserve">
Low end of the risk range and above trend and above trade. Not confirmed by MACD or UpDays rule</t>
        </r>
      </text>
    </comment>
    <comment ref="CM1" authorId="0" shapeId="0" xr:uid="{B805AA2E-D904-4EA2-98A2-0796305CEF40}">
      <text>
        <r>
          <rPr>
            <b/>
            <sz val="9"/>
            <color indexed="81"/>
            <rFont val="Tahoma"/>
            <family val="2"/>
          </rPr>
          <t>Ashok Chilukuri:</t>
        </r>
        <r>
          <rPr>
            <sz val="9"/>
            <color indexed="81"/>
            <rFont val="Tahoma"/>
            <family val="2"/>
          </rPr>
          <t xml:space="preserve">
If BB Streak is moving higher for longer days. &gt;TN &gt;TD</t>
        </r>
      </text>
    </comment>
    <comment ref="CO1" authorId="0" shapeId="0" xr:uid="{47EFA1F8-2C89-416B-9187-396FF4C72EBC}">
      <text>
        <r>
          <rPr>
            <b/>
            <sz val="9"/>
            <color indexed="81"/>
            <rFont val="Tahoma"/>
            <family val="2"/>
          </rPr>
          <t>Ashok Chilukuri:</t>
        </r>
        <r>
          <rPr>
            <sz val="9"/>
            <color indexed="81"/>
            <rFont val="Tahoma"/>
            <family val="2"/>
          </rPr>
          <t xml:space="preserve">
If BBHL is moving higher for longer days. Above trade and trend</t>
        </r>
      </text>
    </comment>
    <comment ref="CQ1" authorId="0" shapeId="0" xr:uid="{6C05BAAC-BEE6-4AA2-8DAE-2BC6F15CBA97}">
      <text>
        <r>
          <rPr>
            <b/>
            <sz val="9"/>
            <color indexed="81"/>
            <rFont val="Tahoma"/>
            <family val="2"/>
          </rPr>
          <t>Ashok Chilukuri:</t>
        </r>
        <r>
          <rPr>
            <sz val="9"/>
            <color indexed="81"/>
            <rFont val="Tahoma"/>
            <family val="2"/>
          </rPr>
          <t xml:space="preserve">
If BB Streak is moving higher for longer days. &gt;TN. Not Trade</t>
        </r>
      </text>
    </comment>
    <comment ref="CS1" authorId="0" shapeId="0" xr:uid="{26B26450-F750-499E-B4A3-A773B565E3F1}">
      <text>
        <r>
          <rPr>
            <b/>
            <sz val="9"/>
            <color indexed="81"/>
            <rFont val="Tahoma"/>
            <family val="2"/>
          </rPr>
          <t>Ashok Chilukuri:</t>
        </r>
        <r>
          <rPr>
            <sz val="9"/>
            <color indexed="81"/>
            <rFont val="Tahoma"/>
            <family val="2"/>
          </rPr>
          <t xml:space="preserve">
If BBHL is moving higher for longer days</t>
        </r>
      </text>
    </comment>
    <comment ref="CU1" authorId="0" shapeId="0" xr:uid="{4F1EB5D4-D555-45EC-BF56-B01FD6D2EED8}">
      <text>
        <r>
          <rPr>
            <b/>
            <sz val="9"/>
            <color indexed="81"/>
            <rFont val="Tahoma"/>
            <family val="2"/>
          </rPr>
          <t>Ashok Chilukuri:</t>
        </r>
        <r>
          <rPr>
            <sz val="9"/>
            <color indexed="81"/>
            <rFont val="Tahoma"/>
            <family val="2"/>
          </rPr>
          <t xml:space="preserve">
Volume spike - price up - Volatiliby low. Above Trend.</t>
        </r>
      </text>
    </comment>
    <comment ref="CW1" authorId="0" shapeId="0" xr:uid="{08C75A90-75E3-423E-A38E-1DDC94E43890}">
      <text>
        <r>
          <rPr>
            <b/>
            <sz val="9"/>
            <color indexed="81"/>
            <rFont val="Tahoma"/>
            <family val="2"/>
          </rPr>
          <t>Ashok Chilukuri:</t>
        </r>
        <r>
          <rPr>
            <sz val="9"/>
            <color indexed="81"/>
            <rFont val="Tahoma"/>
            <family val="2"/>
          </rPr>
          <t xml:space="preserve">
Bull Stock with up direction</t>
        </r>
      </text>
    </comment>
    <comment ref="CY1" authorId="0" shapeId="0" xr:uid="{DC5C4871-6D6F-46B0-B078-AAA892207DA6}">
      <text>
        <r>
          <rPr>
            <b/>
            <sz val="9"/>
            <color indexed="81"/>
            <rFont val="Tahoma"/>
            <family val="2"/>
          </rPr>
          <t>Ashok Chilukuri:</t>
        </r>
        <r>
          <rPr>
            <sz val="9"/>
            <color indexed="81"/>
            <rFont val="Tahoma"/>
            <family val="2"/>
          </rPr>
          <t xml:space="preserve">
Consistantly Going Up</t>
        </r>
      </text>
    </comment>
    <comment ref="DA1" authorId="0" shapeId="0" xr:uid="{F217A777-7FA2-4922-AD13-D027B0C8E5FF}">
      <text>
        <r>
          <rPr>
            <b/>
            <sz val="9"/>
            <color indexed="81"/>
            <rFont val="Tahoma"/>
            <family val="2"/>
          </rPr>
          <t>Ashok Chilukuri:</t>
        </r>
        <r>
          <rPr>
            <sz val="9"/>
            <color indexed="81"/>
            <rFont val="Tahoma"/>
            <family val="2"/>
          </rPr>
          <t xml:space="preserve">
Going up, not  trending or trading and Low end of the range. Confirmed by MACD and days</t>
        </r>
      </text>
    </comment>
    <comment ref="DC1" authorId="0" shapeId="0" xr:uid="{8CBAA24C-5432-4C88-B91E-E373398CB44E}">
      <text>
        <r>
          <rPr>
            <b/>
            <sz val="9"/>
            <color indexed="81"/>
            <rFont val="Tahoma"/>
            <family val="2"/>
          </rPr>
          <t>Ashok Chilukuri:</t>
        </r>
        <r>
          <rPr>
            <sz val="9"/>
            <color indexed="81"/>
            <rFont val="Tahoma"/>
            <family val="2"/>
          </rPr>
          <t xml:space="preserve">
Low end of the range but moving up. Above trend and below trade. Confirmed by Day Perf</t>
        </r>
      </text>
    </comment>
    <comment ref="DE1" authorId="0" shapeId="0" xr:uid="{EC0D40B1-9DB9-45BA-81ED-A4F24593BAD3}">
      <text>
        <r>
          <rPr>
            <b/>
            <sz val="9"/>
            <color indexed="81"/>
            <rFont val="Tahoma"/>
            <family val="2"/>
          </rPr>
          <t>Ashok Chilukuri:</t>
        </r>
        <r>
          <rPr>
            <sz val="9"/>
            <color indexed="81"/>
            <rFont val="Tahoma"/>
            <family val="2"/>
          </rPr>
          <t xml:space="preserve">
Low end of the risk range, going up, and above trend and below trade. Confirmed by MACD</t>
        </r>
      </text>
    </comment>
    <comment ref="DG1" authorId="0" shapeId="0" xr:uid="{EBE28158-6F99-45AE-9618-12EB60C163CF}">
      <text>
        <r>
          <rPr>
            <b/>
            <sz val="9"/>
            <color indexed="81"/>
            <rFont val="Tahoma"/>
            <family val="2"/>
          </rPr>
          <t>Ashok Chilukuri:</t>
        </r>
        <r>
          <rPr>
            <sz val="9"/>
            <color indexed="81"/>
            <rFont val="Tahoma"/>
            <family val="2"/>
          </rPr>
          <t xml:space="preserve">
Low end of the range but moving up. Above trend and below trade. Confirmed by Day Perf</t>
        </r>
      </text>
    </comment>
    <comment ref="DI1" authorId="0" shapeId="0" xr:uid="{EBF144A9-55F9-4013-9B83-2E7BBF0E53F1}">
      <text>
        <r>
          <rPr>
            <b/>
            <sz val="9"/>
            <color indexed="81"/>
            <rFont val="Tahoma"/>
            <family val="2"/>
          </rPr>
          <t>Ashok Chilukuri:</t>
        </r>
        <r>
          <rPr>
            <sz val="9"/>
            <color indexed="81"/>
            <rFont val="Tahoma"/>
            <family val="2"/>
          </rPr>
          <t xml:space="preserve">
Low end of the risk range, going up, and above trend and below trade. Confirmed by MACD</t>
        </r>
      </text>
    </comment>
    <comment ref="DK1" authorId="0" shapeId="0" xr:uid="{2488B727-D4EA-42B7-B69D-3330E5FBD06F}">
      <text>
        <r>
          <rPr>
            <b/>
            <sz val="9"/>
            <color indexed="81"/>
            <rFont val="Tahoma"/>
            <family val="2"/>
          </rPr>
          <t>Ashok Chilukuri:</t>
        </r>
        <r>
          <rPr>
            <sz val="9"/>
            <color indexed="81"/>
            <rFont val="Tahoma"/>
            <family val="2"/>
          </rPr>
          <t xml:space="preserve">
Stock going up after went down a  lot</t>
        </r>
      </text>
    </comment>
    <comment ref="DM1" authorId="0" shapeId="0" xr:uid="{F8D0536D-FC4C-4AA6-95F6-1262FD3F6199}">
      <text>
        <r>
          <rPr>
            <b/>
            <sz val="9"/>
            <color indexed="81"/>
            <rFont val="Tahoma"/>
            <family val="2"/>
          </rPr>
          <t>Ashok Chilukuri:</t>
        </r>
        <r>
          <rPr>
            <sz val="9"/>
            <color indexed="81"/>
            <rFont val="Tahoma"/>
            <family val="2"/>
          </rPr>
          <t xml:space="preserve">
Going up, Trend is above trade. Confirmed by MACD and Days Perf</t>
        </r>
      </text>
    </comment>
    <comment ref="DO1" authorId="0" shapeId="0" xr:uid="{AC0CC9A9-3AE5-43D7-804B-A2F8273DCB31}">
      <text>
        <r>
          <rPr>
            <b/>
            <sz val="9"/>
            <color indexed="81"/>
            <rFont val="Tahoma"/>
            <family val="2"/>
          </rPr>
          <t>Ashok Chilukuri:</t>
        </r>
        <r>
          <rPr>
            <sz val="9"/>
            <color indexed="81"/>
            <rFont val="Tahoma"/>
            <family val="2"/>
          </rPr>
          <t xml:space="preserve">
Going up, not  trending or trading and Low end of the range. Confirmed by MACD and days</t>
        </r>
      </text>
    </comment>
    <comment ref="DQ1" authorId="0" shapeId="0" xr:uid="{D3A8F2ED-A1D5-415C-9166-FFE214D08351}">
      <text>
        <r>
          <rPr>
            <b/>
            <sz val="9"/>
            <color indexed="81"/>
            <rFont val="Tahoma"/>
            <family val="2"/>
          </rPr>
          <t>Ashok Chilukuri:</t>
        </r>
        <r>
          <rPr>
            <sz val="9"/>
            <color indexed="81"/>
            <rFont val="Tahoma"/>
            <family val="2"/>
          </rPr>
          <t xml:space="preserve">
Going up, not  trending or trading and Low end of the range. Confirmed by MACD and days</t>
        </r>
      </text>
    </comment>
    <comment ref="DS1" authorId="0" shapeId="0" xr:uid="{F9F3627A-2366-4C70-9564-B32D73B84477}">
      <text>
        <r>
          <rPr>
            <b/>
            <sz val="9"/>
            <color indexed="81"/>
            <rFont val="Tahoma"/>
            <family val="2"/>
          </rPr>
          <t>Ashok Chilukuri:</t>
        </r>
        <r>
          <rPr>
            <sz val="9"/>
            <color indexed="81"/>
            <rFont val="Tahoma"/>
            <family val="2"/>
          </rPr>
          <t xml:space="preserve">
Meets all minimum required criteria</t>
        </r>
      </text>
    </comment>
    <comment ref="DU1" authorId="0" shapeId="0" xr:uid="{B5C6F890-C3CA-4D98-A0F3-14A30762ABED}">
      <text>
        <r>
          <rPr>
            <b/>
            <sz val="9"/>
            <color indexed="81"/>
            <rFont val="Tahoma"/>
            <family val="2"/>
          </rPr>
          <t>Ashok Chilukuri:</t>
        </r>
        <r>
          <rPr>
            <sz val="9"/>
            <color indexed="81"/>
            <rFont val="Tahoma"/>
            <family val="2"/>
          </rPr>
          <t xml:space="preserve">
Meets all minimum required criteria</t>
        </r>
      </text>
    </comment>
    <comment ref="DW1" authorId="0" shapeId="0" xr:uid="{325553EC-A9DA-492B-A104-9D734F5EEF9F}">
      <text>
        <r>
          <rPr>
            <b/>
            <sz val="9"/>
            <color indexed="81"/>
            <rFont val="Tahoma"/>
            <family val="2"/>
          </rPr>
          <t>Ashok Chilukuri:</t>
        </r>
        <r>
          <rPr>
            <sz val="9"/>
            <color indexed="81"/>
            <rFont val="Tahoma"/>
            <family val="2"/>
          </rPr>
          <t xml:space="preserve">
Meets all minimum required criteria</t>
        </r>
      </text>
    </comment>
    <comment ref="DY1" authorId="0" shapeId="0" xr:uid="{9802D704-C994-4EC4-8A8A-0A774A5F6472}">
      <text>
        <r>
          <rPr>
            <b/>
            <sz val="9"/>
            <color indexed="81"/>
            <rFont val="Tahoma"/>
            <family val="2"/>
          </rPr>
          <t>Ashok Chilukuri:</t>
        </r>
        <r>
          <rPr>
            <sz val="9"/>
            <color indexed="81"/>
            <rFont val="Tahoma"/>
            <family val="2"/>
          </rPr>
          <t xml:space="preserve">
Above Trend, close&gt;Trade and low at BRR</t>
        </r>
      </text>
    </comment>
    <comment ref="EA1" authorId="0" shapeId="0" xr:uid="{C18056C5-CA15-4923-8B2C-E3DC128D1DEA}">
      <text>
        <r>
          <rPr>
            <b/>
            <sz val="9"/>
            <color indexed="81"/>
            <rFont val="Tahoma"/>
            <family val="2"/>
          </rPr>
          <t>Ashok Chilukuri:</t>
        </r>
        <r>
          <rPr>
            <sz val="9"/>
            <color indexed="81"/>
            <rFont val="Tahoma"/>
            <family val="2"/>
          </rPr>
          <t xml:space="preserve">
Above Trend, close&gt;Trade and low at BRR</t>
        </r>
      </text>
    </comment>
    <comment ref="EC1" authorId="0" shapeId="0" xr:uid="{D88F7B1B-A0F9-438A-9726-9B9604B2BEC7}">
      <text>
        <r>
          <rPr>
            <b/>
            <sz val="9"/>
            <color indexed="81"/>
            <rFont val="Tahoma"/>
            <family val="2"/>
          </rPr>
          <t>Ashok Chilukuri:</t>
        </r>
        <r>
          <rPr>
            <sz val="9"/>
            <color indexed="81"/>
            <rFont val="Tahoma"/>
            <family val="2"/>
          </rPr>
          <t xml:space="preserve">
Meets all minimum required criteria</t>
        </r>
      </text>
    </comment>
    <comment ref="EE1" authorId="0" shapeId="0" xr:uid="{09A35338-7315-4209-8DC6-A22B1E87A78A}">
      <text>
        <r>
          <rPr>
            <b/>
            <sz val="9"/>
            <color indexed="81"/>
            <rFont val="Tahoma"/>
            <family val="2"/>
          </rPr>
          <t>Ashok Chilukuri:</t>
        </r>
        <r>
          <rPr>
            <sz val="9"/>
            <color indexed="81"/>
            <rFont val="Tahoma"/>
            <family val="2"/>
          </rPr>
          <t xml:space="preserve">
Meets all minimum required criteria</t>
        </r>
      </text>
    </comment>
    <comment ref="EG1" authorId="0" shapeId="0" xr:uid="{26023765-6FCA-4F2D-AE55-09DA773BEB21}">
      <text>
        <r>
          <rPr>
            <b/>
            <sz val="9"/>
            <color indexed="81"/>
            <rFont val="Tahoma"/>
            <family val="2"/>
          </rPr>
          <t>Ashok Chilukuri:</t>
        </r>
        <r>
          <rPr>
            <sz val="9"/>
            <color indexed="81"/>
            <rFont val="Tahoma"/>
            <family val="2"/>
          </rPr>
          <t xml:space="preserve">
Meets all minimum required criteria</t>
        </r>
      </text>
    </comment>
    <comment ref="EI1" authorId="0" shapeId="0" xr:uid="{AF59BC9B-6F7F-425E-A30D-58A4AD4E92D7}">
      <text>
        <r>
          <rPr>
            <b/>
            <sz val="9"/>
            <color indexed="81"/>
            <rFont val="Tahoma"/>
            <family val="2"/>
          </rPr>
          <t>Ashok Chilukuri:</t>
        </r>
        <r>
          <rPr>
            <sz val="9"/>
            <color indexed="81"/>
            <rFont val="Tahoma"/>
            <family val="2"/>
          </rPr>
          <t xml:space="preserve">
Meets all minimum required criteria</t>
        </r>
      </text>
    </comment>
    <comment ref="EK1" authorId="0" shapeId="0" xr:uid="{A962218E-CDD8-4606-8A7B-668525AA8D56}">
      <text>
        <r>
          <rPr>
            <b/>
            <sz val="9"/>
            <color indexed="81"/>
            <rFont val="Tahoma"/>
            <family val="2"/>
          </rPr>
          <t>Ashok Chilukuri:</t>
        </r>
        <r>
          <rPr>
            <sz val="9"/>
            <color indexed="81"/>
            <rFont val="Tahoma"/>
            <family val="2"/>
          </rPr>
          <t xml:space="preserve">
Meets all minimum required criteria</t>
        </r>
      </text>
    </comment>
    <comment ref="EM1" authorId="0" shapeId="0" xr:uid="{AA1351E7-CF2B-4345-A404-748ED7A7562E}">
      <text>
        <r>
          <rPr>
            <b/>
            <sz val="9"/>
            <color indexed="81"/>
            <rFont val="Tahoma"/>
            <family val="2"/>
          </rPr>
          <t>Ashok Chilukuri:</t>
        </r>
        <r>
          <rPr>
            <sz val="9"/>
            <color indexed="81"/>
            <rFont val="Tahoma"/>
            <family val="2"/>
          </rPr>
          <t xml:space="preserve">
Meets all minimum required criteria</t>
        </r>
      </text>
    </comment>
    <comment ref="EO1" authorId="0" shapeId="0" xr:uid="{BD1706FE-7397-4C4F-AF49-323C8253CE3C}">
      <text>
        <r>
          <rPr>
            <b/>
            <sz val="9"/>
            <color indexed="81"/>
            <rFont val="Tahoma"/>
            <family val="2"/>
          </rPr>
          <t>Ashok Chilukuri:</t>
        </r>
        <r>
          <rPr>
            <sz val="9"/>
            <color indexed="81"/>
            <rFont val="Tahoma"/>
            <family val="2"/>
          </rPr>
          <t xml:space="preserve">
Meets all minimum required criteria</t>
        </r>
      </text>
    </comment>
    <comment ref="EQ1" authorId="0" shapeId="0" xr:uid="{7D5102A4-11BA-4E07-B34B-E6A3C3F8A927}">
      <text>
        <r>
          <rPr>
            <b/>
            <sz val="9"/>
            <color indexed="81"/>
            <rFont val="Tahoma"/>
            <family val="2"/>
          </rPr>
          <t>Ashok Chilukuri:</t>
        </r>
        <r>
          <rPr>
            <sz val="9"/>
            <color indexed="81"/>
            <rFont val="Tahoma"/>
            <family val="2"/>
          </rPr>
          <t xml:space="preserve">
Non BULL. Top end of risk range, RSI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Ashok Chilukuri</author>
  </authors>
  <commentList>
    <comment ref="AG1" authorId="0" shapeId="0" xr:uid="{48007D9B-B4FB-4E10-B4DF-9230D01C9813}">
      <text>
        <r>
          <rPr>
            <b/>
            <sz val="9"/>
            <color indexed="81"/>
            <rFont val="Tahoma"/>
            <family val="2"/>
          </rPr>
          <t>Ashok Chilukuri:</t>
        </r>
        <r>
          <rPr>
            <sz val="9"/>
            <color indexed="81"/>
            <rFont val="Tahoma"/>
            <family val="2"/>
          </rPr>
          <t xml:space="preserve">
SD of price from Trend</t>
        </r>
      </text>
    </comment>
    <comment ref="AH1" authorId="0" shapeId="0" xr:uid="{2EB76B46-D50B-4E0E-8D7E-CEDA170F650B}">
      <text>
        <r>
          <rPr>
            <b/>
            <sz val="9"/>
            <color indexed="81"/>
            <rFont val="Tahoma"/>
            <family val="2"/>
          </rPr>
          <t>Ashok Chilukuri:</t>
        </r>
        <r>
          <rPr>
            <sz val="9"/>
            <color indexed="81"/>
            <rFont val="Tahoma"/>
            <family val="2"/>
          </rPr>
          <t xml:space="preserve">
SD of price from Trade</t>
        </r>
      </text>
    </comment>
    <comment ref="AI1" authorId="0" shapeId="0" xr:uid="{5C22DCDA-98AB-45DE-AAA5-E007296F3100}">
      <text>
        <r>
          <rPr>
            <b/>
            <sz val="9"/>
            <color indexed="81"/>
            <rFont val="Tahoma"/>
            <family val="2"/>
          </rPr>
          <t>Ashok Chilukuri:</t>
        </r>
        <r>
          <rPr>
            <sz val="9"/>
            <color indexed="81"/>
            <rFont val="Tahoma"/>
            <family val="2"/>
          </rPr>
          <t xml:space="preserve">
SD between Trend and Trade. +ve if Trade &gt; Trend.</t>
        </r>
      </text>
    </comment>
    <comment ref="AK1" authorId="0" shapeId="0" xr:uid="{7EEE7732-C87F-4B82-A4A7-CC1736563E31}">
      <text>
        <r>
          <rPr>
            <b/>
            <sz val="9"/>
            <color indexed="81"/>
            <rFont val="Tahoma"/>
            <family val="2"/>
          </rPr>
          <t>Ashok Chilukuri:</t>
        </r>
        <r>
          <rPr>
            <sz val="9"/>
            <color indexed="81"/>
            <rFont val="Tahoma"/>
            <family val="2"/>
          </rPr>
          <t xml:space="preserve">
Touched BB relative to current price. If negative number it touched bottom BB and stock is going up, if positive number it touched top BB and stock is going down.</t>
        </r>
      </text>
    </comment>
    <comment ref="AM1" authorId="0" shapeId="0" xr:uid="{AE00C479-F359-47D3-93B4-1732B34EB091}">
      <text>
        <r>
          <rPr>
            <b/>
            <sz val="9"/>
            <color indexed="81"/>
            <rFont val="Tahoma"/>
            <family val="2"/>
          </rPr>
          <t>Ashok Chilukuri:</t>
        </r>
        <r>
          <rPr>
            <sz val="9"/>
            <color indexed="81"/>
            <rFont val="Tahoma"/>
            <family val="2"/>
          </rPr>
          <t xml:space="preserve">
Days ago it touched last high low. If the number is high and high low is negative, stock is going higher and higher. If the number is high and high low is positive, stock is going lower and lower.</t>
        </r>
      </text>
    </comment>
    <comment ref="AN1" authorId="0" shapeId="0" xr:uid="{6AA4000A-7B32-42A2-8329-C43E72A48659}">
      <text>
        <r>
          <rPr>
            <b/>
            <sz val="9"/>
            <color indexed="81"/>
            <rFont val="Tahoma"/>
            <family val="2"/>
          </rPr>
          <t>Ashok Chilukuri:</t>
        </r>
        <r>
          <rPr>
            <sz val="9"/>
            <color indexed="81"/>
            <rFont val="Tahoma"/>
            <family val="2"/>
          </rPr>
          <t xml:space="preserve">
If BB top touched at least one day back and last price is still above that value, +1 otherwise -1
if BB bottom touched at least one day back and last price is below that value, -1 otherwise +1</t>
        </r>
      </text>
    </comment>
    <comment ref="AO1" authorId="0" shapeId="0" xr:uid="{26C7AF7A-AED2-4CF5-8AB3-27B7426D6A7E}">
      <text>
        <r>
          <rPr>
            <b/>
            <sz val="9"/>
            <color indexed="81"/>
            <rFont val="Tahoma"/>
            <family val="2"/>
          </rPr>
          <t>Ashok Chilukuri:</t>
        </r>
        <r>
          <rPr>
            <sz val="9"/>
            <color indexed="81"/>
            <rFont val="Tahoma"/>
            <family val="2"/>
          </rPr>
          <t xml:space="preserve">
BB High Low in SD measurement</t>
        </r>
      </text>
    </comment>
    <comment ref="AQ1" authorId="0" shapeId="0" xr:uid="{6BB3B0F3-C3DD-4C6D-AD65-E1B659DA2CBC}">
      <text>
        <r>
          <rPr>
            <b/>
            <sz val="9"/>
            <color indexed="81"/>
            <rFont val="Tahoma"/>
            <family val="2"/>
          </rPr>
          <t>Ashok Chilukuri:</t>
        </r>
        <r>
          <rPr>
            <sz val="9"/>
            <color indexed="81"/>
            <rFont val="Tahoma"/>
            <family val="2"/>
          </rPr>
          <t xml:space="preserve">
Days when BB high touched.</t>
        </r>
      </text>
    </comment>
    <comment ref="AR1" authorId="0" shapeId="0" xr:uid="{CFBB70D0-4D15-44EF-B28A-E440CF0C6080}">
      <text>
        <r>
          <rPr>
            <b/>
            <sz val="9"/>
            <color indexed="81"/>
            <rFont val="Tahoma"/>
            <family val="2"/>
          </rPr>
          <t>Ashok Chilukuri:</t>
        </r>
        <r>
          <rPr>
            <sz val="9"/>
            <color indexed="81"/>
            <rFont val="Tahoma"/>
            <family val="2"/>
          </rPr>
          <t xml:space="preserve">
Days when BB Low touched</t>
        </r>
      </text>
    </comment>
    <comment ref="AS1" authorId="0" shapeId="0" xr:uid="{90722FD8-A51B-46DD-B216-7B0D2A70170D}">
      <text>
        <r>
          <rPr>
            <b/>
            <sz val="9"/>
            <color indexed="81"/>
            <rFont val="Tahoma"/>
            <family val="2"/>
          </rPr>
          <t>Ashok Chilukuri:</t>
        </r>
        <r>
          <rPr>
            <sz val="9"/>
            <color indexed="81"/>
            <rFont val="Tahoma"/>
            <family val="2"/>
          </rPr>
          <t xml:space="preserve">
Value contains prev streak before the event, streak and -1 or +1 if crosses threshold. Streak needs to be adjusted by 1.</t>
        </r>
      </text>
    </comment>
    <comment ref="AW1" authorId="0" shapeId="0" xr:uid="{EC9E30F0-080E-49CC-9BCE-681D42F6C2E2}">
      <text>
        <r>
          <rPr>
            <b/>
            <sz val="9"/>
            <color indexed="81"/>
            <rFont val="Tahoma"/>
            <family val="2"/>
          </rPr>
          <t>Ashok Chilukuri:</t>
        </r>
        <r>
          <rPr>
            <sz val="9"/>
            <color indexed="81"/>
            <rFont val="Tahoma"/>
            <family val="2"/>
          </rPr>
          <t xml:space="preserve">
-1 If crosses BB threshold from top +1 if coming from bottom</t>
        </r>
      </text>
    </comment>
    <comment ref="AX1" authorId="0" shapeId="0" xr:uid="{51E95B8A-7ED6-40EE-BC4E-C26BA7AC160C}">
      <text>
        <r>
          <rPr>
            <b/>
            <sz val="9"/>
            <color indexed="81"/>
            <rFont val="Tahoma"/>
            <family val="2"/>
          </rPr>
          <t>Ashok Chilukuri:</t>
        </r>
        <r>
          <rPr>
            <sz val="9"/>
            <color indexed="81"/>
            <rFont val="Tahoma"/>
            <family val="2"/>
          </rPr>
          <t xml:space="preserve">
Days from threshold cross over</t>
        </r>
      </text>
    </comment>
    <comment ref="AY1" authorId="0" shapeId="0" xr:uid="{F1B26808-E5D0-4B0D-B30F-0975DDC4BF4F}">
      <text>
        <r>
          <rPr>
            <b/>
            <sz val="9"/>
            <color indexed="81"/>
            <rFont val="Tahoma"/>
            <family val="2"/>
          </rPr>
          <t>Ashok Chilukuri:</t>
        </r>
        <r>
          <rPr>
            <sz val="9"/>
            <color indexed="81"/>
            <rFont val="Tahoma"/>
            <family val="2"/>
          </rPr>
          <t xml:space="preserve">
Bridge Band - Number of times touched one side of the BB (Positive - Top, Negative - Bottom)</t>
        </r>
      </text>
    </comment>
    <comment ref="AZ1" authorId="0" shapeId="0" xr:uid="{ED14F43C-855E-407C-84B6-588A070CE1FD}">
      <text>
        <r>
          <rPr>
            <b/>
            <sz val="9"/>
            <color indexed="81"/>
            <rFont val="Tahoma"/>
            <family val="2"/>
          </rPr>
          <t>Ashok Chilukuri:</t>
        </r>
        <r>
          <rPr>
            <sz val="9"/>
            <color indexed="81"/>
            <rFont val="Tahoma"/>
            <family val="2"/>
          </rPr>
          <t xml:space="preserve">
Bridge Band - Number of days last time tocuched bridge band top or bottom</t>
        </r>
      </text>
    </comment>
    <comment ref="CI1" authorId="0" shapeId="0" xr:uid="{7F338B84-A1D5-427D-BE8C-62C93A599B74}">
      <text>
        <r>
          <rPr>
            <b/>
            <sz val="9"/>
            <color indexed="81"/>
            <rFont val="Tahoma"/>
            <family val="2"/>
          </rPr>
          <t>Ashok Chilukuri:</t>
        </r>
        <r>
          <rPr>
            <sz val="9"/>
            <color indexed="81"/>
            <rFont val="Tahoma"/>
            <family val="2"/>
          </rPr>
          <t xml:space="preserve">
MACD in the range of -1 to 1</t>
        </r>
      </text>
    </comment>
    <comment ref="CK1" authorId="0" shapeId="0" xr:uid="{BBF86603-ECEC-4F35-A71A-B95422841A75}">
      <text>
        <r>
          <rPr>
            <b/>
            <sz val="9"/>
            <color indexed="81"/>
            <rFont val="Tahoma"/>
            <family val="2"/>
          </rPr>
          <t>Ashok Chilukuri:</t>
        </r>
        <r>
          <rPr>
            <sz val="9"/>
            <color indexed="81"/>
            <rFont val="Tahoma"/>
            <family val="2"/>
          </rPr>
          <t xml:space="preserve">
MACDH in the range of -1 to 1</t>
        </r>
      </text>
    </comment>
    <comment ref="DW1" authorId="0" shapeId="0" xr:uid="{581182D6-AF65-4858-95B2-D72D905BC947}">
      <text>
        <r>
          <rPr>
            <b/>
            <sz val="9"/>
            <color indexed="81"/>
            <rFont val="Tahoma"/>
            <family val="2"/>
          </rPr>
          <t>Ashok Chilukuri:</t>
        </r>
        <r>
          <rPr>
            <sz val="9"/>
            <color indexed="81"/>
            <rFont val="Tahoma"/>
            <family val="2"/>
          </rPr>
          <t xml:space="preserve">
Percentage from bottom of the BB</t>
        </r>
      </text>
    </comment>
    <comment ref="DX1" authorId="0" shapeId="0" xr:uid="{179AED9B-4F2A-498A-B791-E25A8BC57D13}">
      <text>
        <r>
          <rPr>
            <b/>
            <sz val="9"/>
            <color indexed="81"/>
            <rFont val="Tahoma"/>
            <family val="2"/>
          </rPr>
          <t>Ashok Chilukuri:</t>
        </r>
        <r>
          <rPr>
            <sz val="9"/>
            <color indexed="81"/>
            <rFont val="Tahoma"/>
            <family val="2"/>
          </rPr>
          <t xml:space="preserve">
HE Risk Range</t>
        </r>
      </text>
    </comment>
    <comment ref="DZ1" authorId="0" shapeId="0" xr:uid="{66A8A9BF-68D4-469E-AFC0-7E9A0E8C208A}">
      <text>
        <r>
          <rPr>
            <b/>
            <sz val="9"/>
            <color indexed="81"/>
            <rFont val="Tahoma"/>
            <family val="2"/>
          </rPr>
          <t>Ashok Chilukuri:</t>
        </r>
        <r>
          <rPr>
            <sz val="9"/>
            <color indexed="81"/>
            <rFont val="Tahoma"/>
            <family val="2"/>
          </rPr>
          <t xml:space="preserve">
Percentage from bottom of the BB</t>
        </r>
      </text>
    </comment>
    <comment ref="EA1" authorId="0" shapeId="0" xr:uid="{5A04FF08-FDC7-4F39-8A1A-17C88ED6A887}">
      <text>
        <r>
          <rPr>
            <b/>
            <sz val="9"/>
            <color indexed="81"/>
            <rFont val="Tahoma"/>
            <family val="2"/>
          </rPr>
          <t>Ashok Chilukuri:</t>
        </r>
        <r>
          <rPr>
            <sz val="9"/>
            <color indexed="81"/>
            <rFont val="Tahoma"/>
            <family val="2"/>
          </rPr>
          <t xml:space="preserve">
HE ETF Pro</t>
        </r>
      </text>
    </comment>
    <comment ref="EC1" authorId="0" shapeId="0" xr:uid="{82B3BE79-8534-4FBA-BD69-265500F93D92}">
      <text>
        <r>
          <rPr>
            <b/>
            <sz val="9"/>
            <color indexed="81"/>
            <rFont val="Tahoma"/>
            <family val="2"/>
          </rPr>
          <t>Ashok Chilukuri:</t>
        </r>
        <r>
          <rPr>
            <sz val="9"/>
            <color indexed="81"/>
            <rFont val="Tahoma"/>
            <family val="2"/>
          </rPr>
          <t xml:space="preserve">
HE Risk Range</t>
        </r>
      </text>
    </comment>
    <comment ref="EE1" authorId="0" shapeId="0" xr:uid="{2E5B67A8-281F-4A85-8630-F0D56C073860}">
      <text>
        <r>
          <rPr>
            <b/>
            <sz val="9"/>
            <color indexed="81"/>
            <rFont val="Tahoma"/>
            <family val="2"/>
          </rPr>
          <t>Ashok Chilukuri:</t>
        </r>
        <r>
          <rPr>
            <sz val="9"/>
            <color indexed="81"/>
            <rFont val="Tahoma"/>
            <family val="2"/>
          </rPr>
          <t xml:space="preserve">
Percentage from bottom of the BB</t>
        </r>
      </text>
    </comment>
    <comment ref="EQ1" authorId="0" shapeId="0" xr:uid="{89107337-D89B-490E-A8A1-E7E2237045B0}">
      <text>
        <r>
          <rPr>
            <b/>
            <sz val="9"/>
            <color indexed="81"/>
            <rFont val="Tahoma"/>
            <family val="2"/>
          </rPr>
          <t>Ashok Chilukuri:</t>
        </r>
        <r>
          <rPr>
            <sz val="9"/>
            <color indexed="81"/>
            <rFont val="Tahoma"/>
            <family val="2"/>
          </rPr>
          <t xml:space="preserve">
If TRR is below Trend, Short it</t>
        </r>
      </text>
    </comment>
    <comment ref="ER1" authorId="0" shapeId="0" xr:uid="{13FE36B8-9F78-422B-B572-4496850CBE8C}">
      <text>
        <r>
          <rPr>
            <b/>
            <sz val="9"/>
            <color indexed="81"/>
            <rFont val="Tahoma"/>
            <family val="2"/>
          </rPr>
          <t>Ashok Chilukuri:</t>
        </r>
        <r>
          <rPr>
            <sz val="9"/>
            <color indexed="81"/>
            <rFont val="Tahoma"/>
            <family val="2"/>
          </rPr>
          <t xml:space="preserve">
If BRR &gt; Trade, then buy
</t>
        </r>
      </text>
    </comment>
    <comment ref="FI1" authorId="0" shapeId="0" xr:uid="{1276FF79-0C60-4233-B4AD-8EF55D3475B3}">
      <text>
        <r>
          <rPr>
            <b/>
            <sz val="9"/>
            <color indexed="81"/>
            <rFont val="Tahoma"/>
            <family val="2"/>
          </rPr>
          <t>Ashok Chilukuri:</t>
        </r>
        <r>
          <rPr>
            <sz val="9"/>
            <color indexed="81"/>
            <rFont val="Tahoma"/>
            <family val="2"/>
          </rPr>
          <t xml:space="preserve">
Volume Spike - # of times to avg volume. Last time volume was spiked. Captured price, volatility and days back when it happened.</t>
        </r>
      </text>
    </comment>
    <comment ref="FJ1" authorId="0" shapeId="0" xr:uid="{EE688B3B-4AC7-45FD-9C54-4F50975021BA}">
      <text>
        <r>
          <rPr>
            <b/>
            <sz val="9"/>
            <color indexed="81"/>
            <rFont val="Tahoma"/>
            <family val="2"/>
          </rPr>
          <t>Ashok Chilukuri:</t>
        </r>
        <r>
          <rPr>
            <sz val="9"/>
            <color indexed="81"/>
            <rFont val="Tahoma"/>
            <family val="2"/>
          </rPr>
          <t xml:space="preserve">
What was the price action.</t>
        </r>
      </text>
    </comment>
    <comment ref="FL1" authorId="0" shapeId="0" xr:uid="{3A7E8BD0-5089-410C-9E4D-BAAB9F140428}">
      <text>
        <r>
          <rPr>
            <b/>
            <sz val="9"/>
            <color indexed="81"/>
            <rFont val="Tahoma"/>
            <family val="2"/>
          </rPr>
          <t>Ashok Chilukuri:</t>
        </r>
        <r>
          <rPr>
            <sz val="9"/>
            <color indexed="81"/>
            <rFont val="Tahoma"/>
            <family val="2"/>
          </rPr>
          <t xml:space="preserve">
What was volatility?</t>
        </r>
      </text>
    </comment>
    <comment ref="FM1" authorId="0" shapeId="0" xr:uid="{3EA5C54D-4FD1-4097-9227-D9177122A1B4}">
      <text>
        <r>
          <rPr>
            <b/>
            <sz val="9"/>
            <color indexed="81"/>
            <rFont val="Tahoma"/>
            <family val="2"/>
          </rPr>
          <t>Ashok Chilukuri:</t>
        </r>
        <r>
          <rPr>
            <sz val="9"/>
            <color indexed="81"/>
            <rFont val="Tahoma"/>
            <family val="2"/>
          </rPr>
          <t xml:space="preserve">
How many days ago?</t>
        </r>
      </text>
    </comment>
    <comment ref="FO1" authorId="0" shapeId="0" xr:uid="{5E284CA3-881B-40F3-AF3A-539DC7C11871}">
      <text>
        <r>
          <rPr>
            <b/>
            <sz val="9"/>
            <color indexed="81"/>
            <rFont val="Tahoma"/>
            <family val="2"/>
          </rPr>
          <t>Ashok Chilukuri:</t>
        </r>
        <r>
          <rPr>
            <sz val="9"/>
            <color indexed="81"/>
            <rFont val="Tahoma"/>
            <family val="2"/>
          </rPr>
          <t xml:space="preserve">
If IVP &gt; 80% and comes down (IVP-current ivp&gt;10%) but above 60% and direction is falling IVP3D Avg&lt;IVP7D Avg</t>
        </r>
      </text>
    </comment>
    <comment ref="FQ1" authorId="0" shapeId="0" xr:uid="{651E6AFC-15B2-4306-9617-A5ECC468594B}">
      <text>
        <r>
          <rPr>
            <b/>
            <sz val="9"/>
            <color indexed="81"/>
            <rFont val="Tahoma"/>
            <family val="2"/>
          </rPr>
          <t>Ashok Chilukuri:</t>
        </r>
        <r>
          <rPr>
            <sz val="9"/>
            <color indexed="81"/>
            <rFont val="Tahoma"/>
            <family val="2"/>
          </rPr>
          <t xml:space="preserve">
G2 &lt; 50: IV Percentile is in the lower half of its yearly range (avoiding high-fear events).
Q2/M2 &lt; 1.2: Current IV is not excessively higher than realized HV.
R2 &lt;= S2: Short-term IV is stable or falling.
N2 &lt;= O2: Actual price movement (HV) is stabilizing.</t>
        </r>
      </text>
    </comment>
    <comment ref="FR1" authorId="0" shapeId="0" xr:uid="{134EBF54-5F8C-4290-AD8A-FB1C0B3D0B73}">
      <text>
        <r>
          <rPr>
            <b/>
            <sz val="9"/>
            <color indexed="81"/>
            <rFont val="Tahoma"/>
            <family val="2"/>
          </rPr>
          <t>Ashok Chilukuri:</t>
        </r>
        <r>
          <rPr>
            <sz val="9"/>
            <color indexed="81"/>
            <rFont val="Tahoma"/>
            <family val="2"/>
          </rPr>
          <t xml:space="preserve">
Historic volatility vs Implied volatility</t>
        </r>
      </text>
    </comment>
    <comment ref="JG1" authorId="0" shapeId="0" xr:uid="{04B800C1-03D9-4674-880A-F2262BAACC61}">
      <text>
        <r>
          <rPr>
            <b/>
            <sz val="9"/>
            <color indexed="81"/>
            <rFont val="Tahoma"/>
            <family val="2"/>
          </rPr>
          <t>Ashok Chilukuri:</t>
        </r>
        <r>
          <rPr>
            <sz val="9"/>
            <color indexed="81"/>
            <rFont val="Tahoma"/>
            <family val="2"/>
          </rPr>
          <t xml:space="preserve">
MACD Histogram direction. Positive or Negative. +1 going up -1 going down</t>
        </r>
      </text>
    </comment>
    <comment ref="JH1" authorId="0" shapeId="0" xr:uid="{284BB276-3FBF-4068-BCA8-66D100AA6E32}">
      <text>
        <r>
          <rPr>
            <b/>
            <sz val="9"/>
            <color indexed="81"/>
            <rFont val="Tahoma"/>
            <family val="2"/>
          </rPr>
          <t>Ashok Chilukuri:</t>
        </r>
        <r>
          <rPr>
            <sz val="9"/>
            <color indexed="81"/>
            <rFont val="Tahoma"/>
            <family val="2"/>
          </rPr>
          <t xml:space="preserve">
Ashok Chilukuri:
MACD direction. Positive or Negative. +1 going up -1 going down</t>
        </r>
      </text>
    </comment>
    <comment ref="JI1" authorId="0" shapeId="0" xr:uid="{39463230-DC4E-42D8-A45D-F155A34BBC56}">
      <text>
        <r>
          <rPr>
            <b/>
            <sz val="9"/>
            <color indexed="81"/>
            <rFont val="Tahoma"/>
            <family val="2"/>
          </rPr>
          <t>Ashok Chilukuri:</t>
        </r>
        <r>
          <rPr>
            <sz val="9"/>
            <color indexed="81"/>
            <rFont val="Tahoma"/>
            <family val="2"/>
          </rPr>
          <t xml:space="preserve">
Bridge Band Direction. Going up or down. +1 if going up -1 if going down</t>
        </r>
      </text>
    </comment>
    <comment ref="JJ1" authorId="0" shapeId="0" xr:uid="{0393D8A0-A337-4D4A-AECB-2BE38CC68C06}">
      <text>
        <r>
          <rPr>
            <b/>
            <sz val="9"/>
            <color indexed="81"/>
            <rFont val="Tahoma"/>
            <family val="2"/>
          </rPr>
          <t>Ashok Chilukuri:</t>
        </r>
        <r>
          <rPr>
            <sz val="9"/>
            <color indexed="81"/>
            <rFont val="Tahoma"/>
            <family val="2"/>
          </rPr>
          <t xml:space="preserve">
BB Threshold Cross over. +1 if going up from bottom. -1 if going down from top.</t>
        </r>
      </text>
    </comment>
    <comment ref="JS1" authorId="0" shapeId="0" xr:uid="{ADCC36D7-21CE-4726-B715-2DD9EE92A198}">
      <text>
        <r>
          <rPr>
            <b/>
            <sz val="9"/>
            <color indexed="81"/>
            <rFont val="Tahoma"/>
            <family val="2"/>
          </rPr>
          <t>Ashok Chilukuri:</t>
        </r>
        <r>
          <rPr>
            <sz val="9"/>
            <color indexed="81"/>
            <rFont val="Tahoma"/>
            <family val="2"/>
          </rPr>
          <t xml:space="preserve">
If Trade is below Trend, take Trade rule otherwise take Trend rule</t>
        </r>
      </text>
    </comment>
    <comment ref="JT1" authorId="0" shapeId="0" xr:uid="{5BE15DC8-36E0-456F-AE4E-D55A26C48389}">
      <text>
        <r>
          <rPr>
            <b/>
            <sz val="9"/>
            <color indexed="81"/>
            <rFont val="Tahoma"/>
            <family val="2"/>
          </rPr>
          <t>Ashok Chilukuri:</t>
        </r>
        <r>
          <rPr>
            <sz val="9"/>
            <color indexed="81"/>
            <rFont val="Tahoma"/>
            <family val="2"/>
          </rPr>
          <t xml:space="preserve">
+ve If Trend &lt; Trade or Price is above Trade</t>
        </r>
      </text>
    </comment>
    <comment ref="JV1" authorId="0" shapeId="0" xr:uid="{4DF5CF11-82E5-4AC3-8F36-9DD01C3BD926}">
      <text>
        <r>
          <rPr>
            <b/>
            <sz val="9"/>
            <color indexed="81"/>
            <rFont val="Tahoma"/>
            <family val="2"/>
          </rPr>
          <t>Ashok Chilukuri:</t>
        </r>
        <r>
          <rPr>
            <sz val="9"/>
            <color indexed="81"/>
            <rFont val="Tahoma"/>
            <family val="2"/>
          </rPr>
          <t xml:space="preserve">
SD between Trend and Trade</t>
        </r>
      </text>
    </comment>
    <comment ref="KS1" authorId="0" shapeId="0" xr:uid="{C8EB9B02-837B-4BDC-9C5D-7D99E4FBBB6E}">
      <text>
        <r>
          <rPr>
            <b/>
            <sz val="9"/>
            <color indexed="81"/>
            <rFont val="Tahoma"/>
            <family val="2"/>
          </rPr>
          <t>Ashok Chilukuri:</t>
        </r>
        <r>
          <rPr>
            <sz val="9"/>
            <color indexed="81"/>
            <rFont val="Tahoma"/>
            <family val="2"/>
          </rPr>
          <t xml:space="preserve">
Exclude if low IV Rank and IV percentile</t>
        </r>
      </text>
    </comment>
    <comment ref="KT1" authorId="0" shapeId="0" xr:uid="{A125DDA2-8F1D-4830-8943-8A4EFDA44659}">
      <text>
        <r>
          <rPr>
            <b/>
            <sz val="9"/>
            <color indexed="81"/>
            <rFont val="Tahoma"/>
            <family val="2"/>
          </rPr>
          <t>Ashok Chilukuri:</t>
        </r>
        <r>
          <rPr>
            <sz val="9"/>
            <color indexed="81"/>
            <rFont val="Tahoma"/>
            <family val="2"/>
          </rPr>
          <t xml:space="preserve">
if IVRank and IVPerc are low, Buy
if IVRank and IVPerc are High, Sell</t>
        </r>
      </text>
    </comment>
    <comment ref="NA1" authorId="0" shapeId="0" xr:uid="{2F37BAF3-6BA0-4D5E-A0A4-6271CCF05D03}">
      <text>
        <r>
          <rPr>
            <b/>
            <sz val="9"/>
            <color indexed="81"/>
            <rFont val="Tahoma"/>
            <family val="2"/>
          </rPr>
          <t>Ashok Chilukuri:</t>
        </r>
        <r>
          <rPr>
            <sz val="9"/>
            <color indexed="81"/>
            <rFont val="Tahoma"/>
            <family val="2"/>
          </rPr>
          <t xml:space="preserve">
BRR is close toTrade</t>
        </r>
      </text>
    </comment>
    <comment ref="NB1" authorId="0" shapeId="0" xr:uid="{8CA1247C-1BFA-4C7B-9AD1-7BCF43C5CB38}">
      <text>
        <r>
          <rPr>
            <b/>
            <sz val="9"/>
            <color indexed="81"/>
            <rFont val="Tahoma"/>
            <family val="2"/>
          </rPr>
          <t>Ashok Chilukuri:</t>
        </r>
        <r>
          <rPr>
            <sz val="9"/>
            <color indexed="81"/>
            <rFont val="Tahoma"/>
            <family val="2"/>
          </rPr>
          <t xml:space="preserve">
TRR is close to Trade</t>
        </r>
      </text>
    </comment>
    <comment ref="NC1" authorId="0" shapeId="0" xr:uid="{1BD884D2-75BA-4906-A02D-D068768E6107}">
      <text>
        <r>
          <rPr>
            <b/>
            <sz val="9"/>
            <color indexed="81"/>
            <rFont val="Tahoma"/>
            <family val="2"/>
          </rPr>
          <t>Ashok Chilukuri:</t>
        </r>
        <r>
          <rPr>
            <sz val="9"/>
            <color indexed="81"/>
            <rFont val="Tahoma"/>
            <family val="2"/>
          </rPr>
          <t xml:space="preserve">
If stock goes above one of the markers ( 50 DMA, 200 DMA) and comes back down. Note it as a Resistance. Sell Some in this case.
</t>
        </r>
      </text>
    </comment>
    <comment ref="ND1" authorId="0" shapeId="0" xr:uid="{FBC6986F-4819-4707-9A38-C2161D97041A}">
      <text>
        <r>
          <rPr>
            <b/>
            <sz val="9"/>
            <color indexed="81"/>
            <rFont val="Tahoma"/>
            <family val="2"/>
          </rPr>
          <t>Ashok Chilukuri:</t>
        </r>
        <r>
          <rPr>
            <sz val="9"/>
            <color indexed="81"/>
            <rFont val="Tahoma"/>
            <family val="2"/>
          </rPr>
          <t xml:space="preserve">
If stock goes below one of the markers (50 DMA, 200 DMA) and comes back up. Note it as a Resistance. Buy Some in this case.
</t>
        </r>
      </text>
    </comment>
    <comment ref="RZ1" authorId="0" shapeId="0" xr:uid="{5CCD89AA-D667-4436-AA28-6DF6B235614A}">
      <text>
        <r>
          <rPr>
            <b/>
            <sz val="9"/>
            <color indexed="81"/>
            <rFont val="Tahoma"/>
            <family val="2"/>
          </rPr>
          <t>Ashok Chilukuri:</t>
        </r>
        <r>
          <rPr>
            <sz val="9"/>
            <color indexed="81"/>
            <rFont val="Tahoma"/>
            <family val="2"/>
          </rPr>
          <t xml:space="preserve">
If not specified by HE specify SS as HE. If not used in ENTRY use it in CONT</t>
        </r>
      </text>
    </comment>
    <comment ref="SH1" authorId="0" shapeId="0" xr:uid="{1B26E7CE-22E8-471A-A73D-0C7E7AACB934}">
      <text>
        <r>
          <rPr>
            <b/>
            <sz val="9"/>
            <color indexed="81"/>
            <rFont val="Tahoma"/>
            <family val="2"/>
          </rPr>
          <t>Ashok Chilukuri:</t>
        </r>
        <r>
          <rPr>
            <sz val="9"/>
            <color indexed="81"/>
            <rFont val="Tahoma"/>
            <family val="2"/>
          </rPr>
          <t xml:space="preserve">
Ashok Chilukuri:
If not specified by HE specify SS as HE. If not used in ENTRY use it in CONT</t>
        </r>
      </text>
    </comment>
    <comment ref="WH1" authorId="0" shapeId="0" xr:uid="{16275877-428F-472A-81DB-31A248637AD1}">
      <text>
        <r>
          <rPr>
            <b/>
            <sz val="9"/>
            <color indexed="81"/>
            <rFont val="Tahoma"/>
            <family val="2"/>
          </rPr>
          <t>Ashok Chilukuri:</t>
        </r>
        <r>
          <rPr>
            <sz val="9"/>
            <color indexed="81"/>
            <rFont val="Tahoma"/>
            <family val="2"/>
          </rPr>
          <t xml:space="preserve">
If IVP &gt; 80% and comes down (IVP-current ivp&gt;10%) but above 60% and direction is falling IVP3D Avg&lt;IVP7D Avg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Ashok Chilukuri</author>
  </authors>
  <commentList>
    <comment ref="AI1" authorId="0" shapeId="0" xr:uid="{4CA9F2C8-1A06-4DF7-B042-EF710985F57F}">
      <text>
        <r>
          <rPr>
            <b/>
            <sz val="9"/>
            <color indexed="81"/>
            <rFont val="Tahoma"/>
            <family val="2"/>
          </rPr>
          <t>Ashok Chilukuri:</t>
        </r>
        <r>
          <rPr>
            <sz val="9"/>
            <color indexed="81"/>
            <rFont val="Tahoma"/>
            <family val="2"/>
          </rPr>
          <t xml:space="preserve">
If IVP &gt; 80% and comes down (IVP-current ivp&gt;10%) but above 60% and direction is falling IVP3D Avg&lt;IVP7D Avg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Ashok Chilukuri</author>
  </authors>
  <commentList>
    <comment ref="Z1" authorId="0" shapeId="0" xr:uid="{C451E855-2BB9-4E8F-8613-2B4DA966D5D6}">
      <text>
        <r>
          <rPr>
            <b/>
            <sz val="9"/>
            <color indexed="81"/>
            <rFont val="Tahoma"/>
            <family val="2"/>
          </rPr>
          <t>Ashok Chilukuri:</t>
        </r>
        <r>
          <rPr>
            <sz val="9"/>
            <color indexed="81"/>
            <rFont val="Tahoma"/>
            <family val="2"/>
          </rPr>
          <t xml:space="preserve">
if there is a rank today, rank it in reverse order (rank with 1 will have max value), else if there was a value 3 months ago or no change then assign drop off value -100.</t>
        </r>
      </text>
    </comment>
    <comment ref="AJ2" authorId="0" shapeId="0" xr:uid="{4A078893-F791-4C37-AD2B-5D7FB75B822B}">
      <text>
        <r>
          <rPr>
            <b/>
            <sz val="9"/>
            <color indexed="81"/>
            <rFont val="Tahoma"/>
            <family val="2"/>
          </rPr>
          <t>Ashok Chilukuri:</t>
        </r>
        <r>
          <rPr>
            <sz val="9"/>
            <color indexed="81"/>
            <rFont val="Tahoma"/>
            <family val="2"/>
          </rPr>
          <t xml:space="preserve">
=IF(B2&gt;0,MAX(MIN(AB2:AC2),1000),-100)
use this to change max allowed for other rows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<sst xmlns="http://schemas.openxmlformats.org/spreadsheetml/2006/main" count="16331" uniqueCount="3496">
  <si>
    <t>TSLA</t>
  </si>
  <si>
    <t>AAPL</t>
  </si>
  <si>
    <t>META</t>
  </si>
  <si>
    <t>GOOGL</t>
  </si>
  <si>
    <t>NFLX</t>
  </si>
  <si>
    <t>Stock</t>
  </si>
  <si>
    <t>Symbol</t>
  </si>
  <si>
    <t>Date</t>
  </si>
  <si>
    <t>Time</t>
  </si>
  <si>
    <t>Change</t>
  </si>
  <si>
    <t>Open</t>
  </si>
  <si>
    <t>High</t>
  </si>
  <si>
    <t>Low</t>
  </si>
  <si>
    <t>Volume</t>
  </si>
  <si>
    <t>XLU</t>
  </si>
  <si>
    <t>ITA</t>
  </si>
  <si>
    <t>XLV</t>
  </si>
  <si>
    <t>XLP</t>
  </si>
  <si>
    <t>UUP</t>
  </si>
  <si>
    <t>HYG</t>
  </si>
  <si>
    <t>XLK</t>
  </si>
  <si>
    <t>AMZN</t>
  </si>
  <si>
    <t>MSFT</t>
  </si>
  <si>
    <t>^IXIC</t>
  </si>
  <si>
    <t>^SPX</t>
  </si>
  <si>
    <t>^RUT</t>
  </si>
  <si>
    <t>^TNX</t>
  </si>
  <si>
    <t>^TYX</t>
  </si>
  <si>
    <t>Ticker</t>
  </si>
  <si>
    <t>^VIX</t>
  </si>
  <si>
    <t>Buy Trade</t>
  </si>
  <si>
    <t>Sell Trade</t>
  </si>
  <si>
    <t>HG=F</t>
  </si>
  <si>
    <t>SI=F</t>
  </si>
  <si>
    <t>CL=F</t>
  </si>
  <si>
    <t>NG=F</t>
  </si>
  <si>
    <t>CADUSD=X</t>
  </si>
  <si>
    <t>GBPUSD=X</t>
  </si>
  <si>
    <t>EURUSD=X</t>
  </si>
  <si>
    <t>^N225</t>
  </si>
  <si>
    <t>000001.SS</t>
  </si>
  <si>
    <t>Index</t>
  </si>
  <si>
    <t>BEARISH</t>
  </si>
  <si>
    <t>BULLISH</t>
  </si>
  <si>
    <t>NEUTRAL</t>
  </si>
  <si>
    <t>VIX</t>
  </si>
  <si>
    <t>Vix Expiration</t>
  </si>
  <si>
    <t>Fed Meeting</t>
  </si>
  <si>
    <t>Monthly Exp</t>
  </si>
  <si>
    <t>Qtly Exp</t>
  </si>
  <si>
    <t>Economic Indicator</t>
  </si>
  <si>
    <t>Weight</t>
  </si>
  <si>
    <t>Days</t>
  </si>
  <si>
    <t>Beige Book</t>
  </si>
  <si>
    <t>URL</t>
  </si>
  <si>
    <t>https://www.chicagofed.org/research/data/data-release-calendar</t>
  </si>
  <si>
    <t>https://www.investing.com/economic-calendar/durable-goods-orders-86</t>
  </si>
  <si>
    <t>https://www.bea.gov/news/schedule</t>
  </si>
  <si>
    <t>https://www.bea.gov/data/personal-consumption-expenditures-price-index</t>
  </si>
  <si>
    <t>https://marketnews.com/topics/fomc-meeting-calendar-market-news/</t>
  </si>
  <si>
    <t>https://www.ismworld.org/supply-management-news-and-reports/reports/rob-report-calendar/</t>
  </si>
  <si>
    <t>https://www.bls.gov/schedule/news_release/empsit.htm</t>
  </si>
  <si>
    <t>https://www.bls.gov/schedule/news_release/cpi.htm</t>
  </si>
  <si>
    <t>https://cdn.cboe.com/resources/options/Cboe2022OPTIONSCalendar.pdf</t>
  </si>
  <si>
    <t>https://www.bls.gov/schedule/news_release/ppi.htm</t>
  </si>
  <si>
    <t>http://www.sca.isr.umich.edu/</t>
  </si>
  <si>
    <t>FMOC Minutes</t>
  </si>
  <si>
    <t>New Home Sales</t>
  </si>
  <si>
    <t>Existing Home Sales</t>
  </si>
  <si>
    <t>Pending Home Sales</t>
  </si>
  <si>
    <t>https://www.nar.realtor/newsroom/nar-statistical-news-release-schedule</t>
  </si>
  <si>
    <t>Retail Sales</t>
  </si>
  <si>
    <t>https://www.census.gov/retail/release_schedule.html</t>
  </si>
  <si>
    <t xml:space="preserve">Durable goods </t>
  </si>
  <si>
    <t xml:space="preserve">ISM Mfg </t>
  </si>
  <si>
    <t xml:space="preserve">Nonfarm payrolls </t>
  </si>
  <si>
    <t>Fed meeting  minutes</t>
  </si>
  <si>
    <t>VIX expiration</t>
  </si>
  <si>
    <t>Wholesale Inventories</t>
  </si>
  <si>
    <t>https://www.investing.com/economic-calendar/wholesale-inventories-305</t>
  </si>
  <si>
    <t>Personal Consumption Expenditures - PCE</t>
  </si>
  <si>
    <t xml:space="preserve">Gross domestic product - GDP </t>
  </si>
  <si>
    <t>Consumer Price Index - PPI</t>
  </si>
  <si>
    <t>Asset Class</t>
  </si>
  <si>
    <t>US Dollar</t>
  </si>
  <si>
    <t>GDX</t>
  </si>
  <si>
    <t>GLD</t>
  </si>
  <si>
    <t>PPLT</t>
  </si>
  <si>
    <t>SLV</t>
  </si>
  <si>
    <t>Utilities</t>
  </si>
  <si>
    <t>GDXJ</t>
  </si>
  <si>
    <t>SPLV</t>
  </si>
  <si>
    <t>SILJ</t>
  </si>
  <si>
    <t>SIL</t>
  </si>
  <si>
    <t>ENZL</t>
  </si>
  <si>
    <t>EWH</t>
  </si>
  <si>
    <t>KWEB</t>
  </si>
  <si>
    <t>GRID</t>
  </si>
  <si>
    <t>Consumer Staples</t>
  </si>
  <si>
    <t>BTAL</t>
  </si>
  <si>
    <t>Commodities</t>
  </si>
  <si>
    <t>Consumer Discretionary</t>
  </si>
  <si>
    <t>XLY</t>
  </si>
  <si>
    <t>Retail</t>
  </si>
  <si>
    <t>XRT</t>
  </si>
  <si>
    <t>GK</t>
  </si>
  <si>
    <t>JNK</t>
  </si>
  <si>
    <t>QQQ</t>
  </si>
  <si>
    <t>IWM</t>
  </si>
  <si>
    <t>EWI</t>
  </si>
  <si>
    <t>GVIP</t>
  </si>
  <si>
    <t>FXE</t>
  </si>
  <si>
    <t>BITO</t>
  </si>
  <si>
    <t>UAE</t>
  </si>
  <si>
    <t>SKYY</t>
  </si>
  <si>
    <t>KRE</t>
  </si>
  <si>
    <t>WCLD</t>
  </si>
  <si>
    <t>WGMI</t>
  </si>
  <si>
    <t>^GDAXI</t>
  </si>
  <si>
    <t>^NYICDX</t>
  </si>
  <si>
    <t>GC=F</t>
  </si>
  <si>
    <t>Value</t>
  </si>
  <si>
    <t>Stocks</t>
  </si>
  <si>
    <t>SHOP</t>
  </si>
  <si>
    <t>DKNG</t>
  </si>
  <si>
    <t>ENVX</t>
  </si>
  <si>
    <t>QS</t>
  </si>
  <si>
    <t>BYD</t>
  </si>
  <si>
    <t>Total</t>
  </si>
  <si>
    <t>COF</t>
  </si>
  <si>
    <t>VXX</t>
  </si>
  <si>
    <t>Type</t>
  </si>
  <si>
    <t>My</t>
  </si>
  <si>
    <t>AMD</t>
  </si>
  <si>
    <t>COIN</t>
  </si>
  <si>
    <t>CRM</t>
  </si>
  <si>
    <t>MDB</t>
  </si>
  <si>
    <t>MSTR</t>
  </si>
  <si>
    <t>NVDA</t>
  </si>
  <si>
    <t>OKTA</t>
  </si>
  <si>
    <t>PYPL</t>
  </si>
  <si>
    <t>QCOM</t>
  </si>
  <si>
    <t>SNOW</t>
  </si>
  <si>
    <t>SPY</t>
  </si>
  <si>
    <t>W</t>
  </si>
  <si>
    <t>ZS</t>
  </si>
  <si>
    <t>NET</t>
  </si>
  <si>
    <t>NOW</t>
  </si>
  <si>
    <t>ROKU</t>
  </si>
  <si>
    <t>TEAM</t>
  </si>
  <si>
    <t>TWLO</t>
  </si>
  <si>
    <t>CBOE VIX VOLATILITY INDEX</t>
  </si>
  <si>
    <t>^VXN</t>
  </si>
  <si>
    <t>Cash</t>
  </si>
  <si>
    <t>ICE BofAML MOVE Index</t>
  </si>
  <si>
    <t>S&amp;P500</t>
  </si>
  <si>
    <t>Nasdaq</t>
  </si>
  <si>
    <t>VVIX</t>
  </si>
  <si>
    <t>IIGD</t>
  </si>
  <si>
    <t>HD</t>
  </si>
  <si>
    <t>CBOE Crude Oil Volatility Index</t>
  </si>
  <si>
    <t>CBOE Gold Volatitity Index </t>
  </si>
  <si>
    <t>ETSY</t>
  </si>
  <si>
    <t>Nasdaq-100 vol Index (out $ opts)</t>
  </si>
  <si>
    <t>%Change</t>
  </si>
  <si>
    <t>CYBR</t>
  </si>
  <si>
    <t>DIS</t>
  </si>
  <si>
    <t>IEF</t>
  </si>
  <si>
    <t>Fixed Income</t>
  </si>
  <si>
    <t>ABNB</t>
  </si>
  <si>
    <t>GOOG</t>
  </si>
  <si>
    <t>Foreign Currency</t>
  </si>
  <si>
    <t>Equities</t>
  </si>
  <si>
    <t>Long</t>
  </si>
  <si>
    <t>Short</t>
  </si>
  <si>
    <t>Max</t>
  </si>
  <si>
    <t>Min</t>
  </si>
  <si>
    <t>BYND</t>
  </si>
  <si>
    <t>Last</t>
  </si>
  <si>
    <t>Net Chng</t>
  </si>
  <si>
    <t>Free Cash Flow Per Share - Current (Annual)</t>
  </si>
  <si>
    <t>RSI</t>
  </si>
  <si>
    <t>A_TrendValue</t>
  </si>
  <si>
    <t>A_TradeValue</t>
  </si>
  <si>
    <t>A_BB_Bottom</t>
  </si>
  <si>
    <t>A_BB_Top</t>
  </si>
  <si>
    <t>A_Perf3D</t>
  </si>
  <si>
    <t>VolumeRateOfChange</t>
  </si>
  <si>
    <t>&lt;empty&gt;</t>
  </si>
  <si>
    <t>SPX</t>
  </si>
  <si>
    <t>$COMP</t>
  </si>
  <si>
    <t>ONEW</t>
  </si>
  <si>
    <t>StandardDeviation</t>
  </si>
  <si>
    <t>ORCL</t>
  </si>
  <si>
    <t>DOCU</t>
  </si>
  <si>
    <t>INVH</t>
  </si>
  <si>
    <t>ImpVolatility</t>
  </si>
  <si>
    <t>MGM</t>
  </si>
  <si>
    <t>DateSymbol</t>
  </si>
  <si>
    <t>Column</t>
  </si>
  <si>
    <t>Sheet</t>
  </si>
  <si>
    <t>HistoricalVolatility</t>
  </si>
  <si>
    <t>RR_Bottom</t>
  </si>
  <si>
    <t>RR_Top</t>
  </si>
  <si>
    <t>RUT</t>
  </si>
  <si>
    <t>GOLD</t>
  </si>
  <si>
    <t>BROS</t>
  </si>
  <si>
    <t>LOW</t>
  </si>
  <si>
    <t>CCL</t>
  </si>
  <si>
    <t>RVX</t>
  </si>
  <si>
    <t>CPT</t>
  </si>
  <si>
    <t>Fed Blackout</t>
  </si>
  <si>
    <t>Fed Blackout Period</t>
  </si>
  <si>
    <t>From Date</t>
  </si>
  <si>
    <t>To Date</t>
  </si>
  <si>
    <t>https://cdn.cboe.com/resources/options/Cboe2023OPTIONSCalendar.pdf</t>
  </si>
  <si>
    <t>Percentage Point Change</t>
  </si>
  <si>
    <t>Direction</t>
  </si>
  <si>
    <t>Rate of Change</t>
  </si>
  <si>
    <t>Trend* (Months)</t>
  </si>
  <si>
    <t>Contracting</t>
  </si>
  <si>
    <t>Faster</t>
  </si>
  <si>
    <t>New Orders</t>
  </si>
  <si>
    <t>Production</t>
  </si>
  <si>
    <t>Employment</t>
  </si>
  <si>
    <t>Growing</t>
  </si>
  <si>
    <t>Slower</t>
  </si>
  <si>
    <t>Supplier Deliveries</t>
  </si>
  <si>
    <t>Inventories</t>
  </si>
  <si>
    <t>Customers’ Inventories</t>
  </si>
  <si>
    <t>Too Low</t>
  </si>
  <si>
    <t>Prices</t>
  </si>
  <si>
    <t>Decreasing</t>
  </si>
  <si>
    <t>Backlog of Orders</t>
  </si>
  <si>
    <t>New Export Orders</t>
  </si>
  <si>
    <t>Imports</t>
  </si>
  <si>
    <t>Manufacturing Sector</t>
  </si>
  <si>
    <t>Manufacturing PMI®</t>
  </si>
  <si>
    <t>Key</t>
  </si>
  <si>
    <t>Series Index cur Month</t>
  </si>
  <si>
    <t>Series Index Prior Month</t>
  </si>
  <si>
    <t>For Month</t>
  </si>
  <si>
    <t>Jan 2023</t>
  </si>
  <si>
    <t>Feb 2023</t>
  </si>
  <si>
    <t>From Growing</t>
  </si>
  <si>
    <t>Increasing</t>
  </si>
  <si>
    <t>From Decreasing</t>
  </si>
  <si>
    <t>Mar 2023</t>
  </si>
  <si>
    <t>From Increasing</t>
  </si>
  <si>
    <t>End</t>
  </si>
  <si>
    <t>VIX expiration - After</t>
  </si>
  <si>
    <t xml:space="preserve">Fed meeting - Put Options - Cheap - Buy at close </t>
  </si>
  <si>
    <t>NFP</t>
  </si>
  <si>
    <t>UM Cons</t>
  </si>
  <si>
    <t>Desc</t>
  </si>
  <si>
    <t>Signal</t>
  </si>
  <si>
    <t>ADP NFP</t>
  </si>
  <si>
    <t>Building Permits</t>
  </si>
  <si>
    <t>JOLTS</t>
  </si>
  <si>
    <t>Unemp Rate</t>
  </si>
  <si>
    <t>CPI YOY</t>
  </si>
  <si>
    <t>CPI MoM</t>
  </si>
  <si>
    <t>CPI Core MoM</t>
  </si>
  <si>
    <t>Consumer Price Index - CPI YoY</t>
  </si>
  <si>
    <t>Consumer Price Index - CPI MoM</t>
  </si>
  <si>
    <t>Consumer Price Index - CPI Core MoM</t>
  </si>
  <si>
    <t>PPI</t>
  </si>
  <si>
    <t>PCE</t>
  </si>
  <si>
    <t>GDP</t>
  </si>
  <si>
    <t>ISM Mfg</t>
  </si>
  <si>
    <t>ISM Svcs</t>
  </si>
  <si>
    <t xml:space="preserve">ADP payrolls </t>
  </si>
  <si>
    <t>Unemployment Rate</t>
  </si>
  <si>
    <t>https://fred.stlouisfed.org/releases/calendar?od=asc&amp;rid=194&amp;ve=2022-12-31&amp;view=year&amp;vs=2022-01-01</t>
  </si>
  <si>
    <t>U.S. Michigan Consumer Sentiment (2 Fridy of M)</t>
  </si>
  <si>
    <t>https://www.census.gov/construction/bps/schedule.html</t>
  </si>
  <si>
    <t>Holidays</t>
  </si>
  <si>
    <t>Washington's Birthday</t>
  </si>
  <si>
    <t>Good Friday</t>
  </si>
  <si>
    <t>Memorial Day</t>
  </si>
  <si>
    <t>Independence Day</t>
  </si>
  <si>
    <t>Labor Day</t>
  </si>
  <si>
    <t>Holiday?</t>
  </si>
  <si>
    <t>Description</t>
  </si>
  <si>
    <t>Y</t>
  </si>
  <si>
    <t>N</t>
  </si>
  <si>
    <t>Incl</t>
  </si>
  <si>
    <t>Ticker Description</t>
  </si>
  <si>
    <t>MOVE:GIF</t>
  </si>
  <si>
    <t>$DXY</t>
  </si>
  <si>
    <t>Durable Goods</t>
  </si>
  <si>
    <t>Factory Orders</t>
  </si>
  <si>
    <t>CPI Core YoY</t>
  </si>
  <si>
    <t>Consumer Price Index - CPI Core YoY</t>
  </si>
  <si>
    <t>Company Name</t>
  </si>
  <si>
    <t>Last Price</t>
  </si>
  <si>
    <t>Prev Close</t>
  </si>
  <si>
    <t>Short Ratio</t>
  </si>
  <si>
    <t>AAAU</t>
  </si>
  <si>
    <t>YH</t>
  </si>
  <si>
    <t>SD%</t>
  </si>
  <si>
    <t>Earnings Days</t>
  </si>
  <si>
    <t>Zscaler, Inc.</t>
  </si>
  <si>
    <t>Y Symbol</t>
  </si>
  <si>
    <t>MU</t>
  </si>
  <si>
    <t>STLD</t>
  </si>
  <si>
    <t>NUE</t>
  </si>
  <si>
    <t>Sequence</t>
  </si>
  <si>
    <t>FCF</t>
  </si>
  <si>
    <t>DateSymbolTime</t>
  </si>
  <si>
    <t>JPM</t>
  </si>
  <si>
    <t>BA</t>
  </si>
  <si>
    <t>Index2</t>
  </si>
  <si>
    <t>Close</t>
  </si>
  <si>
    <t>NAHB</t>
  </si>
  <si>
    <t>https://www.nahb.org/news-and-economics/housing-economics/indices/nahb-wells-fargo-housing-market-index-release-dates</t>
  </si>
  <si>
    <t>NAHB Housing Market Index (Good &gt;50)</t>
  </si>
  <si>
    <t>Building Permits MoM</t>
  </si>
  <si>
    <t>MoM Building Permits</t>
  </si>
  <si>
    <t>https://www.investing.com/economic-calendar/building-permits-885</t>
  </si>
  <si>
    <t>DE</t>
  </si>
  <si>
    <t>^GVZ</t>
  </si>
  <si>
    <t>^MOVE</t>
  </si>
  <si>
    <t>^OVX</t>
  </si>
  <si>
    <t>^RVX</t>
  </si>
  <si>
    <t>^VVIX</t>
  </si>
  <si>
    <t>AAL</t>
  </si>
  <si>
    <t>ABBV</t>
  </si>
  <si>
    <t>ABR</t>
  </si>
  <si>
    <t>ABT</t>
  </si>
  <si>
    <t>ADBE</t>
  </si>
  <si>
    <t>AFRM</t>
  </si>
  <si>
    <t>AGCO</t>
  </si>
  <si>
    <t>ALB</t>
  </si>
  <si>
    <t>ALCO</t>
  </si>
  <si>
    <t>ALNY</t>
  </si>
  <si>
    <t>AMBA</t>
  </si>
  <si>
    <t>AMC</t>
  </si>
  <si>
    <t>AMG</t>
  </si>
  <si>
    <t>AMPH</t>
  </si>
  <si>
    <t>APPS</t>
  </si>
  <si>
    <t>AR</t>
  </si>
  <si>
    <t>ARKK</t>
  </si>
  <si>
    <t>AVGO</t>
  </si>
  <si>
    <t>AXP</t>
  </si>
  <si>
    <t>BAC</t>
  </si>
  <si>
    <t>BEAM</t>
  </si>
  <si>
    <t>BEPC</t>
  </si>
  <si>
    <t>BK</t>
  </si>
  <si>
    <t>BP</t>
  </si>
  <si>
    <t>BYDDF</t>
  </si>
  <si>
    <t>CG</t>
  </si>
  <si>
    <t>CGC</t>
  </si>
  <si>
    <t>CHPT</t>
  </si>
  <si>
    <t>CHWY</t>
  </si>
  <si>
    <t>CMG</t>
  </si>
  <si>
    <t>CMI</t>
  </si>
  <si>
    <t>CNA</t>
  </si>
  <si>
    <t>CNC</t>
  </si>
  <si>
    <t>COP</t>
  </si>
  <si>
    <t>CRSP</t>
  </si>
  <si>
    <t>CRWD</t>
  </si>
  <si>
    <t>CSCO</t>
  </si>
  <si>
    <t>CVNA</t>
  </si>
  <si>
    <t>CVS</t>
  </si>
  <si>
    <t>CVX</t>
  </si>
  <si>
    <t>D</t>
  </si>
  <si>
    <t>DAL</t>
  </si>
  <si>
    <t>DIDIY</t>
  </si>
  <si>
    <t>DOW</t>
  </si>
  <si>
    <t>DRI</t>
  </si>
  <si>
    <t>DVN</t>
  </si>
  <si>
    <t>DX=F</t>
  </si>
  <si>
    <t>EA</t>
  </si>
  <si>
    <t>EBAY</t>
  </si>
  <si>
    <t>EEM</t>
  </si>
  <si>
    <t>ENB</t>
  </si>
  <si>
    <t>ENPH</t>
  </si>
  <si>
    <t>ENR</t>
  </si>
  <si>
    <t>EOG</t>
  </si>
  <si>
    <t>EPD</t>
  </si>
  <si>
    <t>EPR</t>
  </si>
  <si>
    <t>EPU</t>
  </si>
  <si>
    <t>EQT</t>
  </si>
  <si>
    <t>EXAS</t>
  </si>
  <si>
    <t>EXPE</t>
  </si>
  <si>
    <t>F</t>
  </si>
  <si>
    <t>FANG</t>
  </si>
  <si>
    <t>FATE</t>
  </si>
  <si>
    <t>FLNG</t>
  </si>
  <si>
    <t>FTNT</t>
  </si>
  <si>
    <t>VanEck Gold Miners ETF</t>
  </si>
  <si>
    <t>GE</t>
  </si>
  <si>
    <t>GM</t>
  </si>
  <si>
    <t>GME</t>
  </si>
  <si>
    <t>H</t>
  </si>
  <si>
    <t>HAL</t>
  </si>
  <si>
    <t>HCA</t>
  </si>
  <si>
    <t>HOOD</t>
  </si>
  <si>
    <t>HTZ</t>
  </si>
  <si>
    <t>IDXX</t>
  </si>
  <si>
    <t>INMD</t>
  </si>
  <si>
    <t>J</t>
  </si>
  <si>
    <t>JBLU</t>
  </si>
  <si>
    <t>KLAC</t>
  </si>
  <si>
    <t>KO</t>
  </si>
  <si>
    <t>LAC</t>
  </si>
  <si>
    <t>LCID</t>
  </si>
  <si>
    <t>LI</t>
  </si>
  <si>
    <t>LMND</t>
  </si>
  <si>
    <t>LNG</t>
  </si>
  <si>
    <t>LUV</t>
  </si>
  <si>
    <t>LVS</t>
  </si>
  <si>
    <t>LYFT</t>
  </si>
  <si>
    <t>MCD</t>
  </si>
  <si>
    <t>MELI</t>
  </si>
  <si>
    <t>MPC</t>
  </si>
  <si>
    <t>MPW</t>
  </si>
  <si>
    <t>MRNA</t>
  </si>
  <si>
    <t>MRVL</t>
  </si>
  <si>
    <t>MTCH</t>
  </si>
  <si>
    <t>MUR</t>
  </si>
  <si>
    <t>NBIX</t>
  </si>
  <si>
    <t>NCLH</t>
  </si>
  <si>
    <t>NEE</t>
  </si>
  <si>
    <t>NIO</t>
  </si>
  <si>
    <t>NSSC</t>
  </si>
  <si>
    <t>NTLA</t>
  </si>
  <si>
    <t>ON</t>
  </si>
  <si>
    <t>OXY</t>
  </si>
  <si>
    <t>PATH</t>
  </si>
  <si>
    <t>PD</t>
  </si>
  <si>
    <t>PEB</t>
  </si>
  <si>
    <t>PEP</t>
  </si>
  <si>
    <t>PFE</t>
  </si>
  <si>
    <t>PFG</t>
  </si>
  <si>
    <t>PINS</t>
  </si>
  <si>
    <t>PLAY</t>
  </si>
  <si>
    <t>PLTR</t>
  </si>
  <si>
    <t>PLUG</t>
  </si>
  <si>
    <t>PNC</t>
  </si>
  <si>
    <t>abrdn Physical Platinum Shares ETF</t>
  </si>
  <si>
    <t>PSP</t>
  </si>
  <si>
    <t>PSX</t>
  </si>
  <si>
    <t>PTON</t>
  </si>
  <si>
    <t>RBLX</t>
  </si>
  <si>
    <t>RCL</t>
  </si>
  <si>
    <t>RH</t>
  </si>
  <si>
    <t>RIVN</t>
  </si>
  <si>
    <t>RVLV</t>
  </si>
  <si>
    <t>S</t>
  </si>
  <si>
    <t>SE</t>
  </si>
  <si>
    <t>SHEL</t>
  </si>
  <si>
    <t>SNAP</t>
  </si>
  <si>
    <t>SOFI</t>
  </si>
  <si>
    <t>SPOT</t>
  </si>
  <si>
    <t>SU</t>
  </si>
  <si>
    <t>SWKS</t>
  </si>
  <si>
    <t>T</t>
  </si>
  <si>
    <t>TDOC</t>
  </si>
  <si>
    <t>TEVA</t>
  </si>
  <si>
    <t>TKR</t>
  </si>
  <si>
    <t>TOST</t>
  </si>
  <si>
    <t>TSM</t>
  </si>
  <si>
    <t>TSN</t>
  </si>
  <si>
    <t>TTD</t>
  </si>
  <si>
    <t>TTE</t>
  </si>
  <si>
    <t>TTWO</t>
  </si>
  <si>
    <t>U</t>
  </si>
  <si>
    <t>UAL</t>
  </si>
  <si>
    <t>UBER</t>
  </si>
  <si>
    <t>UNG</t>
  </si>
  <si>
    <t>UNH</t>
  </si>
  <si>
    <t>UPST</t>
  </si>
  <si>
    <t>VLO</t>
  </si>
  <si>
    <t>VRTX</t>
  </si>
  <si>
    <t>WEN</t>
  </si>
  <si>
    <t>WFC</t>
  </si>
  <si>
    <t>WMT</t>
  </si>
  <si>
    <t>XOM</t>
  </si>
  <si>
    <t>XPEV</t>
  </si>
  <si>
    <t>YELP</t>
  </si>
  <si>
    <t>YUM</t>
  </si>
  <si>
    <t>ZG</t>
  </si>
  <si>
    <t>ZM</t>
  </si>
  <si>
    <t>Data Refresh Dates</t>
  </si>
  <si>
    <t>DDOG</t>
  </si>
  <si>
    <t>Y Latest export Date</t>
  </si>
  <si>
    <t>XLRE</t>
  </si>
  <si>
    <t>XLI</t>
  </si>
  <si>
    <t>XLF</t>
  </si>
  <si>
    <t>XLE</t>
  </si>
  <si>
    <t>XLC</t>
  </si>
  <si>
    <t>XLB</t>
  </si>
  <si>
    <t>Buy</t>
  </si>
  <si>
    <t>BIP</t>
  </si>
  <si>
    <t>EL</t>
  </si>
  <si>
    <t>FND</t>
  </si>
  <si>
    <t>GPN</t>
  </si>
  <si>
    <t>LOGI</t>
  </si>
  <si>
    <t>MAR</t>
  </si>
  <si>
    <t>MARA</t>
  </si>
  <si>
    <t>NXPI</t>
  </si>
  <si>
    <t>SBUX</t>
  </si>
  <si>
    <t>FOMC Fed meeting</t>
  </si>
  <si>
    <t>TOS Ticker</t>
  </si>
  <si>
    <t>Show</t>
  </si>
  <si>
    <t>Today</t>
  </si>
  <si>
    <t>QSR</t>
  </si>
  <si>
    <t>TMUS</t>
  </si>
  <si>
    <t>BBWI</t>
  </si>
  <si>
    <t>TJX</t>
  </si>
  <si>
    <t>LFST</t>
  </si>
  <si>
    <t>DECK</t>
  </si>
  <si>
    <t>VVV</t>
  </si>
  <si>
    <t>MP</t>
  </si>
  <si>
    <t>WEST</t>
  </si>
  <si>
    <t>PRGO</t>
  </si>
  <si>
    <t>CPRI</t>
  </si>
  <si>
    <t>PLBY</t>
  </si>
  <si>
    <t>CELH</t>
  </si>
  <si>
    <t>GO</t>
  </si>
  <si>
    <t>WYNN</t>
  </si>
  <si>
    <t>WWW</t>
  </si>
  <si>
    <t>PRPL</t>
  </si>
  <si>
    <t>HSY</t>
  </si>
  <si>
    <t>COST</t>
  </si>
  <si>
    <t>REAL</t>
  </si>
  <si>
    <t>BALL</t>
  </si>
  <si>
    <t>COCO</t>
  </si>
  <si>
    <t>KVUE</t>
  </si>
  <si>
    <t>RHP</t>
  </si>
  <si>
    <t>PENN</t>
  </si>
  <si>
    <t>CFLT</t>
  </si>
  <si>
    <t>CZR</t>
  </si>
  <si>
    <t>DRVN</t>
  </si>
  <si>
    <t>MCW</t>
  </si>
  <si>
    <t>CWH</t>
  </si>
  <si>
    <t>EMR</t>
  </si>
  <si>
    <t>UHS</t>
  </si>
  <si>
    <t>NSA</t>
  </si>
  <si>
    <t>OC</t>
  </si>
  <si>
    <t>THC</t>
  </si>
  <si>
    <t>ACHC</t>
  </si>
  <si>
    <t>CHH</t>
  </si>
  <si>
    <t>VZ</t>
  </si>
  <si>
    <t>TME</t>
  </si>
  <si>
    <t>GOOS</t>
  </si>
  <si>
    <t>PGNY</t>
  </si>
  <si>
    <t>TGT</t>
  </si>
  <si>
    <t>ONON</t>
  </si>
  <si>
    <t>KNX</t>
  </si>
  <si>
    <t>SNDR</t>
  </si>
  <si>
    <t>SHAK</t>
  </si>
  <si>
    <t>PK</t>
  </si>
  <si>
    <t>XHR</t>
  </si>
  <si>
    <t>BXP</t>
  </si>
  <si>
    <t>SYY</t>
  </si>
  <si>
    <t>GOLF</t>
  </si>
  <si>
    <t>MNDY</t>
  </si>
  <si>
    <t>HELE</t>
  </si>
  <si>
    <t>DDS</t>
  </si>
  <si>
    <t>ULTA</t>
  </si>
  <si>
    <t>TPR</t>
  </si>
  <si>
    <t>EYE</t>
  </si>
  <si>
    <t>NTR</t>
  </si>
  <si>
    <t>CF</t>
  </si>
  <si>
    <t>UAA</t>
  </si>
  <si>
    <t>FUBO</t>
  </si>
  <si>
    <t>TRIP</t>
  </si>
  <si>
    <t>LESL</t>
  </si>
  <si>
    <t>GIL</t>
  </si>
  <si>
    <t>TXG</t>
  </si>
  <si>
    <t>BGFV</t>
  </si>
  <si>
    <t>MCHP</t>
  </si>
  <si>
    <t>CHTR</t>
  </si>
  <si>
    <t>SFM</t>
  </si>
  <si>
    <t>AMN</t>
  </si>
  <si>
    <t>CACC</t>
  </si>
  <si>
    <t>JOE</t>
  </si>
  <si>
    <t>AMAT</t>
  </si>
  <si>
    <t>BABA</t>
  </si>
  <si>
    <t>FLO</t>
  </si>
  <si>
    <t>A_3wkHighLow</t>
  </si>
  <si>
    <t>A_3mnHighLow</t>
  </si>
  <si>
    <t>EWJV</t>
  </si>
  <si>
    <t>PFIG</t>
  </si>
  <si>
    <t>SCJ</t>
  </si>
  <si>
    <t>RSPU</t>
  </si>
  <si>
    <t>EWJ</t>
  </si>
  <si>
    <t>PINK</t>
  </si>
  <si>
    <t>Last %Change</t>
  </si>
  <si>
    <t>Last Net Chng</t>
  </si>
  <si>
    <t>52-Wk High %</t>
  </si>
  <si>
    <t>JNJ</t>
  </si>
  <si>
    <t>V</t>
  </si>
  <si>
    <t>LLY</t>
  </si>
  <si>
    <t>MA</t>
  </si>
  <si>
    <t>TMO</t>
  </si>
  <si>
    <t>LIN</t>
  </si>
  <si>
    <t>CMCSA</t>
  </si>
  <si>
    <t>INTC</t>
  </si>
  <si>
    <t>PM</t>
  </si>
  <si>
    <t>NKE</t>
  </si>
  <si>
    <t>SPGI</t>
  </si>
  <si>
    <t>UPS</t>
  </si>
  <si>
    <t>CAT</t>
  </si>
  <si>
    <t>UNP</t>
  </si>
  <si>
    <t>MS</t>
  </si>
  <si>
    <t>PLD</t>
  </si>
  <si>
    <t>ELV</t>
  </si>
  <si>
    <t>BLK</t>
  </si>
  <si>
    <t>LMT</t>
  </si>
  <si>
    <t>BKNG</t>
  </si>
  <si>
    <t>MDLZ</t>
  </si>
  <si>
    <t>LRCX</t>
  </si>
  <si>
    <t>REGN</t>
  </si>
  <si>
    <t>CI</t>
  </si>
  <si>
    <t>MO</t>
  </si>
  <si>
    <t>ETN</t>
  </si>
  <si>
    <t>SO</t>
  </si>
  <si>
    <t>CSX</t>
  </si>
  <si>
    <t>ITW</t>
  </si>
  <si>
    <t>HUM</t>
  </si>
  <si>
    <t>ORLY</t>
  </si>
  <si>
    <t>MCK</t>
  </si>
  <si>
    <t>MCO</t>
  </si>
  <si>
    <t>FDX</t>
  </si>
  <si>
    <t>NSC</t>
  </si>
  <si>
    <t>DXCM</t>
  </si>
  <si>
    <t>GD</t>
  </si>
  <si>
    <t>GIS</t>
  </si>
  <si>
    <t>AZO</t>
  </si>
  <si>
    <t>PSA</t>
  </si>
  <si>
    <t>MNST</t>
  </si>
  <si>
    <t>PCAR</t>
  </si>
  <si>
    <t>STZ</t>
  </si>
  <si>
    <t>CARR</t>
  </si>
  <si>
    <t>WELL</t>
  </si>
  <si>
    <t>O</t>
  </si>
  <si>
    <t>HLT</t>
  </si>
  <si>
    <t>ROST</t>
  </si>
  <si>
    <t>SPG</t>
  </si>
  <si>
    <t>DG</t>
  </si>
  <si>
    <t>ROK</t>
  </si>
  <si>
    <t>NEM</t>
  </si>
  <si>
    <t>ILMN</t>
  </si>
  <si>
    <t>FAST</t>
  </si>
  <si>
    <t>KR</t>
  </si>
  <si>
    <t>WBD</t>
  </si>
  <si>
    <t>KHC</t>
  </si>
  <si>
    <t>DLTR</t>
  </si>
  <si>
    <t>URI</t>
  </si>
  <si>
    <t>EFX</t>
  </si>
  <si>
    <t>VMC</t>
  </si>
  <si>
    <t>OKE</t>
  </si>
  <si>
    <t>KDP</t>
  </si>
  <si>
    <t>XYL</t>
  </si>
  <si>
    <t>AVB</t>
  </si>
  <si>
    <t>MLM</t>
  </si>
  <si>
    <t>SBAC</t>
  </si>
  <si>
    <t>CHD</t>
  </si>
  <si>
    <t>LYB</t>
  </si>
  <si>
    <t>EQR</t>
  </si>
  <si>
    <t>WY</t>
  </si>
  <si>
    <t>CAH</t>
  </si>
  <si>
    <t>LH</t>
  </si>
  <si>
    <t>FICO</t>
  </si>
  <si>
    <t>IFF</t>
  </si>
  <si>
    <t>ARE</t>
  </si>
  <si>
    <t>EXR</t>
  </si>
  <si>
    <t>CLX</t>
  </si>
  <si>
    <t>EXPD</t>
  </si>
  <si>
    <t>VTR</t>
  </si>
  <si>
    <t>BR</t>
  </si>
  <si>
    <t>K</t>
  </si>
  <si>
    <t>CAG</t>
  </si>
  <si>
    <t>IRM</t>
  </si>
  <si>
    <t>LW</t>
  </si>
  <si>
    <t>SJM</t>
  </si>
  <si>
    <t>MOH</t>
  </si>
  <si>
    <t>DGX</t>
  </si>
  <si>
    <t>ESS</t>
  </si>
  <si>
    <t>SYF</t>
  </si>
  <si>
    <t>JBHT</t>
  </si>
  <si>
    <t>TXT</t>
  </si>
  <si>
    <t>POOL</t>
  </si>
  <si>
    <t>CFG</t>
  </si>
  <si>
    <t>KMX</t>
  </si>
  <si>
    <t>TAP</t>
  </si>
  <si>
    <t>LYV</t>
  </si>
  <si>
    <t>MOS</t>
  </si>
  <si>
    <t>DPZ</t>
  </si>
  <si>
    <t>FOXA</t>
  </si>
  <si>
    <t>HII</t>
  </si>
  <si>
    <t>BIO</t>
  </si>
  <si>
    <t>FRT</t>
  </si>
  <si>
    <t>VFC</t>
  </si>
  <si>
    <t>PDD</t>
  </si>
  <si>
    <t>WDAY</t>
  </si>
  <si>
    <t>VRT</t>
  </si>
  <si>
    <t>FWONK</t>
  </si>
  <si>
    <t>EGP</t>
  </si>
  <si>
    <t>BC</t>
  </si>
  <si>
    <t>VSCO</t>
  </si>
  <si>
    <t>TPL</t>
  </si>
  <si>
    <t>FISV</t>
  </si>
  <si>
    <t>FNF</t>
  </si>
  <si>
    <t>FR</t>
  </si>
  <si>
    <t>FIVE</t>
  </si>
  <si>
    <t>RRC</t>
  </si>
  <si>
    <t>TRU</t>
  </si>
  <si>
    <t>FAF</t>
  </si>
  <si>
    <t>USFD</t>
  </si>
  <si>
    <t>R</t>
  </si>
  <si>
    <t>PAG</t>
  </si>
  <si>
    <t>NYT</t>
  </si>
  <si>
    <t>EXP</t>
  </si>
  <si>
    <t>REXR</t>
  </si>
  <si>
    <t>PVH</t>
  </si>
  <si>
    <t>UHAL</t>
  </si>
  <si>
    <t>ELS</t>
  </si>
  <si>
    <t>M</t>
  </si>
  <si>
    <t>AN</t>
  </si>
  <si>
    <t>FYBR</t>
  </si>
  <si>
    <t>CRI</t>
  </si>
  <si>
    <t>WMS</t>
  </si>
  <si>
    <t>FRPT</t>
  </si>
  <si>
    <t>AWI</t>
  </si>
  <si>
    <t>CCK</t>
  </si>
  <si>
    <t>AVTR</t>
  </si>
  <si>
    <t>BLDR</t>
  </si>
  <si>
    <t>WH</t>
  </si>
  <si>
    <t>MSGS</t>
  </si>
  <si>
    <t>KSS</t>
  </si>
  <si>
    <t>ATUS</t>
  </si>
  <si>
    <t>VNO</t>
  </si>
  <si>
    <t>FOUR</t>
  </si>
  <si>
    <t>BURL</t>
  </si>
  <si>
    <t>AMH</t>
  </si>
  <si>
    <t>CUBE</t>
  </si>
  <si>
    <t>BJ</t>
  </si>
  <si>
    <t>SLG</t>
  </si>
  <si>
    <t>NNN</t>
  </si>
  <si>
    <t>HPP</t>
  </si>
  <si>
    <t>HUBS</t>
  </si>
  <si>
    <t>OLLI</t>
  </si>
  <si>
    <t>DELL</t>
  </si>
  <si>
    <t>PLNT</t>
  </si>
  <si>
    <t>OSK</t>
  </si>
  <si>
    <t>LAMR</t>
  </si>
  <si>
    <t>BRKR</t>
  </si>
  <si>
    <t>OMF</t>
  </si>
  <si>
    <t>DASH</t>
  </si>
  <si>
    <t>CHDN</t>
  </si>
  <si>
    <t>ACI</t>
  </si>
  <si>
    <t>ALLY</t>
  </si>
  <si>
    <t>VXD</t>
  </si>
  <si>
    <t>DJIA VOLATILITY</t>
  </si>
  <si>
    <t>^VXD</t>
  </si>
  <si>
    <t>Prev Close Date</t>
  </si>
  <si>
    <t>INDA</t>
  </si>
  <si>
    <t>URA</t>
  </si>
  <si>
    <t>NLR</t>
  </si>
  <si>
    <t>Sector</t>
  </si>
  <si>
    <t>INDY</t>
  </si>
  <si>
    <t>TBIL</t>
  </si>
  <si>
    <t>XOP</t>
  </si>
  <si>
    <t>TFLO</t>
  </si>
  <si>
    <t>Energy</t>
  </si>
  <si>
    <t>IAK</t>
  </si>
  <si>
    <t>PSCE</t>
  </si>
  <si>
    <t>CTA</t>
  </si>
  <si>
    <t>EWG</t>
  </si>
  <si>
    <t>EWQ</t>
  </si>
  <si>
    <t>JETS</t>
  </si>
  <si>
    <t>EWO</t>
  </si>
  <si>
    <t>OXLC</t>
  </si>
  <si>
    <t>EWD</t>
  </si>
  <si>
    <t>SMH</t>
  </si>
  <si>
    <t>Real Estate</t>
  </si>
  <si>
    <t>AMLP</t>
  </si>
  <si>
    <t>SMIN</t>
  </si>
  <si>
    <t>Quad 1</t>
  </si>
  <si>
    <t>Quad 2</t>
  </si>
  <si>
    <t>Quad 3</t>
  </si>
  <si>
    <t>Quad 4</t>
  </si>
  <si>
    <t>Credit</t>
  </si>
  <si>
    <t>Industrials</t>
  </si>
  <si>
    <t>Momentum</t>
  </si>
  <si>
    <t>High Beta</t>
  </si>
  <si>
    <t>Low Beta</t>
  </si>
  <si>
    <t>Convertibles</t>
  </si>
  <si>
    <t>HY Credit</t>
  </si>
  <si>
    <t>Short Duration Tresuries</t>
  </si>
  <si>
    <t>TIPS</t>
  </si>
  <si>
    <t>MBS</t>
  </si>
  <si>
    <t>High Dividend Yield</t>
  </si>
  <si>
    <t>IG Credit</t>
  </si>
  <si>
    <t>Munis</t>
  </si>
  <si>
    <t>Financials</t>
  </si>
  <si>
    <t>Materials</t>
  </si>
  <si>
    <t>Quality</t>
  </si>
  <si>
    <t>Mid Caps</t>
  </si>
  <si>
    <t>Defensives</t>
  </si>
  <si>
    <t>BDCs</t>
  </si>
  <si>
    <t>Long Bond</t>
  </si>
  <si>
    <t>Leveraged Loans</t>
  </si>
  <si>
    <t>Size</t>
  </si>
  <si>
    <t>Preferreds</t>
  </si>
  <si>
    <t>EM Local Currency</t>
  </si>
  <si>
    <t>Equity Sectors</t>
  </si>
  <si>
    <t>FX</t>
  </si>
  <si>
    <t>USD</t>
  </si>
  <si>
    <t>Gold</t>
  </si>
  <si>
    <t>Equity Style</t>
  </si>
  <si>
    <t>Treasury Bills</t>
  </si>
  <si>
    <t>Category</t>
  </si>
  <si>
    <t>Sub-Category</t>
  </si>
  <si>
    <t>KLG</t>
  </si>
  <si>
    <t>Long Bench</t>
  </si>
  <si>
    <t>Short Bench</t>
  </si>
  <si>
    <t>SVV</t>
  </si>
  <si>
    <t>STKL</t>
  </si>
  <si>
    <t>EDU</t>
  </si>
  <si>
    <t>DNUT</t>
  </si>
  <si>
    <t>NOAH</t>
  </si>
  <si>
    <t>FUTU</t>
  </si>
  <si>
    <t>TIGR</t>
  </si>
  <si>
    <t>RRR</t>
  </si>
  <si>
    <t>RDNT</t>
  </si>
  <si>
    <t>MSOS</t>
  </si>
  <si>
    <t>Cannabis</t>
  </si>
  <si>
    <t>KBWP</t>
  </si>
  <si>
    <t>EPOL</t>
  </si>
  <si>
    <t>Global X Uranium ETF</t>
  </si>
  <si>
    <t>IVOL</t>
  </si>
  <si>
    <t>BUXX</t>
  </si>
  <si>
    <t>CORN</t>
  </si>
  <si>
    <t>Information Technology</t>
  </si>
  <si>
    <t>Communication Services</t>
  </si>
  <si>
    <t>Health Care</t>
  </si>
  <si>
    <t>Beta</t>
  </si>
  <si>
    <t>Outlook</t>
  </si>
  <si>
    <t>GLASF</t>
  </si>
  <si>
    <t>WRBY</t>
  </si>
  <si>
    <t>^BSESN</t>
  </si>
  <si>
    <t>BZ=F</t>
  </si>
  <si>
    <t>RR Outlook</t>
  </si>
  <si>
    <t>ETF_Bottom</t>
  </si>
  <si>
    <t>ETF_Top</t>
  </si>
  <si>
    <t>Q Outlook</t>
  </si>
  <si>
    <t>TXRH</t>
  </si>
  <si>
    <t>BJRI</t>
  </si>
  <si>
    <t>DOC</t>
  </si>
  <si>
    <t>EAT</t>
  </si>
  <si>
    <t>A_Perf2Wk</t>
  </si>
  <si>
    <t>Perf2Wk_sd</t>
  </si>
  <si>
    <t>Perf3W_sd</t>
  </si>
  <si>
    <t>Perf3M_sd</t>
  </si>
  <si>
    <t>A_3mnLow</t>
  </si>
  <si>
    <t>A_3mnHigh</t>
  </si>
  <si>
    <t>FWRG</t>
  </si>
  <si>
    <t>DIN</t>
  </si>
  <si>
    <t>RRGB</t>
  </si>
  <si>
    <t>BRBR</t>
  </si>
  <si>
    <t>BCO</t>
  </si>
  <si>
    <t>BMBL</t>
  </si>
  <si>
    <t>USPH</t>
  </si>
  <si>
    <t>MODG</t>
  </si>
  <si>
    <t>VHT</t>
  </si>
  <si>
    <t>MNSO</t>
  </si>
  <si>
    <t>GPI</t>
  </si>
  <si>
    <t>URBN</t>
  </si>
  <si>
    <t>EWM</t>
  </si>
  <si>
    <t>SHY</t>
  </si>
  <si>
    <t>BNDD</t>
  </si>
  <si>
    <t>ETHE</t>
  </si>
  <si>
    <t>XLG</t>
  </si>
  <si>
    <t>EWY</t>
  </si>
  <si>
    <t>SPMO</t>
  </si>
  <si>
    <t>RSP</t>
  </si>
  <si>
    <t>JOET</t>
  </si>
  <si>
    <t>WEAT</t>
  </si>
  <si>
    <t>MA Lookup</t>
  </si>
  <si>
    <t>TOS Lookup</t>
  </si>
  <si>
    <t>Y Lookup</t>
  </si>
  <si>
    <t>3mn_stk_outlook_sd</t>
  </si>
  <si>
    <t>3w_stk_outlook_sd</t>
  </si>
  <si>
    <t>SN</t>
  </si>
  <si>
    <t>SIVR</t>
  </si>
  <si>
    <t>PBD</t>
  </si>
  <si>
    <t>BRCC</t>
  </si>
  <si>
    <t>RTO</t>
  </si>
  <si>
    <t>ETH-USD</t>
  </si>
  <si>
    <t>BRR%</t>
  </si>
  <si>
    <t>IVHV</t>
  </si>
  <si>
    <t>3mn_min_BRR%</t>
  </si>
  <si>
    <t>TKO</t>
  </si>
  <si>
    <t>A_BBHighLow</t>
  </si>
  <si>
    <t>FXB</t>
  </si>
  <si>
    <t>EWZ</t>
  </si>
  <si>
    <t>50-DMA-Rule</t>
  </si>
  <si>
    <t>52-Wk Low Rule</t>
  </si>
  <si>
    <t>200-DMA-Rule</t>
  </si>
  <si>
    <t>3m-Low-Rule</t>
  </si>
  <si>
    <t>3mn-High-Rule</t>
  </si>
  <si>
    <t>Trend-Rule</t>
  </si>
  <si>
    <t>Trade-Rule</t>
  </si>
  <si>
    <t>3mn Outlook</t>
  </si>
  <si>
    <t>URNM</t>
  </si>
  <si>
    <t>Volatility</t>
  </si>
  <si>
    <t>52-Wk High Rule</t>
  </si>
  <si>
    <t>BRR% Rule</t>
  </si>
  <si>
    <t>BBHighLow</t>
  </si>
  <si>
    <t>(1)
Column</t>
  </si>
  <si>
    <t>(5) Wt - Bw
  (2) &amp; (3)</t>
  </si>
  <si>
    <t>(3)
Brkeout To</t>
  </si>
  <si>
    <t>(2)
Brkeout From</t>
  </si>
  <si>
    <t>(4)  
Wt - Bw
 (1) &amp; (2)</t>
  </si>
  <si>
    <t>(6) Wt - 
Abv (3)</t>
  </si>
  <si>
    <t>RSI Rule</t>
  </si>
  <si>
    <t>RSI Puts</t>
  </si>
  <si>
    <t>A_MACD_BRR</t>
  </si>
  <si>
    <t>A_MACDH_D_BRR</t>
  </si>
  <si>
    <t>MACDH_BRR</t>
  </si>
  <si>
    <t>RR</t>
  </si>
  <si>
    <t>MACD_BRR</t>
  </si>
  <si>
    <t>MACDH_BRR Puts</t>
  </si>
  <si>
    <t>MACD_BRR Puts</t>
  </si>
  <si>
    <t>MACD Direction</t>
  </si>
  <si>
    <t>TSNDF</t>
  </si>
  <si>
    <t>TCNNF</t>
  </si>
  <si>
    <t>Begin</t>
  </si>
  <si>
    <t>50 DMA</t>
  </si>
  <si>
    <t>200 DMA</t>
  </si>
  <si>
    <t>A_MACD_BRR1</t>
  </si>
  <si>
    <t>A_MACDH_D_BRR1</t>
  </si>
  <si>
    <t>EPHE</t>
  </si>
  <si>
    <t>EWA</t>
  </si>
  <si>
    <t>PJP</t>
  </si>
  <si>
    <t>TLT</t>
  </si>
  <si>
    <t>Fidelity</t>
  </si>
  <si>
    <t>MACD and H Rule Puts</t>
  </si>
  <si>
    <t>MACD and H Rule</t>
  </si>
  <si>
    <t>ITB</t>
  </si>
  <si>
    <t>BBHighLow_SD</t>
  </si>
  <si>
    <t>BBHighLow_SD Rule</t>
  </si>
  <si>
    <t>Perf3D_sd</t>
  </si>
  <si>
    <t>Earnings</t>
  </si>
  <si>
    <t>Count</t>
  </si>
  <si>
    <t>3wk Outlook</t>
  </si>
  <si>
    <t>MACDH Direction</t>
  </si>
  <si>
    <t>Calculated Market Close Date</t>
  </si>
  <si>
    <t>LEVI</t>
  </si>
  <si>
    <t>OTHER</t>
  </si>
  <si>
    <t>DEO</t>
  </si>
  <si>
    <t>FROG</t>
  </si>
  <si>
    <t>GLBE</t>
  </si>
  <si>
    <t>PLCE</t>
  </si>
  <si>
    <t>CHEF</t>
  </si>
  <si>
    <t>OTLY</t>
  </si>
  <si>
    <t>BRR% Puts</t>
  </si>
  <si>
    <t>Trend Trade Dep Rule</t>
  </si>
  <si>
    <t>CYH</t>
  </si>
  <si>
    <t>SPHR</t>
  </si>
  <si>
    <t>BB Direction</t>
  </si>
  <si>
    <t>Perf3D_Value</t>
  </si>
  <si>
    <t>50-DMA-Crossover</t>
  </si>
  <si>
    <t>200-DMA-Crossover</t>
  </si>
  <si>
    <t>BRR% Dir</t>
  </si>
  <si>
    <t>BRR% Dir Rule</t>
  </si>
  <si>
    <t>Days On</t>
  </si>
  <si>
    <t>GTBIF</t>
  </si>
  <si>
    <t>BLMN</t>
  </si>
  <si>
    <t>CP</t>
  </si>
  <si>
    <t>PRAA</t>
  </si>
  <si>
    <t>CAVA</t>
  </si>
  <si>
    <t>CPNG</t>
  </si>
  <si>
    <t>MPNGY</t>
  </si>
  <si>
    <t>YUMC</t>
  </si>
  <si>
    <t>Cash Alternative</t>
  </si>
  <si>
    <t>EWN</t>
  </si>
  <si>
    <t>KSA</t>
  </si>
  <si>
    <t>KEMX</t>
  </si>
  <si>
    <t>FXI</t>
  </si>
  <si>
    <t>IWO</t>
  </si>
  <si>
    <t>PFF</t>
  </si>
  <si>
    <t>IPO</t>
  </si>
  <si>
    <t>CPER</t>
  </si>
  <si>
    <t>IBIT</t>
  </si>
  <si>
    <t>BDRY</t>
  </si>
  <si>
    <t>UGA</t>
  </si>
  <si>
    <t>BRR% LRR</t>
  </si>
  <si>
    <t>BB Bull Rule</t>
  </si>
  <si>
    <t>BRR% TRR</t>
  </si>
  <si>
    <t>BB Bull Puts</t>
  </si>
  <si>
    <t>A_BB_Streak</t>
  </si>
  <si>
    <t>BBStreak Rule</t>
  </si>
  <si>
    <t>BB_Streak</t>
  </si>
  <si>
    <t>BB_Streak_Days</t>
  </si>
  <si>
    <t>BBStreak Days Rule</t>
  </si>
  <si>
    <t>BBStreak Days Up Rule</t>
  </si>
  <si>
    <t>3mnHighLow</t>
  </si>
  <si>
    <t>3wkHighLow</t>
  </si>
  <si>
    <t>3mnHighLowDays</t>
  </si>
  <si>
    <t>3wkHighLowDays</t>
  </si>
  <si>
    <t>3mnLowDays</t>
  </si>
  <si>
    <t>3mnHighDays</t>
  </si>
  <si>
    <t>IBB</t>
  </si>
  <si>
    <t>BLOK</t>
  </si>
  <si>
    <t>3mnLow_sd</t>
  </si>
  <si>
    <t>3mnHigh_sd</t>
  </si>
  <si>
    <t>Perf3D_sd_1off</t>
  </si>
  <si>
    <t>Perf3D 1Off Rule</t>
  </si>
  <si>
    <t>BBHighLowDays</t>
  </si>
  <si>
    <t>BBHighLow Days Rule</t>
  </si>
  <si>
    <t>3mn Outlook Days</t>
  </si>
  <si>
    <t>3wk Outlook Days</t>
  </si>
  <si>
    <t>3m-Low-Days Rule</t>
  </si>
  <si>
    <t>3mn-High-Dyas Rule</t>
  </si>
  <si>
    <t>3mn-High-Days Rule</t>
  </si>
  <si>
    <t>3m-Long</t>
  </si>
  <si>
    <t>3mn Long Rule</t>
  </si>
  <si>
    <t>!3wk ol</t>
  </si>
  <si>
    <t>!3wk ol days</t>
  </si>
  <si>
    <t>!3wk Outlook</t>
  </si>
  <si>
    <t>!3wk Outlook Days</t>
  </si>
  <si>
    <t>!Perf3D Rule</t>
  </si>
  <si>
    <t>SMCI</t>
  </si>
  <si>
    <t>ECPG</t>
  </si>
  <si>
    <t>AHR</t>
  </si>
  <si>
    <t>UPBD</t>
  </si>
  <si>
    <t>XBI</t>
  </si>
  <si>
    <t>CCRN</t>
  </si>
  <si>
    <t>UTZ</t>
  </si>
  <si>
    <t>GTLB</t>
  </si>
  <si>
    <t>TCEHY</t>
  </si>
  <si>
    <t>KW</t>
  </si>
  <si>
    <t>GRUSF</t>
  </si>
  <si>
    <t>ULS</t>
  </si>
  <si>
    <t>NVO</t>
  </si>
  <si>
    <t>JYNT</t>
  </si>
  <si>
    <t>STK</t>
  </si>
  <si>
    <t>Sh</t>
  </si>
  <si>
    <t>TrTn Relation</t>
  </si>
  <si>
    <t>Trade Trend Relation</t>
  </si>
  <si>
    <t>RSI Top</t>
  </si>
  <si>
    <t>MS Field Name</t>
  </si>
  <si>
    <t>52 week high</t>
  </si>
  <si>
    <t>52 week low</t>
  </si>
  <si>
    <t>Change (%)</t>
  </si>
  <si>
    <t>Change (Extended hours)</t>
  </si>
  <si>
    <t>Exchange abbreviation</t>
  </si>
  <si>
    <t>Industry</t>
  </si>
  <si>
    <t>Market Cap</t>
  </si>
  <si>
    <t>Name</t>
  </si>
  <si>
    <t>P/E</t>
  </si>
  <si>
    <t>Previous Close</t>
  </si>
  <si>
    <t>Price</t>
  </si>
  <si>
    <t>Shares outstanding</t>
  </si>
  <si>
    <t>Ticker symbol</t>
  </si>
  <si>
    <t>Volume average</t>
  </si>
  <si>
    <t>Price (Extended hours)</t>
  </si>
  <si>
    <t>Change % (Extended hours)</t>
  </si>
  <si>
    <t>BULL</t>
  </si>
  <si>
    <t>Bull Rule</t>
  </si>
  <si>
    <t>!BULL</t>
  </si>
  <si>
    <t>!Bull Rule</t>
  </si>
  <si>
    <t>GSG</t>
  </si>
  <si>
    <t>Rank</t>
  </si>
  <si>
    <t>Trade Trend SD Rule</t>
  </si>
  <si>
    <t>Trade_Trend_Sd</t>
  </si>
  <si>
    <t>Trade_sd</t>
  </si>
  <si>
    <t>Trend_sd</t>
  </si>
  <si>
    <t>PerfOrBull Rule</t>
  </si>
  <si>
    <t>!PerfOrBull Rule</t>
  </si>
  <si>
    <t>PerfOrBull</t>
  </si>
  <si>
    <t>!PerfOrBull</t>
  </si>
  <si>
    <t>!Trade Rule</t>
  </si>
  <si>
    <t>!Trend Rule</t>
  </si>
  <si>
    <t>FLUT</t>
  </si>
  <si>
    <t>VIK</t>
  </si>
  <si>
    <t>COPX</t>
  </si>
  <si>
    <t>NIKL</t>
  </si>
  <si>
    <t>Foreign Exchange</t>
  </si>
  <si>
    <t>Quantity</t>
  </si>
  <si>
    <t>Last Price Change</t>
  </si>
  <si>
    <t>Current Value</t>
  </si>
  <si>
    <t>Today's Gain/Loss Dollar</t>
  </si>
  <si>
    <t>Today's Gain/Loss Percent</t>
  </si>
  <si>
    <t>Total Gain/Loss Dollar</t>
  </si>
  <si>
    <t>Total Gain/Loss Percent</t>
  </si>
  <si>
    <t>Percent Of Account</t>
  </si>
  <si>
    <t>Cost Basis Total</t>
  </si>
  <si>
    <t>Average Cost Basis</t>
  </si>
  <si>
    <t>CAD/USD</t>
  </si>
  <si>
    <t>EUR/USD</t>
  </si>
  <si>
    <t>GBP/USD</t>
  </si>
  <si>
    <t>A_VolumeSpike</t>
  </si>
  <si>
    <t>VS Days</t>
  </si>
  <si>
    <t>VolumeSpike</t>
  </si>
  <si>
    <t>VS Spike</t>
  </si>
  <si>
    <t>VS Volatility</t>
  </si>
  <si>
    <t>VS Price Change</t>
  </si>
  <si>
    <t>VS Price Change SD</t>
  </si>
  <si>
    <t>VS Volume Spike Rule</t>
  </si>
  <si>
    <t>VS Price Rule</t>
  </si>
  <si>
    <t>VS Volatility Rule</t>
  </si>
  <si>
    <t>Current Volume Rule</t>
  </si>
  <si>
    <t>Current Price Rule</t>
  </si>
  <si>
    <t>Current Volatility Rule</t>
  </si>
  <si>
    <t>VS Price</t>
  </si>
  <si>
    <t>VS Volume Spike</t>
  </si>
  <si>
    <t>Current Price SD Rule</t>
  </si>
  <si>
    <t>VS LT Outlook Rule</t>
  </si>
  <si>
    <t>Bullish</t>
  </si>
  <si>
    <t>Bearish</t>
  </si>
  <si>
    <t>Bull Stock with up direction</t>
  </si>
  <si>
    <t>If BBHL is moving higher for longer days</t>
  </si>
  <si>
    <t>Stock going up after went down a  lot</t>
  </si>
  <si>
    <t>Rule</t>
  </si>
  <si>
    <t xml:space="preserve"> 1WK Ago</t>
  </si>
  <si>
    <t xml:space="preserve"> 1MN Ago</t>
  </si>
  <si>
    <t xml:space="preserve"> Ticker</t>
  </si>
  <si>
    <t xml:space="preserve"> Date Added</t>
  </si>
  <si>
    <t xml:space="preserve"> Asset Class</t>
  </si>
  <si>
    <t xml:space="preserve"> Minimum</t>
  </si>
  <si>
    <t xml:space="preserve"> Maximum</t>
  </si>
  <si>
    <t>LQD</t>
  </si>
  <si>
    <t>IGLB</t>
  </si>
  <si>
    <t>IGSB</t>
  </si>
  <si>
    <t>BBN</t>
  </si>
  <si>
    <t>FUTY</t>
  </si>
  <si>
    <t>EMB</t>
  </si>
  <si>
    <t>EZA</t>
  </si>
  <si>
    <t>Securities</t>
  </si>
  <si>
    <t xml:space="preserve"> Day1</t>
  </si>
  <si>
    <t xml:space="preserve"> Day2</t>
  </si>
  <si>
    <t xml:space="preserve"> Day3</t>
  </si>
  <si>
    <t xml:space="preserve"> Day4</t>
  </si>
  <si>
    <t xml:space="preserve"> Day5</t>
  </si>
  <si>
    <t>EWUS</t>
  </si>
  <si>
    <t>INFL</t>
  </si>
  <si>
    <t>AFK</t>
  </si>
  <si>
    <t xml:space="preserve"> Today</t>
  </si>
  <si>
    <t xml:space="preserve"> 1 Day Ago</t>
  </si>
  <si>
    <t xml:space="preserve"> 1 Week Ago</t>
  </si>
  <si>
    <t xml:space="preserve"> 1 Month Ago</t>
  </si>
  <si>
    <t xml:space="preserve"> 3 Months Ago</t>
  </si>
  <si>
    <t>DRLL</t>
  </si>
  <si>
    <t>EWP</t>
  </si>
  <si>
    <t>KBA</t>
  </si>
  <si>
    <t>GII</t>
  </si>
  <si>
    <t>Day1</t>
  </si>
  <si>
    <t>Day2</t>
  </si>
  <si>
    <t xml:space="preserve"> Signal Date</t>
  </si>
  <si>
    <t xml:space="preserve"> Prior Close of Signal Price</t>
  </si>
  <si>
    <t xml:space="preserve"> Last Close Price</t>
  </si>
  <si>
    <t xml:space="preserve"> % Delta Since Initial Siganl</t>
  </si>
  <si>
    <t xml:space="preserve"> Sector</t>
  </si>
  <si>
    <t xml:space="preserve"> Analyst</t>
  </si>
  <si>
    <t xml:space="preserve"> Anlyst Best Idea Rank</t>
  </si>
  <si>
    <t>TPB</t>
  </si>
  <si>
    <t>IRT</t>
  </si>
  <si>
    <t>MPLX</t>
  </si>
  <si>
    <t>2 Day Wt</t>
  </si>
  <si>
    <t>3 Day Wt</t>
  </si>
  <si>
    <t>4 Day Wt</t>
  </si>
  <si>
    <t>5 Day Wt</t>
  </si>
  <si>
    <t>1 Wk Wt</t>
  </si>
  <si>
    <t>3 Mth Wt</t>
  </si>
  <si>
    <t>1 Mth Wt</t>
  </si>
  <si>
    <t>1 Wk Ago Wt</t>
  </si>
  <si>
    <t>1 Mth Ago Wt</t>
  </si>
  <si>
    <t>3 Mth Ago Wt</t>
  </si>
  <si>
    <t>Drop Off</t>
  </si>
  <si>
    <t>1 Week Ago</t>
  </si>
  <si>
    <t>1 Month Ago</t>
  </si>
  <si>
    <t>3 Months Ago</t>
  </si>
  <si>
    <t>Signal Strength</t>
  </si>
  <si>
    <t>Rank HL</t>
  </si>
  <si>
    <t>1Mth-3Mth Chg</t>
  </si>
  <si>
    <t>PS Chg Wt</t>
  </si>
  <si>
    <t>PS Rank Rev</t>
  </si>
  <si>
    <t>PS Rk</t>
  </si>
  <si>
    <t>Wk Ago</t>
  </si>
  <si>
    <t>Wk Ago Rnk</t>
  </si>
  <si>
    <t>Wk Ago Sig 1</t>
  </si>
  <si>
    <t>Mth Ago Rnk</t>
  </si>
  <si>
    <t>Mth Ago Sig</t>
  </si>
  <si>
    <t>3 Mth Ago Rnk</t>
  </si>
  <si>
    <t>3 Mth Ago Sig</t>
  </si>
  <si>
    <t>Day Ago</t>
  </si>
  <si>
    <t>Month Ago</t>
  </si>
  <si>
    <t>Anlst Best Idea</t>
  </si>
  <si>
    <t>Wk Wt</t>
  </si>
  <si>
    <t>Mth Wt</t>
  </si>
  <si>
    <t>Rk Wt</t>
  </si>
  <si>
    <t>Sig Wt</t>
  </si>
  <si>
    <t>TUA</t>
  </si>
  <si>
    <t>EDV</t>
  </si>
  <si>
    <t>IDX</t>
  </si>
  <si>
    <t>FXA</t>
  </si>
  <si>
    <t>EWC</t>
  </si>
  <si>
    <t>Rating</t>
  </si>
  <si>
    <t>CS</t>
  </si>
  <si>
    <t>Portfolio</t>
  </si>
  <si>
    <t>BrianMcGough</t>
  </si>
  <si>
    <t>BuySell</t>
  </si>
  <si>
    <t>Account Number</t>
  </si>
  <si>
    <t>Account Name</t>
  </si>
  <si>
    <t>Rollover IRA</t>
  </si>
  <si>
    <t>Cost</t>
  </si>
  <si>
    <t>Restaurants</t>
  </si>
  <si>
    <t>FTWO</t>
  </si>
  <si>
    <t>Sig Rating</t>
  </si>
  <si>
    <t>Min$</t>
  </si>
  <si>
    <t>Max$</t>
  </si>
  <si>
    <t>Parameter</t>
  </si>
  <si>
    <t>Units</t>
  </si>
  <si>
    <t>AIQUY</t>
  </si>
  <si>
    <t>Unit$</t>
  </si>
  <si>
    <t>PZZA</t>
  </si>
  <si>
    <t>PTLO</t>
  </si>
  <si>
    <t>FXY</t>
  </si>
  <si>
    <t>SHOC</t>
  </si>
  <si>
    <t>PSRk Chg</t>
  </si>
  <si>
    <t>SgRk Chg</t>
  </si>
  <si>
    <t>SgS Chg</t>
  </si>
  <si>
    <t>Sg Rk</t>
  </si>
  <si>
    <t>Sg Strength</t>
  </si>
  <si>
    <t>SellAll</t>
  </si>
  <si>
    <t>SellSome</t>
  </si>
  <si>
    <t>BuyRisk</t>
  </si>
  <si>
    <t>BuySome</t>
  </si>
  <si>
    <t>BuySomeWatch</t>
  </si>
  <si>
    <t>BuyWatch</t>
  </si>
  <si>
    <t>BuyRiskWatch</t>
  </si>
  <si>
    <t>Matched Rule1</t>
  </si>
  <si>
    <t>THD</t>
  </si>
  <si>
    <t>WOOD</t>
  </si>
  <si>
    <t>PSCU</t>
  </si>
  <si>
    <t>TOS</t>
  </si>
  <si>
    <t>MLCO</t>
  </si>
  <si>
    <t>EWS</t>
  </si>
  <si>
    <t>CANE</t>
  </si>
  <si>
    <t>%BRR</t>
  </si>
  <si>
    <t>SP500 Volatility</t>
  </si>
  <si>
    <t>Nasdaq Volatility</t>
  </si>
  <si>
    <t>Dow Volatility</t>
  </si>
  <si>
    <t>MACD Rule</t>
  </si>
  <si>
    <t>MACDH Rule</t>
  </si>
  <si>
    <t>Trade Cross Over</t>
  </si>
  <si>
    <t>Trend Cross Over</t>
  </si>
  <si>
    <t>BRR% TRR Puts</t>
  </si>
  <si>
    <t>BBStreak Days Rule2</t>
  </si>
  <si>
    <t>BBStreak Days Up Rule2</t>
  </si>
  <si>
    <t>BBStreak Rule2</t>
  </si>
  <si>
    <t>BBStreak Days Rule3</t>
  </si>
  <si>
    <t>BBStreak Days Rule4</t>
  </si>
  <si>
    <t>Perf3M</t>
  </si>
  <si>
    <t>Perf3W</t>
  </si>
  <si>
    <t>Perf3mn SD Rule</t>
  </si>
  <si>
    <t>Perf3WK SD Rule</t>
  </si>
  <si>
    <t>Perf2WK SD Rule</t>
  </si>
  <si>
    <t>Perf3D SD Rule</t>
  </si>
  <si>
    <t>Perf3wk SD Rule</t>
  </si>
  <si>
    <t>Perf2wk SD Rule</t>
  </si>
  <si>
    <t>Perf SD Rule</t>
  </si>
  <si>
    <t>!Perf SD Rule</t>
  </si>
  <si>
    <t>SPHD</t>
  </si>
  <si>
    <t>ETHA</t>
  </si>
  <si>
    <t>Median SD</t>
  </si>
  <si>
    <t>SDorMedian</t>
  </si>
  <si>
    <t>A_Perf2M</t>
  </si>
  <si>
    <t>Perf2M_sd</t>
  </si>
  <si>
    <t>Perf2M SD Rule</t>
  </si>
  <si>
    <t>A_BBHighLowDays</t>
  </si>
  <si>
    <t>BBHighDays</t>
  </si>
  <si>
    <t>BBLowDays</t>
  </si>
  <si>
    <t>RIOT</t>
  </si>
  <si>
    <t>Up Resistance</t>
  </si>
  <si>
    <t>Down Resistance</t>
  </si>
  <si>
    <t>Trig Range To</t>
  </si>
  <si>
    <t>Trig Range From</t>
  </si>
  <si>
    <t>Watch 1</t>
  </si>
  <si>
    <t>Watch 2</t>
  </si>
  <si>
    <t>Watch 3</t>
  </si>
  <si>
    <t>PFIX</t>
  </si>
  <si>
    <t>Alternatives</t>
  </si>
  <si>
    <t>MACDH Days</t>
  </si>
  <si>
    <t>MACDH Days2</t>
  </si>
  <si>
    <t>Perf1D SD Rule</t>
  </si>
  <si>
    <t>Perf1D_sd</t>
  </si>
  <si>
    <t>Overbought</t>
  </si>
  <si>
    <t>!Overbought</t>
  </si>
  <si>
    <t>!TrTn Relation</t>
  </si>
  <si>
    <t>!Trade Trend Relation</t>
  </si>
  <si>
    <t>Value Column</t>
  </si>
  <si>
    <t>FLG</t>
  </si>
  <si>
    <t>BB_Threshold_Crossover</t>
  </si>
  <si>
    <t>BBThresh Crossover</t>
  </si>
  <si>
    <t>BB Threshold</t>
  </si>
  <si>
    <t>Low end of the risk range, going up, and above trend and above trade. Confirmed by MACD</t>
  </si>
  <si>
    <t>Low end of the risk range, going up by at least one day, and above trend and above trade. Confirmed by Up day(s).</t>
  </si>
  <si>
    <t>Low end of the risk range and above trend and above trade. Not confirmed by MACD or UpDays rule</t>
  </si>
  <si>
    <t>Low end of the risk range, going up, and above trend and below trade. Confirmed by MACD</t>
  </si>
  <si>
    <t>Low end of the range but moving up. Above trend and below trade. Confirmed by Day Perf</t>
  </si>
  <si>
    <t>Consistantly Going Up</t>
  </si>
  <si>
    <t>If BB Streak is moving higher for longer days. &gt;TN &gt;TD</t>
  </si>
  <si>
    <t>If BB Streak is moving higher for longer days. &gt;TN. Not Trade</t>
  </si>
  <si>
    <t>If BBHL is moving higher for longer days. Above trade and trend</t>
  </si>
  <si>
    <t>Going up, Trend is above trade. Confirmed by MACD and Days Perf</t>
  </si>
  <si>
    <t>Going up, not  trending or trading and Low end of the range. Confirmed by MACD and days</t>
  </si>
  <si>
    <t>QAT</t>
  </si>
  <si>
    <t>JPXN</t>
  </si>
  <si>
    <t>trend breaks and direction is down (MACD-H)</t>
  </si>
  <si>
    <t>streak is very  bad</t>
  </si>
  <si>
    <t>volume spikes and price down and volatility high/low</t>
  </si>
  <si>
    <t>Bull, crosses Bridge Band Threshold towards bottom</t>
  </si>
  <si>
    <t>If not bull. Top of Risk Range, IV, RSI and MACD</t>
  </si>
  <si>
    <t>Bull, streak was positive before few days. Loosing stream.</t>
  </si>
  <si>
    <t>BULL. Top of Risk Range, IV, RSI and MACD</t>
  </si>
  <si>
    <t>trade breaks</t>
  </si>
  <si>
    <t>Short Term Oulook (If LT Bullish)</t>
  </si>
  <si>
    <t>Short Term Oulook (If LT Bearish)</t>
  </si>
  <si>
    <t>SellToMin</t>
  </si>
  <si>
    <t>BB_Streak_1</t>
  </si>
  <si>
    <t>BB_Streak_2</t>
  </si>
  <si>
    <t>BB_Streak_cur</t>
  </si>
  <si>
    <t>BBThresh CO Days</t>
  </si>
  <si>
    <t>BBThresh_CO_Days</t>
  </si>
  <si>
    <t>ACHR</t>
  </si>
  <si>
    <t>JOBY</t>
  </si>
  <si>
    <t>BBThresh_CO_Days2</t>
  </si>
  <si>
    <t>BBThresh CO Days2</t>
  </si>
  <si>
    <t>PVV Rule</t>
  </si>
  <si>
    <t>PS</t>
  </si>
  <si>
    <t>SSS</t>
  </si>
  <si>
    <t>!Perf1D SD Rule</t>
  </si>
  <si>
    <t>!Perf1D_sd</t>
  </si>
  <si>
    <t>LIT</t>
  </si>
  <si>
    <t>IWF</t>
  </si>
  <si>
    <t>SigBuySell</t>
  </si>
  <si>
    <t>Lookup</t>
  </si>
  <si>
    <t>BKV</t>
  </si>
  <si>
    <t>Volume spike - price up - Volatiliby low. Above Trend.</t>
  </si>
  <si>
    <t>trade breaks. Trade is below trend.</t>
  </si>
  <si>
    <t>If not bull, stock goes in reverse direction(Streak was high before 2 days and not beyond 4 days.</t>
  </si>
  <si>
    <t>Streak started going bad</t>
  </si>
  <si>
    <t>Close to 3M High if it was before 5 days</t>
  </si>
  <si>
    <t>Sell if earnings date is approaching</t>
  </si>
  <si>
    <t>BBStreakRule1</t>
  </si>
  <si>
    <t>BBStreak Rule1</t>
  </si>
  <si>
    <t>TRRTrade</t>
  </si>
  <si>
    <t>BRRTrade</t>
  </si>
  <si>
    <t>Trade Close to BRR</t>
  </si>
  <si>
    <t>Trade Close to TRR</t>
  </si>
  <si>
    <t>Sell</t>
  </si>
  <si>
    <t>30-Year U.S. Treasury Yield</t>
  </si>
  <si>
    <t>10-Year U.S. Treasury Yield</t>
  </si>
  <si>
    <t>2-Year U.S. Treasury Yield</t>
  </si>
  <si>
    <t>High Yield</t>
  </si>
  <si>
    <t>Investment Grade Corporate Bond ETF</t>
  </si>
  <si>
    <t>Utilities Select Sector SPDR Fund</t>
  </si>
  <si>
    <t>Energy Select Sector SPDR Fund</t>
  </si>
  <si>
    <t>Nikkei 225 Index</t>
  </si>
  <si>
    <t>German DAX Composite</t>
  </si>
  <si>
    <t>Volatility Index</t>
  </si>
  <si>
    <t>Light Crude Oil Continuous Contract</t>
  </si>
  <si>
    <t>Brent Crude Oil Continuous Contract</t>
  </si>
  <si>
    <t>Natural Gas Continuous Contract</t>
  </si>
  <si>
    <t>Gold Spot Price</t>
  </si>
  <si>
    <t>Copper Continuous Contract</t>
  </si>
  <si>
    <t>Silver Spot Price</t>
  </si>
  <si>
    <t>RR Name</t>
  </si>
  <si>
    <t>UST30Y</t>
  </si>
  <si>
    <t>UST10Y</t>
  </si>
  <si>
    <t>UST2Y</t>
  </si>
  <si>
    <t>COMPQ</t>
  </si>
  <si>
    <t>SSEC</t>
  </si>
  <si>
    <t>NIKK</t>
  </si>
  <si>
    <t>BSE</t>
  </si>
  <si>
    <t>DAX</t>
  </si>
  <si>
    <t>USD/YEN</t>
  </si>
  <si>
    <t>WTIC</t>
  </si>
  <si>
    <t>BRENT</t>
  </si>
  <si>
    <t>NATGAS</t>
  </si>
  <si>
    <t>COPPER</t>
  </si>
  <si>
    <t>SILVER</t>
  </si>
  <si>
    <t>BITCOIN</t>
  </si>
  <si>
    <t>Date Added</t>
  </si>
  <si>
    <t>Recent Price</t>
  </si>
  <si>
    <t>BRR</t>
  </si>
  <si>
    <t>TRR</t>
  </si>
  <si>
    <t>Uranium</t>
  </si>
  <si>
    <t>EWW</t>
  </si>
  <si>
    <t>EDEN</t>
  </si>
  <si>
    <t>TUR</t>
  </si>
  <si>
    <t>TAN</t>
  </si>
  <si>
    <t>SOYB</t>
  </si>
  <si>
    <t>VNM</t>
  </si>
  <si>
    <t>FXC</t>
  </si>
  <si>
    <t>ECH</t>
  </si>
  <si>
    <t>Biotechnology</t>
  </si>
  <si>
    <t>WGS</t>
  </si>
  <si>
    <t>Healthcare</t>
  </si>
  <si>
    <t>ETF</t>
  </si>
  <si>
    <t>MAC</t>
  </si>
  <si>
    <t>BOOT</t>
  </si>
  <si>
    <t>BTC</t>
  </si>
  <si>
    <t>GAP</t>
  </si>
  <si>
    <t>CNH</t>
  </si>
  <si>
    <t>ET</t>
  </si>
  <si>
    <t>ARHS</t>
  </si>
  <si>
    <t>CXXIF</t>
  </si>
  <si>
    <t>THS</t>
  </si>
  <si>
    <t>SG</t>
  </si>
  <si>
    <t>VKTX</t>
  </si>
  <si>
    <t>MGPI</t>
  </si>
  <si>
    <t>FCG</t>
  </si>
  <si>
    <t>IJT</t>
  </si>
  <si>
    <t>VGK</t>
  </si>
  <si>
    <t>CAKE</t>
  </si>
  <si>
    <t>Outlook Modifier</t>
  </si>
  <si>
    <t>long</t>
  </si>
  <si>
    <t>short</t>
  </si>
  <si>
    <t>neutral</t>
  </si>
  <si>
    <t>best idea short</t>
  </si>
  <si>
    <t>best Idea long</t>
  </si>
  <si>
    <t>SHO</t>
  </si>
  <si>
    <t>PBR</t>
  </si>
  <si>
    <t>CNX</t>
  </si>
  <si>
    <t>PR</t>
  </si>
  <si>
    <t>OXM</t>
  </si>
  <si>
    <t>PECO</t>
  </si>
  <si>
    <t>UFO</t>
  </si>
  <si>
    <t>KCE</t>
  </si>
  <si>
    <t>Export Date</t>
  </si>
  <si>
    <t>Export Time</t>
  </si>
  <si>
    <t>FORM</t>
  </si>
  <si>
    <t>Overwrite Market Close Date</t>
  </si>
  <si>
    <t>BIRK</t>
  </si>
  <si>
    <t>SHYG</t>
  </si>
  <si>
    <t>HYLS</t>
  </si>
  <si>
    <t>Investments</t>
  </si>
  <si>
    <t>Amount</t>
  </si>
  <si>
    <t>Max Ranks</t>
  </si>
  <si>
    <t>Inv. Amount</t>
  </si>
  <si>
    <t>Use Previous Close Date</t>
  </si>
  <si>
    <t>Dist. $</t>
  </si>
  <si>
    <t>Allowed $</t>
  </si>
  <si>
    <t>Max $</t>
  </si>
  <si>
    <t>VET</t>
  </si>
  <si>
    <t>QBTS</t>
  </si>
  <si>
    <t>RGTI</t>
  </si>
  <si>
    <t>QUBT</t>
  </si>
  <si>
    <t>CLOZ</t>
  </si>
  <si>
    <t>ARGT</t>
  </si>
  <si>
    <t>DAPP</t>
  </si>
  <si>
    <t>QTUM</t>
  </si>
  <si>
    <t>HACK</t>
  </si>
  <si>
    <t>Signal Sign</t>
  </si>
  <si>
    <t>Is Latest?</t>
  </si>
  <si>
    <t>Is Latest</t>
  </si>
  <si>
    <t>SMPL</t>
  </si>
  <si>
    <t>Cybersecurity</t>
  </si>
  <si>
    <t>COPJ</t>
  </si>
  <si>
    <t>M TOS</t>
  </si>
  <si>
    <t>Using Date as Market Close</t>
  </si>
  <si>
    <t>Neg Outlook</t>
  </si>
  <si>
    <t>Pos Outlook</t>
  </si>
  <si>
    <t>CBRL</t>
  </si>
  <si>
    <t>SFD</t>
  </si>
  <si>
    <t>BTC-USD</t>
  </si>
  <si>
    <t>Y Ticker</t>
  </si>
  <si>
    <t>CPAY</t>
  </si>
  <si>
    <t>NBIS</t>
  </si>
  <si>
    <t>JACK</t>
  </si>
  <si>
    <t>Qty</t>
  </si>
  <si>
    <t>YPF</t>
  </si>
  <si>
    <t>TGS</t>
  </si>
  <si>
    <t>PAM</t>
  </si>
  <si>
    <t>Next Close Date</t>
  </si>
  <si>
    <t>PBH</t>
  </si>
  <si>
    <t>TIP</t>
  </si>
  <si>
    <t>New Year’s Day</t>
  </si>
  <si>
    <t>Martin Luther King, Jr. Day</t>
  </si>
  <si>
    <t>Juneteenth National Independence Day</t>
  </si>
  <si>
    <t>Thanksgiving Day</t>
  </si>
  <si>
    <t>Christmas Day</t>
  </si>
  <si>
    <t>Independence Day (Observed)</t>
  </si>
  <si>
    <t>Juneteenth National Independence Day (Observed)</t>
  </si>
  <si>
    <t>Christmas Day (Observed)</t>
  </si>
  <si>
    <t>Use latest Y export</t>
  </si>
  <si>
    <t>After close TOS Export used?</t>
  </si>
  <si>
    <t>ARQQ</t>
  </si>
  <si>
    <t>IONQ</t>
  </si>
  <si>
    <t>Low end of the risk range and LRR is close to trade</t>
  </si>
  <si>
    <t>Low end of the risk range and above trend and above trade. Not confirmed by other indicators.</t>
  </si>
  <si>
    <t>Low end of the risk range, going up, and above trend and below trade. Confirmed by MACD and Day Perf</t>
  </si>
  <si>
    <t>PSCI</t>
  </si>
  <si>
    <t>Airlines</t>
  </si>
  <si>
    <t>Technology</t>
  </si>
  <si>
    <t>Pharmaceuticals</t>
  </si>
  <si>
    <t>Mortgage REITs</t>
  </si>
  <si>
    <t>Health Care Facilities</t>
  </si>
  <si>
    <t>Aerospace &amp; Defense</t>
  </si>
  <si>
    <t>Software</t>
  </si>
  <si>
    <t>ETFs</t>
  </si>
  <si>
    <t>Consumer Finance</t>
  </si>
  <si>
    <t>Chemicals</t>
  </si>
  <si>
    <t>Semiconductor Equipment</t>
  </si>
  <si>
    <t>Semiconductors</t>
  </si>
  <si>
    <t>Asset Management</t>
  </si>
  <si>
    <t>Health Care Services</t>
  </si>
  <si>
    <t>Electrical Equipment</t>
  </si>
  <si>
    <t>Specialty Retail</t>
  </si>
  <si>
    <t>Banks</t>
  </si>
  <si>
    <t>Construction Materials</t>
  </si>
  <si>
    <t>E-Commerce</t>
  </si>
  <si>
    <t>Metal &amp; Glass Containers</t>
  </si>
  <si>
    <t>Beverages</t>
  </si>
  <si>
    <t>Building Products</t>
  </si>
  <si>
    <t>Multi-Utilities</t>
  </si>
  <si>
    <t>Apparel Retail</t>
  </si>
  <si>
    <t>N/A</t>
  </si>
  <si>
    <t>Cryptocurrency</t>
  </si>
  <si>
    <t>Currency</t>
  </si>
  <si>
    <t>Health Care Distributors</t>
  </si>
  <si>
    <t>Household Products</t>
  </si>
  <si>
    <t>Food Distribution</t>
  </si>
  <si>
    <t>Telecom Services</t>
  </si>
  <si>
    <t>Insurance</t>
  </si>
  <si>
    <t>Metals &amp; Mining</t>
  </si>
  <si>
    <t>Railroads</t>
  </si>
  <si>
    <t>Communications Equipment</t>
  </si>
  <si>
    <t>Education</t>
  </si>
  <si>
    <t>Personal Products</t>
  </si>
  <si>
    <t>Air Freight &amp; Logistics</t>
  </si>
  <si>
    <t>Renewable Electricity</t>
  </si>
  <si>
    <t>Precious Metals</t>
  </si>
  <si>
    <t>Industrial Conglomerates</t>
  </si>
  <si>
    <t>Leisure Products</t>
  </si>
  <si>
    <t>Electronic Equipment</t>
  </si>
  <si>
    <t>Steel</t>
  </si>
  <si>
    <t>Renewable Energy</t>
  </si>
  <si>
    <t>Tobacco</t>
  </si>
  <si>
    <t>Distributors</t>
  </si>
  <si>
    <t>Consumer Electronics</t>
  </si>
  <si>
    <t>Financial Select Sector SPDR Fund</t>
  </si>
  <si>
    <t>Consumer Staples Select Sector SPDR Fund</t>
  </si>
  <si>
    <t>Real Estate Select Sector SPDR Fund</t>
  </si>
  <si>
    <t>Consumer Discretionary Select Sector SPDR Fund</t>
  </si>
  <si>
    <t>Current Quarter</t>
  </si>
  <si>
    <t>VXN:CGI</t>
  </si>
  <si>
    <t>GVZ:CGI</t>
  </si>
  <si>
    <t>OVX:CGI</t>
  </si>
  <si>
    <t>Invest</t>
  </si>
  <si>
    <t>BNO</t>
  </si>
  <si>
    <t>Y Latest Exp Date</t>
  </si>
  <si>
    <t>Y Mkt Close Export</t>
  </si>
  <si>
    <t>Use Latest</t>
  </si>
  <si>
    <t>SPX Momentum</t>
  </si>
  <si>
    <t>Sort Symbol</t>
  </si>
  <si>
    <t>VG</t>
  </si>
  <si>
    <t>If not bull, stock goes in reverse direction(Streak was high for 1 or 2 days and current day is -ve) . Above trend and below trade.</t>
  </si>
  <si>
    <t>If not bull, stock goes in reverse direction(Streak was high for 1 or 2 days and current day is -ve) . Below TR and TN</t>
  </si>
  <si>
    <t>Market Close</t>
  </si>
  <si>
    <t>ETF Date</t>
  </si>
  <si>
    <t>SSH Date</t>
  </si>
  <si>
    <t>EIS</t>
  </si>
  <si>
    <t>ETH</t>
  </si>
  <si>
    <t>XYZ</t>
  </si>
  <si>
    <t>RSPG</t>
  </si>
  <si>
    <t>USCI</t>
  </si>
  <si>
    <t>/6E</t>
  </si>
  <si>
    <t>/6J</t>
  </si>
  <si>
    <t>/6B</t>
  </si>
  <si>
    <t>/6C</t>
  </si>
  <si>
    <t>/CL</t>
  </si>
  <si>
    <t>/BZ</t>
  </si>
  <si>
    <t>/NG</t>
  </si>
  <si>
    <t>/GC</t>
  </si>
  <si>
    <t>/HG</t>
  </si>
  <si>
    <t>/SI</t>
  </si>
  <si>
    <t>/BTC</t>
  </si>
  <si>
    <t>FH Date</t>
  </si>
  <si>
    <t>DateTime</t>
  </si>
  <si>
    <t>Y Market Close export Date</t>
  </si>
  <si>
    <t>Next Close Start Date and Time</t>
  </si>
  <si>
    <t>Next Close End Date and Time</t>
  </si>
  <si>
    <t>Market Close Start Date and Time</t>
  </si>
  <si>
    <t>Market Close End Date and Time</t>
  </si>
  <si>
    <t>Prev Close End Date and Time</t>
  </si>
  <si>
    <t>After close Y Export used?</t>
  </si>
  <si>
    <t>Current Month</t>
  </si>
  <si>
    <t>Econ.Ind 1</t>
  </si>
  <si>
    <t>Econ.Ind 2</t>
  </si>
  <si>
    <t>Econ.Ind 3</t>
  </si>
  <si>
    <t>Econ.Ind 4</t>
  </si>
  <si>
    <t>Econ.Ind 5</t>
  </si>
  <si>
    <t>Econ.Ind 6</t>
  </si>
  <si>
    <t>Econ.Ind 7</t>
  </si>
  <si>
    <t>Econ.Ind 8</t>
  </si>
  <si>
    <t>Econ.Ind 9</t>
  </si>
  <si>
    <t>Econ.Ind 10</t>
  </si>
  <si>
    <t>Econ.Ind 11</t>
  </si>
  <si>
    <t>Econ.Ind 12</t>
  </si>
  <si>
    <t>Econ.Ind 13</t>
  </si>
  <si>
    <t>Incl Eco Days</t>
  </si>
  <si>
    <t>Error</t>
  </si>
  <si>
    <t>PBPB</t>
  </si>
  <si>
    <t>Sym</t>
  </si>
  <si>
    <t>MTDR</t>
  </si>
  <si>
    <t>Health care</t>
  </si>
  <si>
    <t>Allocation</t>
  </si>
  <si>
    <t>DK</t>
  </si>
  <si>
    <t>UL</t>
  </si>
  <si>
    <t>HIMS</t>
  </si>
  <si>
    <t>BUD</t>
  </si>
  <si>
    <t>EM &amp; Debt</t>
  </si>
  <si>
    <t>Price Paid</t>
  </si>
  <si>
    <t>M Rule2</t>
  </si>
  <si>
    <t>M Rule3</t>
  </si>
  <si>
    <t>M Rule4</t>
  </si>
  <si>
    <t>M Rule5</t>
  </si>
  <si>
    <t>M Rule6</t>
  </si>
  <si>
    <t>M Rule7</t>
  </si>
  <si>
    <t>High TRR</t>
  </si>
  <si>
    <t>REZ</t>
  </si>
  <si>
    <t>CLOX</t>
  </si>
  <si>
    <t>2YY=F</t>
  </si>
  <si>
    <t>GDAXI:DE</t>
  </si>
  <si>
    <t>TNX:CGI</t>
  </si>
  <si>
    <t>TYX:CGI</t>
  </si>
  <si>
    <t>N225:JP</t>
  </si>
  <si>
    <t>Sectors</t>
  </si>
  <si>
    <t>JPYUSD=X</t>
  </si>
  <si>
    <t>Qty Diff</t>
  </si>
  <si>
    <t>NSP</t>
  </si>
  <si>
    <t>TNET</t>
  </si>
  <si>
    <t>EFNL</t>
  </si>
  <si>
    <t>XIACY</t>
  </si>
  <si>
    <t>VRNS</t>
  </si>
  <si>
    <t>BTI</t>
  </si>
  <si>
    <t>B</t>
  </si>
  <si>
    <t>GTM</t>
  </si>
  <si>
    <t>EWK</t>
  </si>
  <si>
    <t>SITM</t>
  </si>
  <si>
    <t>GEL</t>
  </si>
  <si>
    <t>EWZS</t>
  </si>
  <si>
    <t>URNJ</t>
  </si>
  <si>
    <t>Neutral</t>
  </si>
  <si>
    <t>GVAL</t>
  </si>
  <si>
    <t>II Date</t>
  </si>
  <si>
    <t>II</t>
  </si>
  <si>
    <t>Quarterly Quad Outlook</t>
  </si>
  <si>
    <t>Monthly Quad Outlook</t>
  </si>
  <si>
    <t>M Q Outlook</t>
  </si>
  <si>
    <t>Monthly Quad</t>
  </si>
  <si>
    <t>Quarterly Quad</t>
  </si>
  <si>
    <t>MOO</t>
  </si>
  <si>
    <t>Qty (Quantity)</t>
  </si>
  <si>
    <t>Price Chng $ (Price Change $)</t>
  </si>
  <si>
    <t>Price Chng % (Price Change %)</t>
  </si>
  <si>
    <t>Mkt Val (Market Value)</t>
  </si>
  <si>
    <t>Day Chng $ (Day Change $)</t>
  </si>
  <si>
    <t>Day Chng % (Day Change %)</t>
  </si>
  <si>
    <t>Cost Basis</t>
  </si>
  <si>
    <t>Gain $ (Gain/Loss $)</t>
  </si>
  <si>
    <t>Gain % (Gain/Loss %)</t>
  </si>
  <si>
    <t>Reinvest?</t>
  </si>
  <si>
    <t>Reinvest Capital Gains?</t>
  </si>
  <si>
    <t>Security Type</t>
  </si>
  <si>
    <t>No</t>
  </si>
  <si>
    <t>ETFs &amp; Closed End Funds</t>
  </si>
  <si>
    <t>SOLZ</t>
  </si>
  <si>
    <t>CRCL</t>
  </si>
  <si>
    <t>PALL</t>
  </si>
  <si>
    <t>QMOM</t>
  </si>
  <si>
    <t>Remaining</t>
  </si>
  <si>
    <t>PVVBuySell</t>
  </si>
  <si>
    <t>PVV-Buy</t>
  </si>
  <si>
    <t>PVV-BuySome</t>
  </si>
  <si>
    <t>PVV-SellAll</t>
  </si>
  <si>
    <t>PVV-SellSome</t>
  </si>
  <si>
    <t>Long$</t>
  </si>
  <si>
    <t>Short$</t>
  </si>
  <si>
    <t>Stocks$</t>
  </si>
  <si>
    <t>CS Date</t>
  </si>
  <si>
    <t>SLX</t>
  </si>
  <si>
    <t>BB BRR%</t>
  </si>
  <si>
    <t>MKOR</t>
  </si>
  <si>
    <t>PKB</t>
  </si>
  <si>
    <t>Trnd TRR</t>
  </si>
  <si>
    <t>RR BRR%</t>
  </si>
  <si>
    <t>YCS</t>
  </si>
  <si>
    <t>Digital Assets</t>
  </si>
  <si>
    <t>WING</t>
  </si>
  <si>
    <t>Seq</t>
  </si>
  <si>
    <t>BuySellCombo</t>
  </si>
  <si>
    <t>BB</t>
  </si>
  <si>
    <t>SS</t>
  </si>
  <si>
    <t>BS</t>
  </si>
  <si>
    <t>SB</t>
  </si>
  <si>
    <t>#S</t>
  </si>
  <si>
    <t>S#</t>
  </si>
  <si>
    <t>#B</t>
  </si>
  <si>
    <t>B#</t>
  </si>
  <si>
    <t>#</t>
  </si>
  <si>
    <t>##</t>
  </si>
  <si>
    <t>IWN</t>
  </si>
  <si>
    <t>Above trend BRR and RSI</t>
  </si>
  <si>
    <t>Above Trend</t>
  </si>
  <si>
    <t>Month</t>
  </si>
  <si>
    <t>Start Date</t>
  </si>
  <si>
    <t>End Date</t>
  </si>
  <si>
    <t>Quads</t>
  </si>
  <si>
    <t>Quarter</t>
  </si>
  <si>
    <t>Q4 2025</t>
  </si>
  <si>
    <t>Q1 2026</t>
  </si>
  <si>
    <t>Q2 2026</t>
  </si>
  <si>
    <t>HBDC</t>
  </si>
  <si>
    <t>1DayAgo</t>
  </si>
  <si>
    <t>1MonthAgo</t>
  </si>
  <si>
    <t>3MonthsAgo</t>
  </si>
  <si>
    <t>M Rule8</t>
  </si>
  <si>
    <t>M Rule9</t>
  </si>
  <si>
    <t>M Rule10</t>
  </si>
  <si>
    <t>M Rule11</t>
  </si>
  <si>
    <t>Trend below TRR</t>
  </si>
  <si>
    <t>BRR% LRR2</t>
  </si>
  <si>
    <t>VLTO</t>
  </si>
  <si>
    <t>OKLO</t>
  </si>
  <si>
    <t>OL</t>
  </si>
  <si>
    <t>Monthly options exp - 2 weeks before (Bullish)</t>
  </si>
  <si>
    <t>Monthly options exp - 1 Wk After (Bearish)</t>
  </si>
  <si>
    <t>Quarterly options exp - 2 weeks before (Bullish)</t>
  </si>
  <si>
    <t>Quarterly options exp - 1 Wk After (Bearish)</t>
  </si>
  <si>
    <t>Month end marking - 3 days after  - Buy Puts (Crypto)</t>
  </si>
  <si>
    <t>Quarter end marking -  3 days after  - Buy puts (Crypto)</t>
  </si>
  <si>
    <t>Effective Today</t>
  </si>
  <si>
    <t>Show on Dashboard</t>
  </si>
  <si>
    <t>Expected</t>
  </si>
  <si>
    <t>HE Outlook</t>
  </si>
  <si>
    <t>HE OL</t>
  </si>
  <si>
    <t>Jackson hole fed speech</t>
  </si>
  <si>
    <t>MTUM</t>
  </si>
  <si>
    <t>MICROSOFT CORP.</t>
  </si>
  <si>
    <t>APPLE INC.</t>
  </si>
  <si>
    <t>AMAZON INC.</t>
  </si>
  <si>
    <t>META PLATFORMS INC.</t>
  </si>
  <si>
    <t>ALPHABET INC.</t>
  </si>
  <si>
    <t>NETFLIX INC.</t>
  </si>
  <si>
    <t>TESLA INC.</t>
  </si>
  <si>
    <t>NVIDIA CORPORATION</t>
  </si>
  <si>
    <t>BITCOIN SPOT PRICE</t>
  </si>
  <si>
    <t>Aerospace &amp; Defense ETF</t>
  </si>
  <si>
    <t>iShares US Insurance ETF</t>
  </si>
  <si>
    <t>Filename</t>
  </si>
  <si>
    <t>Filedate</t>
  </si>
  <si>
    <t>Overwrite Main date</t>
  </si>
  <si>
    <t>LRR above Trade</t>
  </si>
  <si>
    <t>ASO</t>
  </si>
  <si>
    <t>MQ</t>
  </si>
  <si>
    <t>QQ</t>
  </si>
  <si>
    <t>ESPO</t>
  </si>
  <si>
    <t>SHOO</t>
  </si>
  <si>
    <t>LUXE</t>
  </si>
  <si>
    <t>Commodities(Orig)</t>
  </si>
  <si>
    <t>Options(Orig)</t>
  </si>
  <si>
    <t>Sig</t>
  </si>
  <si>
    <t>Other</t>
  </si>
  <si>
    <t>Amt Type</t>
  </si>
  <si>
    <t>HQY</t>
  </si>
  <si>
    <t>TOKE</t>
  </si>
  <si>
    <t>Quantum Tech</t>
  </si>
  <si>
    <t>ORACLE CORPORATION</t>
  </si>
  <si>
    <t>IVPercentile</t>
  </si>
  <si>
    <t>A_IVPercentile</t>
  </si>
  <si>
    <t>IVPercentile Puts</t>
  </si>
  <si>
    <t>IVRule</t>
  </si>
  <si>
    <t>PRVA</t>
  </si>
  <si>
    <t>ONTO</t>
  </si>
  <si>
    <t>Rollover_IRA ...892</t>
  </si>
  <si>
    <t>1WeekAgo</t>
  </si>
  <si>
    <t>TRX</t>
  </si>
  <si>
    <t>AQWA</t>
  </si>
  <si>
    <t>Tot Amt</t>
  </si>
  <si>
    <t>Miss</t>
  </si>
  <si>
    <t>Simplify Healthcare ETF</t>
  </si>
  <si>
    <t>BBHighLow_A</t>
  </si>
  <si>
    <t>BB_Direction1</t>
  </si>
  <si>
    <t>RR Date</t>
  </si>
  <si>
    <t>KM</t>
  </si>
  <si>
    <t>Unranked</t>
  </si>
  <si>
    <t>UnRanked</t>
  </si>
  <si>
    <t>Prev State</t>
  </si>
  <si>
    <t>PS Cont</t>
  </si>
  <si>
    <t>SSS Cont</t>
  </si>
  <si>
    <t>SSS Entry</t>
  </si>
  <si>
    <t>II Entry</t>
  </si>
  <si>
    <t>II Cont</t>
  </si>
  <si>
    <t>Data Dates</t>
  </si>
  <si>
    <t>Incl Date Range</t>
  </si>
  <si>
    <t>Latest Symbol</t>
  </si>
  <si>
    <t>PS Entry</t>
  </si>
  <si>
    <t>ETF Entry</t>
  </si>
  <si>
    <t>ETF Cont</t>
  </si>
  <si>
    <t>Action</t>
  </si>
  <si>
    <t>ETF Change</t>
  </si>
  <si>
    <t>RR Entry</t>
  </si>
  <si>
    <t>Lastest Symbol</t>
  </si>
  <si>
    <t>Prev Date</t>
  </si>
  <si>
    <t>Account</t>
  </si>
  <si>
    <t xml:space="preserve"> </t>
  </si>
  <si>
    <t>Ignore</t>
  </si>
  <si>
    <t>SSS Entry Wt</t>
  </si>
  <si>
    <t>SSS Cont Wt</t>
  </si>
  <si>
    <t>PS Entry Wt</t>
  </si>
  <si>
    <t>PS Cont Wt</t>
  </si>
  <si>
    <t>ETF Cont Wt</t>
  </si>
  <si>
    <t>ETF Entry Wt</t>
  </si>
  <si>
    <t>Entry</t>
  </si>
  <si>
    <t>Cont</t>
  </si>
  <si>
    <t>PS Date</t>
  </si>
  <si>
    <t>SSS Date</t>
  </si>
  <si>
    <t>Latest</t>
  </si>
  <si>
    <t>Removed Date</t>
  </si>
  <si>
    <t>Keep the data only for a week</t>
  </si>
  <si>
    <t>Include</t>
  </si>
  <si>
    <t>Column (Daily)</t>
  </si>
  <si>
    <t>Column (Latest)</t>
  </si>
  <si>
    <t>Column (Weekly)</t>
  </si>
  <si>
    <t>VolumeAvg</t>
  </si>
  <si>
    <t>52High</t>
  </si>
  <si>
    <t>52Low</t>
  </si>
  <si>
    <t>SimpleMovingAvg</t>
  </si>
  <si>
    <t>A_EarningsDays</t>
  </si>
  <si>
    <t>Homebuilders</t>
  </si>
  <si>
    <t>TOS Weekly export Date</t>
  </si>
  <si>
    <t>TOS Daily export Date</t>
  </si>
  <si>
    <t>TOS Latest export Date</t>
  </si>
  <si>
    <t>TOS Daily Export Date</t>
  </si>
  <si>
    <t>TOS Latest Export Date</t>
  </si>
  <si>
    <t>TOS Weekly Export Date</t>
  </si>
  <si>
    <t>Volume1</t>
  </si>
  <si>
    <t>ImpVolatility1</t>
  </si>
  <si>
    <t>L_Last</t>
  </si>
  <si>
    <t>L_Net Chng</t>
  </si>
  <si>
    <t>L_%Change</t>
  </si>
  <si>
    <t>L_Open</t>
  </si>
  <si>
    <t>L_High</t>
  </si>
  <si>
    <t>L_Low</t>
  </si>
  <si>
    <t>L_RSI</t>
  </si>
  <si>
    <t>L_ImpVolatility</t>
  </si>
  <si>
    <t>Y_Open</t>
  </si>
  <si>
    <t>Y_High</t>
  </si>
  <si>
    <t>Y_Low</t>
  </si>
  <si>
    <t>Y_Last Price</t>
  </si>
  <si>
    <t>Y_Change</t>
  </si>
  <si>
    <t>Y_Change(%)</t>
  </si>
  <si>
    <t>Latest Y or TOS (N)</t>
  </si>
  <si>
    <t>EarningsDays</t>
  </si>
  <si>
    <t>Float</t>
  </si>
  <si>
    <t>Shares Out</t>
  </si>
  <si>
    <t>RR LRR</t>
  </si>
  <si>
    <t>RR TRR</t>
  </si>
  <si>
    <t>Chg</t>
  </si>
  <si>
    <t>TrigBuySell</t>
  </si>
  <si>
    <t>SellWatch</t>
  </si>
  <si>
    <t>BuyMin</t>
  </si>
  <si>
    <t>BuyMore</t>
  </si>
  <si>
    <t>SellNeutral</t>
  </si>
  <si>
    <t>BuyNeutral</t>
  </si>
  <si>
    <t>HE Entry</t>
  </si>
  <si>
    <t>HE Cont</t>
  </si>
  <si>
    <t>SS Entry Only</t>
  </si>
  <si>
    <t>BuyConflict</t>
  </si>
  <si>
    <t>Modifier</t>
  </si>
  <si>
    <t>PS Outlook</t>
  </si>
  <si>
    <t>Sig OL</t>
  </si>
  <si>
    <t>Final Action</t>
  </si>
  <si>
    <t>II Change</t>
  </si>
  <si>
    <t>Negative</t>
  </si>
  <si>
    <t>II Chg</t>
  </si>
  <si>
    <t>II Final</t>
  </si>
  <si>
    <t>SellOverage</t>
  </si>
  <si>
    <t>3 Wks Ago</t>
  </si>
  <si>
    <t>Short Desc</t>
  </si>
  <si>
    <t>SA</t>
  </si>
  <si>
    <t>SW</t>
  </si>
  <si>
    <t>BW</t>
  </si>
  <si>
    <t>BN</t>
  </si>
  <si>
    <t>BRW</t>
  </si>
  <si>
    <t>BSW</t>
  </si>
  <si>
    <t>BMN</t>
  </si>
  <si>
    <t>STM</t>
  </si>
  <si>
    <t>Wt</t>
  </si>
  <si>
    <t>Zoom Communications, Inc.</t>
  </si>
  <si>
    <t>SS Entry</t>
  </si>
  <si>
    <t>SS Cont</t>
  </si>
  <si>
    <t>Trig Rule</t>
  </si>
  <si>
    <t>Trig</t>
  </si>
  <si>
    <t>Trig Matched Rule1</t>
  </si>
  <si>
    <t>Trig M Rule2</t>
  </si>
  <si>
    <t>Trig M Rule3</t>
  </si>
  <si>
    <t>Trig M Rule4</t>
  </si>
  <si>
    <t>Trig M Rule5</t>
  </si>
  <si>
    <t>Trig M Rule6</t>
  </si>
  <si>
    <t>Trig M Rule7</t>
  </si>
  <si>
    <t>Trig M Rule8</t>
  </si>
  <si>
    <t>Trig M Rule9</t>
  </si>
  <si>
    <t>Trig M Rule10</t>
  </si>
  <si>
    <t>Trig M Rule11</t>
  </si>
  <si>
    <t>Blanks</t>
  </si>
  <si>
    <t>Negatives</t>
  </si>
  <si>
    <t>Positives</t>
  </si>
  <si>
    <t>^L1</t>
  </si>
  <si>
    <t>^L2</t>
  </si>
  <si>
    <t>^L3</t>
  </si>
  <si>
    <t>Opposite Outlook</t>
  </si>
  <si>
    <t>Dummy</t>
  </si>
  <si>
    <t>CBOE RUSSell 2000 VOLATILITY IN</t>
  </si>
  <si>
    <t>RusSell 2000</t>
  </si>
  <si>
    <t>RusSell Volatility</t>
  </si>
  <si>
    <t>Companies stock Buyback blackout period start date (down)</t>
  </si>
  <si>
    <t>CAll</t>
  </si>
  <si>
    <t>CAll Entry</t>
  </si>
  <si>
    <t>CAll Entry Wt</t>
  </si>
  <si>
    <t>CAll Cont</t>
  </si>
  <si>
    <t>CAll Cont Wt</t>
  </si>
  <si>
    <t>CAll Modifier</t>
  </si>
  <si>
    <t>CAll Date</t>
  </si>
  <si>
    <t>OverAll</t>
  </si>
  <si>
    <t>OverAll Group</t>
  </si>
  <si>
    <t>IICAllorSig</t>
  </si>
  <si>
    <t>CAllSig</t>
  </si>
  <si>
    <t>CAllRR</t>
  </si>
  <si>
    <t>Meets All minimum required criteria</t>
  </si>
  <si>
    <t>All indicators are in overbought state. RSI, IV, HV, BRR, MACD, MACDH</t>
  </si>
  <si>
    <t>OVERAll ECONOMY</t>
  </si>
  <si>
    <t>Month end marking - 3 days before - Buy CAlls</t>
  </si>
  <si>
    <t>Quarter end marking -  3 days before  - Buy CAlls</t>
  </si>
  <si>
    <t>Resistance while going up.If stock goes above Some markers (Trend, 50 DMA, 200 DMA) and comes back down.</t>
  </si>
  <si>
    <t>Don’t Delete</t>
  </si>
  <si>
    <t>SellWatchWatch</t>
  </si>
  <si>
    <t>SWW</t>
  </si>
  <si>
    <t>BuyWatchWatch</t>
  </si>
  <si>
    <t>BWW</t>
  </si>
  <si>
    <t>Neg Rank</t>
  </si>
  <si>
    <t>Pos Rank</t>
  </si>
  <si>
    <t>Energy Infrastructure</t>
  </si>
  <si>
    <t>DGS2:FRED</t>
  </si>
  <si>
    <t>BRR% R2</t>
  </si>
  <si>
    <t>Prev Wt</t>
  </si>
  <si>
    <t>Prev Dt (&lt;7 days)</t>
  </si>
  <si>
    <t>IVHV Rule (modified)</t>
  </si>
  <si>
    <t>IVAbsolute</t>
  </si>
  <si>
    <t>HVAbsolute</t>
  </si>
  <si>
    <t>AS</t>
  </si>
  <si>
    <t>Leg ID</t>
  </si>
  <si>
    <t>Cur Val</t>
  </si>
  <si>
    <t>Prev Val</t>
  </si>
  <si>
    <t>Prev Qty</t>
  </si>
  <si>
    <t>New leg</t>
  </si>
  <si>
    <t>Leg Status</t>
  </si>
  <si>
    <t>Snapshot P/L</t>
  </si>
  <si>
    <t>Running P/L</t>
  </si>
  <si>
    <t>Final P/L</t>
  </si>
  <si>
    <t>Final Status</t>
  </si>
  <si>
    <t>Leg P/L</t>
  </si>
  <si>
    <t>IVHV Puts</t>
  </si>
  <si>
    <t>IVHV Puts (modified)</t>
  </si>
  <si>
    <t>20 DMA</t>
  </si>
  <si>
    <t>3 Days Ago</t>
  </si>
  <si>
    <t>TD Import Date</t>
  </si>
  <si>
    <t>TL Import Date</t>
  </si>
  <si>
    <t>D_Last</t>
  </si>
  <si>
    <t>D_%Change</t>
  </si>
  <si>
    <t>D_Net Chng</t>
  </si>
  <si>
    <t>D_Open</t>
  </si>
  <si>
    <t>D_High</t>
  </si>
  <si>
    <t>D_Low</t>
  </si>
  <si>
    <t>D_RSI</t>
  </si>
  <si>
    <t>D_RSI3</t>
  </si>
  <si>
    <t>D_HV3</t>
  </si>
  <si>
    <t>D_IV3</t>
  </si>
  <si>
    <t>D_RSI7</t>
  </si>
  <si>
    <t>D_RSIDirection</t>
  </si>
  <si>
    <t>D_HV7</t>
  </si>
  <si>
    <t>D_HVDirection</t>
  </si>
  <si>
    <t>D_IV7</t>
  </si>
  <si>
    <t>D_IVDirection</t>
  </si>
  <si>
    <t>D_IVP3</t>
  </si>
  <si>
    <t>D_IVP7</t>
  </si>
  <si>
    <t>D_IVPDirection</t>
  </si>
  <si>
    <t>D_IVPMax10</t>
  </si>
  <si>
    <t>D_HV</t>
  </si>
  <si>
    <t>D_IV</t>
  </si>
  <si>
    <t>Parm</t>
  </si>
  <si>
    <t>Volume Strong</t>
  </si>
  <si>
    <t>Volume OK</t>
  </si>
  <si>
    <t>RSI1</t>
  </si>
  <si>
    <t>HistoricalVolatility1</t>
  </si>
  <si>
    <t>A_MACDays_Streak</t>
  </si>
  <si>
    <t>IVP Extreme (Panic / event-level IV)</t>
  </si>
  <si>
    <t>IVP Max (Upper regime boundary)</t>
  </si>
  <si>
    <t>IVP High (Rich but tradable)</t>
  </si>
  <si>
    <t>IVP Low (Cheap volatility)</t>
  </si>
  <si>
    <t>IV Fade (10% mean-reversion buffer)</t>
  </si>
  <si>
    <t>IV Spike (Sudden IV expansion)</t>
  </si>
  <si>
    <t>IV2HV (IV meaningfully &gt; realized)</t>
  </si>
  <si>
    <t>IV2HV Extreme (Structural overpricing)</t>
  </si>
  <si>
    <t>D_IV_to_HV</t>
  </si>
  <si>
    <t>IV Number</t>
  </si>
  <si>
    <t>Action#</t>
  </si>
  <si>
    <t>Code</t>
  </si>
  <si>
    <t>SellToMin-Extreme-V</t>
  </si>
  <si>
    <t>SellAll-V trap</t>
  </si>
  <si>
    <t>SellToMin-V flush</t>
  </si>
  <si>
    <t>Buy-V Fade Reversal</t>
  </si>
  <si>
    <t>Buy-Low V Launch</t>
  </si>
  <si>
    <t>BuySome-V Tr Confirm</t>
  </si>
  <si>
    <t>HVPercentile</t>
  </si>
  <si>
    <t>HVPercentile Puts</t>
  </si>
  <si>
    <t>A_HVPercentile</t>
  </si>
  <si>
    <t>SellWatch-Dead-V</t>
  </si>
  <si>
    <t>SellSome-HighIVtoHV</t>
  </si>
  <si>
    <t>SellSome-PeakHV</t>
  </si>
  <si>
    <t>SellSome-V-Fall</t>
  </si>
  <si>
    <t>Missing key data (IVPercentile=0, HV=0, or IV=0) or default</t>
  </si>
  <si>
    <t>RangeCompression</t>
  </si>
  <si>
    <t>Price falling (RSI falling) while implied volatility rises (IV Dir &gt; 0) or HV low; IV Percentile &lt; 60; indicates high-conviction bearish move.</t>
  </si>
  <si>
    <t>Implied volatility extremely high (IV Percentile &gt; 90) while IV Dir ≤ 0; signals volatility at unsustainable peak; high risk of a “vol crush” and price reversal.</t>
  </si>
  <si>
    <t>Price momentum down (RSI falling) with either HV Dir &lt; 0 or IV Dir &lt; 0; IV Percentile ≥ 25; signals breakdown confirmed by collapsing volatility or market exit.</t>
  </si>
  <si>
    <t>IV high relative to HV (IV &gt; HV) and IV Dir ≤ 0; indicates options market overpricing; partial sell recommended.</t>
  </si>
  <si>
    <t>Realized volatility spiking (HV / HV Avg7 &gt; 1.25) and HV Dir &lt; 0; indicates parabolic move; likely to stall; partial sell.</t>
  </si>
  <si>
    <t>Price momentum fading (RSI falling), HV falling (HV Dir &lt; 0), IV Dir ≤ 0, IV Percentile ≤ 50; trend losing energy; partial sell.</t>
  </si>
  <si>
    <t>IV Percentile ≤ 10, HV Percentile ≤ 10, IVP Dir ≤ 0, RangeCompression &lt; 3%; no price action or institutional interest; watch, do not commit capital.</t>
  </si>
  <si>
    <t>Price rising (RSI &gt; 0), HV Dir ≥ 0, IV Dir ≥ 0, IV Percentile &lt; 60; trend continuation supported by volatility; partial buy.</t>
  </si>
  <si>
    <t>Price rising (RSI &gt; 0), extreme IVP (IVP Max10 high) but current IV declining (IV Dir ≤ 0); buying the recovery as panic/volatility begins to cool.</t>
  </si>
  <si>
    <t>Price rising (RSI &gt; 0), HV Dir &gt; 0, IV Dir &gt; 0, IVP Dir &gt; 0, IV Percentile &lt; 25; high-conviction breakout from low-volatility “coiled” state; buy.</t>
  </si>
  <si>
    <t>Look in RRT tab for mapping</t>
  </si>
  <si>
    <t>Reverse</t>
  </si>
  <si>
    <t>W_Last</t>
  </si>
  <si>
    <t>W_%Change</t>
  </si>
  <si>
    <t>TW Import Date</t>
  </si>
  <si>
    <t>W_Vlm</t>
  </si>
  <si>
    <t>Avg Vlm (10day)</t>
  </si>
  <si>
    <t>Avg Vlm (3m)</t>
  </si>
  <si>
    <t>VlmRateOfChange</t>
  </si>
  <si>
    <t>W_Vlm_Expn_Ratio</t>
  </si>
  <si>
    <t>W_Prior-DayVlmExpnRatio</t>
  </si>
  <si>
    <t>W_Vlm_RuleCode</t>
  </si>
  <si>
    <t>W_Vlm_RuleDesc</t>
  </si>
  <si>
    <t>W_Price_WkAgo</t>
  </si>
  <si>
    <t>W_%Change_Wk</t>
  </si>
  <si>
    <t>W_Avg Vlm (10day)</t>
  </si>
  <si>
    <t>W_Avg Vlm (3m)</t>
  </si>
  <si>
    <t>W_VlmRateOfChange</t>
  </si>
  <si>
    <t>Vlm 10  Factor</t>
  </si>
  <si>
    <t>Vlm 10 day %</t>
  </si>
  <si>
    <t>Vlm 3 M Factor</t>
  </si>
  <si>
    <t>Vlm 3m %</t>
  </si>
  <si>
    <t>D_Vlt_RuleCode</t>
  </si>
  <si>
    <t>D_Vlt_RuleDesc</t>
  </si>
  <si>
    <t>D_Vlt_Caution</t>
  </si>
  <si>
    <t>OA Group</t>
  </si>
  <si>
    <t>OA Grp</t>
  </si>
  <si>
    <t>Q3 2026</t>
  </si>
  <si>
    <t>Dec CPI</t>
  </si>
  <si>
    <t>#F</t>
  </si>
  <si>
    <t>#Tickers to include</t>
  </si>
  <si>
    <t>3/9</t>
  </si>
  <si>
    <t>#Actionable</t>
  </si>
  <si>
    <t>#CS</t>
  </si>
  <si>
    <t>#Act</t>
  </si>
  <si>
    <t>Cloud Computing</t>
  </si>
  <si>
    <t>449-B-TN-TD-LRR-UP-MACD</t>
  </si>
  <si>
    <t>399-B-TN-TD-LRR-UP-MACD</t>
  </si>
  <si>
    <t>398-B-TN-TD-LRR-UP-DAY</t>
  </si>
  <si>
    <t>397-B-TN-TD-LRR</t>
  </si>
  <si>
    <t>299-B-BB-Streak-HiHi-TN-TD</t>
  </si>
  <si>
    <t>298-B-BB-HL-HiHi-TN-TD</t>
  </si>
  <si>
    <t>448-BS-TN-TD-LRR</t>
  </si>
  <si>
    <t>396-BS-LRR-CloseToTrade</t>
  </si>
  <si>
    <t>395-BS-TN-TD-LRR</t>
  </si>
  <si>
    <t>394-BS-TN-LRR</t>
  </si>
  <si>
    <t>299-BS-BB-Streak-HiHi-TN-TD</t>
  </si>
  <si>
    <t>298-BS-BB-HL-HiHi-TN-TD</t>
  </si>
  <si>
    <t>279-BS-BB-Streak-HiHi</t>
  </si>
  <si>
    <t>278-BS-BB-HL-HiHi</t>
  </si>
  <si>
    <t>277-BS-VS-LT</t>
  </si>
  <si>
    <t>269-BS-Bull</t>
  </si>
  <si>
    <t>268-BS-3M-HiHi</t>
  </si>
  <si>
    <t>267-BS-Trade-CO</t>
  </si>
  <si>
    <t>199-BS-TN-LRR-MACD-UP-DAY</t>
  </si>
  <si>
    <t>198-BS-TN-LRR-UP-MACD</t>
  </si>
  <si>
    <t>197-BS-TN-LRR-UP-DAY</t>
  </si>
  <si>
    <t>196-BS-TN-LRR</t>
  </si>
  <si>
    <t>99-BS-Min</t>
  </si>
  <si>
    <t>92-BS-RSI-MACD-Vlme-IVHV-IVBRR</t>
  </si>
  <si>
    <t>52-BS-BRR</t>
  </si>
  <si>
    <t>51-BS-TRADE-TREND</t>
  </si>
  <si>
    <t>98-BS-TN-BRR-RSI</t>
  </si>
  <si>
    <t>97-BS-TN-RSI-IV</t>
  </si>
  <si>
    <t>96-BS-TN</t>
  </si>
  <si>
    <t>189-BR-BB-LoHi</t>
  </si>
  <si>
    <t>188-BR-TNabvTD-UP-MACD-DAY</t>
  </si>
  <si>
    <t>187-BR-NoTN-NoTD-UP-MACD-DAY</t>
  </si>
  <si>
    <t>186-BR-Trend-CO</t>
  </si>
  <si>
    <t>899-SA-Trend-Breaks</t>
  </si>
  <si>
    <t>898-SA-Streak-VeryBad</t>
  </si>
  <si>
    <t>896-SA-TRbelowTN-Trade-Breaks</t>
  </si>
  <si>
    <t>895-SA-!TN!TD!Bull-TRR-Rev</t>
  </si>
  <si>
    <t>894-SA-!Bull-TN-TRR</t>
  </si>
  <si>
    <t>893-SA-TRR-blw-TN</t>
  </si>
  <si>
    <t>897-SA-Vlm-Spike-Price-Dn</t>
  </si>
  <si>
    <t>889-STM-OverBought</t>
  </si>
  <si>
    <t>888-STM-!Bull-BBTh-Crossover-RSI-IVHV</t>
  </si>
  <si>
    <t>887-STM-!Bull--BBTh-Crossover-RSI-IV</t>
  </si>
  <si>
    <t>798-STM-!Bull-TRR-Rev</t>
  </si>
  <si>
    <t>793-STM-!TD!Bull-TRR-Rev</t>
  </si>
  <si>
    <t>792-STM-Bull-TN-TD-TRR-RSI-IV</t>
  </si>
  <si>
    <t>791-STM-!Bull-HighAbvTRR</t>
  </si>
  <si>
    <t>697-STM-Earnings-Date</t>
  </si>
  <si>
    <t>799-STM-OverBought</t>
  </si>
  <si>
    <t>797-STM-Bull-BBTh-Crossover</t>
  </si>
  <si>
    <t>796-STM-!Bull-BBTh-Crossover</t>
  </si>
  <si>
    <t>795-STM-!TD!Bull-TRR-Rev</t>
  </si>
  <si>
    <t>794-STM-Bull-TN-TD-TRR-RSI-IV</t>
  </si>
  <si>
    <t>698-STM-Earnings-Date</t>
  </si>
  <si>
    <t>859-SS-Bull-BBTh-Crossover-RSI-IVHV</t>
  </si>
  <si>
    <t>858-SS-Bull-BBTh-Crossover-RSI-IV</t>
  </si>
  <si>
    <t>857-SS-BBTh-Crossover-RSIOnly</t>
  </si>
  <si>
    <t>789-SS-!Bull-OverBought</t>
  </si>
  <si>
    <t>788-SS-!Bull-TN-TD-TRR</t>
  </si>
  <si>
    <t>787-SS-Bull-TRR-Rev</t>
  </si>
  <si>
    <t>786-SS-Bull-OverBought</t>
  </si>
  <si>
    <t>785-SS-Trade-Breaks</t>
  </si>
  <si>
    <t>784-SS-Streak-GoingBad</t>
  </si>
  <si>
    <t>782-SS-3mnHigh</t>
  </si>
  <si>
    <t>781-SS-TRR-CloseToTrade</t>
  </si>
  <si>
    <t>698-SS-Bull-HighAbvTRR</t>
  </si>
  <si>
    <t>788-SS-!Bull-TRR</t>
  </si>
  <si>
    <t>783-SS-Vol-Spke-Price-Dn-Past</t>
  </si>
  <si>
    <t>699-SS-Resistance</t>
  </si>
  <si>
    <t>897-SW-Vlm-Spike-Price-Dn</t>
  </si>
  <si>
    <t>796-SW-!Bull-BBTh-Crossover</t>
  </si>
  <si>
    <t>783-SW-Vol-Spke-Price-Dn-Past</t>
  </si>
  <si>
    <t>699-SW-Resistance</t>
  </si>
  <si>
    <t>98-BW-TD-LRR-RSI</t>
  </si>
  <si>
    <t>97-BW-TD-RSI-IV</t>
  </si>
  <si>
    <t>96-BW-RSI-IVHV-Min</t>
  </si>
  <si>
    <t>95-BW-LowBelwLRR</t>
  </si>
  <si>
    <t>94-BW-UP-MACD</t>
  </si>
  <si>
    <t>93-BW-LRRabvTD</t>
  </si>
  <si>
    <t>Residential REITs</t>
  </si>
  <si>
    <t>Sub-Asset Class</t>
  </si>
  <si>
    <t>Equity Sector</t>
  </si>
  <si>
    <t>Small Caps</t>
  </si>
  <si>
    <t>Crypto</t>
  </si>
  <si>
    <t>Inflation Hedge</t>
  </si>
  <si>
    <t>Growth</t>
  </si>
  <si>
    <t>Shipping</t>
  </si>
  <si>
    <t>Agriculture</t>
  </si>
  <si>
    <t>Retailer of women's intimate apparel and beauty products.</t>
  </si>
  <si>
    <t>Vehicle Type</t>
  </si>
  <si>
    <t>Valuation</t>
  </si>
  <si>
    <t>Price Action</t>
  </si>
  <si>
    <t>Sensitivity</t>
  </si>
  <si>
    <t>Solvency</t>
  </si>
  <si>
    <t>Scale</t>
  </si>
  <si>
    <t>DAX Performance Index tracking 40 major German blue-chip companies.</t>
  </si>
  <si>
    <t>Stock Index</t>
  </si>
  <si>
    <t>Global Equity</t>
  </si>
  <si>
    <t>Low Leverage</t>
  </si>
  <si>
    <t>Cboe Gold Volatility Index measuring market expectations of 30-day volatility for gold.</t>
  </si>
  <si>
    <t>Gold Volatility</t>
  </si>
  <si>
    <t>Nasdaq Composite Index tracking more than 2,500 common equities listed on Nasdaq.</t>
  </si>
  <si>
    <t>ICE BofA MOVE Index measuring implied volatility of U.S. Treasury options.</t>
  </si>
  <si>
    <t>Fixed Income Volatility</t>
  </si>
  <si>
    <t>Nikkei 225 Index tracking 225 large, publicly owned companies in Japan.</t>
  </si>
  <si>
    <t>NYSE Composite Index tracking all common stocks listed on the New York Stock Exchange.</t>
  </si>
  <si>
    <t>Cboe Crude Oil Volatility Index measuring 30-day volatility of crude oil prices.</t>
  </si>
  <si>
    <t>Energy Volatility</t>
  </si>
  <si>
    <t>Russell 2000 Index tracking approximately 2,000 small-cap companies in the U.S.</t>
  </si>
  <si>
    <t>Cboe Russell 2000 Volatility Index measuring implied volatility of small-cap stocks.</t>
  </si>
  <si>
    <t>Small Cap Volatility</t>
  </si>
  <si>
    <t>S&amp;P 500 Index tracking the performance of 500 large companies listed on U.S. exchanges.</t>
  </si>
  <si>
    <t>Large Caps</t>
  </si>
  <si>
    <t>10-Year Treasury Note yield (multiplied by 10) tracking benchmark U.S. borrowing costs.</t>
  </si>
  <si>
    <t>Interest Rates</t>
  </si>
  <si>
    <t>Long Bond (10Y)</t>
  </si>
  <si>
    <t>30-Year Treasury Bond yield (multiplied by 10) tracking long-term U.S. borrowing costs.</t>
  </si>
  <si>
    <t>Long Bond (30Y)</t>
  </si>
  <si>
    <t>Cboe Volatility Index measuring the market's expectation of 30-day S&amp;P 500 volatility.</t>
  </si>
  <si>
    <t>VIX of Volatility Index measuring the expected volatility of the VIX index itself.</t>
  </si>
  <si>
    <t>VIX Volatility</t>
  </si>
  <si>
    <t>Cboe DJIA Volatility Index measuring implied volatility of the Dow 30.</t>
  </si>
  <si>
    <t>DJIA Volatility</t>
  </si>
  <si>
    <t>Cboe Nasdaq-100 Volatility Index measuring implied volatility of the Nasdaq-100.</t>
  </si>
  <si>
    <t>Tracks the spot price of gold by holding physical gold bars.</t>
  </si>
  <si>
    <t>Operates as a network air carrier providing scheduled air transportation for passengers and cargo.</t>
  </si>
  <si>
    <t>Passenger Airlines</t>
  </si>
  <si>
    <t>High Leverage</t>
  </si>
  <si>
    <t>Designs, manufactures, and markets smartphones, personal computers, tablets, wearables, and accessories.</t>
  </si>
  <si>
    <t>Discovers and delivers innovative medicines across various therapies.</t>
  </si>
  <si>
    <t>Operates a platform that enables hosts to offer stays and experiences to guests worldwide.</t>
  </si>
  <si>
    <t>Travel Services</t>
  </si>
  <si>
    <t>Travel/Tech</t>
  </si>
  <si>
    <t>Focuses on originating and servicing mortgage loans for multifamily real estate.</t>
  </si>
  <si>
    <t>Discovers, develops, manufactures, and sells health care products in various segments.</t>
  </si>
  <si>
    <t>Health Care Equipment</t>
  </si>
  <si>
    <t>Provides behavioral health services in the U.S. and U.K.</t>
  </si>
  <si>
    <t>Develops electric vertical takeoff and landing aircraft.</t>
  </si>
  <si>
    <t>Aerospace</t>
  </si>
  <si>
    <t>Operates as a food and drug retailer in the United States.</t>
  </si>
  <si>
    <t>Grocery Retail</t>
  </si>
  <si>
    <t>Operates as a diversified software company providing digital media and marketing solutions.</t>
  </si>
  <si>
    <t>Tracks an index of companies listed in or doing business in Africa.</t>
  </si>
  <si>
    <t>Operates a platform for next-generation commerce, enabling digital and mobile-first payments.</t>
  </si>
  <si>
    <t>FinTech</t>
  </si>
  <si>
    <t>Manufactures and distributes agricultural equipment and parts.</t>
  </si>
  <si>
    <t>Machinery</t>
  </si>
  <si>
    <t>Operates as a diversified REIT focusing on commercial properties.</t>
  </si>
  <si>
    <t>ADR for a major global technology and internet holding firm.</t>
  </si>
  <si>
    <t>Stock (ADR)</t>
  </si>
  <si>
    <t>Develops, manufactures, and markets engineered specialty chemicals for various industries.</t>
  </si>
  <si>
    <t>Specialty Chemicals</t>
  </si>
  <si>
    <t>Engages in citrus growing and land management in Florida.</t>
  </si>
  <si>
    <t>Provides various digital financial services to consumers, businesses, and automotive dealers.</t>
  </si>
  <si>
    <t>Develops novel therapeutics based on RNA interference technology.</t>
  </si>
  <si>
    <t>Biotech</t>
  </si>
  <si>
    <t>Provides manufacturing equipment, services, and software to the semiconductor industry.</t>
  </si>
  <si>
    <t>Develops high-definition video processing semiconductors.</t>
  </si>
  <si>
    <t>Engages in the theatrical exhibition business through its subsidiaries.</t>
  </si>
  <si>
    <t>Entertainment</t>
  </si>
  <si>
    <t>Operates as a semiconductor company that offers microprocessors and graphics processors.</t>
  </si>
  <si>
    <t>Operates as a global asset management company.</t>
  </si>
  <si>
    <t>Owns and operates single-family rental homes in the U.S.</t>
  </si>
  <si>
    <t>Tracks an index of energy infrastructure Master Limited Partnerships.</t>
  </si>
  <si>
    <t>Provides healthcare staffing and workforce solutions.</t>
  </si>
  <si>
    <t>Develops and manufactures generic and proprietary injectables.</t>
  </si>
  <si>
    <t>Engages in the retail sale of consumer products and subscriptions through online and physical stores.</t>
  </si>
  <si>
    <t>Broadline Retail</t>
  </si>
  <si>
    <t>Operates as an automotive retailer in the United States.</t>
  </si>
  <si>
    <t>Provides a platform for app discovery and monetization.</t>
  </si>
  <si>
    <t>Invests in companies involved in water treatment and infrastructure.</t>
  </si>
  <si>
    <t>Engages in the exploration and production of natural gas.</t>
  </si>
  <si>
    <t>Oil &amp; Gas</t>
  </si>
  <si>
    <t>Develops and manages life science and technology campuses.</t>
  </si>
  <si>
    <t>Office REITs</t>
  </si>
  <si>
    <t>Tracks an index of companies listed in Argentina.</t>
  </si>
  <si>
    <t>Operates as a high-end home furnishings retailer.</t>
  </si>
  <si>
    <t>Actively managed ETF focused on disruptive innovation.</t>
  </si>
  <si>
    <t>Innovation</t>
  </si>
  <si>
    <t>Provides quantum-safe encryption and satellite communications.</t>
  </si>
  <si>
    <t>Operates as a sporting goods and outdoor retailer.</t>
  </si>
  <si>
    <t>Provides broadband and video services in the United States.</t>
  </si>
  <si>
    <t>Telecom</t>
  </si>
  <si>
    <t>Acquires and manages multifamily apartment communities.</t>
  </si>
  <si>
    <t>Designs, develops, and supplies various semiconductor and infrastructure software solutions.</t>
  </si>
  <si>
    <t>Provides mission-critical products for health care and tech.</t>
  </si>
  <si>
    <t>Life Sciences Tools</t>
  </si>
  <si>
    <t>Life Sciences</t>
  </si>
  <si>
    <t>Manufactures and sells ceiling systems and solutions.</t>
  </si>
  <si>
    <t>Provides charge and credit card products, and travel-related services worldwide.</t>
  </si>
  <si>
    <t>Retailer and distributor of automotive replacement parts.</t>
  </si>
  <si>
    <t>Engages in global exploration and production of gold and copper.</t>
  </si>
  <si>
    <t>Gold Mining</t>
  </si>
  <si>
    <t>Manufactures commercial jetliners and defense systems.</t>
  </si>
  <si>
    <t>Provides technology infrastructure and marketing reach to help merchants and brands engage users.</t>
  </si>
  <si>
    <t>Provides banking and financial products and services for individual consumers and small businesses.</t>
  </si>
  <si>
    <t>Banking</t>
  </si>
  <si>
    <t>Provides metal packaging for beverages and foods.</t>
  </si>
  <si>
    <t>Packaging</t>
  </si>
  <si>
    <t>Invests in a portfolio of taxable municipal bonds.</t>
  </si>
  <si>
    <t>Retailer of home fragrance, body care, and soaps.</t>
  </si>
  <si>
    <t>Provides armored transportation and cash management services.</t>
  </si>
  <si>
    <t>Security &amp; Protection</t>
  </si>
  <si>
    <t>Security</t>
  </si>
  <si>
    <t>Tracks the performance of a portfolio of freight futures contracts.</t>
  </si>
  <si>
    <t>ETF (Futures)</t>
  </si>
  <si>
    <t>Develops precision genetic medicines using base editing technology.</t>
  </si>
  <si>
    <t>Owns and operates renewable energy and decarbonization solution assets.</t>
  </si>
  <si>
    <t>Operates as a sporting goods retailer in the western United States.</t>
  </si>
  <si>
    <t>Develops, manufactures, and markets products for the life science research and clinical diagnostics.</t>
  </si>
  <si>
    <t>Owns and operates infrastructure assets across various sectors globally.</t>
  </si>
  <si>
    <t>Infrastructure</t>
  </si>
  <si>
    <t>Designs, manufactures, and sells premium footwear products.</t>
  </si>
  <si>
    <t>Apparel Accessories</t>
  </si>
  <si>
    <t>Consumer Goods</t>
  </si>
  <si>
    <t>Seeks to provide capital appreciation primarily through managed exposure to bitcoin futures contracts.</t>
  </si>
  <si>
    <t>Operates membership warehouse clubs on the East Coast of the United States.</t>
  </si>
  <si>
    <t>Consumer Staples Retail</t>
  </si>
  <si>
    <t>Owns and operates casual dining restaurants in the United States.</t>
  </si>
  <si>
    <t>Provides a range of financial products and services to institutions, corporations, and individuals.</t>
  </si>
  <si>
    <t>Provides online travel and related services for consumers and local partners.</t>
  </si>
  <si>
    <t>Engages in the acquisition, development, and production of natural gas and natural gas liquids.</t>
  </si>
  <si>
    <t>Manufactures and supplies building materials and construction services in the United States.</t>
  </si>
  <si>
    <t>Provides investment management, risk management, and advisory services.</t>
  </si>
  <si>
    <t>Owns and operates casual, upscale casual, and fine dining restaurants.</t>
  </si>
  <si>
    <t>Invests in companies involved in the development and utilization of blockchain technologies.</t>
  </si>
  <si>
    <t>Blockchain/Tech</t>
  </si>
  <si>
    <t>Provides online dating and social networking applications and platforms.</t>
  </si>
  <si>
    <t>Interactive Media</t>
  </si>
  <si>
    <t>Tech/Social</t>
  </si>
  <si>
    <t>Seeks to track the performance of an index that provides exposure to treasury inflation-protected securities.</t>
  </si>
  <si>
    <t>TIPS / Treasuries</t>
  </si>
  <si>
    <t>Tracks the daily changes in the percentage of the price of Brent crude oil.</t>
  </si>
  <si>
    <t>Operates as an omnichannel retailer of western and work-related footwear, apparel, and accessories.</t>
  </si>
  <si>
    <t>Engages in the energy business worldwide through various segments.</t>
  </si>
  <si>
    <t>Manufactures and distributes protein shakes and other nutritional products.</t>
  </si>
  <si>
    <t>Packaged Foods</t>
  </si>
  <si>
    <t>Operates as a coffee roaster and retailer focusing on premium coffee products.</t>
  </si>
  <si>
    <t>Develops, manufactures, and distributes scientific instruments and analytical and diagnostic solutions.</t>
  </si>
  <si>
    <t>Operates and franchises drive-thru coffee shops in the United States.</t>
  </si>
  <si>
    <t>Provides exposure to a market-neutral strategy that goes long low-beta stocks and short high-beta stocks.</t>
  </si>
  <si>
    <t>Market Neutral</t>
  </si>
  <si>
    <t>Decentralized digital currency (Bitcoin) - physical/spot equivalent.</t>
  </si>
  <si>
    <t>Index/Spot</t>
  </si>
  <si>
    <t>Bitcoin; the first decentralized digital currency operating on a peer-to-peer network.</t>
  </si>
  <si>
    <t>Manufactures and sells cigarettes, tobacco, and other nicotine products.</t>
  </si>
  <si>
    <t>Produces and sells beer and other beverages worldwide.</t>
  </si>
  <si>
    <t>Seeks to provide daily investment results that correspond to 3x the performance of an index.</t>
  </si>
  <si>
    <t>Leveraged Equity</t>
  </si>
  <si>
    <t>Operates as a retailer of branded apparel, home products, and accessories.</t>
  </si>
  <si>
    <t>Invests in a diversified portfolio of short-term, investment-grade fixed income securities.</t>
  </si>
  <si>
    <t>Short Duration</t>
  </si>
  <si>
    <t>Owns, manages, and develops a portfolio of premier office properties in the United States.</t>
  </si>
  <si>
    <t>Operates as a multi-jurisdictional gaming company in the United States.</t>
  </si>
  <si>
    <t>Casinos &amp; Gaming</t>
  </si>
  <si>
    <t>Gaming/Leisure</t>
  </si>
  <si>
    <t>Manufactures and sells new energy vehicles, batteries, and electronics components.</t>
  </si>
  <si>
    <t>Automobile Mfrs</t>
  </si>
  <si>
    <t>Automotive/EV</t>
  </si>
  <si>
    <t>Stock (OTC)</t>
  </si>
  <si>
    <t>Develops and sells plant-based meats in various regions.</t>
  </si>
  <si>
    <t>Food Tech</t>
  </si>
  <si>
    <t>Brent Crude Oil Futures; the international benchmark for global oil prices.</t>
  </si>
  <si>
    <t>Energy (Brent)</t>
  </si>
  <si>
    <t>Futures</t>
  </si>
  <si>
    <t>Provides consumer and automotive loans and related services in the United States.</t>
  </si>
  <si>
    <t>The exchange rate between the Canadian Dollar and the United States Dollar.</t>
  </si>
  <si>
    <t>FX (CAD/USD)</t>
  </si>
  <si>
    <t>Operates as a packaged food company in the United States.</t>
  </si>
  <si>
    <t>Provides health care services and products to hospitals, pharmacies, and clinical laboratories.</t>
  </si>
  <si>
    <t>Owns and operates full-service restaurants in the United States and internationally.</t>
  </si>
  <si>
    <t>Tracks the performance of a portfolio of sugar futures contracts.</t>
  </si>
  <si>
    <t>Provides heating, ventilating, air conditioning, refrigeration, and fire and security solutions.</t>
  </si>
  <si>
    <t>Manufactures and sells construction and mining equipment, diesel and natural gas engines, and turbines.</t>
  </si>
  <si>
    <t>Owns and operates a Mediterranean fast-casual restaurant chain.</t>
  </si>
  <si>
    <t>Operates the Cracker Barrel Old Country Store concept in the United States.</t>
  </si>
  <si>
    <t>Manufactures and sells packaging products for consumer goods.</t>
  </si>
  <si>
    <t>Operates as a leisure travel company providing various cruise experiences.</t>
  </si>
  <si>
    <t>Hotels &amp; Cruise Lines</t>
  </si>
  <si>
    <t>Travel/Leisure</t>
  </si>
  <si>
    <t>Provides healthcare staffing and workforce solutions in the United States.</t>
  </si>
  <si>
    <t>Develops, markets, distributes, and sells functional drinks and liquid supplements.</t>
  </si>
  <si>
    <t>Manufactures and distributes nitrogen fertilizers and other nitrogen products.</t>
  </si>
  <si>
    <t>Fertilizers</t>
  </si>
  <si>
    <t>Provides various financial services to individuals, small businesses, and institutions.</t>
  </si>
  <si>
    <t>Provides a cloud-native platform for data in motion.</t>
  </si>
  <si>
    <t>Operates as a global investment firm specializing in private equity and credit.</t>
  </si>
  <si>
    <t>Produces and sells cannabis products for medical and recreational use.</t>
  </si>
  <si>
    <t>Manufactures and markets household, personal care, and specialty products.</t>
  </si>
  <si>
    <t>Operates as a racing, gaming, and online entertainment company.</t>
  </si>
  <si>
    <t>Distributes specialty food products to fine dining establishments and specialty grocery stores.</t>
  </si>
  <si>
    <t>Food Distributors</t>
  </si>
  <si>
    <t>Operates as a hotel franchisor worldwide.</t>
  </si>
  <si>
    <t>Hotels</t>
  </si>
  <si>
    <t>Provides networked charging hardware and cloud-based software for electric vehicles.</t>
  </si>
  <si>
    <t>EV Charging</t>
  </si>
  <si>
    <t>Operates as a broadband communications company and cable operator in the United States.</t>
  </si>
  <si>
    <t>Media</t>
  </si>
  <si>
    <t>Cable/Telecom</t>
  </si>
  <si>
    <t>Operates as an e-commerce business providing pet products and services.</t>
  </si>
  <si>
    <t>Provides insurance and related products and services in the United States.</t>
  </si>
  <si>
    <t>Health Care Managed Care</t>
  </si>
  <si>
    <t>West Texas Intermediate (WTI) Crude Oil Futures; the U.S. benchmark for oil prices.</t>
  </si>
  <si>
    <t>Energy (Crude)</t>
  </si>
  <si>
    <t>Invests in investment-grade collateralized loan obligations.</t>
  </si>
  <si>
    <t>MBS / ABS (AAA)</t>
  </si>
  <si>
    <t>ETF (CLO)</t>
  </si>
  <si>
    <t>Invests in mezzanine-tier collateralized loan obligations.</t>
  </si>
  <si>
    <t>MBS / ABS (Mezz)</t>
  </si>
  <si>
    <t>Manufactures and markets consumer and professional products worldwide.</t>
  </si>
  <si>
    <t>Operates as a media and technology company worldwide.</t>
  </si>
  <si>
    <t>Media/Telecom</t>
  </si>
  <si>
    <t>Owns and operates Mexican-style fast-casual restaurants.</t>
  </si>
  <si>
    <t>Designs, manufactures, distributes, and services diesel and natural gas engines and related technologies.</t>
  </si>
  <si>
    <t>Provides commercial property and casualty insurance products in various markets.</t>
  </si>
  <si>
    <t>Provides multi-line managed care services and programs to individuals and families.</t>
  </si>
  <si>
    <t>Designs, produces, and sells agricultural and construction equipment globally.</t>
  </si>
  <si>
    <t>Engages in the exploration, development, and production of natural gas properties.</t>
  </si>
  <si>
    <t>Produces and distributes coconut water and other functional beverages.</t>
  </si>
  <si>
    <t>Provides various financial products and services to consumers, small businesses, and commercial clients.</t>
  </si>
  <si>
    <t>Provides financial infrastructure and technology for the crypto economy.</t>
  </si>
  <si>
    <t>Financial Services</t>
  </si>
  <si>
    <t>FinTech/Crypto</t>
  </si>
  <si>
    <t>Explores for, produces, transports, and markets crude oil, bitumen, natural gas, and LNG.</t>
  </si>
  <si>
    <t>Tracks an index of companies involved in copper mining and production.</t>
  </si>
  <si>
    <t>Industrial Metals</t>
  </si>
  <si>
    <t>Invests in companies engaged in the copper mining industry.</t>
  </si>
  <si>
    <t>Tracks the performance of a portfolio of corn futures contracts.</t>
  </si>
  <si>
    <t>Operates membership warehouses in the United States and internationally.</t>
  </si>
  <si>
    <t>Provides rail and intermodal transportation services in North America.</t>
  </si>
  <si>
    <t>Provides various payment and spend management solutions for businesses.</t>
  </si>
  <si>
    <t>Tracks the performance of a portfolio of copper futures contracts.</t>
  </si>
  <si>
    <t>Operates an e-commerce platform that sells various products and services.</t>
  </si>
  <si>
    <t>Designs, markets, and distributes branded women's and men's apparel and accessories.</t>
  </si>
  <si>
    <t>Luxury Goods</t>
  </si>
  <si>
    <t>Owns, manages, and develops multifamily apartment communities.</t>
  </si>
  <si>
    <t>Provides a platform for managing and automating commercial and government contracts.</t>
  </si>
  <si>
    <t>Designs, sources, and markets branded children's apparel and accessories.</t>
  </si>
  <si>
    <t>Provides customer relationship management technology to businesses worldwide.</t>
  </si>
  <si>
    <t>Develops gene-based medicines for various diseases.</t>
  </si>
  <si>
    <t>Provides cloud-delivered protection across endpoints and cloud workloads.</t>
  </si>
  <si>
    <t>Designs, manufactures, and sells Internet Protocol-based networking and other products.</t>
  </si>
  <si>
    <t>Provides rail-based freight transportation services.</t>
  </si>
  <si>
    <t>Invests in a portfolio of futures contracts across various asset classes.</t>
  </si>
  <si>
    <t>Managed Futures</t>
  </si>
  <si>
    <t>ETF (Strategy)</t>
  </si>
  <si>
    <t>Owns, operates, and develops self-storage facilities in the United States.</t>
  </si>
  <si>
    <t>Specialized REITs</t>
  </si>
  <si>
    <t>Operates an e-commerce platform for buying and selling used cars.</t>
  </si>
  <si>
    <t>E-Commerce/Auto</t>
  </si>
  <si>
    <t>Provides health services and plans in the United States.</t>
  </si>
  <si>
    <t>Health Care Consumer Services</t>
  </si>
  <si>
    <t>Healthcare/Retail</t>
  </si>
  <si>
    <t>Engages in integrated energy and chemical operations worldwide.</t>
  </si>
  <si>
    <t>Operates as a retailer of recreational vehicles and related products and services.</t>
  </si>
  <si>
    <t>Operates as a vertically integrated cannabis company in the United States.</t>
  </si>
  <si>
    <t>Provides identity-based cybersecurity solutions for organizations worldwide.</t>
  </si>
  <si>
    <t>Operates general acute care hospitals in various communities across the U.S.</t>
  </si>
  <si>
    <t>Operates as a casino-entertainment company with properties in the United States.</t>
  </si>
  <si>
    <t>Engages in the generation, transmission, and distribution of electricity and natural gas.</t>
  </si>
  <si>
    <t>Electric Utilities</t>
  </si>
  <si>
    <t>Provides scheduled air transportation for passengers and cargo globally.</t>
  </si>
  <si>
    <t>Tracks an index of companies involved in the digital transformation of the economy.</t>
  </si>
  <si>
    <t>Operates a logistics platform that connects merchants, consumers, and dashers.</t>
  </si>
  <si>
    <t>Provides a monitoring and analytics platform for developers and IT operations teams.</t>
  </si>
  <si>
    <t>Operates retail department stores offering cosmetics, apparel, and home furnishings.</t>
  </si>
  <si>
    <t>Manufactures and distributes agriculture, construction, and forestry equipment.</t>
  </si>
  <si>
    <t>Designs, markets, and distributes footwear, apparel, and accessories for casual use.</t>
  </si>
  <si>
    <t>Designs, develops, manufactures, markets, and sells a range of IT solutions.</t>
  </si>
  <si>
    <t>Technology Hardware</t>
  </si>
  <si>
    <t>Produces, markets, and sells a range of premium alcoholic beverages.</t>
  </si>
  <si>
    <t>Operates a chain of discount retail stores in the United States.</t>
  </si>
  <si>
    <t>Provides diagnostic testing, information, and services in the United States.</t>
  </si>
  <si>
    <t>Operates a mobility technology platform primarily in China and international markets.</t>
  </si>
  <si>
    <t>Mobility/Tech</t>
  </si>
  <si>
    <t>Owns and franchises full-service restaurants under the Applebee's and IHOP brands.</t>
  </si>
  <si>
    <t>Operates as a worldwide entertainment company through various segments.</t>
  </si>
  <si>
    <t>Media/Ent.</t>
  </si>
  <si>
    <t>Operates as an independent energy company focused on refining and marketing.</t>
  </si>
  <si>
    <t>Operates as an online sports betting and iGaming company in the U.S.</t>
  </si>
  <si>
    <t>Operates discount variety stores selling products at fixed price points.</t>
  </si>
  <si>
    <t>Operates as an omnichannel retailer of premium-quality sweet treats.</t>
  </si>
  <si>
    <t>Food/Retail</t>
  </si>
  <si>
    <t>Invests in medical office buildings and healthcare-related real estate.</t>
  </si>
  <si>
    <t>Health Care REITs</t>
  </si>
  <si>
    <t>Provides cloud-based software that helps organizations manage electronic agreements.</t>
  </si>
  <si>
    <t>Provides various materials science solutions for packaging and infrastructure.</t>
  </si>
  <si>
    <t>Operates as a pizza company in the United States and internationally.</t>
  </si>
  <si>
    <t>Owns and operates full-service restaurants including Olive Garden and LongHorn.</t>
  </si>
  <si>
    <t>Invests in a portfolio of U.S. listed energy companies.</t>
  </si>
  <si>
    <t>Provides automotive services including repair, maintenance, and car wash.</t>
  </si>
  <si>
    <t>Auto Services</t>
  </si>
  <si>
    <t>Engages in the exploration, development, and production of oil and natural gas.</t>
  </si>
  <si>
    <t>U.S. Dollar Index Futures; measuring the value of the USD relative to a basket of currencies.</t>
  </si>
  <si>
    <t>Focuses on the design, development, and commercialization of glucose monitoring systems.</t>
  </si>
  <si>
    <t>Develops, markets, publishes, and distributes games and services for various platforms.</t>
  </si>
  <si>
    <t>Interactive Home Ent.</t>
  </si>
  <si>
    <t>Video Games</t>
  </si>
  <si>
    <t>Owns, operates, and franchises casual dining restaurants globally.</t>
  </si>
  <si>
    <t>Operates e-commerce platforms that connect buyers and sellers.</t>
  </si>
  <si>
    <t>Tracks the performance of an index of companies listed in Chile.</t>
  </si>
  <si>
    <t>EM Equity</t>
  </si>
  <si>
    <t>Engages in the acquisition and collection of nonperforming consumer loans.</t>
  </si>
  <si>
    <t>Operates as a real estate investment and development company.</t>
  </si>
  <si>
    <t>Provides private educational services in China through schools and learning centers.</t>
  </si>
  <si>
    <t>Specialized Consumer Svc</t>
  </si>
  <si>
    <t>Invests in U.S. Treasury STRIPS with maturities of 20 years or more.</t>
  </si>
  <si>
    <t>Tracks the investment results of an index of emerging market equities.</t>
  </si>
  <si>
    <t>Tracks an index of companies listed in Finland.</t>
  </si>
  <si>
    <t>Operates as a global data, analytics, and technology company.</t>
  </si>
  <si>
    <t>Professional Services</t>
  </si>
  <si>
    <t>Owns and operates industrial properties in the United States.</t>
  </si>
  <si>
    <t>Industrial REITs</t>
  </si>
  <si>
    <t>Tracks an index of companies listed in Israel.</t>
  </si>
  <si>
    <t>Manufactures, markets, and sells skin care, makeup, fragrance, and hair care products.</t>
  </si>
  <si>
    <t>Owns and operates manufactured home communities and RV resorts.</t>
  </si>
  <si>
    <t>Operates as a health benefits company in the United States.</t>
  </si>
  <si>
    <t>Tracks an index of U.S. dollar-denominated emerging market sovereign debt.</t>
  </si>
  <si>
    <t>Provides engineering and technology solutions to industrial and commercial markets.</t>
  </si>
  <si>
    <t>Operates as an energy infrastructure company in North America.</t>
  </si>
  <si>
    <t>Provides energy management technology for the solar industry.</t>
  </si>
  <si>
    <t>Solar/Clean Energy</t>
  </si>
  <si>
    <t>Manufactures and markets batteries and portable lighting products globally.</t>
  </si>
  <si>
    <t>Develops and manufactures silicon anode lithium-ion batteries.</t>
  </si>
  <si>
    <t>Battery Tech</t>
  </si>
  <si>
    <t>Tracks an index of companies listed in New Zealand.</t>
  </si>
  <si>
    <t>Explores for, develops, produces, and markets crude oil and natural gas.</t>
  </si>
  <si>
    <t>Provides midstream energy services to producers and consumers in North America.</t>
  </si>
  <si>
    <t>MLP (Stock)</t>
  </si>
  <si>
    <t>Tracks an index of companies listed in the Philippines.</t>
  </si>
  <si>
    <t>Tracks an index of companies listed in Poland.</t>
  </si>
  <si>
    <t>Invests in experiential real estate properties in the United States.</t>
  </si>
  <si>
    <t>Tracks an index of companies listed in Peru.</t>
  </si>
  <si>
    <t>Acquires, develops, and manages luxury apartment properties in the U.S.</t>
  </si>
  <si>
    <t>Engages in the production and transmission of natural gas in the U.S.</t>
  </si>
  <si>
    <t>Tracks an index of companies involved in video gaming and eSports.</t>
  </si>
  <si>
    <t>Video Games/eSports</t>
  </si>
  <si>
    <t>Acquires, develops, and manages multifamily residential properties.</t>
  </si>
  <si>
    <t>Owns and operates a diversified portfolio of energy assets in the U.S.</t>
  </si>
  <si>
    <t>Decentralized cryptocurrency (Ethereum) - physical/spot equivalent.</t>
  </si>
  <si>
    <t>Spot Ethereum ETF providing direct exposure to the price of ETH.</t>
  </si>
  <si>
    <t>ETF (Spot)</t>
  </si>
  <si>
    <t>Trust providing exposure to the price of Ethereum via public shares.</t>
  </si>
  <si>
    <t>Trust (Spot)</t>
  </si>
  <si>
    <t>Ethereum; a decentralized platform for smart contracts and the Ether token.</t>
  </si>
  <si>
    <t>Operates online marketplaces for unique and creative goods.</t>
  </si>
  <si>
    <t>The exchange rate between the Euro and the United States Dollar.</t>
  </si>
  <si>
    <t>FX (EUR/USD)</t>
  </si>
  <si>
    <t>Tracks an index of companies listed in Australia.</t>
  </si>
  <si>
    <t>Tracks an index of companies listed in Canada.</t>
  </si>
  <si>
    <t>Tracks an index of companies listed in Sweden.</t>
  </si>
  <si>
    <t>Tracks an index of companies listed in Germany.</t>
  </si>
  <si>
    <t>Tracks an index of companies listed in Hong Kong.</t>
  </si>
  <si>
    <t>Tracks an index of companies listed in Italy.</t>
  </si>
  <si>
    <t>Tracks an index of companies listed in Japan.</t>
  </si>
  <si>
    <t>Tracks an index of value-oriented companies listed in Japan.</t>
  </si>
  <si>
    <t>Tracks an index of companies listed in Belgium.</t>
  </si>
  <si>
    <t>Tracks an index of companies listed in Malaysia.</t>
  </si>
  <si>
    <t>Tracks an index of companies listed in the Netherlands.</t>
  </si>
  <si>
    <t>Tracks an index of companies listed in Austria.</t>
  </si>
  <si>
    <t>Tracks an index of companies listed in Spain.</t>
  </si>
  <si>
    <t>Tracks an index of companies listed in France.</t>
  </si>
  <si>
    <t>Tracks an index of companies listed in Singapore.</t>
  </si>
  <si>
    <t>Tracks an index of small-cap companies listed in the United Kingdom.</t>
  </si>
  <si>
    <t>Tracks an index of companies listed in Mexico.</t>
  </si>
  <si>
    <t>Tracks an index of companies listed in South Korea.</t>
  </si>
  <si>
    <t>Tracks an index of companies listed in Brazil.</t>
  </si>
  <si>
    <t>Tracks an index of small-cap companies listed in Brazil.</t>
  </si>
  <si>
    <t>Provides cancer screening and diagnostic test products globally.</t>
  </si>
  <si>
    <t>Manufactures and sells gypsum wallboard and portland cement in the U.S.</t>
  </si>
  <si>
    <t>Provides logistics services including air and ocean freight forwarding.</t>
  </si>
  <si>
    <t>Operates as an online travel company worldwide.</t>
  </si>
  <si>
    <t>Owns, operates, manages, and develops self-storage properties.</t>
  </si>
  <si>
    <t>Operates as an optical retailer in the United States.</t>
  </si>
  <si>
    <t>Tracks an index of companies listed in South Africa.</t>
  </si>
  <si>
    <t>Designs, manufactures, markets, and services a range of Ford vehicles.</t>
  </si>
  <si>
    <t>Automotive</t>
  </si>
  <si>
    <t>Provides title insurance and settlement services for real estate transactions.</t>
  </si>
  <si>
    <t>Engages in the acquisition, development, and exploration of oil and gas properties.</t>
  </si>
  <si>
    <t>Distributes industrial and construction supplies to various customers.</t>
  </si>
  <si>
    <t>Trading Companies</t>
  </si>
  <si>
    <t>Develops programmed cellular immunotherapies for cancer and immune disorders.</t>
  </si>
  <si>
    <t>Invests in companies involved in natural gas exploration and production.</t>
  </si>
  <si>
    <t>Provides transportation, e-commerce, and business services worldwide.</t>
  </si>
  <si>
    <t>Provides analytics and decision-making software for various industries.</t>
  </si>
  <si>
    <t>Provides payments and financial technology services globally.</t>
  </si>
  <si>
    <t>Operates a chain of specialty retail stores for teen and pre-teen customers.</t>
  </si>
  <si>
    <t>Tracks an index of companies listed in Germany with a focus on growth.</t>
  </si>
  <si>
    <t>Operates as an LNG transportation and infrastructure company.</t>
  </si>
  <si>
    <t>Produces and markets fresh bakery products in the United States.</t>
  </si>
  <si>
    <t>Operates as an online sports betting and gaming company worldwide.</t>
  </si>
  <si>
    <t>Operates as a multi-channel specialty retailer of hard surface flooring.</t>
  </si>
  <si>
    <t>Provides title insurance and other real estate-related services.</t>
  </si>
  <si>
    <t>Designs, manufactures, and sells semiconductor test and measurement products.</t>
  </si>
  <si>
    <t>Provides integrated payment processing and technology solutions.</t>
  </si>
  <si>
    <t>Operates as a news, sports, and entertainment company in the U.S.</t>
  </si>
  <si>
    <t>Owns and manages industrial properties in major U.S. markets.</t>
  </si>
  <si>
    <t>Provides a DevOps platform for managing software releases.</t>
  </si>
  <si>
    <t>Manufactures and markets fresh pet food and treats.</t>
  </si>
  <si>
    <t>Owns, operates, and develops high-quality retail properties in the U.S.</t>
  </si>
  <si>
    <t>Retail REITs</t>
  </si>
  <si>
    <t>Provides cybersecurity and networking solutions globally.</t>
  </si>
  <si>
    <t>Focuses on recycling and waste management solutions.</t>
  </si>
  <si>
    <t>Environmental Services</t>
  </si>
  <si>
    <t>Environmental</t>
  </si>
  <si>
    <t>Operates a live TV streaming platform for sports and entertainment.</t>
  </si>
  <si>
    <t>Media/Tech</t>
  </si>
  <si>
    <t>Operates a digitalized brokerage and wealth management platform in China.</t>
  </si>
  <si>
    <t>Capital Markets</t>
  </si>
  <si>
    <t>Invests in a portfolio of U.S. listed utility companies.</t>
  </si>
  <si>
    <t>Operates and manages the Formula 1 motor racing business.</t>
  </si>
  <si>
    <t>Operates a chain of fast-casual restaurants focused on healthy food.</t>
  </si>
  <si>
    <t>Tracks the price of the Australian Dollar relative to the USD.</t>
  </si>
  <si>
    <t>Tracks the price of the British Pound relative to the USD.</t>
  </si>
  <si>
    <t>Tracks the price of the Canadian Dollar relative to the USD.</t>
  </si>
  <si>
    <t>Tracks the price of the Euro relative to the USD.</t>
  </si>
  <si>
    <t>Tracks an index of large-cap Chinese equities listed in Hong Kong.</t>
  </si>
  <si>
    <t>Tracks the price of the Japanese Yen relative to the USD.</t>
  </si>
  <si>
    <t>Provides fiber-optic telecommunications services in the United States.</t>
  </si>
  <si>
    <t>Diversified Telecom Svc</t>
  </si>
  <si>
    <t>Operates as an omnichannel retailer of apparel and accessories for all ages.</t>
  </si>
  <si>
    <t>The exchange rate between the British Pound and the United States Dollar.</t>
  </si>
  <si>
    <t>FX (GBP/USD)</t>
  </si>
  <si>
    <t>Gold Futures; the global benchmark for the price of physical gold.</t>
  </si>
  <si>
    <t>Operates as an aerospace and defense company worldwide.</t>
  </si>
  <si>
    <t>Aerospace/Def</t>
  </si>
  <si>
    <t>Tracks an index of companies involved in the gold mining industry.</t>
  </si>
  <si>
    <t>Tracks an index of small-cap gold mining companies.</t>
  </si>
  <si>
    <t>Operates as a high-tech industrial company focusing on aviation and power.</t>
  </si>
  <si>
    <t>Operates midstream energy assets including pipelines and storage.</t>
  </si>
  <si>
    <t>MLP</t>
  </si>
  <si>
    <t>Tracks an index of companies involved in global infrastructure.</t>
  </si>
  <si>
    <t>Manufactures and sells basic apparel products globally.</t>
  </si>
  <si>
    <t>Apparel</t>
  </si>
  <si>
    <t>Manufactures and markets branded consumer foods globally.</t>
  </si>
  <si>
    <t>Operates as a real estate investment and management company.</t>
  </si>
  <si>
    <t>Operates as a cannabis-focused company in the North American market.</t>
  </si>
  <si>
    <t>Provides a platform to facilitate cross-border e-commerce.</t>
  </si>
  <si>
    <t>Tracks the price of physical gold bullion.</t>
  </si>
  <si>
    <t>ETF (Physical)</t>
  </si>
  <si>
    <t>Designs, builds, and sells trucks, crossovers, cars, and automobile parts.</t>
  </si>
  <si>
    <t>Operates as an omnichannel provider of games and entertainment products.</t>
  </si>
  <si>
    <t>Operates a chain of discount grocery stores in the United States.</t>
  </si>
  <si>
    <t>Designs, manufactures, and markets golf-related products.</t>
  </si>
  <si>
    <t>Operates through Google Services, Google Cloud, and Other Bets.</t>
  </si>
  <si>
    <t>Operates through Google Services, Google Cloud, and Other Bets (Class A).</t>
  </si>
  <si>
    <t>Designs, manufactures, and sells performance luxury apparel.</t>
  </si>
  <si>
    <t>Operates as an automotive retailer in the United States and U.K.</t>
  </si>
  <si>
    <t>Provides payment technology and software solutions globally.</t>
  </si>
  <si>
    <t>Tracks an index of companies involved in the smart grid and electricity infra.</t>
  </si>
  <si>
    <t>Focuses on the production and distribution of medical cannabis.</t>
  </si>
  <si>
    <t>Provides exposure to a diversified basket of commodity futures.</t>
  </si>
  <si>
    <t>Broad Commodity</t>
  </si>
  <si>
    <t>Produces and sells cannabis products in various U.S. states.</t>
  </si>
  <si>
    <t>Provides a DevSecOps platform for software development.</t>
  </si>
  <si>
    <t>Tracks an index of emerging market sovereign bonds.</t>
  </si>
  <si>
    <t>Tracks an index of deep value stocks across global markets.</t>
  </si>
  <si>
    <t>Invests in companies that are popular among hedge fund managers.</t>
  </si>
  <si>
    <t>Hedge Fund Proxy</t>
  </si>
  <si>
    <t>Operates, franchises, and manages hotels and resorts worldwide.</t>
  </si>
  <si>
    <t>Tracks an index of companies involved in the cybersecurity industry.</t>
  </si>
  <si>
    <t>Provides products and services to the energy industry.</t>
  </si>
  <si>
    <t>Energy Services</t>
  </si>
  <si>
    <t>Provides exposure to a portfolio of business development companies.</t>
  </si>
  <si>
    <t>Operates general acute care hospitals and outpatient facilities.</t>
  </si>
  <si>
    <t>Operates as a home improvement retailer selling various products and services.</t>
  </si>
  <si>
    <t>Designs, sources, and markets consumer products under various brands.</t>
  </si>
  <si>
    <t>Household Durables</t>
  </si>
  <si>
    <t>Copper Futures; often used as a proxy for global industrial and economic health.</t>
  </si>
  <si>
    <t>Engages in the shipbuilding business for the U.S. Navy and Coast Guard.</t>
  </si>
  <si>
    <t>Operates a multi-specialty telehealth platform for wellness and healthcare.</t>
  </si>
  <si>
    <t>Health Care Consumer Svc</t>
  </si>
  <si>
    <t>Operates as a hospitality company worldwide through various segments.</t>
  </si>
  <si>
    <t>Operates a financial services platform for trading and investing.</t>
  </si>
  <si>
    <t>Owns, operates, and develops office and studio properties in California.</t>
  </si>
  <si>
    <t>Provides a technology-enabled platform for healthcare and wellness benefits.</t>
  </si>
  <si>
    <t>Manufactures and sells confectionery products and pantry items.</t>
  </si>
  <si>
    <t>Provides vehicle rental services worldwide under various brands.</t>
  </si>
  <si>
    <t>Car Rental</t>
  </si>
  <si>
    <t>Provides a cloud-based customer relationship management platform.</t>
  </si>
  <si>
    <t>Operates as a health and well-being company in the United States.</t>
  </si>
  <si>
    <t>Tracks an index of U.S. dollar-denominated high-yield corporate bonds.</t>
  </si>
  <si>
    <t>Invests in a diversified portfolio of high-yield corporate bonds and loans.</t>
  </si>
  <si>
    <t>HY Credit / Loans</t>
  </si>
  <si>
    <t>ETF (Active)</t>
  </si>
  <si>
    <t>Invests in a portfolio of U.S. listed insurance companies.</t>
  </si>
  <si>
    <t>Tracks an index of U.S. listed biotechnology companies.</t>
  </si>
  <si>
    <t>Spot Bitcoin ETF providing direct exposure to the price of BTC.</t>
  </si>
  <si>
    <t>Tracks an index of companies listed in Indonesia.</t>
  </si>
  <si>
    <t>Develops and manufactures products for the veterinary and water testing markets.</t>
  </si>
  <si>
    <t>Tracks an index of U.S. Treasury bonds with maturities of 7-10 years.</t>
  </si>
  <si>
    <t>Provides ingredients for the food, beverage, and personal care industries.</t>
  </si>
  <si>
    <t>Tracks an index of long-term investment-grade corporate bonds.</t>
  </si>
  <si>
    <t>Tracks an index of short-term investment-grade corporate bonds.</t>
  </si>
  <si>
    <t>Tracks an index of investment-grade corporate bonds with various maturities.</t>
  </si>
  <si>
    <t>Tracks an index of small-cap growth stocks in the U.S.</t>
  </si>
  <si>
    <t>Provides sequencing and array-based solutions for genetic analysis.</t>
  </si>
  <si>
    <t>Tracks an index of companies listed in India.</t>
  </si>
  <si>
    <t>Tracks an index of the 50 largest companies listed in India.</t>
  </si>
  <si>
    <t>Invests in companies expected to benefit from a rising inflation environment.</t>
  </si>
  <si>
    <t>Develops and manufactures minimally invasive medical aesthetic technologies.</t>
  </si>
  <si>
    <t>Designs, manufactures, and sells computer components and related products.</t>
  </si>
  <si>
    <t>Engages in the development of quantum computing systems.</t>
  </si>
  <si>
    <t>Tracks an index of companies that have recently completed an IPO.</t>
  </si>
  <si>
    <t>New Listings</t>
  </si>
  <si>
    <t>Provides storage and information management services globally.</t>
  </si>
  <si>
    <t>Owns and operates multifamily apartment communities in the U.S.</t>
  </si>
  <si>
    <t>Tracks an index of U.S. listed aerospace and defense companies.</t>
  </si>
  <si>
    <t>Tracks an index of U.S. listed home construction companies.</t>
  </si>
  <si>
    <t>Manufactures and sells industrial equipment and consumables globally.</t>
  </si>
  <si>
    <t>Seeks to provide inflation protection and capital appreciation.</t>
  </si>
  <si>
    <t>Tracks an index of large-cap growth stocks in the U.S.</t>
  </si>
  <si>
    <t>Tracks an index of small-cap stocks in the U.S.</t>
  </si>
  <si>
    <t>Tracks an index of small-cap value stocks in the U.S.</t>
  </si>
  <si>
    <t>Provides technical, professional, and construction services globally.</t>
  </si>
  <si>
    <t>Operates and franchises Jack in the Box and Del Taco restaurants.</t>
  </si>
  <si>
    <t>Provides surface transportation and logging services in North America.</t>
  </si>
  <si>
    <t>Ground Transportation</t>
  </si>
  <si>
    <t>Provides air transportation services under the JetBlue brand.</t>
  </si>
  <si>
    <t>Tracks an index of companies involved in the global airline industry.</t>
  </si>
  <si>
    <t>Develops and manufactures healthcare products across various segments.</t>
  </si>
  <si>
    <t>Tracks an index of high-yield corporate bonds.</t>
  </si>
  <si>
    <t>Develops electric vertical takeoff and landing aircraft for passenger service.</t>
  </si>
  <si>
    <t>Operates as a real estate development and management company in Florida.</t>
  </si>
  <si>
    <t>Invests in a portfolio of companies with strong cash flow and low leverage.</t>
  </si>
  <si>
    <t>Operates as a financial services company providing various banking services.</t>
  </si>
  <si>
    <t>Tracks an index of Japanese equities with a focus on shareholder value.</t>
  </si>
  <si>
    <t>The exchange rate between the Japanese Yen and the United States Dollar.</t>
  </si>
  <si>
    <t>FX (JPY/USD)</t>
  </si>
  <si>
    <t>Operates and franchises chiropractic clinics in the United States.</t>
  </si>
  <si>
    <t>Manufactures and markets ready-to-eat cereal and convenience foods.</t>
  </si>
  <si>
    <t>Tracks an index of Chinese A-shares listed on mainland exchanges.</t>
  </si>
  <si>
    <t>Invests in a portfolio of U.S. listed property and casualty insurance firms.</t>
  </si>
  <si>
    <t>Tracks an index of U.S. listed capital markets companies.</t>
  </si>
  <si>
    <t>Operates as a beverage company in the U.S. and internationally.</t>
  </si>
  <si>
    <t>Tracks an index of emerging market companies with a focus on technology.</t>
  </si>
  <si>
    <t>Manufactures and markets food and beverage products worldwide.</t>
  </si>
  <si>
    <t>Provides process control and yield management solutions for the semi industry.</t>
  </si>
  <si>
    <t>Manufactures and markets various snack and cereal products.</t>
  </si>
  <si>
    <t>Operates as a retailer of used vehicles in the United States.</t>
  </si>
  <si>
    <t>Provides truckload transportation services in North America.</t>
  </si>
  <si>
    <t>Manufactures, markets, and sells various nonalcoholic beverages worldwide.</t>
  </si>
  <si>
    <t>Operates as a retailer in the United States through various segments.</t>
  </si>
  <si>
    <t>Tracks an index of regional banks in the United States.</t>
  </si>
  <si>
    <t>Regional Banks</t>
  </si>
  <si>
    <t>Tracks an index of companies listed in Saudi Arabia.</t>
  </si>
  <si>
    <t>Operates department stores offering apparel and home products.</t>
  </si>
  <si>
    <t>Manufactures and sells consumer health products globally.</t>
  </si>
  <si>
    <t>Operates as a global real estate investment and management firm.</t>
  </si>
  <si>
    <t>Tracks an index of Chinese internet companies listed in the U.S. and HK.</t>
  </si>
  <si>
    <t>Engages in the exploration and development of lithium properties in North America.</t>
  </si>
  <si>
    <t>Owns and operates billboards and transit displays in the U.S. and Canada.</t>
  </si>
  <si>
    <t>Designs and manufactures electric vehicles and EV powertrain systems.</t>
  </si>
  <si>
    <t>Operates as a direct-to-consumer pool and spa care brand in the U.S.</t>
  </si>
  <si>
    <t>Designs and markets jeans, casual wear, and related accessories.</t>
  </si>
  <si>
    <t>Provides tools and services for cell and gene therapy manufacturing.</t>
  </si>
  <si>
    <t>Operates as a life sciences company providing diagnostic and drug development services.</t>
  </si>
  <si>
    <t>Designs, develops, manufactures, and sells premium smart electric SUVs.</t>
  </si>
  <si>
    <t>Operates as an industrial gas company in North and South America.</t>
  </si>
  <si>
    <t>Invests in companies involved in the full lithium cycle, from mining to battery production.</t>
  </si>
  <si>
    <t>Materials/Battery</t>
  </si>
  <si>
    <t>Discovers, develops, and markets human pharmaceutical products worldwide.</t>
  </si>
  <si>
    <t>Pharma</t>
  </si>
  <si>
    <t>Provides various insurance products powered by AI and behavioral economics.</t>
  </si>
  <si>
    <t>InsurTech</t>
  </si>
  <si>
    <t>Engages in the research, design, and manufacture of high-technology systems.</t>
  </si>
  <si>
    <t>Engages in LNG-related businesses, including the operation of LNG terminals.</t>
  </si>
  <si>
    <t>Designs, manufactures, and markets products that help people connect to digital experiences.</t>
  </si>
  <si>
    <t>Computer Peripherals</t>
  </si>
  <si>
    <t>Operates as a home improvement retailer in the United States and Canada.</t>
  </si>
  <si>
    <t>Tracks an index of U.S. dollar-denominated investment-grade corporate bonds.</t>
  </si>
  <si>
    <t>Manufactures and services wafer processing semiconductor manufacturing equipment.</t>
  </si>
  <si>
    <t>Provides passenger airline services in the United States and near-international markets.</t>
  </si>
  <si>
    <t>Invests in companies that produce luxury goods and provide luxury services.</t>
  </si>
  <si>
    <t>Develops, owns, and operates integrated resorts in Asia and the U.S.</t>
  </si>
  <si>
    <t>Produces and markets value-added potato products worldwide.</t>
  </si>
  <si>
    <t>Operates as a chemical company in the United States and internationally.</t>
  </si>
  <si>
    <t>Operates a peer-to-peer marketplace for on-demand ridesharing.</t>
  </si>
  <si>
    <t>Operates as a live entertainment company worldwide through various segments.</t>
  </si>
  <si>
    <t>Operates department stores, websites, and mobile applications in the U.S.</t>
  </si>
  <si>
    <t>Provides transaction processing and other payment-related products and services.</t>
  </si>
  <si>
    <t>Acquires, owns, and manages regional shopping malls in the U.S.</t>
  </si>
  <si>
    <t>Operates, franchises, and licenses hotel, residential, and timeshare properties.</t>
  </si>
  <si>
    <t>Focuses on mining digital assets and supporting the blockchain ecosystem.</t>
  </si>
  <si>
    <t>Crypto Mining</t>
  </si>
  <si>
    <t>Franchises and operates McDonald's restaurants worldwide.</t>
  </si>
  <si>
    <t>Develops, manufactures, and sells smart, connected, and secure embedded control solutions.</t>
  </si>
  <si>
    <t>Provides healthcare supply chain management and retail pharmacy services.</t>
  </si>
  <si>
    <t>Provides credit ratings, and assessment services, and research tools.</t>
  </si>
  <si>
    <t>Owns and operates a portfolio of manufactured housing communities.</t>
  </si>
  <si>
    <t>Provides a general-purpose database platform for modern applications.</t>
  </si>
  <si>
    <t>Manufactures and markets snack food and beverage products worldwide.</t>
  </si>
  <si>
    <t>Operates online commerce platforms in Latin America.</t>
  </si>
  <si>
    <t>Engages in the development of social media applications and VR technology.</t>
  </si>
  <si>
    <t>Owns and operates casino, hotel, and entertainment resorts worldwide.</t>
  </si>
  <si>
    <t>Produces and markets distilled spirits and specialty wheat proteins and starches.</t>
  </si>
  <si>
    <t>Invests in companies listed on the South Korean stock exchange.</t>
  </si>
  <si>
    <t>Develops, owns, and operates casino gaming and entertainment resort facilities.</t>
  </si>
  <si>
    <t>Supplies aggregates and heavy building materials for the construction industry.</t>
  </si>
  <si>
    <t>Provides a cloud-based work operating system for organizations.</t>
  </si>
  <si>
    <t>Operates as a global retailer of lifestyle products and home goods.</t>
  </si>
  <si>
    <t>Develops, markets, and sells energy drink beverages and concentrates.</t>
  </si>
  <si>
    <t>Manufactures and sells cigarettes and other tobacco products in the U.S.</t>
  </si>
  <si>
    <t>Designs, manufactures, and sells golf equipment and active lifestyle apparel.</t>
  </si>
  <si>
    <t>Provides managed healthcare services under the Medicaid and Medicare programs.</t>
  </si>
  <si>
    <t>Invests in companies involved in agriculture, including chemicals and machinery.</t>
  </si>
  <si>
    <t>Produces rare earth concentrates and specialty materials in the U.S.</t>
  </si>
  <si>
    <t>Engages in refining, marketing, and transporting petroleum products.</t>
  </si>
  <si>
    <t>Owns and operates midstream energy infrastructure and logistics assets.</t>
  </si>
  <si>
    <t>Energy Infra</t>
  </si>
  <si>
    <t>Engages in the exploration and production of oil and gas (international ADR).</t>
  </si>
  <si>
    <t>Invests in and owns net-leased healthcare facilities worldwide.</t>
  </si>
  <si>
    <t>Develops messenger RNA therapeutics and vaccines for various diseases.</t>
  </si>
  <si>
    <t>Designs, develops, and sells analog, mixed-signal, and digital signal processing IPs.</t>
  </si>
  <si>
    <t>Develops and supports software, services, devices, and solutions worldwide.</t>
  </si>
  <si>
    <t>Owns and operates sports teams and entertainment venues in New York.</t>
  </si>
  <si>
    <t>Actively managed ETF providing exposure to U.S. cannabis companies.</t>
  </si>
  <si>
    <t>Provides enterprise analytics and mobility software and services; holds Bitcoin.</t>
  </si>
  <si>
    <t>Technology/Crypto</t>
  </si>
  <si>
    <t>Provides dating products worldwide through various brands and platforms.</t>
  </si>
  <si>
    <t>Engages in the exploration and production of oil and natural gas in the U.S.</t>
  </si>
  <si>
    <t>Tracks an index of U.S. stocks with relatively high price momentum.</t>
  </si>
  <si>
    <t>Multi-Sector</t>
  </si>
  <si>
    <t>Designs and manufactures memory and storage products worldwide.</t>
  </si>
  <si>
    <t>Engages in the exploration and production of crude oil and natural gas.</t>
  </si>
  <si>
    <t>Develops targeted therapies for the treatment of solid tumors.</t>
  </si>
  <si>
    <t>Discovers and develops treatments for neurological and endocrine-related disorders.</t>
  </si>
  <si>
    <t>Operates as a cruise company providing various cruise experiences.</t>
  </si>
  <si>
    <t>Engages in the generation, transmission, and distribution of electricity.</t>
  </si>
  <si>
    <t>Engages in the production and sale of gold, copper, silver, and lead.</t>
  </si>
  <si>
    <t>Provides a cloud platform for securing and accelerating internet applications.</t>
  </si>
  <si>
    <t>Provides entertainment services through a subscription-based streaming platform.</t>
  </si>
  <si>
    <t>Natural Gas Futures; tracking the price of natural gas delivered at Henry Hub.</t>
  </si>
  <si>
    <t>Energy (Nat Gas)</t>
  </si>
  <si>
    <t>Tracks an index of companies involved in the nickel industry.</t>
  </si>
  <si>
    <t>Designs, manufactures, and sells smart electric vehicles in China.</t>
  </si>
  <si>
    <t>Designs, markets, and distributes athletic footwear, apparel, and equipment.</t>
  </si>
  <si>
    <t>Invests in companies involved in the nuclear energy industry.</t>
  </si>
  <si>
    <t>Nuclear/Utilities</t>
  </si>
  <si>
    <t>Acquires, owns, and manages a portfolio of retail properties in the U.S.</t>
  </si>
  <si>
    <t>Provides wealth management and asset management services in China.</t>
  </si>
  <si>
    <t>Provides enterprise cloud computing solutions to define and manage services.</t>
  </si>
  <si>
    <t>Owns and operates self-storage properties in the United States.</t>
  </si>
  <si>
    <t>Engages in the rail transportation of raw materials and finished goods.</t>
  </si>
  <si>
    <t>Provides human resources and business solutions to small and mid-sized businesses.</t>
  </si>
  <si>
    <t>Develops and manufactures security products and solutions worldwide.</t>
  </si>
  <si>
    <t>Develops genome editing therapies using CRISPR/Cas9 technology.</t>
  </si>
  <si>
    <t>Produces and distributes potash, nitrogen, and phosphate products.</t>
  </si>
  <si>
    <t>Manufactures and sells steel and steel products in North America.</t>
  </si>
  <si>
    <t>Designs and manufactures graphics processing units and SoC units.</t>
  </si>
  <si>
    <t>Develops, manufactures, and markets pharmaceutical products worldwide.</t>
  </si>
  <si>
    <t>Provides various semiconductor products for the automotive and industrial markets.</t>
  </si>
  <si>
    <t>Engages in the creation, collection, and distribution of news and information.</t>
  </si>
  <si>
    <t>Acquires and manages single-tenant retail properties under long-term leases.</t>
  </si>
  <si>
    <t>Manufactures and sells insulation, roofing, and fiberglass composites.</t>
  </si>
  <si>
    <t>Engages in the gathering, processing, and transporting of natural gas.</t>
  </si>
  <si>
    <t>Focuses on developing nuclear fission technology and clean energy solutions.</t>
  </si>
  <si>
    <t>Independent Power</t>
  </si>
  <si>
    <t>Nuclear Energy</t>
  </si>
  <si>
    <t>Provides identity and access management solutions for enterprises.</t>
  </si>
  <si>
    <t>Operates as a retailer of brand-name merchandise at extreme value prices.</t>
  </si>
  <si>
    <t>Provides personal consumer loans and insurance products in the U.S.</t>
  </si>
  <si>
    <t>Provides various semiconductor solutions for the automotive and industrial markets.</t>
  </si>
  <si>
    <t>Operates as a retailer of recreational boats and related products.</t>
  </si>
  <si>
    <t>Designs and markets performance footwear and apparel.</t>
  </si>
  <si>
    <t>Provides process control and metrology solutions for the semi industry.</t>
  </si>
  <si>
    <t>Provides products and services that address enterprise IT environments.</t>
  </si>
  <si>
    <t>Operates as a retailer of automotive aftermarket parts and accessories.</t>
  </si>
  <si>
    <t>Designs and manufactures specialty vehicles and vehicle bodies worldwide.</t>
  </si>
  <si>
    <t>Produces and markets oat-based products globally.</t>
  </si>
  <si>
    <t>Operates as a closed-end management investment company (CEF).</t>
  </si>
  <si>
    <t>BDCs / Debt</t>
  </si>
  <si>
    <t>CEF</t>
  </si>
  <si>
    <t>Designs, sources, and markets branded lifestyle apparel and accessories.</t>
  </si>
  <si>
    <t>Engages in the exploration and production of oil and natural gas properties.</t>
  </si>
  <si>
    <t>Operates as an international transportation services company.</t>
  </si>
  <si>
    <t>Tracks the price of physical palladium bullion.</t>
  </si>
  <si>
    <t>Engages in the generation, transmission, and distribution of electricity in Argentina.</t>
  </si>
  <si>
    <t>Global Energy</t>
  </si>
  <si>
    <t>Provides an automation platform for robotic process automation.</t>
  </si>
  <si>
    <t>Software/AI</t>
  </si>
  <si>
    <t>Invests in companies involved in clean energy and energy efficiency.</t>
  </si>
  <si>
    <t>Clean Energy</t>
  </si>
  <si>
    <t>Manufactures and markets branded consumer products in various segments.</t>
  </si>
  <si>
    <t>Owns and operates Potbelly Sandwich Works sandwich shops.</t>
  </si>
  <si>
    <t>Engages in the exploration, production, and sale of oil and gas in Brazil.</t>
  </si>
  <si>
    <t>Designs and manufactures light, medium, and heavy-duty trucks.</t>
  </si>
  <si>
    <t>Provides a digital operations management platform for enterprises.</t>
  </si>
  <si>
    <t>Operates an e-commerce platform in China for various products.</t>
  </si>
  <si>
    <t>Acquires and owns hotel properties in major U.S. gateway cities.</t>
  </si>
  <si>
    <t>Hotel REITs</t>
  </si>
  <si>
    <t>Owns and operates a portfolio of grocery-anchored shopping centers.</t>
  </si>
  <si>
    <t>Operates as an omni-channel provider of retail and online gaming.</t>
  </si>
  <si>
    <t>Manufactures, markets, and sells various snacks and beverages worldwide.</t>
  </si>
  <si>
    <t>Discovers, develops, and manufactures healthcare products worldwide.</t>
  </si>
  <si>
    <t>Tracks an index of preferred and hybrid securities in the U.S.</t>
  </si>
  <si>
    <t>Provides various financial products and services to businesses and individuals.</t>
  </si>
  <si>
    <t>Invests in investment-grade corporate bonds with various maturities.</t>
  </si>
  <si>
    <t>Seeks to provide protection against sharp increases in long-term interest rates.</t>
  </si>
  <si>
    <t>Provides family-building and fertility benefit solutions for employers.</t>
  </si>
  <si>
    <t>Actively managed ETF investing in companies that support breast cancer research.</t>
  </si>
  <si>
    <t>Operates a visual discovery engine for finding ideas and inspiration.</t>
  </si>
  <si>
    <t>Tracks an index of U.S. listed pharmaceutical companies.</t>
  </si>
  <si>
    <t>Operates as a real estate investment trust focusing on hotel properties.</t>
  </si>
  <si>
    <t>Invests in companies involved in the residential building industry.</t>
  </si>
  <si>
    <t>Owns and operates Dave &amp; Buster's entertainment and dining venues.</t>
  </si>
  <si>
    <t>Operates as a pleasure and leisure company with various consumer products.</t>
  </si>
  <si>
    <t>Operates as an omnichannel retailer of children's apparel and accessories.</t>
  </si>
  <si>
    <t>Owns, operates, and develops industrial real estate in the U.S.</t>
  </si>
  <si>
    <t>Franchises and operates fitness centers under the Planet Fitness brand.</t>
  </si>
  <si>
    <t>Leisure/Fitness</t>
  </si>
  <si>
    <t>Builds and deploys software platforms for the intelligence community.</t>
  </si>
  <si>
    <t>Develops hydrogen fuel cell systems for various applications.</t>
  </si>
  <si>
    <t>Manufactures and sells cigarettes and other nicotine products.</t>
  </si>
  <si>
    <t>Provides various financial services including retail and commercial banking.</t>
  </si>
  <si>
    <t>Distributes swimming pool supplies and related leisure products.</t>
  </si>
  <si>
    <t>Leisure/Retail</t>
  </si>
  <si>
    <t>Tracks the price of physical platinum bullion.</t>
  </si>
  <si>
    <t>Provides over-the-counter and prescription healthcare products.</t>
  </si>
  <si>
    <t>Designs and manufactures comfort products including mattresses and pillows.</t>
  </si>
  <si>
    <t>Provides a technology-enabled platform for primary care physicians.</t>
  </si>
  <si>
    <t>Acquires, develops, and operates self-storage facilities.</t>
  </si>
  <si>
    <t>Tracks an index of small-cap energy stocks in the U.S.</t>
  </si>
  <si>
    <t>Tracks an index of small-cap industrial stocks in the U.S.</t>
  </si>
  <si>
    <t>Tracks an index of small-cap utility stocks in the U.S.</t>
  </si>
  <si>
    <t>Tracks an index of business development companies and private equity firms.</t>
  </si>
  <si>
    <t>BDCs / Private Equity</t>
  </si>
  <si>
    <t>Operates as an energy manufacturing and logistics company.</t>
  </si>
  <si>
    <t>Owns and operates Portillo's fast-casual restaurants.</t>
  </si>
  <si>
    <t>Operates an interactive fitness platform for various workouts.</t>
  </si>
  <si>
    <t>Consumer Tech</t>
  </si>
  <si>
    <t>Operates as an apparel company worldwide through various segments.</t>
  </si>
  <si>
    <t>Provides digital payment solutions for consumers and merchants.</t>
  </si>
  <si>
    <t>Operates and franchises Papa John's pizza delivery and carryout restaurants.</t>
  </si>
  <si>
    <t>Tracks an index of companies listed on the Qatar Stock Exchange.</t>
  </si>
  <si>
    <t>Engages in the development and sale of quantum computing systems.</t>
  </si>
  <si>
    <t>Designs and manufactures wireless telecommunications products and services.</t>
  </si>
  <si>
    <t>Tracks an index of U.S. stocks with high momentum and low volatility.</t>
  </si>
  <si>
    <t>Tracks the performance of the Nasdaq-100 Index.</t>
  </si>
  <si>
    <t>Focuses on the development of solid-state lithium-metal batteries for EVs.</t>
  </si>
  <si>
    <t>Operates as a quick service restaurant company worldwide.</t>
  </si>
  <si>
    <t>Invests in companies involved in quantum computing and machine learning.</t>
  </si>
  <si>
    <t>Quantum/AI</t>
  </si>
  <si>
    <t>Develops and sells quantum computing and cybersecurity solutions.</t>
  </si>
  <si>
    <t>Provides transportation and supply chain management solutions worldwide.</t>
  </si>
  <si>
    <t>Provides an online gaming platform and game creation system.</t>
  </si>
  <si>
    <t>Video Games/Tech</t>
  </si>
  <si>
    <t>Operates as a global cruise company with various brands.</t>
  </si>
  <si>
    <t>Provides diagnostic imaging services through a network of centers.</t>
  </si>
  <si>
    <t>Operates an online marketplace for consigned luxury goods.</t>
  </si>
  <si>
    <t>Discovers, develops, manufactures, and markets medicines for various diseases.</t>
  </si>
  <si>
    <t>Acquires, owns, and operates industrial properties in Southern California.</t>
  </si>
  <si>
    <t>Invests in residential, healthcare, and self-storage real estate companies.</t>
  </si>
  <si>
    <t>Develops quantum computing systems and software for various industries.</t>
  </si>
  <si>
    <t>Operates as a luxury retailer in the home furnishings market.</t>
  </si>
  <si>
    <t>Owns and manages a portfolio of hotel and resort properties.</t>
  </si>
  <si>
    <t>Focuses on mining Bitcoin and supporting the blockchain ecosystem.</t>
  </si>
  <si>
    <t>Designs, develops, and manufactures electric vehicles and accessories.</t>
  </si>
  <si>
    <t>Provides industrial automation and digital transformation solutions.</t>
  </si>
  <si>
    <t>Operates a TV streaming platform for various content and services.</t>
  </si>
  <si>
    <t>Operates as a retailer of apparel and home fashion in the U.S.</t>
  </si>
  <si>
    <t>Engages in the exploration and development of oil and natural gas.</t>
  </si>
  <si>
    <t>Owns, operates, and franchises casual dining restaurants in the U.S.</t>
  </si>
  <si>
    <t>Owns and operates gaming and entertainment facilities in Las Vegas.</t>
  </si>
  <si>
    <t>Operates as an online gaming and sports betting company.</t>
  </si>
  <si>
    <t>Tracks an equal-weighted version of the S&amp;P 500 Index.</t>
  </si>
  <si>
    <t>Tracks an equal-weighted version of the S&amp;P 500 Technology Sector.</t>
  </si>
  <si>
    <t>Tracks an equal-weighted version of the S&amp;P 500 Utilities Sector.</t>
  </si>
  <si>
    <t>Provides various building products and construction services.</t>
  </si>
  <si>
    <t>Operates as an online fashion retailer for millennial and Gen Z consumers.</t>
  </si>
  <si>
    <t>Apparel/Retail</t>
  </si>
  <si>
    <t>Provides mobile and wireline communications services to consumers and businesses.</t>
  </si>
  <si>
    <t>Owns and operates wireless communications infrastructure.</t>
  </si>
  <si>
    <t>Operates as a roaster, marketer, and retailer of specialty coffee worldwide.</t>
  </si>
  <si>
    <t>Tracks an index of small-cap companies in Japan.</t>
  </si>
  <si>
    <t>Operates digital entertainment, e-commerce, and digital financial service platforms.</t>
  </si>
  <si>
    <t>E-Commerce/Tech</t>
  </si>
  <si>
    <t>Produces and markets fresh and frozen food products.</t>
  </si>
  <si>
    <t>Operates as a grocery store chain focusing on fresh produce.</t>
  </si>
  <si>
    <t>Owns and operates a chain of fast-casual restaurants serving salads and bowls.</t>
  </si>
  <si>
    <t>Owns, operates, and franchises Shake Shack restaurants.</t>
  </si>
  <si>
    <t>Global energy company involved in oil, gas, and renewables.</t>
  </si>
  <si>
    <t>Invests in luxury and upscale hotel properties.</t>
  </si>
  <si>
    <t>Tracks an index of companies involved in technology and software.</t>
  </si>
  <si>
    <t>Designs and markets branded fashion footwear.</t>
  </si>
  <si>
    <t>Provides a commerce platform for merchants to sell products online.</t>
  </si>
  <si>
    <t>Tracks an index of U.S. Treasury bonds with maturities between 1-3 years.</t>
  </si>
  <si>
    <t>Tracks an index of short-term high-yield corporate bonds.</t>
  </si>
  <si>
    <t>Silver Futures; tracking the global price of industrial and precious silver.</t>
  </si>
  <si>
    <t>Tracks an index of companies in the silver mining industry.</t>
  </si>
  <si>
    <t>Tracks an index of small-cap silver mining companies.</t>
  </si>
  <si>
    <t>Provides silicon timing solutions for electronics.</t>
  </si>
  <si>
    <t>Tracks the price of physical silver bullion.</t>
  </si>
  <si>
    <t>Manufactures and markets branded food and beverage products.</t>
  </si>
  <si>
    <t>Tracks an index of companies involved in the cloud computing industry.</t>
  </si>
  <si>
    <t>Owns and operates commercial real estate in New York City.</t>
  </si>
  <si>
    <t>Tracks an index of companies in the global steel industry.</t>
  </si>
  <si>
    <t>Develops and manufactures high-performance server and storage solutions.</t>
  </si>
  <si>
    <t>Tracks an index of the 25 largest U.S. listed semiconductor companies.</t>
  </si>
  <si>
    <t>Tracks an index of small-cap companies in India.</t>
  </si>
  <si>
    <t>Produces and markets protein-based snack products.</t>
  </si>
  <si>
    <t>Engages in the exploration and development of oil properties.</t>
  </si>
  <si>
    <t>Operates a camera and social media platform (Snapchat).</t>
  </si>
  <si>
    <t>Provides truckload and intermodal transportation services.</t>
  </si>
  <si>
    <t>Logistics</t>
  </si>
  <si>
    <t>Provides a cloud-based data platform for various organizations.</t>
  </si>
  <si>
    <t>Operates a digital financial services platform for lending and investing.</t>
  </si>
  <si>
    <t>Invests in companies with stable cash flows and high dividends.</t>
  </si>
  <si>
    <t>Tracks the price of soybean futures contracts.</t>
  </si>
  <si>
    <t>Owns, develops, and manages premier shopping and mixed-use destinations.</t>
  </si>
  <si>
    <t>Provides credit ratings, benchmarks, and analytics.</t>
  </si>
  <si>
    <t>Invests in high dividend yielding S&amp;P 500 stocks with low vol.</t>
  </si>
  <si>
    <t>Operates sports venues including Madison Square Garden.</t>
  </si>
  <si>
    <t>Invests in 100 S&amp;P 500 stocks with the lowest volatility.</t>
  </si>
  <si>
    <t>Tracks an index of S&amp;P 500 stocks with high momentum.</t>
  </si>
  <si>
    <t>Operates a digital music streaming service worldwide.</t>
  </si>
  <si>
    <t>Tracks the performance of the S&amp;P 500 Index.</t>
  </si>
  <si>
    <t>Produces organic and specialty food and beverage products.</t>
  </si>
  <si>
    <t>Food</t>
  </si>
  <si>
    <t>Operates as a steel producer and metal recycler in the U.S.</t>
  </si>
  <si>
    <t>Produces and markets beer, wine, and spirits in the U.S. and internationally.</t>
  </si>
  <si>
    <t>Integrated energy company focused on oil sands production.</t>
  </si>
  <si>
    <t>Operates as a retailer of value-priced home décor.</t>
  </si>
  <si>
    <t>Designs and manufactures analog and mixed-signal semiconductor products.</t>
  </si>
  <si>
    <t>Provides private label credit cards and financing.</t>
  </si>
  <si>
    <t>Distributes food and related products to the healthcare and restaurant industries.</t>
  </si>
  <si>
    <t>Provides telecommunications, media, and technology services globally.</t>
  </si>
  <si>
    <t>Tracks an index of companies in the solar energy industry.</t>
  </si>
  <si>
    <t>Solar</t>
  </si>
  <si>
    <t>Manufactures, markets, and sells beer and other malt beverage products.</t>
  </si>
  <si>
    <t>Tracks an index of 3-month U.S. Treasury bills.</t>
  </si>
  <si>
    <t>ADR for a leading global technology and gaming company.</t>
  </si>
  <si>
    <t>Produces and sells medical cannabis in various U.S. states.</t>
  </si>
  <si>
    <t>Provides virtual healthcare services through various platforms.</t>
  </si>
  <si>
    <t>Healthcare/Tech</t>
  </si>
  <si>
    <t>Provides software products for project management and content creation.</t>
  </si>
  <si>
    <t>Develops and manufactures generic and specialty medicines.</t>
  </si>
  <si>
    <t>Tracks an index of floating rate U.S. Treasury notes.</t>
  </si>
  <si>
    <t>Transports natural gas through a pipeline system in Argentina.</t>
  </si>
  <si>
    <t>Operates as a general merchandise retailer in the United States.</t>
  </si>
  <si>
    <t>Operates as a health care services company with hospitals and clinics.</t>
  </si>
  <si>
    <t>Tracks an index of companies listed in Thailand.</t>
  </si>
  <si>
    <t>Manufactures private label food and beverage products.</t>
  </si>
  <si>
    <t>Operates a digital brokerage platform for global investors.</t>
  </si>
  <si>
    <t>Tracks an index of U.S. Treasury inflation-protected securities.</t>
  </si>
  <si>
    <t>Operates as an off-price apparel and home fashions retailer.</t>
  </si>
  <si>
    <t>Operates professional wrestling and mixed martial arts brands.</t>
  </si>
  <si>
    <t>Manufactures engineered bearings and power transmission parts.</t>
  </si>
  <si>
    <t>Tracks an index of U.S. Treasury bonds with maturities over 20 years.</t>
  </si>
  <si>
    <t>Operates online music entertainment platforms in China.</t>
  </si>
  <si>
    <t>Provides analytical instruments, equipment, software, and services.</t>
  </si>
  <si>
    <t>Provides mobile communications services for consumers and businesses.</t>
  </si>
  <si>
    <t>Provides human resources and business solutions.</t>
  </si>
  <si>
    <t>Professional Svc</t>
  </si>
  <si>
    <t>Invests in companies involved in the cannabis industry.</t>
  </si>
  <si>
    <t>Provides a cloud-based technology platform for the restaurant industry.</t>
  </si>
  <si>
    <t>Manufactures and sells cigarettes and tobacco products.</t>
  </si>
  <si>
    <t>Manages land and royalty interests in the Permian Basin.</t>
  </si>
  <si>
    <t>Land/Energy</t>
  </si>
  <si>
    <t>Designs and markets luxury accessories and lifestyle brands.</t>
  </si>
  <si>
    <t>Operates a travel guidance and online marketplace platform.</t>
  </si>
  <si>
    <t>Travel</t>
  </si>
  <si>
    <t>Provides global information and risk management services.</t>
  </si>
  <si>
    <t>Engages in gold exploration and production in Tanzania.</t>
  </si>
  <si>
    <t>Designs, develops, manufactures, and sells electric vehicles and energy systems.</t>
  </si>
  <si>
    <t>Automotive/Tech</t>
  </si>
  <si>
    <t>Manufactures and sells integrated circuits and other semiconductor products.</t>
  </si>
  <si>
    <t>Operates as a food company worldwide through various segments.</t>
  </si>
  <si>
    <t>Operates as a cannabis company in the North American market.</t>
  </si>
  <si>
    <t>Provides a technology platform for advertising inventory and data.</t>
  </si>
  <si>
    <t>Software/AdTech</t>
  </si>
  <si>
    <t>Integrated oil and gas company operating globally.</t>
  </si>
  <si>
    <t>Develops, publishes, and markets interactive entertainment for consumers.</t>
  </si>
  <si>
    <t>Provides exposure to 2-year U.S. Treasury note futures.</t>
  </si>
  <si>
    <t>Tracks an index of companies listed in Turkey.</t>
  </si>
  <si>
    <t>Provides a cloud communications platform for developers.</t>
  </si>
  <si>
    <t>Provides platforms for genetic and cellular analysis.</t>
  </si>
  <si>
    <t>Owns and operates a chain of casual dining steakhouses.</t>
  </si>
  <si>
    <t>Operates in aerospace, defense, and industrial segments.</t>
  </si>
  <si>
    <t>Operates a platform for creating and operating 3D content.</t>
  </si>
  <si>
    <t>Develops and markets performance apparel and footwear.</t>
  </si>
  <si>
    <t>Tracks an index of companies listed in the United Arab Emirates.</t>
  </si>
  <si>
    <t>Provides air transportation services in North America and internationally.</t>
  </si>
  <si>
    <t>Operates a platform that connects consumers with independent providers.</t>
  </si>
  <si>
    <t>Tracks an index of companies involved in space exploration.</t>
  </si>
  <si>
    <t>Tracks the price of gasoline futures contracts.</t>
  </si>
  <si>
    <t>Provides truck and trailer rentals and self-storage.</t>
  </si>
  <si>
    <t>Rental Svc</t>
  </si>
  <si>
    <t>Operates acute care and behavioral health hospitals.</t>
  </si>
  <si>
    <t>Produces and markets food, home, and personal care goods.</t>
  </si>
  <si>
    <t>Invests in companies with a focus on sustainable energy.</t>
  </si>
  <si>
    <t>Operates as a beauty retailer in the United States.</t>
  </si>
  <si>
    <t>Tracks the daily changes in the percentage of the price of natural gas.</t>
  </si>
  <si>
    <t>Operates as a diversified health care company in the U.S.</t>
  </si>
  <si>
    <t>Operates as a railroad company providing transportation services.</t>
  </si>
  <si>
    <t>Provides global package delivery and supply chain services.</t>
  </si>
  <si>
    <t>Operates a cloud-based AI lending platform for banks and consumers.</t>
  </si>
  <si>
    <t>FinTech/AI</t>
  </si>
  <si>
    <t>Tracks an index of companies in the uranium industry.</t>
  </si>
  <si>
    <t>Operates as an apparel and home furnishings retailer.</t>
  </si>
  <si>
    <t>Operates as an equipment rental company in North America.</t>
  </si>
  <si>
    <t>Tracks an index of small-cap uranium mining companies.</t>
  </si>
  <si>
    <t>Tracks an index of companies involved in uranium mining.</t>
  </si>
  <si>
    <t>Provides exposure to a diversified basket of commodities.</t>
  </si>
  <si>
    <t>Distributes food and related products to U.S. restaurants.</t>
  </si>
  <si>
    <t>Operates outpatient physical and occupational therapy clinics.</t>
  </si>
  <si>
    <t>Produces and markets salty snack food products.</t>
  </si>
  <si>
    <t>Tracks the value of the U.S. Dollar relative to other currencies.</t>
  </si>
  <si>
    <t>Operates as a payments technology company worldwide.</t>
  </si>
  <si>
    <t>Engages in the exploration and production of oil properties.</t>
  </si>
  <si>
    <t>Designs, produces, and distributes branded lifestyle apparel and footwear.</t>
  </si>
  <si>
    <t>Provides VoIP and communications services for businesses.</t>
  </si>
  <si>
    <t>Tracks an index of companies listed in developed European markets.</t>
  </si>
  <si>
    <t>Tracks an index of U.S. listed healthcare companies.</t>
  </si>
  <si>
    <t>Operates as a global cruise line and travel provider.</t>
  </si>
  <si>
    <t>Cruises</t>
  </si>
  <si>
    <t>Develops treatments for metabolic and endocrine disorders.</t>
  </si>
  <si>
    <t>Engages in the manufacturing and marketing of transportation fuels.</t>
  </si>
  <si>
    <t>Provides critical digital infrastructure for data centers.</t>
  </si>
  <si>
    <t>Produces and sells construction aggregates and heavy building materials.</t>
  </si>
  <si>
    <t>Tracks an index of companies listed in Vietnam.</t>
  </si>
  <si>
    <t>Acquires, owns, and manages a portfolio of office and retail properties.</t>
  </si>
  <si>
    <t>Provides a platform for data security and governance.</t>
  </si>
  <si>
    <t>Designs and services critical digital infrastructure for data centers.</t>
  </si>
  <si>
    <t>Infrastructure/Tech</t>
  </si>
  <si>
    <t>Discovers, develops, and manufactures medicines for various diseases.</t>
  </si>
  <si>
    <t>Invests in and manages a portfolio of healthcare-related properties.</t>
  </si>
  <si>
    <t>Provides automotive lubricants and maintenance services.</t>
  </si>
  <si>
    <t>Provides exposure to the S&amp;P 500 VIX Short-Term Futures Index.</t>
  </si>
  <si>
    <t>Provides communications, technology, information, and entertainment products.</t>
  </si>
  <si>
    <t>Operates an e-commerce platform for home furnishings and décor.</t>
  </si>
  <si>
    <t>Operates as a media and entertainment company worldwide.</t>
  </si>
  <si>
    <t>Tracks an index of cloud computing software companies.</t>
  </si>
  <si>
    <t>Cloud</t>
  </si>
  <si>
    <t>Provides enterprise cloud applications for finance and HR.</t>
  </si>
  <si>
    <t>Tracks the price of wheat futures contracts.</t>
  </si>
  <si>
    <t>Invests in senior housing and healthcare-related real estate.</t>
  </si>
  <si>
    <t>Operates and franchises a chain of quick-service restaurants.</t>
  </si>
  <si>
    <t>Engages in the development and production of oil assets.</t>
  </si>
  <si>
    <t>Tracks an index of companies involved in Bitcoin mining.</t>
  </si>
  <si>
    <t>Mining/Tech</t>
  </si>
  <si>
    <t>Develops and manufactures technology solutions for commerce.</t>
  </si>
  <si>
    <t>Franchises and manages hotels and resorts worldwide.</t>
  </si>
  <si>
    <t>Manufactures and sells drainage and water management products.</t>
  </si>
  <si>
    <t>Operates as a retailer of consumer products worldwide.</t>
  </si>
  <si>
    <t>Tracks an index of global timber and forestry companies.</t>
  </si>
  <si>
    <t>Timber</t>
  </si>
  <si>
    <t>Operates as a retailer of eyewear and vision services.</t>
  </si>
  <si>
    <t>Designs and markets footwear and apparel products.</t>
  </si>
  <si>
    <t>Operates as a timberland real estate investment trust.</t>
  </si>
  <si>
    <t>Develops, owns, and operates luxury casino and hotel resorts.</t>
  </si>
  <si>
    <t>SPDR S&amp;P Biotech ETF; tracks an equal-weighted index of U.S. biotechnology stocks.</t>
  </si>
  <si>
    <t>Acquires and manages premium hotel and resort properties.</t>
  </si>
  <si>
    <t>ADR for a leading global consumer electronics company.</t>
  </si>
  <si>
    <t>Materials Select Sector SPDR Fund; tracks materials, chemicals, and mining companies.</t>
  </si>
  <si>
    <t>Communication Services Select Sector SPDR Fund; tracks media and tech giants.</t>
  </si>
  <si>
    <t>Communication</t>
  </si>
  <si>
    <t>Energy Select Sector SPDR Fund; tracks oil, gas, and energy equipment companies.</t>
  </si>
  <si>
    <t>Financial Select Sector SPDR Fund; tracks banks, insurance, and investment firms.</t>
  </si>
  <si>
    <t>Invesco S&amp;P 500 Top 50 ETF; tracks the 50 largest companies within the S&amp;P 500.</t>
  </si>
  <si>
    <t>Industrial Select Sector SPDR Fund; tracks aerospace, defense, and machinery firms.</t>
  </si>
  <si>
    <t>Technology Select Sector SPDR Fund; tracks software, hardware, and semi firms.</t>
  </si>
  <si>
    <t>Consumer Staples Select Sector SPDR Fund; tracks food, beverage, and retail firms.</t>
  </si>
  <si>
    <t>Real Estate Select Sector SPDR Fund; tracks REITs and real estate management firms.</t>
  </si>
  <si>
    <t>Utilities Select Sector SPDR Fund; tracks electric, gas, and water utility companies.</t>
  </si>
  <si>
    <t>Health Care Select Sector SPDR Fund; tracks pharma, biotech, and medical device firms.</t>
  </si>
  <si>
    <t>Consumer Discretionary Select Sector SPDR Fund; tracks retail, autos, and travel.</t>
  </si>
  <si>
    <t>Consumer Discret.</t>
  </si>
  <si>
    <t>Engages in the exploration and production of oil and gas.</t>
  </si>
  <si>
    <t>SPDR S&amp;P Oil &amp; Gas Exploration &amp; Production ETF; tracks U.S. energy producers.</t>
  </si>
  <si>
    <t>Energy (E&amp;P)</t>
  </si>
  <si>
    <t>Designs and manufactures smart electric vehicles in China.</t>
  </si>
  <si>
    <t>SPDR S&amp;P Retail ETF; tracks a broad-based index of retail stocks in the U.S.</t>
  </si>
  <si>
    <t>Provides water technology solutions for various industries.</t>
  </si>
  <si>
    <t>Example symbol used for testing or generic purposes.</t>
  </si>
  <si>
    <t>Hypothetical</t>
  </si>
  <si>
    <t>Provides inverse exposure to the Japanese Yen relative to USD.</t>
  </si>
  <si>
    <t>Operates a platform that connects consumers with businesses.</t>
  </si>
  <si>
    <t>Internet</t>
  </si>
  <si>
    <t>Engages in the exploration and production of oil in Argentina.</t>
  </si>
  <si>
    <t>Develops, operates, and franchises quick-service restaurants worldwide.</t>
  </si>
  <si>
    <t>Operates as a restaurant company in China through various brands.</t>
  </si>
  <si>
    <t>Operates as a real estate and home-related marketplace.</t>
  </si>
  <si>
    <t>Provides a communications platform for various enterprise users.</t>
  </si>
  <si>
    <t>Software/Tech</t>
  </si>
  <si>
    <t>Provides a cloud-based security platform for enterprise users.</t>
  </si>
  <si>
    <t>Cyclical</t>
  </si>
  <si>
    <t>Secular</t>
  </si>
  <si>
    <t>AI</t>
  </si>
  <si>
    <t>Sector Ticker</t>
  </si>
  <si>
    <t>Sub Asset Class</t>
  </si>
  <si>
    <t>Dividend</t>
  </si>
  <si>
    <t>Q_Sector</t>
  </si>
  <si>
    <t>M_Sector</t>
  </si>
  <si>
    <t>Miss MA</t>
  </si>
  <si>
    <t>Chg SD</t>
  </si>
  <si>
    <t>High above TRR</t>
  </si>
  <si>
    <t>Low below LRR</t>
  </si>
  <si>
    <t>Low LRR</t>
  </si>
  <si>
    <t>Sd TRR</t>
  </si>
  <si>
    <t>Sd MRR</t>
  </si>
  <si>
    <t>Sd LRR</t>
  </si>
  <si>
    <t>Trd LRR</t>
  </si>
  <si>
    <t>TRR_Idx</t>
  </si>
  <si>
    <t>MRR_Idx</t>
  </si>
  <si>
    <t>LRR_Idx</t>
  </si>
  <si>
    <t>Price Direction</t>
  </si>
  <si>
    <t>BTCUSD</t>
  </si>
  <si>
    <t>Last Price helper</t>
  </si>
  <si>
    <t>BB_Top_Streak</t>
  </si>
  <si>
    <t>BB_Top_Prev</t>
  </si>
  <si>
    <t>BB_Top_Comp</t>
  </si>
  <si>
    <t>BB_Top_Prev_Comp</t>
  </si>
  <si>
    <t>BB_Bot_Prev</t>
  </si>
  <si>
    <t>BB_Bot_Comp</t>
  </si>
  <si>
    <t>BB_Bot_Prev_Comp</t>
  </si>
  <si>
    <t>BB_Bot_Streak</t>
  </si>
  <si>
    <t>Active</t>
  </si>
  <si>
    <t>Sctr!Sector</t>
  </si>
  <si>
    <t>BB_Top_Prev_Comp_High</t>
  </si>
  <si>
    <t>BB_Top_Prev_Comp_Low</t>
  </si>
  <si>
    <t>BB_Bot_Prev_Comp_High</t>
  </si>
  <si>
    <t>BB_Bot_Prev_Comp_Low</t>
  </si>
  <si>
    <t>Euro to U.S. Dollar</t>
  </si>
  <si>
    <t>U.S. Dollar to Japanese Yen</t>
  </si>
  <si>
    <t>British Pound to U.S. Dollar</t>
  </si>
  <si>
    <t>Canadian Dollar to U.S. Dollar</t>
  </si>
  <si>
    <t>Vlm Score</t>
  </si>
  <si>
    <t>Vlm Desc</t>
  </si>
  <si>
    <t>Mild up day</t>
  </si>
  <si>
    <t>Price zone</t>
  </si>
  <si>
    <t>Insert Above</t>
  </si>
  <si>
    <t>Trend context</t>
  </si>
  <si>
    <t>Volatility regime</t>
  </si>
  <si>
    <t>Score</t>
  </si>
  <si>
    <t>Mild dn day</t>
  </si>
  <si>
    <t>No clear tn</t>
  </si>
  <si>
    <t>Hi vlt</t>
  </si>
  <si>
    <t>Lo vlt</t>
  </si>
  <si>
    <t>Extrm vlt</t>
  </si>
  <si>
    <t>Extrm up day</t>
  </si>
  <si>
    <t>Stg dn day</t>
  </si>
  <si>
    <t>Stg up day</t>
  </si>
  <si>
    <t>Up tn Cont</t>
  </si>
  <si>
    <t>Accl dn vs yday</t>
  </si>
  <si>
    <t>Accl up vs yday</t>
  </si>
  <si>
    <t>Norm vlt</t>
  </si>
  <si>
    <t>Imprvg vs yday</t>
  </si>
  <si>
    <t>Extrm dn day</t>
  </si>
  <si>
    <t>Wkng vs yday</t>
  </si>
  <si>
    <t>Bnce in dn tn</t>
  </si>
  <si>
    <t>PuBk in up tn</t>
  </si>
  <si>
    <t>dn trnd cnt/brk dn</t>
  </si>
  <si>
    <t>Strng bull</t>
  </si>
  <si>
    <t>Strng bear</t>
  </si>
  <si>
    <t>Long Trend</t>
  </si>
  <si>
    <t>Long Trend Score</t>
  </si>
  <si>
    <t>Long Trend Total</t>
  </si>
  <si>
    <t>Long Trend Descr</t>
  </si>
  <si>
    <t>Flat/noise</t>
  </si>
  <si>
    <t>Stbl vs yday</t>
  </si>
  <si>
    <t>Final_Signal</t>
  </si>
  <si>
    <t>ScenarioScore</t>
  </si>
  <si>
    <t>ActionDesc</t>
  </si>
  <si>
    <t>ActionKey</t>
  </si>
  <si>
    <t>ST Signal Scenario</t>
  </si>
  <si>
    <t>ST_Signal Desc</t>
  </si>
  <si>
    <t>Capitulation - reversal watch:Panic selloff:Extreme down with participation</t>
  </si>
  <si>
    <t>Oversold bounce - buy dip:Hard flush:Reversal attempt on strong vol</t>
  </si>
  <si>
    <t>Climax breakout - wait retest:Euphoric spike:Blow-off risk</t>
  </si>
  <si>
    <t>Climax breakout - wait/avoid:Overextended breakout:Late entry risk</t>
  </si>
  <si>
    <t>Failed breakout - sell:Breakout failure:Trap / distribution</t>
  </si>
  <si>
    <t>Strong breakout - buy aggressive:Expansion breakout:Trend continuation w/ vol</t>
  </si>
  <si>
    <t>Breakout - buy:Breakout:Acceptable continuation</t>
  </si>
  <si>
    <t>Distribution - exit:Supply day:Early breakdown signs</t>
  </si>
  <si>
    <t>Weak rally - fade:Low demand rally:Likely to fail</t>
  </si>
  <si>
    <t>Accumulation - buy:Sideways + volume:Absorption</t>
  </si>
  <si>
    <t>Healthy pullback - add:Pullback in trend:Add on dip</t>
  </si>
  <si>
    <t>Deep pullback - add light:Deeper retrace:Higher risk add</t>
  </si>
  <si>
    <t>Final Signal Scenario</t>
  </si>
  <si>
    <t>FinalLabel</t>
  </si>
  <si>
    <t>ST_Signal Score</t>
  </si>
  <si>
    <t>Latest TOSL (Y) or TOSD(W) (N)</t>
  </si>
  <si>
    <t>Accumulation</t>
  </si>
  <si>
    <t>Early Buy</t>
  </si>
  <si>
    <t>Distribution</t>
  </si>
  <si>
    <t>Buy stop abv hi</t>
  </si>
  <si>
    <t>Sell stop blw lo</t>
  </si>
  <si>
    <t>Exit / Sell strgth</t>
  </si>
  <si>
    <t>Shrt rallies/Hld shrt</t>
  </si>
  <si>
    <t>Buy PuBks/Hld Lng</t>
  </si>
  <si>
    <t>TD Import Date Time</t>
  </si>
  <si>
    <t>BB_Top_3d</t>
  </si>
  <si>
    <t>BB_Bot_3d</t>
  </si>
  <si>
    <t>Cnfm Bear Trnd</t>
  </si>
  <si>
    <t>Cnfm Bull Trnd</t>
  </si>
  <si>
    <t>DSKey</t>
  </si>
  <si>
    <t>DS Sequence</t>
  </si>
  <si>
    <t>DS Key</t>
  </si>
  <si>
    <t>Vlm_RuleDesc</t>
  </si>
  <si>
    <t>ShortName</t>
  </si>
  <si>
    <t>Vlm_Action</t>
  </si>
  <si>
    <t>BM</t>
  </si>
  <si>
    <t>Compres2Expn</t>
  </si>
  <si>
    <t>TrendContBuy</t>
  </si>
  <si>
    <t>LateStgExhusn</t>
  </si>
  <si>
    <t>StrngBuyBrkout</t>
  </si>
  <si>
    <t>PreExpnsnWatch</t>
  </si>
  <si>
    <t>Vlm_RuleAction</t>
  </si>
  <si>
    <t>Cmprsn</t>
  </si>
  <si>
    <t>BlwOffTop</t>
  </si>
  <si>
    <t>Distribn</t>
  </si>
  <si>
    <t>RtlNoise</t>
  </si>
  <si>
    <t>TrendAccumln</t>
  </si>
  <si>
    <t>Id</t>
  </si>
  <si>
    <t>VXtrm</t>
  </si>
  <si>
    <t>Extreme IV percentile (&gt;90) with vol ratios stretched. Event / stress regime. Avoid chasing direction; manage volatility risk.</t>
  </si>
  <si>
    <t>HiIVtoHV</t>
  </si>
  <si>
    <t>IV rich vs HV (AP2&gt;2) while IVP rolling over. Premium likely overpriced. Favor volatility selling bias.</t>
  </si>
  <si>
    <t>VTrap</t>
  </si>
  <si>
    <t>Mixed vol signals (IV up, percentile down) with RSI weakening. Whipsaw risk. Reduce exposure / wait.</t>
  </si>
  <si>
    <t>HVPeak</t>
  </si>
  <si>
    <t>Realized volatility spike vs baseline while IVP not improving. Mean reversion risk. Avoid breakout chasing.</t>
  </si>
  <si>
    <t>VFlush</t>
  </si>
  <si>
    <t>Broad vol deterioration (IVP, IV, RSI directions down). Risk-off conditions. Defensive posture.</t>
  </si>
  <si>
    <t>VFall</t>
  </si>
  <si>
    <t>Falling volatility regime (&lt;50 IVP). Calm compression phase. Favor range/premium strategies.</t>
  </si>
  <si>
    <t>VDead</t>
  </si>
  <si>
    <t>Very low IVP (&lt;10) + compression + very low IV/HV ratio. Dead market. Avoid paying for options.</t>
  </si>
  <si>
    <t>FadeRev</t>
  </si>
  <si>
    <t>High IVP but volatility easing while RSI strong. Potential bullish reversal setup.</t>
  </si>
  <si>
    <t>LoVLaunch</t>
  </si>
  <si>
    <t>Low IVP with all vol/RSI directions turning positive. Early expansion phase. Breakout bias.</t>
  </si>
  <si>
    <t>VTrendConf</t>
  </si>
  <si>
    <t>Positive vol and price confirmation (range breakout). Stay with trend.</t>
  </si>
  <si>
    <t>D_Vlt_RuleAction</t>
  </si>
  <si>
    <t>SP500</t>
  </si>
  <si>
    <t>Dow</t>
  </si>
  <si>
    <t>RusSell</t>
  </si>
  <si>
    <t>Long-term Debt to Capital - Current (LTM)</t>
  </si>
  <si>
    <t>Price / Earnings Ratio - Current</t>
  </si>
  <si>
    <t>Price / Book Value Ratio - Current</t>
  </si>
  <si>
    <t>Return on Equity (ROE) - Current (LTM)</t>
  </si>
  <si>
    <t>EPS</t>
  </si>
  <si>
    <t>Div. Yield - Current</t>
  </si>
  <si>
    <t>Free Cash Flow Per Share - Current (LTM)</t>
  </si>
  <si>
    <t>TW</t>
  </si>
  <si>
    <t>TO</t>
  </si>
  <si>
    <t>TD</t>
  </si>
  <si>
    <t>TL</t>
  </si>
  <si>
    <t>TO Import Date</t>
  </si>
  <si>
    <t>2 Month Ago</t>
  </si>
  <si>
    <t>Tr Td Outlook</t>
  </si>
  <si>
    <t>Tn Stdv</t>
  </si>
  <si>
    <t>Td Stdv</t>
  </si>
  <si>
    <t>Tn Td Stdv Diff</t>
  </si>
  <si>
    <t>TOS Other Export Date</t>
  </si>
  <si>
    <t>TOS Other export Date</t>
  </si>
  <si>
    <t>Eco. Sensitivity</t>
  </si>
  <si>
    <t>Value?</t>
  </si>
  <si>
    <t>Quality?</t>
  </si>
  <si>
    <t>Dividend?</t>
  </si>
  <si>
    <t>Growth - Sector Based</t>
  </si>
  <si>
    <t>Growth - Econ Based</t>
  </si>
  <si>
    <t>Momentum Score</t>
  </si>
  <si>
    <t>265.97M</t>
  </si>
  <si>
    <t>160.791M</t>
  </si>
  <si>
    <t>Entry Wt</t>
  </si>
  <si>
    <t>Cont Wt</t>
  </si>
  <si>
    <t>RR Cont</t>
  </si>
  <si>
    <t>Q4 2026</t>
  </si>
  <si>
    <t>Vlkup</t>
  </si>
  <si>
    <t>Asset Class - M OL</t>
  </si>
  <si>
    <t>Asset Class - Q OL</t>
  </si>
  <si>
    <t>Growth - M OL</t>
  </si>
  <si>
    <t>Growth - Q OL</t>
  </si>
  <si>
    <t>Scale - M OL</t>
  </si>
  <si>
    <t>Scale - Q OL</t>
  </si>
  <si>
    <t>Solvency - M OL</t>
  </si>
  <si>
    <t>Solvency - Q OL</t>
  </si>
  <si>
    <t>Value? - M OL</t>
  </si>
  <si>
    <t>Value? - Q OL</t>
  </si>
  <si>
    <t>Quality? - M OL</t>
  </si>
  <si>
    <t>Quality? - Q OL</t>
  </si>
  <si>
    <t>Dividend? - M OL</t>
  </si>
  <si>
    <t>Dividend? - Q OL</t>
  </si>
  <si>
    <t>Momentum - M OL</t>
  </si>
  <si>
    <t>Momentum - Q OL</t>
  </si>
  <si>
    <t>Sensitivity - M OL</t>
  </si>
  <si>
    <t>Sensitivity - Q OL</t>
  </si>
  <si>
    <t>HE OL - Sector</t>
  </si>
  <si>
    <t>Tr Td Outlook - Sector</t>
  </si>
  <si>
    <t>BRR% - Sector</t>
  </si>
  <si>
    <t>28,217 M</t>
  </si>
  <si>
    <t>M+ves - Equity Style</t>
  </si>
  <si>
    <t>M-ves  - Equity Style</t>
  </si>
  <si>
    <t>Q+ves - Equity Style</t>
  </si>
  <si>
    <t>Q-ves  - Equity Style</t>
  </si>
  <si>
    <t>Equity Sector - M OL</t>
  </si>
  <si>
    <t>Equity Sector - Q OL</t>
  </si>
  <si>
    <t>Vlm</t>
  </si>
  <si>
    <t>L_Vlm</t>
  </si>
  <si>
    <t>ODFL</t>
  </si>
  <si>
    <t>ST_Signal Action</t>
  </si>
  <si>
    <t>Perf</t>
  </si>
  <si>
    <t>BB_Bot_7d</t>
  </si>
  <si>
    <t>BB_Top_7d</t>
  </si>
  <si>
    <t>BB_Top_15d</t>
  </si>
  <si>
    <t>BB_Bot_15d</t>
  </si>
  <si>
    <t>BB_Bot_Slope</t>
  </si>
  <si>
    <t>BB_Tot_Slope</t>
  </si>
  <si>
    <t>BB Bull</t>
  </si>
  <si>
    <t>Bull</t>
  </si>
  <si>
    <t>Acmln</t>
  </si>
  <si>
    <t>PrBrkdn</t>
  </si>
  <si>
    <t>PrBrkUp</t>
  </si>
  <si>
    <t>Dstbn</t>
  </si>
  <si>
    <t>Bear</t>
  </si>
  <si>
    <t>BB Ranges</t>
  </si>
  <si>
    <t>Pr-Brkout Pressure</t>
  </si>
  <si>
    <t>Pr-Brkdn Pressure</t>
  </si>
  <si>
    <t>BBRngStrkRule Desc</t>
  </si>
  <si>
    <t>BBRngStrkRule Action</t>
  </si>
  <si>
    <t>BBRngStrkRule</t>
  </si>
  <si>
    <t>Action Type</t>
  </si>
  <si>
    <t>XTL</t>
  </si>
  <si>
    <t>RiskRng Longs Action</t>
  </si>
  <si>
    <t>Bear Less</t>
  </si>
  <si>
    <t>Cnfm Bear Trnd Less</t>
  </si>
  <si>
    <t>Cnfm Bull Trnd Less</t>
  </si>
  <si>
    <t>BB_Slope</t>
  </si>
  <si>
    <t>TN TD Rule</t>
  </si>
  <si>
    <t>Above Trade and Trend</t>
  </si>
  <si>
    <t>below trand and trend</t>
  </si>
  <si>
    <t>Above Trade and Trend. Gap between Tn and Td is 2SDs or price is atleast 4 SDs</t>
  </si>
  <si>
    <t>&gt;avg</t>
  </si>
  <si>
    <t>&lt;avg</t>
  </si>
  <si>
    <t>&gt;avg+Accl</t>
  </si>
  <si>
    <t>&lt;avg+falln</t>
  </si>
  <si>
    <t>W Vol Rule</t>
  </si>
  <si>
    <t>Climax move — often near a top</t>
  </si>
  <si>
    <t>Smart money selling into demand</t>
  </si>
  <si>
    <t>Weak participation — likely noise</t>
  </si>
  <si>
    <t>slightly broader exhaustion signal</t>
  </si>
  <si>
    <t>Quiet market → volatility contraction</t>
  </si>
  <si>
    <t>Early signal before expansion</t>
  </si>
  <si>
    <t>Ideal breakout condition</t>
  </si>
  <si>
    <t>Early breakout phase</t>
  </si>
  <si>
    <t>Pullback + continuation setup</t>
  </si>
  <si>
    <t>Sustained accumulation phase</t>
  </si>
  <si>
    <t>LesBull</t>
  </si>
  <si>
    <t>Tn Td Rule</t>
  </si>
  <si>
    <t>Tn Td Rule Desc</t>
  </si>
  <si>
    <t>Tn Td Rule Action</t>
  </si>
  <si>
    <t>&lt;Tn&gt;Td</t>
  </si>
  <si>
    <t>&gt;Tn&lt;Td</t>
  </si>
  <si>
    <t>above trend and below trade</t>
  </si>
  <si>
    <t>below trend and above Trade</t>
  </si>
  <si>
    <t>DOW INC COM</t>
  </si>
  <si>
    <t>!BullRiskRng-Action</t>
  </si>
  <si>
    <t>BullRiskRng-Action</t>
  </si>
  <si>
    <t>104.215M</t>
  </si>
  <si>
    <t>A_BB_Top_Slope</t>
  </si>
  <si>
    <t>A_BB_Bot_Slope</t>
  </si>
  <si>
    <t>TnTdMax$</t>
  </si>
  <si>
    <t>Td Tn BB Risk Range Rule Action</t>
  </si>
  <si>
    <t>Td Tn BB Risk Range Rule Action Seq</t>
  </si>
  <si>
    <t>Sort Seq</t>
  </si>
  <si>
    <t>#F1 Seq</t>
  </si>
  <si>
    <t>#Fidelity</t>
  </si>
  <si>
    <t>!Bull Risk Range Rule</t>
  </si>
  <si>
    <t>Bull Risk Range Rule</t>
  </si>
  <si>
    <t>RRBullBear</t>
  </si>
  <si>
    <t>RRDesc</t>
  </si>
  <si>
    <t>^Sell</t>
  </si>
  <si>
    <t>^Buy</t>
  </si>
  <si>
    <t>D=L&gt;Td</t>
  </si>
  <si>
    <t>U=M</t>
  </si>
  <si>
    <t>D&gt;L&lt;M</t>
  </si>
  <si>
    <t>U&gt;L&lt;=M&gt;cd</t>
  </si>
  <si>
    <t>U=L</t>
  </si>
  <si>
    <t>D=L&gt;Td&gt;Tn</t>
  </si>
  <si>
    <t>U&gt;M&lt;T</t>
  </si>
  <si>
    <t>&gt;=T</t>
  </si>
  <si>
    <t>U&gt;L&lt;M&gt;cd</t>
  </si>
  <si>
    <t>D&gt;M</t>
  </si>
  <si>
    <t>U&gt;L&lt;M&lt;cd</t>
  </si>
  <si>
    <t>STATE STREET SPDR S&amp;P TELECOM ETF</t>
  </si>
  <si>
    <t>260.232M</t>
  </si>
  <si>
    <t>U&gt;L&lt;=M&lt;cd</t>
  </si>
  <si>
    <t>Cls2Tn&lt;Td</t>
  </si>
  <si>
    <t>below trade and close to trend</t>
  </si>
  <si>
    <t>26,765 M</t>
  </si>
  <si>
    <t>21,564 M</t>
  </si>
  <si>
    <t>2026-04-27 00:00:00</t>
  </si>
  <si>
    <t>21,663 M</t>
  </si>
  <si>
    <t>TrTn OL</t>
  </si>
  <si>
    <t>Main Date</t>
  </si>
  <si>
    <t>Imported Date</t>
  </si>
  <si>
    <t>Desc Date</t>
  </si>
  <si>
    <t>Date2</t>
  </si>
  <si>
    <t>EI Date</t>
  </si>
  <si>
    <t>Date1</t>
  </si>
  <si>
    <t>3 Month Ago</t>
  </si>
  <si>
    <t>460190</t>
  </si>
  <si>
    <t/>
  </si>
  <si>
    <t>46019BUXX</t>
  </si>
  <si>
    <t>Income Short Maturity</t>
  </si>
  <si>
    <t>Domestic Fixed Income</t>
  </si>
  <si>
    <t>2026-02-13 00:00:00</t>
  </si>
  <si>
    <t>01May</t>
  </si>
  <si>
    <t>30Apr</t>
  </si>
  <si>
    <t>29Apr</t>
  </si>
  <si>
    <t>28Apr</t>
  </si>
  <si>
    <t>27Apr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</si>
</sst>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164" formatCode="0.0"/>
    <numFmt numFmtId="165" formatCode="0.0000"/>
    <numFmt numFmtId="166" formatCode="[$-409]m/d/yy\ h:mm\ AM/PM;@"/>
    <numFmt numFmtId="167" formatCode="m/d;@"/>
    <numFmt numFmtId="168" formatCode="0.0%"/>
    <numFmt numFmtId="169" formatCode="[$-409]d\-mmm\-yy;@"/>
  </numFmts>
  <fonts count="123" x14ac:knownFonts="1">
    <font>
      <sz val="11"/>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3"/>
      <color rgb="FF333333"/>
      <name val="Georgia"/>
      <family val="1"/>
    </font>
    <font>
      <u/>
      <sz val="11"/>
      <color theme="10"/>
      <name val="Calibri"/>
      <family val="2"/>
      <scheme val="minor"/>
    </font>
    <font>
      <sz val="11"/>
      <color rgb="FF333333"/>
      <name val="Calibri"/>
      <family val="2"/>
      <scheme val="minor"/>
    </font>
    <font>
      <sz val="9"/>
      <color indexed="81"/>
      <name val="Tahoma"/>
      <family val="2"/>
    </font>
    <font>
      <b/>
      <sz val="9"/>
      <color indexed="81"/>
      <name val="Tahoma"/>
      <family val="2"/>
    </font>
    <font>
      <sz val="11"/>
      <name val="Calibri"/>
      <family val="2"/>
      <scheme val="minor"/>
    </font>
    <font>
      <sz val="8"/>
      <name val="Calibri"/>
      <family val="2"/>
      <scheme val="minor"/>
    </font>
    <font>
      <sz val="11"/>
      <color theme="1"/>
      <name val="Calibri"/>
      <family val="2"/>
      <scheme val="minor"/>
    </font>
    <font>
      <sz val="9"/>
      <color theme="1"/>
      <name val="Calibri"/>
      <family val="2"/>
      <scheme val="minor"/>
    </font>
    <font>
      <sz val="8"/>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9C0006"/>
      <name val="Calibri"/>
      <family val="2"/>
      <scheme val="minor"/>
    </font>
    <font>
      <sz val="10"/>
      <color rgb="FF9C57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sz val="10"/>
      <color rgb="FF006100"/>
      <name val="Calibri"/>
      <family val="2"/>
      <scheme val="minor"/>
    </font>
    <font>
      <sz val="11"/>
      <color theme="1"/>
      <name val="Calibri"/>
      <family val="2"/>
    </font>
    <font>
      <sz val="8"/>
      <color rgb="FF006100"/>
      <name val="Calibri"/>
      <family val="2"/>
      <scheme val="minor"/>
    </font>
    <font>
      <sz val="8"/>
      <color rgb="FF9C0006"/>
      <name val="Calibri"/>
      <family val="2"/>
      <scheme val="minor"/>
    </font>
    <font>
      <sz val="8"/>
      <color rgb="FF9C5700"/>
      <name val="Calibri"/>
      <family val="2"/>
      <scheme val="minor"/>
    </font>
    <font>
      <sz val="8"/>
      <color rgb="FF3F3F76"/>
      <name val="Calibri"/>
      <family val="2"/>
      <scheme val="minor"/>
    </font>
    <font>
      <b/>
      <sz val="8"/>
      <color rgb="FF3F3F3F"/>
      <name val="Calibri"/>
      <family val="2"/>
      <scheme val="minor"/>
    </font>
    <font>
      <b/>
      <sz val="8"/>
      <color rgb="FFFA7D00"/>
      <name val="Calibri"/>
      <family val="2"/>
      <scheme val="minor"/>
    </font>
    <font>
      <sz val="8"/>
      <color rgb="FFFA7D00"/>
      <name val="Calibri"/>
      <family val="2"/>
      <scheme val="minor"/>
    </font>
    <font>
      <b/>
      <sz val="8"/>
      <color theme="0"/>
      <name val="Calibri"/>
      <family val="2"/>
      <scheme val="minor"/>
    </font>
    <font>
      <sz val="8"/>
      <color rgb="FFFF0000"/>
      <name val="Calibri"/>
      <family val="2"/>
      <scheme val="minor"/>
    </font>
    <font>
      <i/>
      <sz val="8"/>
      <color rgb="FF7F7F7F"/>
      <name val="Calibri"/>
      <family val="2"/>
      <scheme val="minor"/>
    </font>
    <font>
      <b/>
      <sz val="8"/>
      <color theme="1"/>
      <name val="Calibri"/>
      <family val="2"/>
      <scheme val="minor"/>
    </font>
    <font>
      <sz val="8"/>
      <color theme="0"/>
      <name val="Calibri"/>
      <family val="2"/>
      <scheme val="minor"/>
    </font>
  </fonts>
  <fills count="88">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rgb="FFC6EFCE"/>
      </patternFill>
    </fill>
    <fill>
      <patternFill patternType="solid">
        <fgColor theme="9" tint="0.39997558519241921"/>
        <bgColor indexed="64"/>
      </patternFill>
    </fill>
    <fill>
      <patternFill patternType="solid">
        <fgColor rgb="FFE2E2E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rgb="FFA0EEFE"/>
        <bgColor indexed="64"/>
      </patternFill>
    </fill>
    <fill>
      <patternFill patternType="solid">
        <fgColor rgb="FFFFCCCC"/>
        <bgColor indexed="64"/>
      </patternFill>
    </fill>
    <fill>
      <patternFill patternType="solid">
        <fgColor rgb="FFCCFFCC"/>
        <bgColor indexed="64"/>
      </patternFill>
    </fill>
    <fill>
      <patternFill patternType="solid">
        <fgColor rgb="FFFFE5E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A0FEE1"/>
        <bgColor indexed="64"/>
      </patternFill>
    </fill>
    <fill>
      <patternFill patternType="solid">
        <fgColor rgb="FFC00000"/>
        <bgColor indexed="64"/>
      </patternFill>
    </fill>
    <fill>
      <patternFill patternType="solid">
        <fgColor theme="5" tint="0.39997558519241921"/>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1B0EE"/>
        <bgColor indexed="64"/>
      </patternFill>
    </fill>
    <fill>
      <patternFill patternType="solid">
        <fgColor rgb="FFF6E6FA"/>
        <bgColor indexed="64"/>
      </patternFill>
    </fill>
    <fill>
      <patternFill patternType="solid">
        <fgColor rgb="FFC00000"/>
        <bgColor rgb="FF000000"/>
      </patternFill>
    </fill>
    <fill>
      <patternFill patternType="solid">
        <fgColor theme="0" tint="-0.249977111117893"/>
        <bgColor indexed="64"/>
      </patternFill>
    </fill>
    <fill>
      <patternFill patternType="solid">
        <fgColor theme="1" tint="0.499984740745262"/>
        <bgColor indexed="64"/>
      </patternFill>
    </fill>
    <fill>
      <patternFill patternType="solid">
        <fgColor rgb="FFFF0000"/>
        <bgColor indexed="64"/>
      </patternFill>
    </fill>
    <fill>
      <patternFill patternType="solid">
        <fgColor theme="2"/>
        <bgColor indexed="64"/>
      </patternFill>
    </fill>
    <fill>
      <patternFill patternType="solid">
        <fgColor rgb="FFE9F4D6"/>
        <bgColor indexed="64"/>
      </patternFill>
    </fill>
    <fill>
      <patternFill patternType="solid">
        <fgColor rgb="FFCCCC00"/>
        <bgColor indexed="64"/>
      </patternFill>
    </fill>
    <fill>
      <patternFill patternType="solid">
        <fgColor theme="8" tint="0.79998168889431442"/>
        <bgColor indexed="64"/>
      </patternFill>
    </fill>
    <fill>
      <patternFill patternType="solid">
        <fgColor rgb="FFDAC7C4"/>
        <bgColor indexed="64"/>
      </patternFill>
    </fill>
    <fill>
      <patternFill patternType="solid">
        <fgColor rgb="FF66FF33"/>
        <bgColor indexed="64"/>
      </patternFill>
    </fill>
    <fill>
      <patternFill patternType="solid">
        <fgColor rgb="FFFF7575"/>
        <bgColor indexed="64"/>
      </patternFill>
    </fill>
    <fill>
      <patternFill patternType="solid">
        <fgColor rgb="FFAAC6F4"/>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F6FCD0"/>
        <bgColor indexed="64"/>
      </patternFill>
    </fill>
    <fill>
      <patternFill patternType="solid">
        <fgColor rgb="FF00B0F0"/>
        <bgColor indexed="64"/>
      </patternFill>
    </fill>
    <fill>
      <patternFill patternType="solid">
        <fgColor rgb="FF06F896"/>
        <bgColor indexed="64"/>
      </patternFill>
    </fill>
    <fill>
      <patternFill patternType="solid">
        <fgColor rgb="FFCCFF66"/>
        <bgColor indexed="64"/>
      </patternFill>
    </fill>
    <fill>
      <patternFill patternType="solid">
        <fgColor rgb="FFFFFFCC"/>
        <bgColor indexed="64"/>
      </patternFill>
    </fill>
    <fill>
      <patternFill patternType="solid">
        <fgColor rgb="FF99CC00"/>
        <bgColor indexed="64"/>
      </patternFill>
    </fill>
    <fill>
      <patternFill patternType="solid">
        <fgColor theme="6" tint="0.59999389629810485"/>
        <bgColor indexed="64"/>
      </patternFill>
    </fill>
    <fill>
      <patternFill patternType="solid">
        <fgColor rgb="FF71FFB1"/>
        <bgColor indexed="64"/>
      </patternFill>
    </fill>
    <fill>
      <patternFill patternType="solid">
        <fgColor rgb="FFEAF4E4"/>
        <bgColor indexed="64"/>
      </patternFill>
    </fill>
    <fill>
      <patternFill patternType="solid">
        <fgColor rgb="FF66CCFF"/>
        <bgColor indexed="64"/>
      </patternFill>
    </fill>
    <fill>
      <patternFill patternType="solid">
        <fgColor rgb="FFE1F5FF"/>
        <bgColor indexed="64"/>
      </patternFill>
    </fill>
    <fill>
      <patternFill patternType="solid">
        <fgColor rgb="FF99FFCC"/>
        <bgColor indexed="64"/>
      </patternFill>
    </fill>
    <fill>
      <patternFill patternType="solid">
        <fgColor rgb="FFFF8B8B"/>
        <bgColor indexed="64"/>
      </patternFill>
    </fill>
    <fill>
      <patternFill patternType="solid">
        <fgColor rgb="FFFFCC99"/>
        <bgColor indexed="64"/>
      </patternFill>
    </fill>
    <fill>
      <patternFill patternType="solid">
        <fgColor rgb="FFF5F57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42">
    <xf numFmtId="0" fontId="0" fillId="0" borderId="0"/>
    <xf numFmtId="0" fontId="85" fillId="0" borderId="0" applyNumberFormat="0" applyFill="0" applyBorder="0" applyAlignment="0" applyProtection="0"/>
    <xf numFmtId="9" fontId="91" fillId="0" borderId="0" applyFont="0" applyFill="0" applyBorder="0" applyAlignment="0" applyProtection="0"/>
    <xf numFmtId="0" fontId="94" fillId="0" borderId="0" applyNumberFormat="0" applyFill="0" applyBorder="0" applyAlignment="0" applyProtection="0"/>
    <xf numFmtId="0" fontId="95" fillId="0" borderId="1" applyNumberFormat="0" applyFill="0" applyAlignment="0" applyProtection="0"/>
    <xf numFmtId="0" fontId="96" fillId="0" borderId="2" applyNumberFormat="0" applyFill="0" applyAlignment="0" applyProtection="0"/>
    <xf numFmtId="0" fontId="97" fillId="0" borderId="3" applyNumberFormat="0" applyFill="0" applyAlignment="0" applyProtection="0"/>
    <xf numFmtId="0" fontId="97" fillId="0" borderId="0" applyNumberFormat="0" applyFill="0" applyBorder="0" applyAlignment="0" applyProtection="0"/>
    <xf numFmtId="0" fontId="98" fillId="27" borderId="0" applyNumberFormat="0" applyBorder="0" applyAlignment="0" applyProtection="0"/>
    <xf numFmtId="0" fontId="99" fillId="28" borderId="0" applyNumberFormat="0" applyBorder="0" applyAlignment="0" applyProtection="0"/>
    <xf numFmtId="0" fontId="100" fillId="29" borderId="4" applyNumberFormat="0" applyAlignment="0" applyProtection="0"/>
    <xf numFmtId="0" fontId="101" fillId="30" borderId="5" applyNumberFormat="0" applyAlignment="0" applyProtection="0"/>
    <xf numFmtId="0" fontId="102" fillId="30" borderId="4" applyNumberFormat="0" applyAlignment="0" applyProtection="0"/>
    <xf numFmtId="0" fontId="103" fillId="0" borderId="6" applyNumberFormat="0" applyFill="0" applyAlignment="0" applyProtection="0"/>
    <xf numFmtId="0" fontId="104" fillId="31" borderId="7" applyNumberFormat="0" applyAlignment="0" applyProtection="0"/>
    <xf numFmtId="0" fontId="105" fillId="0" borderId="0" applyNumberFormat="0" applyFill="0" applyBorder="0" applyAlignment="0" applyProtection="0"/>
    <xf numFmtId="0" fontId="106" fillId="0" borderId="0" applyNumberFormat="0" applyFill="0" applyBorder="0" applyAlignment="0" applyProtection="0"/>
    <xf numFmtId="0" fontId="107" fillId="0" borderId="9" applyNumberFormat="0" applyFill="0" applyAlignment="0" applyProtection="0"/>
    <xf numFmtId="0" fontId="108" fillId="33" borderId="0" applyNumberFormat="0" applyBorder="0" applyAlignment="0" applyProtection="0"/>
    <xf numFmtId="0" fontId="83" fillId="34" borderId="0" applyNumberFormat="0" applyBorder="0" applyAlignment="0" applyProtection="0"/>
    <xf numFmtId="0" fontId="83" fillId="35" borderId="0" applyNumberFormat="0" applyBorder="0" applyAlignment="0" applyProtection="0"/>
    <xf numFmtId="0" fontId="83" fillId="36" borderId="0" applyNumberFormat="0" applyBorder="0" applyAlignment="0" applyProtection="0"/>
    <xf numFmtId="0" fontId="108" fillId="37" borderId="0" applyNumberFormat="0" applyBorder="0" applyAlignment="0" applyProtection="0"/>
    <xf numFmtId="0" fontId="83" fillId="38" borderId="0" applyNumberFormat="0" applyBorder="0" applyAlignment="0" applyProtection="0"/>
    <xf numFmtId="0" fontId="83" fillId="39" borderId="0" applyNumberFormat="0" applyBorder="0" applyAlignment="0" applyProtection="0"/>
    <xf numFmtId="0" fontId="83" fillId="40" borderId="0" applyNumberFormat="0" applyBorder="0" applyAlignment="0" applyProtection="0"/>
    <xf numFmtId="0" fontId="108" fillId="41" borderId="0" applyNumberFormat="0" applyBorder="0" applyAlignment="0" applyProtection="0"/>
    <xf numFmtId="0" fontId="83" fillId="42" borderId="0" applyNumberFormat="0" applyBorder="0" applyAlignment="0" applyProtection="0"/>
    <xf numFmtId="0" fontId="83" fillId="43" borderId="0" applyNumberFormat="0" applyBorder="0" applyAlignment="0" applyProtection="0"/>
    <xf numFmtId="0" fontId="83" fillId="44" borderId="0" applyNumberFormat="0" applyBorder="0" applyAlignment="0" applyProtection="0"/>
    <xf numFmtId="0" fontId="108" fillId="45" borderId="0" applyNumberFormat="0" applyBorder="0" applyAlignment="0" applyProtection="0"/>
    <xf numFmtId="0" fontId="83" fillId="46" borderId="0" applyNumberFormat="0" applyBorder="0" applyAlignment="0" applyProtection="0"/>
    <xf numFmtId="0" fontId="83" fillId="47" borderId="0" applyNumberFormat="0" applyBorder="0" applyAlignment="0" applyProtection="0"/>
    <xf numFmtId="0" fontId="83" fillId="48" borderId="0" applyNumberFormat="0" applyBorder="0" applyAlignment="0" applyProtection="0"/>
    <xf numFmtId="0" fontId="108" fillId="49" borderId="0" applyNumberFormat="0" applyBorder="0" applyAlignment="0" applyProtection="0"/>
    <xf numFmtId="0" fontId="83" fillId="50" borderId="0" applyNumberFormat="0" applyBorder="0" applyAlignment="0" applyProtection="0"/>
    <xf numFmtId="0" fontId="83" fillId="51" borderId="0" applyNumberFormat="0" applyBorder="0" applyAlignment="0" applyProtection="0"/>
    <xf numFmtId="0" fontId="83" fillId="52" borderId="0" applyNumberFormat="0" applyBorder="0" applyAlignment="0" applyProtection="0"/>
    <xf numFmtId="0" fontId="108" fillId="53" borderId="0" applyNumberFormat="0" applyBorder="0" applyAlignment="0" applyProtection="0"/>
    <xf numFmtId="0" fontId="83" fillId="54" borderId="0" applyNumberFormat="0" applyBorder="0" applyAlignment="0" applyProtection="0"/>
    <xf numFmtId="0" fontId="83" fillId="55" borderId="0" applyNumberFormat="0" applyBorder="0" applyAlignment="0" applyProtection="0"/>
    <xf numFmtId="0" fontId="83" fillId="56" borderId="0" applyNumberFormat="0" applyBorder="0" applyAlignment="0" applyProtection="0"/>
    <xf numFmtId="0" fontId="83" fillId="0" borderId="0"/>
    <xf numFmtId="0" fontId="109" fillId="4" borderId="0" applyNumberFormat="0" applyBorder="0" applyAlignment="0" applyProtection="0"/>
    <xf numFmtId="0" fontId="83" fillId="32" borderId="8" applyNumberFormat="0" applyFont="0" applyAlignment="0" applyProtection="0"/>
    <xf numFmtId="0" fontId="111" fillId="4" borderId="0" applyNumberFormat="0" applyBorder="0" applyAlignment="0" applyProtection="0"/>
    <xf numFmtId="0" fontId="54" fillId="0" borderId="0"/>
    <xf numFmtId="0" fontId="112" fillId="27" borderId="0" applyNumberFormat="0" applyBorder="0" applyAlignment="0" applyProtection="0"/>
    <xf numFmtId="0" fontId="113" fillId="28" borderId="0" applyNumberFormat="0" applyBorder="0" applyAlignment="0" applyProtection="0"/>
    <xf numFmtId="0" fontId="114" fillId="29" borderId="4" applyNumberFormat="0" applyAlignment="0" applyProtection="0"/>
    <xf numFmtId="0" fontId="115" fillId="30" borderId="5" applyNumberFormat="0" applyAlignment="0" applyProtection="0"/>
    <xf numFmtId="0" fontId="116" fillId="30" borderId="4" applyNumberFormat="0" applyAlignment="0" applyProtection="0"/>
    <xf numFmtId="0" fontId="117" fillId="0" borderId="6" applyNumberFormat="0" applyFill="0" applyAlignment="0" applyProtection="0"/>
    <xf numFmtId="0" fontId="118" fillId="31" borderId="7" applyNumberFormat="0" applyAlignment="0" applyProtection="0"/>
    <xf numFmtId="0" fontId="119" fillId="0" borderId="0" applyNumberFormat="0" applyFill="0" applyBorder="0" applyAlignment="0" applyProtection="0"/>
    <xf numFmtId="0" fontId="54" fillId="32" borderId="8" applyNumberFormat="0" applyFont="0" applyAlignment="0" applyProtection="0"/>
    <xf numFmtId="0" fontId="120" fillId="0" borderId="0" applyNumberFormat="0" applyFill="0" applyBorder="0" applyAlignment="0" applyProtection="0"/>
    <xf numFmtId="0" fontId="121" fillId="0" borderId="9" applyNumberFormat="0" applyFill="0" applyAlignment="0" applyProtection="0"/>
    <xf numFmtId="0" fontId="122"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4" fillId="36" borderId="0" applyNumberFormat="0" applyBorder="0" applyAlignment="0" applyProtection="0"/>
    <xf numFmtId="0" fontId="122"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54" fillId="40" borderId="0" applyNumberFormat="0" applyBorder="0" applyAlignment="0" applyProtection="0"/>
    <xf numFmtId="0" fontId="122"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54" fillId="44" borderId="0" applyNumberFormat="0" applyBorder="0" applyAlignment="0" applyProtection="0"/>
    <xf numFmtId="0" fontId="122"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54" fillId="48" borderId="0" applyNumberFormat="0" applyBorder="0" applyAlignment="0" applyProtection="0"/>
    <xf numFmtId="0" fontId="122"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54" fillId="52" borderId="0" applyNumberFormat="0" applyBorder="0" applyAlignment="0" applyProtection="0"/>
    <xf numFmtId="0" fontId="122" fillId="53"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52" fillId="0" borderId="0"/>
    <xf numFmtId="0" fontId="52" fillId="32" borderId="8" applyNumberFormat="0" applyFont="0" applyAlignment="0" applyProtection="0"/>
    <xf numFmtId="0" fontId="52" fillId="34" borderId="0" applyNumberFormat="0" applyBorder="0" applyAlignment="0" applyProtection="0"/>
    <xf numFmtId="0" fontId="52" fillId="35" borderId="0" applyNumberFormat="0" applyBorder="0" applyAlignment="0" applyProtection="0"/>
    <xf numFmtId="0" fontId="52" fillId="36" borderId="0" applyNumberFormat="0" applyBorder="0" applyAlignment="0" applyProtection="0"/>
    <xf numFmtId="0" fontId="52" fillId="38" borderId="0" applyNumberFormat="0" applyBorder="0" applyAlignment="0" applyProtection="0"/>
    <xf numFmtId="0" fontId="52" fillId="39" borderId="0" applyNumberFormat="0" applyBorder="0" applyAlignment="0" applyProtection="0"/>
    <xf numFmtId="0" fontId="52" fillId="40" borderId="0" applyNumberFormat="0" applyBorder="0" applyAlignment="0" applyProtection="0"/>
    <xf numFmtId="0" fontId="52" fillId="42" borderId="0" applyNumberFormat="0" applyBorder="0" applyAlignment="0" applyProtection="0"/>
    <xf numFmtId="0" fontId="52" fillId="43" borderId="0" applyNumberFormat="0" applyBorder="0" applyAlignment="0" applyProtection="0"/>
    <xf numFmtId="0" fontId="52" fillId="44" borderId="0" applyNumberFormat="0" applyBorder="0" applyAlignment="0" applyProtection="0"/>
    <xf numFmtId="0" fontId="52" fillId="46" borderId="0" applyNumberFormat="0" applyBorder="0" applyAlignment="0" applyProtection="0"/>
    <xf numFmtId="0" fontId="52" fillId="47" borderId="0" applyNumberFormat="0" applyBorder="0" applyAlignment="0" applyProtection="0"/>
    <xf numFmtId="0" fontId="52" fillId="48"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52" borderId="0" applyNumberFormat="0" applyBorder="0" applyAlignment="0" applyProtection="0"/>
    <xf numFmtId="0" fontId="52" fillId="54" borderId="0" applyNumberFormat="0" applyBorder="0" applyAlignment="0" applyProtection="0"/>
    <xf numFmtId="0" fontId="52" fillId="55" borderId="0" applyNumberFormat="0" applyBorder="0" applyAlignment="0" applyProtection="0"/>
    <xf numFmtId="0" fontId="52" fillId="56" borderId="0" applyNumberFormat="0" applyBorder="0" applyAlignment="0" applyProtection="0"/>
    <xf numFmtId="0" fontId="45" fillId="0" borderId="0"/>
    <xf numFmtId="0" fontId="45" fillId="32" borderId="8" applyNumberFormat="0" applyFont="0" applyAlignment="0" applyProtection="0"/>
    <xf numFmtId="0" fontId="45" fillId="34"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4" borderId="0" applyNumberFormat="0" applyBorder="0" applyAlignment="0" applyProtection="0"/>
    <xf numFmtId="0" fontId="45" fillId="55" borderId="0" applyNumberFormat="0" applyBorder="0" applyAlignment="0" applyProtection="0"/>
    <xf numFmtId="0" fontId="45" fillId="56" borderId="0" applyNumberFormat="0" applyBorder="0" applyAlignment="0" applyProtection="0"/>
    <xf numFmtId="0" fontId="15" fillId="0" borderId="0"/>
    <xf numFmtId="0" fontId="15" fillId="32" borderId="8" applyNumberFormat="0" applyFont="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cellStyleXfs>
  <cellXfs count="445">
    <xf numFmtId="0" fontId="0" fillId="0" borderId="0" xfId="0"/>
    <xf numFmtId="14" fontId="0" fillId="0" borderId="0" xfId="0" applyNumberFormat="1"/>
    <xf numFmtId="0" fontId="0" fillId="2" borderId="0" xfId="0" applyFill="1"/>
    <xf numFmtId="2" fontId="0" fillId="0" borderId="0" xfId="0" applyNumberFormat="1"/>
    <xf numFmtId="0" fontId="84" fillId="0" borderId="0" xfId="0" applyFont="1"/>
    <xf numFmtId="0" fontId="85" fillId="0" borderId="0" xfId="1"/>
    <xf numFmtId="2" fontId="0" fillId="2" borderId="0" xfId="0" applyNumberFormat="1" applyFill="1"/>
    <xf numFmtId="1" fontId="0" fillId="0" borderId="0" xfId="0" applyNumberFormat="1"/>
    <xf numFmtId="15" fontId="86" fillId="0" borderId="0" xfId="0" applyNumberFormat="1" applyFont="1"/>
    <xf numFmtId="10" fontId="0" fillId="0" borderId="0" xfId="0" applyNumberFormat="1"/>
    <xf numFmtId="0" fontId="0" fillId="5" borderId="0" xfId="0" applyFill="1"/>
    <xf numFmtId="9" fontId="0" fillId="0" borderId="0" xfId="0" applyNumberFormat="1"/>
    <xf numFmtId="14" fontId="0" fillId="0" borderId="0" xfId="0" applyNumberFormat="1" applyAlignment="1">
      <alignment horizontal="center"/>
    </xf>
    <xf numFmtId="14" fontId="0" fillId="6" borderId="0" xfId="0" applyNumberFormat="1" applyFill="1"/>
    <xf numFmtId="14" fontId="0" fillId="6" borderId="0" xfId="0" applyNumberFormat="1" applyFill="1" applyAlignment="1">
      <alignment horizontal="center"/>
    </xf>
    <xf numFmtId="0" fontId="0" fillId="6" borderId="0" xfId="0" applyFill="1"/>
    <xf numFmtId="14" fontId="0" fillId="5" borderId="0" xfId="0" applyNumberFormat="1" applyFill="1"/>
    <xf numFmtId="0" fontId="0" fillId="2" borderId="0" xfId="0" applyFill="1" applyAlignment="1">
      <alignment horizontal="left" vertical="center"/>
    </xf>
    <xf numFmtId="49" fontId="0" fillId="6" borderId="0" xfId="0" applyNumberFormat="1" applyFill="1"/>
    <xf numFmtId="14" fontId="0" fillId="2" borderId="0" xfId="0" applyNumberFormat="1" applyFill="1"/>
    <xf numFmtId="0" fontId="85" fillId="2" borderId="0" xfId="1" applyFill="1"/>
    <xf numFmtId="14" fontId="89" fillId="2" borderId="0" xfId="1" applyNumberFormat="1" applyFont="1" applyFill="1" applyAlignment="1">
      <alignment horizontal="center"/>
    </xf>
    <xf numFmtId="14" fontId="0" fillId="2" borderId="0" xfId="0" applyNumberFormat="1" applyFill="1" applyAlignment="1">
      <alignment horizontal="center" vertical="center"/>
    </xf>
    <xf numFmtId="1" fontId="0" fillId="2" borderId="0" xfId="0" applyNumberFormat="1" applyFill="1" applyAlignment="1">
      <alignment horizontal="center" vertical="center"/>
    </xf>
    <xf numFmtId="14" fontId="89" fillId="2" borderId="0" xfId="1" applyNumberFormat="1" applyFont="1" applyFill="1" applyAlignment="1">
      <alignment horizontal="left" vertical="center"/>
    </xf>
    <xf numFmtId="10" fontId="0" fillId="2" borderId="0" xfId="0" applyNumberFormat="1" applyFill="1"/>
    <xf numFmtId="14" fontId="86" fillId="0" borderId="0" xfId="0" applyNumberFormat="1" applyFont="1"/>
    <xf numFmtId="0" fontId="0" fillId="7" borderId="0" xfId="0" applyFill="1"/>
    <xf numFmtId="16" fontId="0" fillId="0" borderId="0" xfId="0" applyNumberFormat="1"/>
    <xf numFmtId="14" fontId="0" fillId="7" borderId="0" xfId="0" applyNumberFormat="1" applyFill="1"/>
    <xf numFmtId="49" fontId="0" fillId="0" borderId="0" xfId="0" applyNumberFormat="1"/>
    <xf numFmtId="14" fontId="0" fillId="6" borderId="0" xfId="0" applyNumberFormat="1" applyFill="1" applyAlignment="1">
      <alignment horizontal="center" vertical="center"/>
    </xf>
    <xf numFmtId="1" fontId="0" fillId="6" borderId="0" xfId="0" applyNumberFormat="1" applyFill="1" applyAlignment="1">
      <alignment horizontal="center" vertical="center"/>
    </xf>
    <xf numFmtId="0" fontId="0" fillId="11" borderId="0" xfId="0" applyFill="1"/>
    <xf numFmtId="49" fontId="0" fillId="5" borderId="0" xfId="0" applyNumberFormat="1" applyFill="1"/>
    <xf numFmtId="0" fontId="89" fillId="5" borderId="0" xfId="0" applyFont="1" applyFill="1"/>
    <xf numFmtId="49" fontId="89" fillId="5" borderId="0" xfId="0" applyNumberFormat="1" applyFont="1" applyFill="1"/>
    <xf numFmtId="0" fontId="89" fillId="0" borderId="0" xfId="0" applyFont="1"/>
    <xf numFmtId="49" fontId="89" fillId="0" borderId="0" xfId="0" applyNumberFormat="1" applyFont="1"/>
    <xf numFmtId="1" fontId="0" fillId="2" borderId="0" xfId="0" applyNumberFormat="1" applyFill="1"/>
    <xf numFmtId="9" fontId="0" fillId="5" borderId="0" xfId="0" applyNumberFormat="1" applyFill="1"/>
    <xf numFmtId="9" fontId="0" fillId="11" borderId="0" xfId="0" applyNumberFormat="1" applyFill="1"/>
    <xf numFmtId="1" fontId="0" fillId="7" borderId="0" xfId="0" applyNumberFormat="1" applyFill="1"/>
    <xf numFmtId="1" fontId="0" fillId="5" borderId="0" xfId="0" applyNumberFormat="1" applyFill="1"/>
    <xf numFmtId="1" fontId="0" fillId="11" borderId="0" xfId="0" applyNumberFormat="1" applyFill="1"/>
    <xf numFmtId="0" fontId="0" fillId="12" borderId="0" xfId="0" applyFill="1"/>
    <xf numFmtId="10" fontId="0" fillId="7" borderId="0" xfId="0" applyNumberFormat="1" applyFill="1"/>
    <xf numFmtId="1" fontId="0" fillId="23" borderId="0" xfId="0" applyNumberFormat="1" applyFill="1"/>
    <xf numFmtId="10" fontId="0" fillId="23" borderId="0" xfId="0" applyNumberFormat="1" applyFill="1"/>
    <xf numFmtId="0" fontId="0" fillId="23" borderId="0" xfId="0" applyFill="1"/>
    <xf numFmtId="14" fontId="0" fillId="11" borderId="0" xfId="0" applyNumberFormat="1" applyFill="1"/>
    <xf numFmtId="2" fontId="0" fillId="7" borderId="0" xfId="0" applyNumberFormat="1" applyFill="1"/>
    <xf numFmtId="2" fontId="0" fillId="23" borderId="0" xfId="0" applyNumberFormat="1" applyFill="1"/>
    <xf numFmtId="2" fontId="0" fillId="25" borderId="0" xfId="0" applyNumberFormat="1" applyFill="1"/>
    <xf numFmtId="0" fontId="92" fillId="0" borderId="0" xfId="0" applyFont="1"/>
    <xf numFmtId="14" fontId="93" fillId="11" borderId="0" xfId="0" applyNumberFormat="1" applyFont="1" applyFill="1"/>
    <xf numFmtId="0" fontId="93" fillId="11" borderId="0" xfId="0" applyFont="1" applyFill="1"/>
    <xf numFmtId="0" fontId="93" fillId="2" borderId="0" xfId="0" applyFont="1" applyFill="1"/>
    <xf numFmtId="0" fontId="93" fillId="25" borderId="0" xfId="0" applyFont="1" applyFill="1"/>
    <xf numFmtId="0" fontId="93" fillId="0" borderId="0" xfId="0" applyFont="1"/>
    <xf numFmtId="0" fontId="93" fillId="7" borderId="0" xfId="0" applyFont="1" applyFill="1"/>
    <xf numFmtId="14" fontId="93" fillId="0" borderId="0" xfId="0" applyNumberFormat="1" applyFont="1"/>
    <xf numFmtId="0" fontId="93" fillId="13" borderId="0" xfId="0" applyFont="1" applyFill="1"/>
    <xf numFmtId="0" fontId="93" fillId="16" borderId="0" xfId="0" applyFont="1" applyFill="1" applyAlignment="1">
      <alignment wrapText="1"/>
    </xf>
    <xf numFmtId="0" fontId="93" fillId="14" borderId="0" xfId="0" applyFont="1" applyFill="1" applyAlignment="1">
      <alignment wrapText="1"/>
    </xf>
    <xf numFmtId="0" fontId="93" fillId="17" borderId="0" xfId="0" applyFont="1" applyFill="1" applyAlignment="1">
      <alignment wrapText="1"/>
    </xf>
    <xf numFmtId="1" fontId="93" fillId="2" borderId="0" xfId="0" applyNumberFormat="1" applyFont="1" applyFill="1" applyAlignment="1">
      <alignment wrapText="1"/>
    </xf>
    <xf numFmtId="0" fontId="93" fillId="0" borderId="0" xfId="0" applyFont="1" applyAlignment="1">
      <alignment wrapText="1"/>
    </xf>
    <xf numFmtId="0" fontId="93" fillId="17" borderId="0" xfId="0" applyFont="1" applyFill="1"/>
    <xf numFmtId="1" fontId="93" fillId="17" borderId="0" xfId="2" applyNumberFormat="1" applyFont="1" applyFill="1" applyAlignment="1">
      <alignment wrapText="1"/>
    </xf>
    <xf numFmtId="1" fontId="93" fillId="17" borderId="0" xfId="0" applyNumberFormat="1" applyFont="1" applyFill="1" applyAlignment="1">
      <alignment wrapText="1"/>
    </xf>
    <xf numFmtId="0" fontId="93" fillId="9" borderId="0" xfId="0" applyFont="1" applyFill="1"/>
    <xf numFmtId="1" fontId="93" fillId="9" borderId="0" xfId="0" applyNumberFormat="1" applyFont="1" applyFill="1" applyAlignment="1">
      <alignment wrapText="1"/>
    </xf>
    <xf numFmtId="1" fontId="93" fillId="9" borderId="0" xfId="2" applyNumberFormat="1" applyFont="1" applyFill="1" applyAlignment="1">
      <alignment wrapText="1"/>
    </xf>
    <xf numFmtId="1" fontId="93" fillId="0" borderId="0" xfId="0" applyNumberFormat="1" applyFont="1"/>
    <xf numFmtId="0" fontId="93" fillId="9" borderId="0" xfId="0" applyFont="1" applyFill="1" applyAlignment="1">
      <alignment wrapText="1"/>
    </xf>
    <xf numFmtId="1" fontId="90" fillId="0" borderId="0" xfId="0" applyNumberFormat="1" applyFont="1"/>
    <xf numFmtId="1" fontId="93" fillId="26" borderId="0" xfId="0" applyNumberFormat="1" applyFont="1" applyFill="1" applyAlignment="1">
      <alignment wrapText="1"/>
    </xf>
    <xf numFmtId="0" fontId="82" fillId="2" borderId="0" xfId="0" applyFont="1" applyFill="1"/>
    <xf numFmtId="0" fontId="82" fillId="0" borderId="0" xfId="0" applyFont="1"/>
    <xf numFmtId="6" fontId="82" fillId="2" borderId="0" xfId="0" applyNumberFormat="1" applyFont="1" applyFill="1"/>
    <xf numFmtId="9" fontId="82" fillId="2" borderId="0" xfId="2" applyFont="1" applyFill="1"/>
    <xf numFmtId="1" fontId="82" fillId="2" borderId="0" xfId="2" applyNumberFormat="1" applyFont="1" applyFill="1"/>
    <xf numFmtId="0" fontId="82" fillId="0" borderId="0" xfId="0" applyFont="1" applyAlignment="1">
      <alignment wrapText="1"/>
    </xf>
    <xf numFmtId="6" fontId="82" fillId="0" borderId="0" xfId="0" applyNumberFormat="1" applyFont="1"/>
    <xf numFmtId="9" fontId="82" fillId="0" borderId="0" xfId="2" applyFont="1"/>
    <xf numFmtId="1" fontId="82" fillId="0" borderId="0" xfId="2" applyNumberFormat="1" applyFont="1"/>
    <xf numFmtId="9" fontId="82" fillId="0" borderId="0" xfId="2" applyFont="1" applyAlignment="1">
      <alignment wrapText="1"/>
    </xf>
    <xf numFmtId="1" fontId="93" fillId="0" borderId="0" xfId="0" applyNumberFormat="1" applyFont="1" applyAlignment="1">
      <alignment wrapText="1"/>
    </xf>
    <xf numFmtId="0" fontId="81" fillId="0" borderId="0" xfId="0" applyFont="1"/>
    <xf numFmtId="0" fontId="80" fillId="0" borderId="0" xfId="0" applyFont="1"/>
    <xf numFmtId="0" fontId="79" fillId="0" borderId="0" xfId="0" applyFont="1"/>
    <xf numFmtId="0" fontId="78" fillId="0" borderId="0" xfId="0" applyFont="1"/>
    <xf numFmtId="49" fontId="80" fillId="0" borderId="0" xfId="0" applyNumberFormat="1" applyFont="1"/>
    <xf numFmtId="49" fontId="82" fillId="0" borderId="0" xfId="0" applyNumberFormat="1" applyFont="1"/>
    <xf numFmtId="0" fontId="80" fillId="2" borderId="0" xfId="0" applyFont="1" applyFill="1"/>
    <xf numFmtId="49" fontId="80" fillId="2" borderId="0" xfId="0" applyNumberFormat="1" applyFont="1" applyFill="1"/>
    <xf numFmtId="0" fontId="77" fillId="0" borderId="0" xfId="0" applyFont="1"/>
    <xf numFmtId="0" fontId="76" fillId="0" borderId="0" xfId="0" applyFont="1"/>
    <xf numFmtId="0" fontId="75" fillId="0" borderId="0" xfId="0" applyFont="1"/>
    <xf numFmtId="0" fontId="74" fillId="0" borderId="0" xfId="0" applyFont="1"/>
    <xf numFmtId="0" fontId="73" fillId="0" borderId="0" xfId="0" applyFont="1"/>
    <xf numFmtId="0" fontId="73" fillId="13" borderId="0" xfId="0" applyFont="1" applyFill="1"/>
    <xf numFmtId="0" fontId="72" fillId="0" borderId="0" xfId="0" applyFont="1"/>
    <xf numFmtId="1" fontId="72" fillId="2" borderId="0" xfId="0" applyNumberFormat="1" applyFont="1" applyFill="1" applyAlignment="1">
      <alignment wrapText="1"/>
    </xf>
    <xf numFmtId="0" fontId="72" fillId="2" borderId="0" xfId="0" applyFont="1" applyFill="1" applyAlignment="1">
      <alignment wrapText="1"/>
    </xf>
    <xf numFmtId="0" fontId="71" fillId="0" borderId="0" xfId="0" applyFont="1"/>
    <xf numFmtId="1" fontId="80" fillId="0" borderId="0" xfId="2" applyNumberFormat="1" applyFont="1"/>
    <xf numFmtId="0" fontId="70" fillId="0" borderId="0" xfId="0" applyFont="1"/>
    <xf numFmtId="1" fontId="70" fillId="7" borderId="0" xfId="0" applyNumberFormat="1" applyFont="1" applyFill="1" applyAlignment="1">
      <alignment wrapText="1"/>
    </xf>
    <xf numFmtId="1" fontId="93" fillId="7" borderId="0" xfId="0" applyNumberFormat="1" applyFont="1" applyFill="1" applyAlignment="1">
      <alignment wrapText="1"/>
    </xf>
    <xf numFmtId="1" fontId="93" fillId="7" borderId="0" xfId="2" applyNumberFormat="1" applyFont="1" applyFill="1" applyAlignment="1">
      <alignment wrapText="1"/>
    </xf>
    <xf numFmtId="1" fontId="93" fillId="7" borderId="0" xfId="0" applyNumberFormat="1" applyFont="1" applyFill="1"/>
    <xf numFmtId="0" fontId="93" fillId="57" borderId="0" xfId="0" applyFont="1" applyFill="1"/>
    <xf numFmtId="0" fontId="70" fillId="57" borderId="0" xfId="0" applyFont="1" applyFill="1"/>
    <xf numFmtId="0" fontId="93" fillId="57" borderId="0" xfId="0" applyFont="1" applyFill="1" applyAlignment="1">
      <alignment wrapText="1"/>
    </xf>
    <xf numFmtId="0" fontId="69" fillId="0" borderId="0" xfId="0" applyFont="1"/>
    <xf numFmtId="1" fontId="68" fillId="2" borderId="0" xfId="0" applyNumberFormat="1" applyFont="1" applyFill="1" applyAlignment="1">
      <alignment wrapText="1"/>
    </xf>
    <xf numFmtId="0" fontId="67" fillId="0" borderId="0" xfId="0" applyFont="1"/>
    <xf numFmtId="0" fontId="66" fillId="25" borderId="0" xfId="0" applyFont="1" applyFill="1"/>
    <xf numFmtId="1" fontId="66" fillId="26" borderId="0" xfId="0" applyNumberFormat="1" applyFont="1" applyFill="1" applyAlignment="1">
      <alignment wrapText="1"/>
    </xf>
    <xf numFmtId="9" fontId="82" fillId="0" borderId="0" xfId="2" applyFont="1" applyFill="1"/>
    <xf numFmtId="164" fontId="93" fillId="17" borderId="0" xfId="2" applyNumberFormat="1" applyFont="1" applyFill="1" applyAlignment="1">
      <alignment wrapText="1"/>
    </xf>
    <xf numFmtId="164" fontId="93" fillId="9" borderId="0" xfId="0" applyNumberFormat="1" applyFont="1" applyFill="1" applyAlignment="1">
      <alignment wrapText="1"/>
    </xf>
    <xf numFmtId="164" fontId="93" fillId="0" borderId="0" xfId="0" applyNumberFormat="1" applyFont="1"/>
    <xf numFmtId="164" fontId="90" fillId="0" borderId="0" xfId="0" applyNumberFormat="1" applyFont="1"/>
    <xf numFmtId="0" fontId="65" fillId="0" borderId="0" xfId="0" applyFont="1"/>
    <xf numFmtId="0" fontId="64" fillId="0" borderId="0" xfId="0" applyFont="1"/>
    <xf numFmtId="0" fontId="110" fillId="59" borderId="0" xfId="0" applyFont="1" applyFill="1"/>
    <xf numFmtId="0" fontId="0" fillId="60" borderId="0" xfId="0" applyFill="1"/>
    <xf numFmtId="0" fontId="0" fillId="61" borderId="0" xfId="0" applyFill="1"/>
    <xf numFmtId="14" fontId="0" fillId="61" borderId="0" xfId="0" applyNumberFormat="1" applyFill="1"/>
    <xf numFmtId="1" fontId="0" fillId="61" borderId="0" xfId="0" applyNumberFormat="1" applyFill="1"/>
    <xf numFmtId="14" fontId="0" fillId="60" borderId="0" xfId="0" applyNumberFormat="1" applyFill="1"/>
    <xf numFmtId="0" fontId="63" fillId="2" borderId="0" xfId="0" applyFont="1" applyFill="1" applyAlignment="1">
      <alignment wrapText="1"/>
    </xf>
    <xf numFmtId="0" fontId="110" fillId="60" borderId="0" xfId="0" applyFont="1" applyFill="1"/>
    <xf numFmtId="14" fontId="80" fillId="0" borderId="0" xfId="0" applyNumberFormat="1" applyFont="1"/>
    <xf numFmtId="14" fontId="62" fillId="2" borderId="0" xfId="0" applyNumberFormat="1" applyFont="1" applyFill="1"/>
    <xf numFmtId="0" fontId="0" fillId="14" borderId="0" xfId="0" applyFill="1"/>
    <xf numFmtId="0" fontId="0" fillId="62" borderId="0" xfId="0" applyFill="1"/>
    <xf numFmtId="0" fontId="0" fillId="25" borderId="0" xfId="0" applyFill="1"/>
    <xf numFmtId="14" fontId="61" fillId="11" borderId="0" xfId="0" applyNumberFormat="1" applyFont="1" applyFill="1"/>
    <xf numFmtId="0" fontId="60" fillId="0" borderId="0" xfId="0" applyFont="1"/>
    <xf numFmtId="0" fontId="59" fillId="11" borderId="0" xfId="0" applyFont="1" applyFill="1"/>
    <xf numFmtId="1" fontId="58" fillId="2" borderId="0" xfId="0" applyNumberFormat="1" applyFont="1" applyFill="1" applyAlignment="1">
      <alignment wrapText="1"/>
    </xf>
    <xf numFmtId="0" fontId="58" fillId="2" borderId="0" xfId="0" applyFont="1" applyFill="1" applyAlignment="1">
      <alignment wrapText="1"/>
    </xf>
    <xf numFmtId="1" fontId="92" fillId="7" borderId="0" xfId="0" applyNumberFormat="1" applyFont="1" applyFill="1" applyAlignment="1">
      <alignment horizontal="left"/>
    </xf>
    <xf numFmtId="14" fontId="89" fillId="0" borderId="0" xfId="1" applyNumberFormat="1" applyFont="1" applyFill="1" applyAlignment="1">
      <alignment horizontal="left" vertical="center"/>
    </xf>
    <xf numFmtId="1" fontId="57" fillId="2" borderId="0" xfId="0" applyNumberFormat="1" applyFont="1" applyFill="1" applyAlignment="1">
      <alignment wrapText="1"/>
    </xf>
    <xf numFmtId="1" fontId="0" fillId="16" borderId="0" xfId="0" applyNumberFormat="1" applyFill="1" applyAlignment="1">
      <alignment horizontal="left"/>
    </xf>
    <xf numFmtId="0" fontId="0" fillId="16" borderId="0" xfId="0" applyFill="1"/>
    <xf numFmtId="0" fontId="56" fillId="11" borderId="0" xfId="0" applyFont="1" applyFill="1"/>
    <xf numFmtId="0" fontId="93" fillId="8" borderId="0" xfId="0" applyFont="1" applyFill="1"/>
    <xf numFmtId="167" fontId="92" fillId="0" borderId="0" xfId="0" applyNumberFormat="1" applyFont="1"/>
    <xf numFmtId="14" fontId="92" fillId="3" borderId="0" xfId="0" applyNumberFormat="1" applyFont="1" applyFill="1"/>
    <xf numFmtId="0" fontId="92" fillId="3" borderId="0" xfId="0" applyFont="1" applyFill="1"/>
    <xf numFmtId="14" fontId="92" fillId="0" borderId="0" xfId="0" applyNumberFormat="1" applyFont="1"/>
    <xf numFmtId="14" fontId="92" fillId="11" borderId="0" xfId="0" applyNumberFormat="1" applyFont="1" applyFill="1"/>
    <xf numFmtId="0" fontId="92" fillId="11" borderId="0" xfId="0" applyFont="1" applyFill="1"/>
    <xf numFmtId="0" fontId="92" fillId="7" borderId="0" xfId="0" applyFont="1" applyFill="1"/>
    <xf numFmtId="0" fontId="92" fillId="7" borderId="0" xfId="0" applyFont="1" applyFill="1" applyAlignment="1">
      <alignment horizontal="center"/>
    </xf>
    <xf numFmtId="0" fontId="92" fillId="7" borderId="0" xfId="0" applyFont="1" applyFill="1" applyAlignment="1">
      <alignment horizontal="center" vertical="center"/>
    </xf>
    <xf numFmtId="0" fontId="92" fillId="7" borderId="0" xfId="0" applyFont="1" applyFill="1" applyAlignment="1">
      <alignment horizontal="left"/>
    </xf>
    <xf numFmtId="14" fontId="92" fillId="0" borderId="0" xfId="0" applyNumberFormat="1" applyFont="1" applyAlignment="1">
      <alignment horizontal="center"/>
    </xf>
    <xf numFmtId="0" fontId="92" fillId="0" borderId="0" xfId="0" applyFont="1" applyAlignment="1">
      <alignment horizontal="center"/>
    </xf>
    <xf numFmtId="0" fontId="92" fillId="0" borderId="0" xfId="0" applyFont="1" applyAlignment="1">
      <alignment horizontal="center" vertical="center"/>
    </xf>
    <xf numFmtId="10" fontId="92" fillId="0" borderId="0" xfId="0" applyNumberFormat="1" applyFont="1" applyAlignment="1">
      <alignment horizontal="center"/>
    </xf>
    <xf numFmtId="14" fontId="92" fillId="12" borderId="0" xfId="0" applyNumberFormat="1" applyFont="1" applyFill="1" applyAlignment="1">
      <alignment horizontal="center"/>
    </xf>
    <xf numFmtId="0" fontId="92" fillId="0" borderId="0" xfId="0" applyFont="1" applyAlignment="1">
      <alignment horizontal="left"/>
    </xf>
    <xf numFmtId="14" fontId="92" fillId="7" borderId="0" xfId="0" applyNumberFormat="1" applyFont="1" applyFill="1" applyAlignment="1">
      <alignment horizontal="center"/>
    </xf>
    <xf numFmtId="14" fontId="92" fillId="7" borderId="0" xfId="0" applyNumberFormat="1" applyFont="1" applyFill="1"/>
    <xf numFmtId="0" fontId="92" fillId="63" borderId="0" xfId="0" applyFont="1" applyFill="1" applyAlignment="1">
      <alignment horizontal="center"/>
    </xf>
    <xf numFmtId="10" fontId="92" fillId="63" borderId="0" xfId="0" applyNumberFormat="1" applyFont="1" applyFill="1" applyAlignment="1">
      <alignment horizontal="center"/>
    </xf>
    <xf numFmtId="166" fontId="92" fillId="7" borderId="0" xfId="0" applyNumberFormat="1" applyFont="1" applyFill="1"/>
    <xf numFmtId="0" fontId="92" fillId="15" borderId="0" xfId="0" applyFont="1" applyFill="1"/>
    <xf numFmtId="166" fontId="92" fillId="9" borderId="0" xfId="0" applyNumberFormat="1" applyFont="1" applyFill="1"/>
    <xf numFmtId="22" fontId="92" fillId="0" borderId="0" xfId="0" applyNumberFormat="1" applyFont="1"/>
    <xf numFmtId="1" fontId="92" fillId="0" borderId="0" xfId="0" applyNumberFormat="1" applyFont="1" applyAlignment="1">
      <alignment horizontal="center"/>
    </xf>
    <xf numFmtId="167" fontId="92" fillId="7" borderId="0" xfId="0" applyNumberFormat="1" applyFont="1" applyFill="1" applyAlignment="1">
      <alignment horizontal="center"/>
    </xf>
    <xf numFmtId="167" fontId="92" fillId="0" borderId="0" xfId="0" applyNumberFormat="1" applyFont="1" applyAlignment="1">
      <alignment horizontal="center" vertical="center"/>
    </xf>
    <xf numFmtId="167" fontId="92" fillId="0" borderId="0" xfId="0" applyNumberFormat="1" applyFont="1" applyAlignment="1">
      <alignment horizontal="center"/>
    </xf>
    <xf numFmtId="14" fontId="92" fillId="0" borderId="0" xfId="0" applyNumberFormat="1" applyFont="1" applyAlignment="1">
      <alignment horizontal="left"/>
    </xf>
    <xf numFmtId="0" fontId="92" fillId="7" borderId="0" xfId="0" applyFont="1" applyFill="1" applyAlignment="1">
      <alignment horizontal="left" vertical="center"/>
    </xf>
    <xf numFmtId="0" fontId="92" fillId="63" borderId="0" xfId="0" applyFont="1" applyFill="1" applyAlignment="1">
      <alignment horizontal="left"/>
    </xf>
    <xf numFmtId="0" fontId="92" fillId="0" borderId="0" xfId="0" applyFont="1" applyAlignment="1">
      <alignment horizontal="left" vertical="center"/>
    </xf>
    <xf numFmtId="0" fontId="92" fillId="7" borderId="0" xfId="0" applyFont="1" applyFill="1" applyAlignment="1">
      <alignment vertical="center"/>
    </xf>
    <xf numFmtId="0" fontId="92" fillId="0" borderId="0" xfId="0" applyFont="1" applyAlignment="1">
      <alignment vertical="center"/>
    </xf>
    <xf numFmtId="0" fontId="92" fillId="63" borderId="0" xfId="0" applyFont="1" applyFill="1" applyAlignment="1">
      <alignment vertical="center"/>
    </xf>
    <xf numFmtId="167" fontId="93" fillId="0" borderId="0" xfId="0" applyNumberFormat="1" applyFont="1"/>
    <xf numFmtId="9" fontId="80" fillId="2" borderId="0" xfId="2" applyFont="1" applyFill="1"/>
    <xf numFmtId="0" fontId="80" fillId="62" borderId="0" xfId="0" applyFont="1" applyFill="1" applyAlignment="1">
      <alignment horizontal="left"/>
    </xf>
    <xf numFmtId="14" fontId="53" fillId="11" borderId="0" xfId="0" applyNumberFormat="1" applyFont="1" applyFill="1"/>
    <xf numFmtId="0" fontId="53" fillId="11" borderId="0" xfId="0" applyFont="1" applyFill="1"/>
    <xf numFmtId="14" fontId="53" fillId="8" borderId="0" xfId="0" applyNumberFormat="1" applyFont="1" applyFill="1"/>
    <xf numFmtId="0" fontId="53" fillId="25" borderId="0" xfId="0" applyFont="1" applyFill="1"/>
    <xf numFmtId="0" fontId="53" fillId="2" borderId="0" xfId="0" applyFont="1" applyFill="1"/>
    <xf numFmtId="0" fontId="53" fillId="0" borderId="0" xfId="0" applyFont="1"/>
    <xf numFmtId="0" fontId="53" fillId="7" borderId="0" xfId="0" applyFont="1" applyFill="1"/>
    <xf numFmtId="14" fontId="53" fillId="0" borderId="0" xfId="0" applyNumberFormat="1" applyFont="1"/>
    <xf numFmtId="14" fontId="80" fillId="9" borderId="0" xfId="0" applyNumberFormat="1" applyFont="1" applyFill="1" applyAlignment="1">
      <alignment horizontal="left"/>
    </xf>
    <xf numFmtId="1" fontId="80" fillId="12" borderId="0" xfId="0" applyNumberFormat="1" applyFont="1" applyFill="1" applyAlignment="1">
      <alignment horizontal="left"/>
    </xf>
    <xf numFmtId="1" fontId="80" fillId="5" borderId="0" xfId="0" applyNumberFormat="1" applyFont="1" applyFill="1" applyAlignment="1">
      <alignment horizontal="left"/>
    </xf>
    <xf numFmtId="1" fontId="80" fillId="7" borderId="0" xfId="0" applyNumberFormat="1" applyFont="1" applyFill="1" applyAlignment="1">
      <alignment horizontal="left"/>
    </xf>
    <xf numFmtId="10" fontId="80" fillId="24" borderId="0" xfId="0" applyNumberFormat="1" applyFont="1" applyFill="1" applyAlignment="1">
      <alignment horizontal="left"/>
    </xf>
    <xf numFmtId="1" fontId="80" fillId="24" borderId="0" xfId="0" applyNumberFormat="1" applyFont="1" applyFill="1" applyAlignment="1">
      <alignment horizontal="left"/>
    </xf>
    <xf numFmtId="0" fontId="80" fillId="7" borderId="0" xfId="0" applyFont="1" applyFill="1" applyAlignment="1">
      <alignment horizontal="left"/>
    </xf>
    <xf numFmtId="0" fontId="80" fillId="68" borderId="0" xfId="0" applyFont="1" applyFill="1" applyAlignment="1">
      <alignment horizontal="left"/>
    </xf>
    <xf numFmtId="1" fontId="80" fillId="16" borderId="0" xfId="0" applyNumberFormat="1" applyFont="1" applyFill="1" applyAlignment="1">
      <alignment horizontal="left"/>
    </xf>
    <xf numFmtId="1" fontId="80" fillId="65" borderId="0" xfId="0" applyNumberFormat="1" applyFont="1" applyFill="1" applyAlignment="1">
      <alignment horizontal="left"/>
    </xf>
    <xf numFmtId="1" fontId="80" fillId="57" borderId="0" xfId="0" applyNumberFormat="1" applyFont="1" applyFill="1" applyAlignment="1">
      <alignment horizontal="left"/>
    </xf>
    <xf numFmtId="1" fontId="80" fillId="18" borderId="0" xfId="0" applyNumberFormat="1" applyFont="1" applyFill="1" applyAlignment="1">
      <alignment horizontal="left"/>
    </xf>
    <xf numFmtId="2" fontId="80" fillId="7" borderId="0" xfId="0" applyNumberFormat="1" applyFont="1" applyFill="1" applyAlignment="1">
      <alignment horizontal="left"/>
    </xf>
    <xf numFmtId="0" fontId="80" fillId="9" borderId="0" xfId="0" applyFont="1" applyFill="1" applyAlignment="1">
      <alignment horizontal="left"/>
    </xf>
    <xf numFmtId="0" fontId="80" fillId="66" borderId="0" xfId="0" applyFont="1" applyFill="1" applyAlignment="1">
      <alignment horizontal="left"/>
    </xf>
    <xf numFmtId="2" fontId="80" fillId="24" borderId="0" xfId="0" applyNumberFormat="1" applyFont="1" applyFill="1" applyAlignment="1">
      <alignment horizontal="left"/>
    </xf>
    <xf numFmtId="1" fontId="80" fillId="0" borderId="0" xfId="0" applyNumberFormat="1" applyFont="1"/>
    <xf numFmtId="10" fontId="80" fillId="0" borderId="0" xfId="0" applyNumberFormat="1" applyFont="1"/>
    <xf numFmtId="1" fontId="80" fillId="0" borderId="0" xfId="0" applyNumberFormat="1" applyFont="1" applyAlignment="1">
      <alignment horizontal="left"/>
    </xf>
    <xf numFmtId="2" fontId="80" fillId="0" borderId="0" xfId="0" applyNumberFormat="1" applyFont="1"/>
    <xf numFmtId="1" fontId="80" fillId="0" borderId="0" xfId="0" applyNumberFormat="1" applyFont="1" applyAlignment="1">
      <alignment horizontal="right"/>
    </xf>
    <xf numFmtId="0" fontId="80" fillId="2" borderId="0" xfId="0" applyFont="1" applyFill="1" applyAlignment="1">
      <alignment horizontal="left"/>
    </xf>
    <xf numFmtId="0" fontId="80" fillId="8" borderId="0" xfId="0" applyFont="1" applyFill="1" applyAlignment="1">
      <alignment horizontal="left"/>
    </xf>
    <xf numFmtId="10" fontId="80" fillId="9" borderId="0" xfId="0" applyNumberFormat="1" applyFont="1" applyFill="1" applyAlignment="1">
      <alignment horizontal="left"/>
    </xf>
    <xf numFmtId="10" fontId="80" fillId="7" borderId="0" xfId="0" applyNumberFormat="1" applyFont="1" applyFill="1" applyAlignment="1">
      <alignment horizontal="left"/>
    </xf>
    <xf numFmtId="166" fontId="80" fillId="7" borderId="0" xfId="0" applyNumberFormat="1" applyFont="1" applyFill="1" applyAlignment="1">
      <alignment horizontal="left"/>
    </xf>
    <xf numFmtId="49" fontId="80" fillId="7" borderId="0" xfId="0" applyNumberFormat="1" applyFont="1" applyFill="1" applyAlignment="1">
      <alignment horizontal="left"/>
    </xf>
    <xf numFmtId="0" fontId="80" fillId="7" borderId="0" xfId="0" applyFont="1" applyFill="1" applyAlignment="1">
      <alignment horizontal="left" vertical="center"/>
    </xf>
    <xf numFmtId="164" fontId="80" fillId="7" borderId="0" xfId="0" applyNumberFormat="1" applyFont="1" applyFill="1" applyAlignment="1">
      <alignment horizontal="left"/>
    </xf>
    <xf numFmtId="1" fontId="80" fillId="8" borderId="0" xfId="0" applyNumberFormat="1" applyFont="1" applyFill="1" applyAlignment="1">
      <alignment horizontal="left"/>
    </xf>
    <xf numFmtId="165" fontId="80" fillId="8" borderId="0" xfId="0" applyNumberFormat="1" applyFont="1" applyFill="1" applyAlignment="1">
      <alignment horizontal="left"/>
    </xf>
    <xf numFmtId="2" fontId="80" fillId="8" borderId="0" xfId="0" applyNumberFormat="1" applyFont="1" applyFill="1" applyAlignment="1">
      <alignment horizontal="left"/>
    </xf>
    <xf numFmtId="0" fontId="80" fillId="19" borderId="0" xfId="0" applyFont="1" applyFill="1" applyAlignment="1">
      <alignment horizontal="left"/>
    </xf>
    <xf numFmtId="0" fontId="80" fillId="15" borderId="0" xfId="0" applyFont="1" applyFill="1" applyAlignment="1">
      <alignment horizontal="left"/>
    </xf>
    <xf numFmtId="0" fontId="80" fillId="10" borderId="0" xfId="0" applyFont="1" applyFill="1" applyAlignment="1">
      <alignment horizontal="left"/>
    </xf>
    <xf numFmtId="0" fontId="80" fillId="3" borderId="0" xfId="0" applyFont="1" applyFill="1" applyAlignment="1">
      <alignment horizontal="left"/>
    </xf>
    <xf numFmtId="0" fontId="80" fillId="64" borderId="0" xfId="0" applyFont="1" applyFill="1" applyAlignment="1">
      <alignment horizontal="left"/>
    </xf>
    <xf numFmtId="0" fontId="80" fillId="14" borderId="0" xfId="0" applyFont="1" applyFill="1" applyAlignment="1">
      <alignment horizontal="left"/>
    </xf>
    <xf numFmtId="0" fontId="80" fillId="21" borderId="0" xfId="0" applyFont="1" applyFill="1" applyAlignment="1">
      <alignment horizontal="left"/>
    </xf>
    <xf numFmtId="0" fontId="80" fillId="20" borderId="0" xfId="0" applyFont="1" applyFill="1" applyAlignment="1">
      <alignment horizontal="left"/>
    </xf>
    <xf numFmtId="1" fontId="80" fillId="26" borderId="0" xfId="2" applyNumberFormat="1" applyFont="1" applyFill="1" applyAlignment="1">
      <alignment horizontal="left"/>
    </xf>
    <xf numFmtId="1" fontId="80" fillId="22" borderId="0" xfId="2" applyNumberFormat="1" applyFont="1" applyFill="1" applyAlignment="1">
      <alignment horizontal="left"/>
    </xf>
    <xf numFmtId="1" fontId="80" fillId="15" borderId="0" xfId="2" applyNumberFormat="1" applyFont="1" applyFill="1" applyAlignment="1">
      <alignment horizontal="left"/>
    </xf>
    <xf numFmtId="0" fontId="80" fillId="57" borderId="0" xfId="0" applyFont="1" applyFill="1" applyAlignment="1">
      <alignment horizontal="left"/>
    </xf>
    <xf numFmtId="1" fontId="80" fillId="67" borderId="0" xfId="0" applyNumberFormat="1" applyFont="1" applyFill="1" applyAlignment="1">
      <alignment horizontal="left"/>
    </xf>
    <xf numFmtId="1" fontId="80" fillId="26" borderId="0" xfId="0" applyNumberFormat="1" applyFont="1" applyFill="1" applyAlignment="1">
      <alignment horizontal="left"/>
    </xf>
    <xf numFmtId="1" fontId="80" fillId="58" borderId="0" xfId="0" applyNumberFormat="1" applyFont="1" applyFill="1" applyAlignment="1">
      <alignment horizontal="left"/>
    </xf>
    <xf numFmtId="0" fontId="80" fillId="0" borderId="0" xfId="0" applyFont="1" applyAlignment="1">
      <alignment horizontal="left"/>
    </xf>
    <xf numFmtId="166" fontId="80" fillId="0" borderId="0" xfId="0" applyNumberFormat="1" applyFont="1"/>
    <xf numFmtId="0" fontId="80" fillId="0" borderId="0" xfId="0" applyFont="1" applyAlignment="1">
      <alignment horizontal="center" vertical="center"/>
    </xf>
    <xf numFmtId="164" fontId="80" fillId="0" borderId="0" xfId="0" applyNumberFormat="1" applyFont="1"/>
    <xf numFmtId="165" fontId="80" fillId="0" borderId="0" xfId="0" applyNumberFormat="1" applyFont="1"/>
    <xf numFmtId="0" fontId="51" fillId="0" borderId="0" xfId="0" applyFont="1"/>
    <xf numFmtId="0" fontId="50" fillId="0" borderId="0" xfId="0" applyFont="1"/>
    <xf numFmtId="2" fontId="80" fillId="26" borderId="0" xfId="0" applyNumberFormat="1" applyFont="1" applyFill="1" applyAlignment="1">
      <alignment horizontal="left"/>
    </xf>
    <xf numFmtId="0" fontId="49" fillId="0" borderId="0" xfId="0" applyFont="1"/>
    <xf numFmtId="1" fontId="80" fillId="2" borderId="0" xfId="2" applyNumberFormat="1" applyFont="1" applyFill="1"/>
    <xf numFmtId="1" fontId="48" fillId="26" borderId="0" xfId="0" applyNumberFormat="1" applyFont="1" applyFill="1" applyAlignment="1">
      <alignment wrapText="1"/>
    </xf>
    <xf numFmtId="1" fontId="47" fillId="26" borderId="0" xfId="0" applyNumberFormat="1" applyFont="1" applyFill="1" applyAlignment="1">
      <alignment wrapText="1"/>
    </xf>
    <xf numFmtId="0" fontId="46" fillId="0" borderId="0" xfId="0" applyFont="1"/>
    <xf numFmtId="0" fontId="44" fillId="2" borderId="0" xfId="0" applyFont="1" applyFill="1" applyAlignment="1">
      <alignment wrapText="1"/>
    </xf>
    <xf numFmtId="0" fontId="43" fillId="0" borderId="0" xfId="0" applyFont="1"/>
    <xf numFmtId="1" fontId="42" fillId="26" borderId="0" xfId="0" applyNumberFormat="1" applyFont="1" applyFill="1" applyAlignment="1">
      <alignment wrapText="1"/>
    </xf>
    <xf numFmtId="0" fontId="41" fillId="0" borderId="0" xfId="0" applyFont="1"/>
    <xf numFmtId="1" fontId="41" fillId="2" borderId="0" xfId="0" applyNumberFormat="1" applyFont="1" applyFill="1" applyAlignment="1">
      <alignment wrapText="1"/>
    </xf>
    <xf numFmtId="1" fontId="41" fillId="0" borderId="0" xfId="0" applyNumberFormat="1" applyFont="1"/>
    <xf numFmtId="10" fontId="92" fillId="7" borderId="0" xfId="0" applyNumberFormat="1" applyFont="1" applyFill="1" applyAlignment="1">
      <alignment horizontal="left"/>
    </xf>
    <xf numFmtId="0" fontId="92" fillId="2" borderId="0" xfId="0" applyFont="1" applyFill="1"/>
    <xf numFmtId="1" fontId="40" fillId="2" borderId="0" xfId="0" applyNumberFormat="1" applyFont="1" applyFill="1" applyAlignment="1">
      <alignment wrapText="1"/>
    </xf>
    <xf numFmtId="0" fontId="92" fillId="11" borderId="0" xfId="0" applyFont="1" applyFill="1" applyAlignment="1">
      <alignment horizontal="right"/>
    </xf>
    <xf numFmtId="0" fontId="39" fillId="0" borderId="0" xfId="0" applyFont="1"/>
    <xf numFmtId="16" fontId="92" fillId="0" borderId="0" xfId="0" applyNumberFormat="1" applyFont="1"/>
    <xf numFmtId="1" fontId="38" fillId="26" borderId="0" xfId="0" applyNumberFormat="1" applyFont="1" applyFill="1" applyAlignment="1">
      <alignment wrapText="1"/>
    </xf>
    <xf numFmtId="9" fontId="82" fillId="69" borderId="0" xfId="2" applyFont="1" applyFill="1"/>
    <xf numFmtId="168" fontId="82" fillId="0" borderId="0" xfId="2" applyNumberFormat="1" applyFont="1"/>
    <xf numFmtId="0" fontId="80" fillId="0" borderId="0" xfId="0" applyFont="1" applyAlignment="1">
      <alignment wrapText="1"/>
    </xf>
    <xf numFmtId="1" fontId="80" fillId="3" borderId="0" xfId="2" applyNumberFormat="1" applyFont="1" applyFill="1" applyAlignment="1">
      <alignment horizontal="left"/>
    </xf>
    <xf numFmtId="1" fontId="37" fillId="3" borderId="0" xfId="2" applyNumberFormat="1" applyFont="1" applyFill="1" applyAlignment="1">
      <alignment horizontal="left"/>
    </xf>
    <xf numFmtId="1" fontId="37" fillId="3" borderId="0" xfId="2" applyNumberFormat="1" applyFont="1" applyFill="1" applyAlignment="1">
      <alignment horizontal="left" wrapText="1"/>
    </xf>
    <xf numFmtId="0" fontId="37" fillId="0" borderId="0" xfId="0" applyFont="1"/>
    <xf numFmtId="0" fontId="36" fillId="0" borderId="0" xfId="0" applyFont="1"/>
    <xf numFmtId="1" fontId="92" fillId="11" borderId="0" xfId="0" applyNumberFormat="1" applyFont="1" applyFill="1"/>
    <xf numFmtId="49" fontId="53" fillId="11" borderId="0" xfId="0" applyNumberFormat="1" applyFont="1" applyFill="1"/>
    <xf numFmtId="0" fontId="35" fillId="11" borderId="0" xfId="0" applyFont="1" applyFill="1"/>
    <xf numFmtId="0" fontId="35" fillId="2" borderId="0" xfId="0" applyFont="1" applyFill="1"/>
    <xf numFmtId="2" fontId="80" fillId="70" borderId="0" xfId="0" applyNumberFormat="1" applyFont="1" applyFill="1" applyAlignment="1">
      <alignment horizontal="left"/>
    </xf>
    <xf numFmtId="1" fontId="80" fillId="70" borderId="0" xfId="0" applyNumberFormat="1" applyFont="1" applyFill="1" applyAlignment="1">
      <alignment horizontal="left"/>
    </xf>
    <xf numFmtId="14" fontId="0" fillId="23" borderId="0" xfId="0" applyNumberFormat="1" applyFill="1"/>
    <xf numFmtId="14" fontId="0" fillId="12" borderId="0" xfId="0" applyNumberFormat="1" applyFill="1"/>
    <xf numFmtId="167" fontId="80" fillId="70" borderId="0" xfId="0" applyNumberFormat="1" applyFont="1" applyFill="1" applyAlignment="1">
      <alignment horizontal="left"/>
    </xf>
    <xf numFmtId="167" fontId="80" fillId="0" borderId="0" xfId="0" applyNumberFormat="1" applyFont="1"/>
    <xf numFmtId="14" fontId="92" fillId="2" borderId="0" xfId="0" applyNumberFormat="1" applyFont="1" applyFill="1"/>
    <xf numFmtId="1" fontId="92" fillId="2" borderId="0" xfId="0" applyNumberFormat="1" applyFont="1" applyFill="1"/>
    <xf numFmtId="1" fontId="92" fillId="0" borderId="0" xfId="0" applyNumberFormat="1" applyFont="1"/>
    <xf numFmtId="0" fontId="34" fillId="6" borderId="0" xfId="0" applyFont="1" applyFill="1"/>
    <xf numFmtId="166" fontId="34" fillId="6" borderId="0" xfId="0" applyNumberFormat="1" applyFont="1" applyFill="1"/>
    <xf numFmtId="14" fontId="34" fillId="6" borderId="0" xfId="0" applyNumberFormat="1" applyFont="1" applyFill="1"/>
    <xf numFmtId="1" fontId="34" fillId="6" borderId="0" xfId="0" applyNumberFormat="1" applyFont="1" applyFill="1"/>
    <xf numFmtId="14" fontId="34" fillId="0" borderId="0" xfId="0" applyNumberFormat="1" applyFont="1"/>
    <xf numFmtId="0" fontId="34" fillId="0" borderId="0" xfId="0" applyFont="1"/>
    <xf numFmtId="0" fontId="34" fillId="11" borderId="0" xfId="0" applyFont="1" applyFill="1"/>
    <xf numFmtId="14" fontId="34" fillId="11" borderId="0" xfId="0" applyNumberFormat="1" applyFont="1" applyFill="1"/>
    <xf numFmtId="0" fontId="80" fillId="71" borderId="0" xfId="0" applyFont="1" applyFill="1" applyAlignment="1">
      <alignment horizontal="left"/>
    </xf>
    <xf numFmtId="0" fontId="33" fillId="6" borderId="0" xfId="0" applyFont="1" applyFill="1"/>
    <xf numFmtId="166" fontId="33" fillId="6" borderId="0" xfId="0" applyNumberFormat="1" applyFont="1" applyFill="1"/>
    <xf numFmtId="14" fontId="33" fillId="6" borderId="0" xfId="0" applyNumberFormat="1" applyFont="1" applyFill="1"/>
    <xf numFmtId="1" fontId="33" fillId="6" borderId="0" xfId="0" applyNumberFormat="1" applyFont="1" applyFill="1"/>
    <xf numFmtId="14" fontId="33" fillId="0" borderId="0" xfId="0" applyNumberFormat="1" applyFont="1"/>
    <xf numFmtId="0" fontId="33" fillId="0" borderId="0" xfId="0" applyFont="1"/>
    <xf numFmtId="0" fontId="80" fillId="72" borderId="0" xfId="0" applyFont="1" applyFill="1" applyAlignment="1">
      <alignment horizontal="left"/>
    </xf>
    <xf numFmtId="166" fontId="92" fillId="9" borderId="0" xfId="0" applyNumberFormat="1" applyFont="1" applyFill="1" applyAlignment="1">
      <alignment horizontal="center"/>
    </xf>
    <xf numFmtId="0" fontId="33" fillId="11" borderId="0" xfId="0" applyFont="1" applyFill="1"/>
    <xf numFmtId="14" fontId="33" fillId="11" borderId="0" xfId="0" applyNumberFormat="1" applyFont="1" applyFill="1"/>
    <xf numFmtId="10" fontId="34" fillId="0" borderId="0" xfId="0" applyNumberFormat="1" applyFont="1"/>
    <xf numFmtId="3" fontId="34" fillId="0" borderId="0" xfId="0" applyNumberFormat="1" applyFont="1"/>
    <xf numFmtId="1" fontId="34" fillId="0" borderId="0" xfId="0" applyNumberFormat="1" applyFont="1"/>
    <xf numFmtId="0" fontId="32" fillId="0" borderId="0" xfId="0" applyFont="1"/>
    <xf numFmtId="0" fontId="80" fillId="73" borderId="0" xfId="0" applyFont="1" applyFill="1" applyAlignment="1">
      <alignment horizontal="left"/>
    </xf>
    <xf numFmtId="1" fontId="80" fillId="15" borderId="0" xfId="0" applyNumberFormat="1" applyFont="1" applyFill="1" applyAlignment="1">
      <alignment horizontal="left"/>
    </xf>
    <xf numFmtId="2" fontId="80" fillId="74" borderId="0" xfId="0" applyNumberFormat="1" applyFont="1" applyFill="1" applyAlignment="1">
      <alignment horizontal="left"/>
    </xf>
    <xf numFmtId="10" fontId="80" fillId="2" borderId="0" xfId="0" applyNumberFormat="1" applyFont="1" applyFill="1" applyAlignment="1">
      <alignment horizontal="left"/>
    </xf>
    <xf numFmtId="2" fontId="80" fillId="75" borderId="0" xfId="0" applyNumberFormat="1" applyFont="1" applyFill="1" applyAlignment="1">
      <alignment horizontal="left"/>
    </xf>
    <xf numFmtId="1" fontId="80" fillId="22" borderId="0" xfId="0" applyNumberFormat="1" applyFont="1" applyFill="1" applyAlignment="1">
      <alignment horizontal="left"/>
    </xf>
    <xf numFmtId="1" fontId="80" fillId="76" borderId="0" xfId="0" applyNumberFormat="1" applyFont="1" applyFill="1" applyAlignment="1">
      <alignment horizontal="left"/>
    </xf>
    <xf numFmtId="1" fontId="80" fillId="77" borderId="0" xfId="0" applyNumberFormat="1" applyFont="1" applyFill="1" applyAlignment="1">
      <alignment horizontal="left"/>
    </xf>
    <xf numFmtId="1" fontId="80" fillId="3" borderId="0" xfId="0" applyNumberFormat="1" applyFont="1" applyFill="1" applyAlignment="1">
      <alignment horizontal="left"/>
    </xf>
    <xf numFmtId="1" fontId="80" fillId="18" borderId="0" xfId="0" applyNumberFormat="1" applyFont="1" applyFill="1"/>
    <xf numFmtId="1" fontId="30" fillId="3" borderId="0" xfId="0" applyNumberFormat="1" applyFont="1" applyFill="1" applyAlignment="1">
      <alignment wrapText="1"/>
    </xf>
    <xf numFmtId="164" fontId="31" fillId="3" borderId="0" xfId="0" applyNumberFormat="1" applyFont="1" applyFill="1" applyAlignment="1">
      <alignment wrapText="1"/>
    </xf>
    <xf numFmtId="0" fontId="30" fillId="2" borderId="0" xfId="0" applyFont="1" applyFill="1" applyAlignment="1">
      <alignment wrapText="1"/>
    </xf>
    <xf numFmtId="1" fontId="80" fillId="78" borderId="0" xfId="0" applyNumberFormat="1" applyFont="1" applyFill="1" applyAlignment="1">
      <alignment horizontal="left"/>
    </xf>
    <xf numFmtId="0" fontId="29" fillId="0" borderId="0" xfId="0" applyFont="1"/>
    <xf numFmtId="2" fontId="92" fillId="3" borderId="0" xfId="0" applyNumberFormat="1" applyFont="1" applyFill="1"/>
    <xf numFmtId="2" fontId="92" fillId="11" borderId="0" xfId="0" applyNumberFormat="1" applyFont="1" applyFill="1"/>
    <xf numFmtId="2" fontId="92" fillId="0" borderId="0" xfId="0" applyNumberFormat="1" applyFont="1"/>
    <xf numFmtId="0" fontId="92" fillId="17" borderId="0" xfId="0" applyFont="1" applyFill="1" applyAlignment="1">
      <alignment horizontal="left"/>
    </xf>
    <xf numFmtId="0" fontId="92" fillId="17" borderId="0" xfId="0" applyFont="1" applyFill="1" applyAlignment="1">
      <alignment horizontal="center"/>
    </xf>
    <xf numFmtId="1" fontId="92" fillId="17" borderId="0" xfId="0" applyNumberFormat="1" applyFont="1" applyFill="1" applyAlignment="1">
      <alignment horizontal="center"/>
    </xf>
    <xf numFmtId="1" fontId="29" fillId="3" borderId="0" xfId="2" applyNumberFormat="1" applyFont="1" applyFill="1" applyAlignment="1">
      <alignment horizontal="left" wrapText="1"/>
    </xf>
    <xf numFmtId="1" fontId="28" fillId="3" borderId="0" xfId="2" applyNumberFormat="1" applyFont="1" applyFill="1" applyAlignment="1">
      <alignment horizontal="left" wrapText="1"/>
    </xf>
    <xf numFmtId="0" fontId="28" fillId="0" borderId="0" xfId="0" applyFont="1"/>
    <xf numFmtId="0" fontId="27" fillId="8" borderId="0" xfId="0" applyFont="1" applyFill="1"/>
    <xf numFmtId="2" fontId="59" fillId="11" borderId="0" xfId="0" applyNumberFormat="1" applyFont="1" applyFill="1"/>
    <xf numFmtId="2" fontId="93" fillId="11" borderId="0" xfId="0" applyNumberFormat="1" applyFont="1" applyFill="1"/>
    <xf numFmtId="2" fontId="93" fillId="0" borderId="0" xfId="0" applyNumberFormat="1" applyFont="1"/>
    <xf numFmtId="2" fontId="27" fillId="8" borderId="0" xfId="0" applyNumberFormat="1" applyFont="1" applyFill="1"/>
    <xf numFmtId="2" fontId="93" fillId="8" borderId="0" xfId="0" applyNumberFormat="1" applyFont="1" applyFill="1"/>
    <xf numFmtId="0" fontId="26" fillId="8" borderId="0" xfId="0" applyFont="1" applyFill="1"/>
    <xf numFmtId="0" fontId="26" fillId="2" borderId="0" xfId="0" applyFont="1" applyFill="1"/>
    <xf numFmtId="2" fontId="26" fillId="8" borderId="0" xfId="0" applyNumberFormat="1" applyFont="1" applyFill="1"/>
    <xf numFmtId="0" fontId="55" fillId="8" borderId="0" xfId="0" applyFont="1" applyFill="1"/>
    <xf numFmtId="14" fontId="26" fillId="11" borderId="0" xfId="0" applyNumberFormat="1" applyFont="1" applyFill="1"/>
    <xf numFmtId="0" fontId="26" fillId="0" borderId="0" xfId="0" applyFont="1"/>
    <xf numFmtId="0" fontId="26" fillId="11" borderId="0" xfId="0" applyFont="1" applyFill="1"/>
    <xf numFmtId="0" fontId="25" fillId="0" borderId="0" xfId="0" applyFont="1"/>
    <xf numFmtId="166" fontId="92" fillId="0" borderId="0" xfId="0" applyNumberFormat="1" applyFont="1"/>
    <xf numFmtId="1" fontId="80" fillId="23" borderId="0" xfId="0" applyNumberFormat="1" applyFont="1" applyFill="1" applyAlignment="1">
      <alignment horizontal="left"/>
    </xf>
    <xf numFmtId="0" fontId="24" fillId="6" borderId="0" xfId="0" applyFont="1" applyFill="1"/>
    <xf numFmtId="167" fontId="34" fillId="11" borderId="0" xfId="0" applyNumberFormat="1" applyFont="1" applyFill="1"/>
    <xf numFmtId="167" fontId="34" fillId="0" borderId="0" xfId="0" applyNumberFormat="1" applyFont="1"/>
    <xf numFmtId="2" fontId="34" fillId="11" borderId="0" xfId="0" applyNumberFormat="1" applyFont="1" applyFill="1"/>
    <xf numFmtId="2" fontId="34" fillId="0" borderId="0" xfId="0" applyNumberFormat="1" applyFont="1"/>
    <xf numFmtId="1" fontId="34" fillId="11" borderId="0" xfId="0" applyNumberFormat="1" applyFont="1" applyFill="1"/>
    <xf numFmtId="1" fontId="24" fillId="6" borderId="0" xfId="0" applyNumberFormat="1" applyFont="1" applyFill="1"/>
    <xf numFmtId="2" fontId="24" fillId="6" borderId="0" xfId="0" applyNumberFormat="1" applyFont="1" applyFill="1"/>
    <xf numFmtId="2" fontId="23" fillId="6" borderId="0" xfId="0" applyNumberFormat="1" applyFont="1" applyFill="1"/>
    <xf numFmtId="0" fontId="23" fillId="6" borderId="0" xfId="0" applyFont="1" applyFill="1"/>
    <xf numFmtId="1" fontId="23" fillId="6" borderId="0" xfId="0" applyNumberFormat="1" applyFont="1" applyFill="1"/>
    <xf numFmtId="0" fontId="22" fillId="6" borderId="0" xfId="0" applyFont="1" applyFill="1"/>
    <xf numFmtId="0" fontId="80" fillId="23" borderId="0" xfId="0" applyFont="1" applyFill="1"/>
    <xf numFmtId="8" fontId="34" fillId="0" borderId="0" xfId="0" applyNumberFormat="1" applyFont="1"/>
    <xf numFmtId="0" fontId="21" fillId="6" borderId="0" xfId="0" applyFont="1" applyFill="1"/>
    <xf numFmtId="0" fontId="20" fillId="6" borderId="0" xfId="0" applyFont="1" applyFill="1"/>
    <xf numFmtId="0" fontId="20" fillId="0" borderId="0" xfId="0" applyFont="1"/>
    <xf numFmtId="1" fontId="20" fillId="6" borderId="0" xfId="0" applyNumberFormat="1" applyFont="1" applyFill="1"/>
    <xf numFmtId="2" fontId="20" fillId="6" borderId="0" xfId="0" applyNumberFormat="1" applyFont="1" applyFill="1"/>
    <xf numFmtId="2" fontId="19" fillId="6" borderId="0" xfId="0" applyNumberFormat="1" applyFont="1" applyFill="1"/>
    <xf numFmtId="9" fontId="92" fillId="3" borderId="0" xfId="0" applyNumberFormat="1" applyFont="1" applyFill="1"/>
    <xf numFmtId="9" fontId="92" fillId="11" borderId="0" xfId="0" applyNumberFormat="1" applyFont="1" applyFill="1"/>
    <xf numFmtId="9" fontId="92" fillId="0" borderId="0" xfId="0" applyNumberFormat="1" applyFont="1"/>
    <xf numFmtId="164" fontId="34" fillId="0" borderId="0" xfId="0" applyNumberFormat="1" applyFont="1"/>
    <xf numFmtId="168" fontId="18" fillId="6" borderId="0" xfId="0" applyNumberFormat="1" applyFont="1" applyFill="1"/>
    <xf numFmtId="168" fontId="34" fillId="11" borderId="0" xfId="0" applyNumberFormat="1" applyFont="1" applyFill="1"/>
    <xf numFmtId="168" fontId="34" fillId="0" borderId="0" xfId="0" applyNumberFormat="1" applyFont="1"/>
    <xf numFmtId="0" fontId="17" fillId="6" borderId="0" xfId="0" applyFont="1" applyFill="1"/>
    <xf numFmtId="2" fontId="17" fillId="6" borderId="0" xfId="0" applyNumberFormat="1" applyFont="1" applyFill="1"/>
    <xf numFmtId="2" fontId="16" fillId="6" borderId="0" xfId="0" applyNumberFormat="1" applyFont="1" applyFill="1"/>
    <xf numFmtId="164" fontId="16" fillId="6" borderId="0" xfId="0" applyNumberFormat="1" applyFont="1" applyFill="1"/>
    <xf numFmtId="0" fontId="16" fillId="6" borderId="0" xfId="0" applyFont="1" applyFill="1"/>
    <xf numFmtId="2" fontId="34" fillId="79" borderId="0" xfId="0" applyNumberFormat="1" applyFont="1" applyFill="1"/>
    <xf numFmtId="164" fontId="34" fillId="79" borderId="0" xfId="0" applyNumberFormat="1" applyFont="1" applyFill="1"/>
    <xf numFmtId="169" fontId="0" fillId="2" borderId="0" xfId="0" applyNumberFormat="1" applyFill="1"/>
    <xf numFmtId="169" fontId="0" fillId="0" borderId="0" xfId="0" applyNumberFormat="1"/>
    <xf numFmtId="17" fontId="0" fillId="17" borderId="0" xfId="0" applyNumberFormat="1" applyFill="1"/>
    <xf numFmtId="15" fontId="0" fillId="17" borderId="0" xfId="0" applyNumberFormat="1" applyFill="1"/>
    <xf numFmtId="169" fontId="0" fillId="17" borderId="0" xfId="0" applyNumberFormat="1" applyFill="1"/>
    <xf numFmtId="0" fontId="0" fillId="17" borderId="0" xfId="0" applyFill="1"/>
    <xf numFmtId="0" fontId="92" fillId="12" borderId="0" xfId="0" applyFont="1" applyFill="1"/>
    <xf numFmtId="1" fontId="80" fillId="68" borderId="0" xfId="0" applyNumberFormat="1" applyFont="1" applyFill="1" applyAlignment="1">
      <alignment horizontal="left"/>
    </xf>
    <xf numFmtId="49" fontId="0" fillId="2" borderId="0" xfId="0" applyNumberFormat="1" applyFill="1"/>
    <xf numFmtId="1" fontId="80" fillId="80" borderId="0" xfId="0" applyNumberFormat="1" applyFont="1" applyFill="1" applyAlignment="1">
      <alignment horizontal="left"/>
    </xf>
    <xf numFmtId="164" fontId="80" fillId="65" borderId="0" xfId="0" applyNumberFormat="1" applyFont="1" applyFill="1" applyAlignment="1">
      <alignment horizontal="left"/>
    </xf>
    <xf numFmtId="49" fontId="0" fillId="14" borderId="0" xfId="0" applyNumberFormat="1" applyFill="1"/>
    <xf numFmtId="0" fontId="89" fillId="14" borderId="0" xfId="0" applyFont="1" applyFill="1"/>
    <xf numFmtId="49" fontId="89" fillId="14" borderId="0" xfId="0" applyNumberFormat="1" applyFont="1" applyFill="1"/>
    <xf numFmtId="0" fontId="14" fillId="0" borderId="0" xfId="0" applyFont="1"/>
    <xf numFmtId="0" fontId="13" fillId="0" borderId="0" xfId="0" applyFont="1"/>
    <xf numFmtId="1" fontId="80" fillId="81" borderId="0" xfId="0" applyNumberFormat="1" applyFont="1" applyFill="1" applyAlignment="1">
      <alignment horizontal="left"/>
    </xf>
    <xf numFmtId="164" fontId="34" fillId="11" borderId="0" xfId="0" applyNumberFormat="1" applyFont="1" applyFill="1"/>
    <xf numFmtId="164" fontId="12" fillId="6" borderId="0" xfId="0" applyNumberFormat="1" applyFont="1" applyFill="1"/>
    <xf numFmtId="1" fontId="11" fillId="6" borderId="0" xfId="0" applyNumberFormat="1" applyFont="1" applyFill="1"/>
    <xf numFmtId="166" fontId="92" fillId="7" borderId="0" xfId="0" applyNumberFormat="1" applyFont="1" applyFill="1" applyAlignment="1">
      <alignment horizontal="center"/>
    </xf>
    <xf numFmtId="1" fontId="80" fillId="14" borderId="0" xfId="0" applyNumberFormat="1" applyFont="1" applyFill="1" applyAlignment="1">
      <alignment horizontal="left"/>
    </xf>
    <xf numFmtId="2" fontId="80" fillId="14" borderId="0" xfId="0" applyNumberFormat="1" applyFont="1" applyFill="1" applyAlignment="1">
      <alignment horizontal="left"/>
    </xf>
    <xf numFmtId="1" fontId="10" fillId="6" borderId="0" xfId="0" applyNumberFormat="1" applyFont="1" applyFill="1"/>
    <xf numFmtId="1" fontId="9" fillId="6" borderId="0" xfId="0" applyNumberFormat="1" applyFont="1" applyFill="1"/>
    <xf numFmtId="2" fontId="80" fillId="81" borderId="0" xfId="0" applyNumberFormat="1" applyFont="1" applyFill="1" applyAlignment="1">
      <alignment horizontal="left"/>
    </xf>
    <xf numFmtId="1" fontId="17" fillId="6" borderId="0" xfId="0" applyNumberFormat="1" applyFont="1" applyFill="1"/>
    <xf numFmtId="1" fontId="18" fillId="11" borderId="0" xfId="0" applyNumberFormat="1" applyFont="1" applyFill="1"/>
    <xf numFmtId="0" fontId="8" fillId="6" borderId="0" xfId="0" applyFont="1" applyFill="1"/>
    <xf numFmtId="0" fontId="7" fillId="0" borderId="0" xfId="0" applyFont="1"/>
    <xf numFmtId="1" fontId="7" fillId="6" borderId="0" xfId="0" applyNumberFormat="1" applyFont="1" applyFill="1"/>
    <xf numFmtId="0" fontId="7" fillId="6" borderId="0" xfId="0" applyFont="1" applyFill="1"/>
    <xf numFmtId="166" fontId="7" fillId="6" borderId="0" xfId="0" applyNumberFormat="1" applyFont="1" applyFill="1"/>
    <xf numFmtId="14" fontId="7" fillId="6" borderId="0" xfId="0" applyNumberFormat="1" applyFont="1" applyFill="1"/>
    <xf numFmtId="14" fontId="7" fillId="0" borderId="0" xfId="0" applyNumberFormat="1" applyFont="1"/>
    <xf numFmtId="0" fontId="7" fillId="11" borderId="0" xfId="0" applyFont="1" applyFill="1"/>
    <xf numFmtId="14" fontId="7" fillId="11" borderId="0" xfId="0" applyNumberFormat="1" applyFont="1" applyFill="1"/>
    <xf numFmtId="1" fontId="6" fillId="6" borderId="0" xfId="0" applyNumberFormat="1" applyFont="1" applyFill="1"/>
    <xf numFmtId="0" fontId="80" fillId="82" borderId="0" xfId="0" applyFont="1" applyFill="1" applyAlignment="1">
      <alignment horizontal="left"/>
    </xf>
    <xf numFmtId="0" fontId="80" fillId="83" borderId="0" xfId="0" applyFont="1" applyFill="1" applyAlignment="1">
      <alignment horizontal="left"/>
    </xf>
    <xf numFmtId="0" fontId="80" fillId="84" borderId="0" xfId="0" applyFont="1" applyFill="1" applyAlignment="1">
      <alignment horizontal="left"/>
    </xf>
    <xf numFmtId="1" fontId="5" fillId="6" borderId="0" xfId="0" applyNumberFormat="1" applyFont="1" applyFill="1"/>
    <xf numFmtId="0" fontId="80" fillId="86" borderId="0" xfId="0" applyFont="1" applyFill="1" applyAlignment="1">
      <alignment horizontal="left"/>
    </xf>
    <xf numFmtId="1" fontId="80" fillId="20" borderId="0" xfId="0" applyNumberFormat="1" applyFont="1" applyFill="1" applyAlignment="1">
      <alignment horizontal="left"/>
    </xf>
    <xf numFmtId="0" fontId="80" fillId="85" borderId="0" xfId="0" applyFont="1" applyFill="1" applyAlignment="1">
      <alignment horizontal="left"/>
    </xf>
    <xf numFmtId="1" fontId="4" fillId="6" borderId="0" xfId="0" applyNumberFormat="1" applyFont="1" applyFill="1"/>
    <xf numFmtId="2" fontId="4" fillId="6" borderId="0" xfId="0" applyNumberFormat="1" applyFont="1" applyFill="1"/>
    <xf numFmtId="1" fontId="3" fillId="6" borderId="0" xfId="0" applyNumberFormat="1" applyFont="1" applyFill="1"/>
    <xf numFmtId="2" fontId="80" fillId="65" borderId="0" xfId="0" applyNumberFormat="1" applyFont="1" applyFill="1" applyAlignment="1">
      <alignment horizontal="left"/>
    </xf>
    <xf numFmtId="1" fontId="80" fillId="87" borderId="0" xfId="0" applyNumberFormat="1" applyFont="1" applyFill="1" applyAlignment="1">
      <alignment horizontal="left"/>
    </xf>
    <xf numFmtId="2" fontId="80" fillId="76" borderId="0" xfId="0" applyNumberFormat="1" applyFont="1" applyFill="1" applyAlignment="1">
      <alignment horizontal="left"/>
    </xf>
    <xf numFmtId="14" fontId="2" fillId="2" borderId="0" xfId="0" applyNumberFormat="1" applyFont="1" applyFill="1"/>
    <xf numFmtId="167" fontId="1" fillId="6" borderId="0" xfId="0" applyNumberFormat="1" applyFont="1" applyFill="1"/>
    <xf numFmtId="14" fontId="1" fillId="6" borderId="0" xfId="0" applyNumberFormat="1" applyFont="1" applyFill="1"/>
    <xf numFmtId="49" fontId="0" fillId="11" borderId="0" xfId="0" applyNumberFormat="1" applyFill="1"/>
  </cellXfs>
  <cellStyles count="142">
    <cellStyle name="20% - Accent1" xfId="19" builtinId="30" customBuiltin="1"/>
    <cellStyle name="20% - Accent1 2" xfId="59" xr:uid="{B693E344-880C-465D-A31C-08F47BA0291E}"/>
    <cellStyle name="20% - Accent1 3" xfId="84" xr:uid="{019B76FE-41E2-4827-A8C5-366853E19D45}"/>
    <cellStyle name="20% - Accent1 4" xfId="104" xr:uid="{95628BFF-331E-466D-A1F8-8D29D1D0B792}"/>
    <cellStyle name="20% - Accent1 5" xfId="124" xr:uid="{550DC472-9CFE-43AE-B62A-1F0E4742BA40}"/>
    <cellStyle name="20% - Accent2" xfId="23" builtinId="34" customBuiltin="1"/>
    <cellStyle name="20% - Accent2 2" xfId="63" xr:uid="{4277A362-3793-4C36-B350-8718FF11FF28}"/>
    <cellStyle name="20% - Accent2 3" xfId="87" xr:uid="{30FC21F9-AE72-4452-A74F-0B9439577AF8}"/>
    <cellStyle name="20% - Accent2 4" xfId="107" xr:uid="{1E4A9ADE-EB48-4A72-B71D-217EA4786531}"/>
    <cellStyle name="20% - Accent2 5" xfId="127" xr:uid="{61B7BB83-EE00-4FD0-B4EA-7B2AFB438CDB}"/>
    <cellStyle name="20% - Accent3" xfId="27" builtinId="38" customBuiltin="1"/>
    <cellStyle name="20% - Accent3 2" xfId="67" xr:uid="{BB3282BD-34F1-4BF2-A651-C2DA50C5ABF2}"/>
    <cellStyle name="20% - Accent3 3" xfId="90" xr:uid="{0DA5B4D7-C353-47C1-BB8E-729C95B1CD53}"/>
    <cellStyle name="20% - Accent3 4" xfId="110" xr:uid="{AC78F691-12D3-44ED-A74E-624E7F92A005}"/>
    <cellStyle name="20% - Accent3 5" xfId="130" xr:uid="{056D5D1E-37D8-4BBD-B61D-6AA526A7F48C}"/>
    <cellStyle name="20% - Accent4" xfId="31" builtinId="42" customBuiltin="1"/>
    <cellStyle name="20% - Accent4 2" xfId="71" xr:uid="{2D6E6F96-5690-4225-A624-7FA31223304B}"/>
    <cellStyle name="20% - Accent4 3" xfId="93" xr:uid="{CF306EE7-1C06-4A70-8286-A7BEA54865BD}"/>
    <cellStyle name="20% - Accent4 4" xfId="113" xr:uid="{B1FA0ED5-D4AC-46FE-9AB0-4AA015AE1C17}"/>
    <cellStyle name="20% - Accent4 5" xfId="133" xr:uid="{175EC194-9B09-4C31-95F4-21A79FD88346}"/>
    <cellStyle name="20% - Accent5" xfId="35" builtinId="46" customBuiltin="1"/>
    <cellStyle name="20% - Accent5 2" xfId="75" xr:uid="{6DE80F6E-0B84-4CE6-9369-7B9A868C6159}"/>
    <cellStyle name="20% - Accent5 3" xfId="96" xr:uid="{68FFBB7F-7A04-42D3-8C77-C88FA03922CA}"/>
    <cellStyle name="20% - Accent5 4" xfId="116" xr:uid="{55AE425B-B15D-4AC7-90AD-751330698D73}"/>
    <cellStyle name="20% - Accent5 5" xfId="136" xr:uid="{6ADB529D-49B0-4389-A120-D8DF327704FB}"/>
    <cellStyle name="20% - Accent6" xfId="39" builtinId="50" customBuiltin="1"/>
    <cellStyle name="20% - Accent6 2" xfId="79" xr:uid="{BD9C5FB6-1B35-4C2D-83E9-61B73D37771E}"/>
    <cellStyle name="20% - Accent6 3" xfId="99" xr:uid="{BA7F172C-F51D-49D0-8984-F6952C4C46D6}"/>
    <cellStyle name="20% - Accent6 4" xfId="119" xr:uid="{096FBE27-D849-4ED3-BD94-A91AFB90D00A}"/>
    <cellStyle name="20% - Accent6 5" xfId="139" xr:uid="{85FBE293-18C7-4DD0-AEF0-1D4C480B13BE}"/>
    <cellStyle name="40% - Accent1" xfId="20" builtinId="31" customBuiltin="1"/>
    <cellStyle name="40% - Accent1 2" xfId="60" xr:uid="{BA5B7BF8-CA3E-4592-8CAD-804A6D7FCAEF}"/>
    <cellStyle name="40% - Accent1 3" xfId="85" xr:uid="{938F8089-79E2-4BF8-9D64-B29BC08D131F}"/>
    <cellStyle name="40% - Accent1 4" xfId="105" xr:uid="{E3023E91-026C-4305-853E-D3F96C6507A5}"/>
    <cellStyle name="40% - Accent1 5" xfId="125" xr:uid="{5866D33D-CE72-4C3B-9D5C-1909FEBC3271}"/>
    <cellStyle name="40% - Accent2" xfId="24" builtinId="35" customBuiltin="1"/>
    <cellStyle name="40% - Accent2 2" xfId="64" xr:uid="{EFCBC585-6204-4016-AF0D-EC2B362B3278}"/>
    <cellStyle name="40% - Accent2 3" xfId="88" xr:uid="{CE55B68F-81CB-466E-8D85-BD103F467AF3}"/>
    <cellStyle name="40% - Accent2 4" xfId="108" xr:uid="{2DA141FA-F76B-4BE8-906F-789A0C255F14}"/>
    <cellStyle name="40% - Accent2 5" xfId="128" xr:uid="{0FE5FF1E-A336-4AAF-8B6D-448563206069}"/>
    <cellStyle name="40% - Accent3" xfId="28" builtinId="39" customBuiltin="1"/>
    <cellStyle name="40% - Accent3 2" xfId="68" xr:uid="{0D391B87-E146-414B-84EC-D55BC9EF2543}"/>
    <cellStyle name="40% - Accent3 3" xfId="91" xr:uid="{DE407237-D8A1-4839-9AA0-C9A90279AF0B}"/>
    <cellStyle name="40% - Accent3 4" xfId="111" xr:uid="{081BE720-7941-4204-957D-AC51DA6BEAFE}"/>
    <cellStyle name="40% - Accent3 5" xfId="131" xr:uid="{42080151-369C-4E9E-9EBC-8A560EBCD05A}"/>
    <cellStyle name="40% - Accent4" xfId="32" builtinId="43" customBuiltin="1"/>
    <cellStyle name="40% - Accent4 2" xfId="72" xr:uid="{80E09678-41B1-4D5B-A06F-A9389225E025}"/>
    <cellStyle name="40% - Accent4 3" xfId="94" xr:uid="{081B7899-1FE4-4476-BD15-CAA1C0855269}"/>
    <cellStyle name="40% - Accent4 4" xfId="114" xr:uid="{109DB855-495C-421C-8B58-A77A46192E65}"/>
    <cellStyle name="40% - Accent4 5" xfId="134" xr:uid="{0B9B7682-DDA4-4461-9B1A-8B37DDD947D8}"/>
    <cellStyle name="40% - Accent5" xfId="36" builtinId="47" customBuiltin="1"/>
    <cellStyle name="40% - Accent5 2" xfId="76" xr:uid="{1439B142-AA4B-4825-BE83-6EB20BCB5255}"/>
    <cellStyle name="40% - Accent5 3" xfId="97" xr:uid="{7EB069DA-0524-4297-A155-AB827A232616}"/>
    <cellStyle name="40% - Accent5 4" xfId="117" xr:uid="{1AF363E3-2F97-43BB-84C4-02D723104EF0}"/>
    <cellStyle name="40% - Accent5 5" xfId="137" xr:uid="{A256F0B8-0423-4194-9CD6-2A2E0BCEE38A}"/>
    <cellStyle name="40% - Accent6" xfId="40" builtinId="51" customBuiltin="1"/>
    <cellStyle name="40% - Accent6 2" xfId="80" xr:uid="{80D51BFA-DE52-4E94-B968-985B9A41E6A7}"/>
    <cellStyle name="40% - Accent6 3" xfId="100" xr:uid="{5A68ABD3-DFBE-46F0-A780-1057878E7A03}"/>
    <cellStyle name="40% - Accent6 4" xfId="120" xr:uid="{3CF660DF-0361-48D8-A510-7C26C5E02C19}"/>
    <cellStyle name="40% - Accent6 5" xfId="140" xr:uid="{B4A0B88A-446F-4060-A95C-4E675CC74414}"/>
    <cellStyle name="60% - Accent1" xfId="21" builtinId="32" customBuiltin="1"/>
    <cellStyle name="60% - Accent1 2" xfId="61" xr:uid="{85CEA838-4D77-4D06-82B4-E7C8E23133B1}"/>
    <cellStyle name="60% - Accent1 3" xfId="86" xr:uid="{B1436C52-D7A5-45E6-BFE3-D9DD9B7F0AEA}"/>
    <cellStyle name="60% - Accent1 4" xfId="106" xr:uid="{BED20058-6E95-4D0F-B5C7-A0AAA06F138A}"/>
    <cellStyle name="60% - Accent1 5" xfId="126" xr:uid="{87CB9544-A7CF-41E7-826C-C77C2707C07F}"/>
    <cellStyle name="60% - Accent2" xfId="25" builtinId="36" customBuiltin="1"/>
    <cellStyle name="60% - Accent2 2" xfId="65" xr:uid="{060AA545-B8AD-4DA1-B4EA-C716744A472C}"/>
    <cellStyle name="60% - Accent2 3" xfId="89" xr:uid="{9858BA71-9CAB-4A58-864B-C1A2AB8978D0}"/>
    <cellStyle name="60% - Accent2 4" xfId="109" xr:uid="{7151B891-5F8E-475D-BD1B-9964CB4AF394}"/>
    <cellStyle name="60% - Accent2 5" xfId="129" xr:uid="{1B60F911-4376-4A5E-9D43-581D9D62BFB4}"/>
    <cellStyle name="60% - Accent3" xfId="29" builtinId="40" customBuiltin="1"/>
    <cellStyle name="60% - Accent3 2" xfId="69" xr:uid="{7B1DED34-C481-4A93-8FD5-2C69E2174089}"/>
    <cellStyle name="60% - Accent3 3" xfId="92" xr:uid="{C97C5626-5A26-4525-95A4-24A6568E7E51}"/>
    <cellStyle name="60% - Accent3 4" xfId="112" xr:uid="{73045A32-E81D-416C-B4FF-82C0EC52A00B}"/>
    <cellStyle name="60% - Accent3 5" xfId="132" xr:uid="{683DA5CD-0DB4-4E09-B8AB-D0B69683B2DC}"/>
    <cellStyle name="60% - Accent4" xfId="33" builtinId="44" customBuiltin="1"/>
    <cellStyle name="60% - Accent4 2" xfId="73" xr:uid="{BBD5D5EE-9020-48DC-BDAD-C69356C6F7A6}"/>
    <cellStyle name="60% - Accent4 3" xfId="95" xr:uid="{75367642-C63E-4C5D-940D-A469488C5C7C}"/>
    <cellStyle name="60% - Accent4 4" xfId="115" xr:uid="{FC850FA4-B30A-4CDD-B18B-623960D37C12}"/>
    <cellStyle name="60% - Accent4 5" xfId="135" xr:uid="{7167E307-A237-4D40-93F1-97A8BA3AA595}"/>
    <cellStyle name="60% - Accent5" xfId="37" builtinId="48" customBuiltin="1"/>
    <cellStyle name="60% - Accent5 2" xfId="77" xr:uid="{AC8EE3D0-4BE7-461D-999F-3C530E82C02B}"/>
    <cellStyle name="60% - Accent5 3" xfId="98" xr:uid="{FE9CF242-4D71-4F4A-8908-CC625D26D756}"/>
    <cellStyle name="60% - Accent5 4" xfId="118" xr:uid="{B5770D00-BF8E-4A36-B44D-5A515C1CE300}"/>
    <cellStyle name="60% - Accent5 5" xfId="138" xr:uid="{A4859A71-EAA1-49ED-B9C4-4028D2A8E0C3}"/>
    <cellStyle name="60% - Accent6" xfId="41" builtinId="52" customBuiltin="1"/>
    <cellStyle name="60% - Accent6 2" xfId="81" xr:uid="{C9CD0480-6224-485D-BCF5-B7F3C969F19B}"/>
    <cellStyle name="60% - Accent6 3" xfId="101" xr:uid="{978E6BB6-E143-4F7C-917A-BB4CC7C5250F}"/>
    <cellStyle name="60% - Accent6 4" xfId="121" xr:uid="{31BC4E2C-9B16-4B4D-ADA4-D1F8D07FB5E6}"/>
    <cellStyle name="60% - Accent6 5" xfId="141" xr:uid="{C52CA9B9-B6D9-4B16-8854-C8129EBF35A2}"/>
    <cellStyle name="Accent1" xfId="18" builtinId="29" customBuiltin="1"/>
    <cellStyle name="Accent1 2" xfId="58" xr:uid="{4D8F94C2-DF9E-4F26-A0A5-59F43F21E470}"/>
    <cellStyle name="Accent2" xfId="22" builtinId="33" customBuiltin="1"/>
    <cellStyle name="Accent2 2" xfId="62" xr:uid="{EDE97373-F547-46F9-A834-069C2DF42546}"/>
    <cellStyle name="Accent3" xfId="26" builtinId="37" customBuiltin="1"/>
    <cellStyle name="Accent3 2" xfId="66" xr:uid="{50686037-323E-4C1D-ACD5-C0540FD95BC1}"/>
    <cellStyle name="Accent4" xfId="30" builtinId="41" customBuiltin="1"/>
    <cellStyle name="Accent4 2" xfId="70" xr:uid="{F2C829F3-7B83-428B-AAD6-B98EB0FA835F}"/>
    <cellStyle name="Accent5" xfId="34" builtinId="45" customBuiltin="1"/>
    <cellStyle name="Accent5 2" xfId="74" xr:uid="{D0D9D846-DAF9-4C21-8429-5584FFC764F1}"/>
    <cellStyle name="Accent6" xfId="38" builtinId="49" customBuiltin="1"/>
    <cellStyle name="Accent6 2" xfId="78" xr:uid="{E4F6F9F2-066E-4C82-99A5-005E3248C6A9}"/>
    <cellStyle name="Bad" xfId="8" builtinId="27" customBuiltin="1"/>
    <cellStyle name="Bad 2" xfId="47" xr:uid="{52DD1125-0231-4B0A-B3F8-5EB1B574D41F}"/>
    <cellStyle name="Calculation" xfId="12" builtinId="22" customBuiltin="1"/>
    <cellStyle name="Calculation 2" xfId="51" xr:uid="{2415BAF0-A290-4040-AE78-B4D0A472CD09}"/>
    <cellStyle name="Check Cell" xfId="14" builtinId="23" customBuiltin="1"/>
    <cellStyle name="Check Cell 2" xfId="53" xr:uid="{1204C9DD-05DC-4750-8541-E4A78696435D}"/>
    <cellStyle name="Explanatory Text" xfId="16" builtinId="53" customBuiltin="1"/>
    <cellStyle name="Explanatory Text 2" xfId="56" xr:uid="{AB7E92B1-1F69-4E24-966F-0BE66A234DD9}"/>
    <cellStyle name="Good" xfId="45" builtinId="26" customBuiltin="1"/>
    <cellStyle name="Good 2" xfId="43" xr:uid="{4E750FDA-4967-46C3-B95A-BF4C8F84BA8F}"/>
    <cellStyle name="Heading 1" xfId="4" builtinId="16" customBuiltin="1"/>
    <cellStyle name="Heading 2" xfId="5" builtinId="17" customBuiltin="1"/>
    <cellStyle name="Heading 3" xfId="6" builtinId="18" customBuiltin="1"/>
    <cellStyle name="Heading 4" xfId="7" builtinId="19" customBuiltin="1"/>
    <cellStyle name="Hyperlink" xfId="1" builtinId="8"/>
    <cellStyle name="Input" xfId="10" builtinId="20" customBuiltin="1"/>
    <cellStyle name="Input 2" xfId="49" xr:uid="{C45BF8B8-E6F0-4ABF-821D-D56F883539E2}"/>
    <cellStyle name="Linked Cell" xfId="13" builtinId="24" customBuiltin="1"/>
    <cellStyle name="Linked Cell 2" xfId="52" xr:uid="{7A89DFA4-17EB-4A11-8AF4-74576DCAE43D}"/>
    <cellStyle name="Neutral" xfId="9" builtinId="28" customBuiltin="1"/>
    <cellStyle name="Neutral 2" xfId="48" xr:uid="{1B63D8B0-3598-48C2-98B9-C7C58E49103D}"/>
    <cellStyle name="Normal" xfId="0" builtinId="0"/>
    <cellStyle name="Normal 2" xfId="42" xr:uid="{7893CBB5-DCCB-4A6D-9B26-1AA2D3DDDE1C}"/>
    <cellStyle name="Normal 3" xfId="46" xr:uid="{17C7EE8B-CB3D-4CA0-A4B6-D9C34292D9B1}"/>
    <cellStyle name="Normal 4" xfId="82" xr:uid="{95C2E8F8-55D4-4525-B7B5-21FADBE01AEE}"/>
    <cellStyle name="Normal 5" xfId="102" xr:uid="{2D279285-997C-4966-A9E3-297D09D4C1A3}"/>
    <cellStyle name="Normal 6" xfId="122" xr:uid="{D3727658-7955-4E81-A382-CBA55E107164}"/>
    <cellStyle name="Note 2" xfId="44" xr:uid="{68B8D7C8-D047-43E1-89B0-922DFFEC72AF}"/>
    <cellStyle name="Note 3" xfId="55" xr:uid="{A4DA5A6F-137C-4A25-8736-F472448CC12E}"/>
    <cellStyle name="Note 4" xfId="83" xr:uid="{F9C2039E-AB79-45DD-82AE-7CF5D4ECBB30}"/>
    <cellStyle name="Note 5" xfId="103" xr:uid="{EE47A133-091F-42F0-922F-5D013FE8777A}"/>
    <cellStyle name="Note 6" xfId="123" xr:uid="{BF532F92-9E44-4C18-9A87-E1459AC64B2E}"/>
    <cellStyle name="Output" xfId="11" builtinId="21" customBuiltin="1"/>
    <cellStyle name="Output 2" xfId="50" xr:uid="{27DB94A8-8D9B-44EE-8D55-CE3D01D5EE46}"/>
    <cellStyle name="Percent" xfId="2" builtinId="5"/>
    <cellStyle name="Title" xfId="3" builtinId="15" customBuiltin="1"/>
    <cellStyle name="Total" xfId="17" builtinId="25" customBuiltin="1"/>
    <cellStyle name="Total 2" xfId="57" xr:uid="{28994196-9627-4B16-8943-30D5E3C958ED}"/>
    <cellStyle name="Warning Text" xfId="15" builtinId="11" customBuiltin="1"/>
    <cellStyle name="Warning Text 2" xfId="54" xr:uid="{6B9C557B-32C2-465D-B791-30CD95167CD0}"/>
  </cellStyles>
  <dxfs count="69">
    <dxf>
      <fill>
        <patternFill>
          <bgColor rgb="FFFF0000"/>
        </patternFill>
      </fill>
    </dxf>
    <dxf>
      <fill>
        <patternFill>
          <bgColor theme="7" tint="0.39994506668294322"/>
        </patternFill>
      </fill>
    </dxf>
    <dxf>
      <fill>
        <patternFill>
          <bgColor theme="9" tint="0.39994506668294322"/>
        </patternFill>
      </fill>
    </dxf>
    <dxf>
      <fill>
        <patternFill>
          <bgColor rgb="FF00B050"/>
        </patternFill>
      </fill>
    </dxf>
    <dxf>
      <fill>
        <patternFill>
          <bgColor rgb="FFFF0000"/>
        </patternFill>
      </fill>
    </dxf>
    <dxf>
      <fill>
        <patternFill>
          <bgColor theme="7" tint="0.39994506668294322"/>
        </patternFill>
      </fill>
    </dxf>
    <dxf>
      <fill>
        <patternFill>
          <bgColor theme="9" tint="0.39994506668294322"/>
        </patternFill>
      </fill>
    </dxf>
    <dxf>
      <fill>
        <patternFill>
          <bgColor rgb="FF00B050"/>
        </patternFill>
      </fill>
    </dxf>
    <dxf>
      <font>
        <color rgb="FF006100"/>
      </font>
      <fill>
        <patternFill>
          <bgColor rgb="FFC6EFCE"/>
        </patternFill>
      </fill>
    </dxf>
    <dxf>
      <font>
        <b/>
        <i val="0"/>
        <color theme="9" tint="-0.24994659260841701"/>
      </font>
    </dxf>
    <dxf>
      <font>
        <b/>
        <i val="0"/>
        <color rgb="FFC00000"/>
      </font>
    </dxf>
    <dxf>
      <font>
        <b/>
        <i val="0"/>
        <color theme="8" tint="-0.24994659260841701"/>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59996337778862885"/>
        </patternFill>
      </fill>
    </dxf>
    <dxf>
      <fill>
        <patternFill>
          <bgColor theme="9" tint="0.79998168889431442"/>
        </patternFill>
      </fill>
    </dxf>
    <dxf>
      <fill>
        <patternFill>
          <bgColor rgb="FFEAF4E4"/>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9" tint="0.59996337778862885"/>
        </patternFill>
      </fill>
    </dxf>
    <dxf>
      <fill>
        <patternFill>
          <bgColor theme="9" tint="0.79998168889431442"/>
        </patternFill>
      </fill>
    </dxf>
    <dxf>
      <fill>
        <patternFill>
          <bgColor rgb="FFEAF4E4"/>
        </patternFill>
      </fill>
    </dxf>
    <dxf>
      <fill>
        <patternFill>
          <bgColor theme="8"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FFCC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D7D"/>
        </patternFill>
      </fill>
    </dxf>
    <dxf>
      <fill>
        <patternFill>
          <bgColor rgb="FFFF7D7D"/>
        </patternFill>
      </fill>
    </dxf>
    <dxf>
      <fill>
        <patternFill>
          <bgColor rgb="FFFF0000"/>
        </patternFill>
      </fill>
    </dxf>
    <dxf>
      <fill>
        <patternFill>
          <bgColor theme="7" tint="0.39994506668294322"/>
        </patternFill>
      </fill>
    </dxf>
    <dxf>
      <fill>
        <patternFill>
          <bgColor theme="9" tint="0.59996337778862885"/>
        </patternFill>
      </fill>
    </dxf>
    <dxf>
      <fill>
        <patternFill>
          <bgColor rgb="FF92D050"/>
        </patternFill>
      </fill>
    </dxf>
    <dxf>
      <fill>
        <patternFill patternType="none">
          <bgColor auto="1"/>
        </patternFill>
      </fill>
    </dxf>
    <dxf>
      <fill>
        <patternFill>
          <bgColor rgb="FFFF8B8B"/>
        </patternFill>
      </fill>
    </dxf>
    <dxf>
      <fill>
        <patternFill>
          <bgColor theme="9" tint="0.59996337778862885"/>
        </patternFill>
      </fill>
    </dxf>
    <dxf>
      <fill>
        <patternFill>
          <bgColor rgb="FFFFFFCC"/>
        </patternFill>
      </fill>
    </dxf>
    <dxf>
      <fill>
        <patternFill>
          <bgColor theme="9" tint="0.59996337778862885"/>
        </patternFill>
      </fill>
    </dxf>
    <dxf>
      <fill>
        <patternFill>
          <bgColor rgb="FFFFA7A7"/>
        </patternFill>
      </fill>
    </dxf>
    <dxf>
      <fill>
        <patternFill>
          <bgColor theme="5" tint="0.79998168889431442"/>
        </patternFill>
      </fill>
    </dxf>
    <dxf>
      <fill>
        <patternFill>
          <bgColor theme="7" tint="0.79998168889431442"/>
        </patternFill>
      </fill>
    </dxf>
    <dxf>
      <fill>
        <patternFill>
          <bgColor theme="9" tint="0.39994506668294322"/>
        </patternFill>
      </fill>
    </dxf>
    <dxf>
      <fill>
        <patternFill>
          <bgColor rgb="FFFF7D7D"/>
        </patternFill>
      </fill>
    </dxf>
  </dxfs>
  <tableStyles count="0" defaultTableStyle="TableStyleMedium2" defaultPivotStyle="PivotStyleLight16"/>
  <colors>
    <mruColors>
      <color rgb="FFCCFF66"/>
      <color rgb="FFF5F571"/>
      <color rgb="FFCCCC00"/>
      <color rgb="FFFF8B8B"/>
      <color rgb="FFFFCC99"/>
      <color rgb="FFCCFFCC"/>
      <color rgb="FFFFCCCC"/>
      <color rgb="FFFFFFFF"/>
      <color rgb="FF99FFCC"/>
      <color rgb="FFE1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 Target="richData/rdrichvalue.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4" Type="http://schemas.openxmlformats.org/officeDocument/2006/relationships/comments" Target="../comments3.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comments" Target="../comments4.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comments" Target="../comments6.xm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3" Type="http://schemas.openxmlformats.org/officeDocument/2006/relationships/hyperlink" Target="https://www.census.gov/retail/release_schedule.html" TargetMode="External"/><Relationship Id="rId18" Type="http://schemas.openxmlformats.org/officeDocument/2006/relationships/hyperlink" Target="https://marketnews.com/topics/fomc-meeting-calendar-market-news/" TargetMode="External"/><Relationship Id="rId26" Type="http://schemas.openxmlformats.org/officeDocument/2006/relationships/hyperlink" Target="https://www.bls.gov/schedule/news_release/ppi.htm" TargetMode="External"/><Relationship Id="rId3" Type="http://schemas.openxmlformats.org/officeDocument/2006/relationships/hyperlink" Target="https://marketnews.com/topics/fomc-meeting-calendar-market-news/" TargetMode="External"/><Relationship Id="rId21" Type="http://schemas.openxmlformats.org/officeDocument/2006/relationships/hyperlink" Target="https://www.bls.gov/schedule/news_release/cpi.htm" TargetMode="External"/><Relationship Id="rId34" Type="http://schemas.openxmlformats.org/officeDocument/2006/relationships/hyperlink" Target="https://cdn.cboe.com/resources/options/Cboe2023OPTIONSCalendar.pdf" TargetMode="External"/><Relationship Id="rId7" Type="http://schemas.openxmlformats.org/officeDocument/2006/relationships/hyperlink" Target="https://cdn.cboe.com/resources/options/Cboe2023OPTIONSCalendar.pdf" TargetMode="External"/><Relationship Id="rId12" Type="http://schemas.openxmlformats.org/officeDocument/2006/relationships/hyperlink" Target="https://www.nar.realtor/newsroom/nar-statistical-news-release-schedule" TargetMode="External"/><Relationship Id="rId17" Type="http://schemas.openxmlformats.org/officeDocument/2006/relationships/hyperlink" Target="https://www.census.gov/economic-indicators/" TargetMode="External"/><Relationship Id="rId25" Type="http://schemas.openxmlformats.org/officeDocument/2006/relationships/hyperlink" Target="http://www.sca.isr.umich.edu/" TargetMode="External"/><Relationship Id="rId33" Type="http://schemas.openxmlformats.org/officeDocument/2006/relationships/hyperlink" Target="https://cdn.cboe.com/resources/options/Cboe2023OPTIONSCalendar.pdf" TargetMode="External"/><Relationship Id="rId2" Type="http://schemas.openxmlformats.org/officeDocument/2006/relationships/hyperlink" Target="https://www.bea.gov/data/personal-consumption-expenditures-price-index" TargetMode="External"/><Relationship Id="rId16" Type="http://schemas.openxmlformats.org/officeDocument/2006/relationships/hyperlink" Target="https://www.investing.com/economic-calendar/wholesale-inventories-305" TargetMode="External"/><Relationship Id="rId20" Type="http://schemas.openxmlformats.org/officeDocument/2006/relationships/hyperlink" Target="https://cdn.cboe.com/resources/options/Cboe2022OPTIONSCalendar.pdf" TargetMode="External"/><Relationship Id="rId29" Type="http://schemas.openxmlformats.org/officeDocument/2006/relationships/hyperlink" Target="https://www.bls.gov/schedule/news_release/cpi.htm" TargetMode="External"/><Relationship Id="rId1" Type="http://schemas.openxmlformats.org/officeDocument/2006/relationships/printerSettings" Target="../printerSettings/printerSettings25.bin"/><Relationship Id="rId6" Type="http://schemas.openxmlformats.org/officeDocument/2006/relationships/hyperlink" Target="https://cdn.cboe.com/resources/options/Cboe2023OPTIONSCalendar.pdf" TargetMode="External"/><Relationship Id="rId11" Type="http://schemas.openxmlformats.org/officeDocument/2006/relationships/hyperlink" Target="https://www.nar.realtor/newsroom/nar-statistical-news-release-schedule" TargetMode="External"/><Relationship Id="rId24" Type="http://schemas.openxmlformats.org/officeDocument/2006/relationships/hyperlink" Target="http://www.sca.isr.umich.edu/" TargetMode="External"/><Relationship Id="rId32" Type="http://schemas.openxmlformats.org/officeDocument/2006/relationships/hyperlink" Target="https://www.investing.com/economic-calendar/building-permits-885" TargetMode="External"/><Relationship Id="rId5" Type="http://schemas.openxmlformats.org/officeDocument/2006/relationships/hyperlink" Target="https://cdn.cboe.com/resources/options/Cboe2022OPTIONSCalendar.pdf" TargetMode="External"/><Relationship Id="rId15" Type="http://schemas.openxmlformats.org/officeDocument/2006/relationships/hyperlink" Target="https://www.investing.com/economic-calendar/durable-goods-orders-86" TargetMode="External"/><Relationship Id="rId23" Type="http://schemas.openxmlformats.org/officeDocument/2006/relationships/hyperlink" Target="https://www.bls.gov/schedule/news_release/empsit.htm" TargetMode="External"/><Relationship Id="rId28" Type="http://schemas.openxmlformats.org/officeDocument/2006/relationships/hyperlink" Target="https://www.bls.gov/schedule/news_release/cpi.htm" TargetMode="External"/><Relationship Id="rId10" Type="http://schemas.openxmlformats.org/officeDocument/2006/relationships/hyperlink" Target="https://www.nar.realtor/newsroom/nar-statistical-news-release-schedule" TargetMode="External"/><Relationship Id="rId19" Type="http://schemas.openxmlformats.org/officeDocument/2006/relationships/hyperlink" Target="https://marketnews.com/topics/fomc-meeting-calendar-market-news/" TargetMode="External"/><Relationship Id="rId31" Type="http://schemas.openxmlformats.org/officeDocument/2006/relationships/hyperlink" Target="https://www.nahb.org/news-and-economics/housing-economics/indices/nahb-wells-fargo-housing-market-index-release-dates" TargetMode="External"/><Relationship Id="rId4" Type="http://schemas.openxmlformats.org/officeDocument/2006/relationships/hyperlink" Target="https://www.ismworld.org/supply-management-news-and-reports/reports/rob-report-calendar/" TargetMode="External"/><Relationship Id="rId9" Type="http://schemas.openxmlformats.org/officeDocument/2006/relationships/hyperlink" Target="https://marketnews.com/topics/fomc-meeting-calendar-market-news/" TargetMode="External"/><Relationship Id="rId14" Type="http://schemas.openxmlformats.org/officeDocument/2006/relationships/hyperlink" Target="https://www.bea.gov/news/schedule" TargetMode="External"/><Relationship Id="rId22" Type="http://schemas.openxmlformats.org/officeDocument/2006/relationships/hyperlink" Target="https://www.ismworld.org/supply-management-news-and-reports/reports/rob-report-calendar/" TargetMode="External"/><Relationship Id="rId27" Type="http://schemas.openxmlformats.org/officeDocument/2006/relationships/hyperlink" Target="https://www.bls.gov/schedule/news_release/cpi.htm" TargetMode="External"/><Relationship Id="rId30" Type="http://schemas.openxmlformats.org/officeDocument/2006/relationships/hyperlink" Target="https://www.investing.com/economic-calendar/durable-goods-orders-86" TargetMode="External"/><Relationship Id="rId35" Type="http://schemas.openxmlformats.org/officeDocument/2006/relationships/printerSettings" Target="../printerSettings/printerSettings26.bin"/><Relationship Id="rId8" Type="http://schemas.openxmlformats.org/officeDocument/2006/relationships/hyperlink" Target="https://www.chicagofed.org/research/data/data-release-calendar"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A10F2-6277-467F-B7BE-48D9AF014669}">
  <sheetPr codeName="Sheet2"/>
  <dimension ref="A1:AS262"/>
  <sheetViews>
    <sheetView topLeftCell="M1" zoomScale="90" zoomScaleNormal="90" workbookViewId="0">
      <pane ySplit="1" topLeftCell="A2" activePane="bottomLeft" state="frozen"/>
      <selection pane="bottomLeft" activeCell="AB9" sqref="AB9"/>
    </sheetView>
  </sheetViews>
  <sheetFormatPr defaultRowHeight="12" x14ac:dyDescent="0.2"/>
  <cols>
    <col min="1" max="2" width="6" style="54" customWidth="1"/>
    <col min="3" max="3" width="39.7109375" style="168" customWidth="1"/>
    <col min="4" max="4" width="5.5703125" style="153" customWidth="1"/>
    <col min="5" max="5" width="5.7109375" style="54" customWidth="1"/>
    <col min="6" max="6" width="6.140625" style="54" customWidth="1"/>
    <col min="7" max="7" width="5.5703125" style="54" customWidth="1"/>
    <col min="8" max="8" width="5.5703125" style="153" customWidth="1"/>
    <col min="9" max="9" width="1.140625" style="54" customWidth="1"/>
    <col min="10" max="10" width="1" style="165" customWidth="1"/>
    <col min="11" max="11" width="28" style="184" customWidth="1"/>
    <col min="12" max="12" width="7.85546875" style="166" customWidth="1"/>
    <col min="13" max="13" width="8.7109375" style="186" customWidth="1"/>
    <col min="14" max="14" width="7.85546875" style="186" customWidth="1"/>
    <col min="15" max="15" width="2.85546875" style="165" customWidth="1"/>
    <col min="16" max="16" width="4.5703125" style="165" customWidth="1"/>
    <col min="17" max="17" width="3.5703125" style="165" bestFit="1" customWidth="1"/>
    <col min="18" max="18" width="3.28515625" style="165" bestFit="1" customWidth="1"/>
    <col min="19" max="19" width="8.7109375" style="164" bestFit="1" customWidth="1"/>
    <col min="20" max="20" width="8.85546875" style="166" customWidth="1"/>
    <col min="21" max="21" width="8" style="166" customWidth="1"/>
    <col min="22" max="22" width="8" style="177" customWidth="1"/>
    <col min="23" max="23" width="1.85546875" style="177" customWidth="1"/>
    <col min="24" max="24" width="4.5703125" style="166" customWidth="1"/>
    <col min="25" max="25" width="4.85546875" style="166" bestFit="1" customWidth="1"/>
    <col min="26" max="26" width="5.7109375" style="166" bestFit="1" customWidth="1"/>
    <col min="27" max="27" width="2.140625" style="54" customWidth="1"/>
    <col min="28" max="28" width="15.85546875" style="54" customWidth="1"/>
    <col min="29" max="29" width="26.42578125" style="54" customWidth="1"/>
    <col min="30" max="30" width="3.28515625" style="156" customWidth="1"/>
    <col min="31" max="31" width="2.140625" style="54" customWidth="1"/>
    <col min="32" max="32" width="6.5703125" style="54" customWidth="1"/>
    <col min="33" max="33" width="11.5703125" style="156" bestFit="1" customWidth="1"/>
    <col min="34" max="34" width="11.5703125" style="156" customWidth="1"/>
    <col min="35" max="35" width="4.28515625" style="54" customWidth="1"/>
    <col min="36" max="37" width="9.140625" style="54"/>
    <col min="38" max="38" width="4.5703125" style="54" customWidth="1"/>
    <col min="39" max="39" width="10.28515625" style="54" customWidth="1"/>
    <col min="40" max="40" width="10" style="54" bestFit="1" customWidth="1"/>
    <col min="41" max="41" width="15.5703125" style="54" customWidth="1"/>
    <col min="42" max="42" width="16.140625" style="54" customWidth="1"/>
    <col min="43" max="45" width="15.140625" style="54" customWidth="1"/>
    <col min="46" max="16384" width="9.140625" style="54"/>
  </cols>
  <sheetData>
    <row r="1" spans="1:45" x14ac:dyDescent="0.2">
      <c r="A1" s="159" t="s">
        <v>255</v>
      </c>
      <c r="B1" s="159"/>
      <c r="C1" s="162" t="s">
        <v>121</v>
      </c>
      <c r="D1" s="178"/>
      <c r="E1" s="159" t="s">
        <v>52</v>
      </c>
      <c r="F1" s="159"/>
      <c r="G1" s="160"/>
      <c r="H1" s="178"/>
      <c r="J1" s="161"/>
      <c r="K1" s="182" t="s">
        <v>287</v>
      </c>
      <c r="L1" s="265" t="s">
        <v>591</v>
      </c>
      <c r="M1" s="185" t="s">
        <v>28</v>
      </c>
      <c r="N1" s="185" t="s">
        <v>505</v>
      </c>
      <c r="O1" s="182" t="s">
        <v>1747</v>
      </c>
      <c r="P1" s="182" t="s">
        <v>3477</v>
      </c>
      <c r="Q1" s="161" t="s">
        <v>1766</v>
      </c>
      <c r="R1" s="161" t="s">
        <v>1767</v>
      </c>
      <c r="S1" s="160" t="s">
        <v>178</v>
      </c>
      <c r="T1" s="162" t="s">
        <v>182</v>
      </c>
      <c r="U1" s="162" t="s">
        <v>183</v>
      </c>
      <c r="V1" s="146" t="s">
        <v>1247</v>
      </c>
      <c r="W1" s="146"/>
      <c r="X1" s="162" t="s">
        <v>12</v>
      </c>
      <c r="Y1" s="162" t="s">
        <v>11</v>
      </c>
      <c r="Z1" s="162" t="s">
        <v>1559</v>
      </c>
      <c r="AB1" s="160" t="s">
        <v>3478</v>
      </c>
      <c r="AC1" s="160" t="s">
        <v>485</v>
      </c>
      <c r="AF1" s="160" t="s">
        <v>1805</v>
      </c>
      <c r="AG1" s="160" t="s">
        <v>3479</v>
      </c>
      <c r="AH1" s="160" t="s">
        <v>1806</v>
      </c>
      <c r="AJ1" s="159" t="s">
        <v>1446</v>
      </c>
      <c r="AK1" s="159" t="s">
        <v>1447</v>
      </c>
      <c r="AM1" s="266" t="s">
        <v>254</v>
      </c>
      <c r="AN1" s="266" t="s">
        <v>3480</v>
      </c>
      <c r="AO1" s="266" t="s">
        <v>3272</v>
      </c>
      <c r="AP1" s="266" t="s">
        <v>1979</v>
      </c>
      <c r="AQ1" s="266" t="s">
        <v>2049</v>
      </c>
      <c r="AR1" s="266" t="s">
        <v>1978</v>
      </c>
      <c r="AS1" s="266" t="s">
        <v>3331</v>
      </c>
    </row>
    <row r="2" spans="1:45" x14ac:dyDescent="0.2">
      <c r="A2" s="54" t="s">
        <v>282</v>
      </c>
      <c r="C2" s="181">
        <f>_xlfn.MINIFS(Data!$O:$O,Data!$O:$O,"&gt;" &amp; Dash!$AB$2)</f>
        <v>46167</v>
      </c>
      <c r="E2" s="164">
        <f>_xlfn.DAYS(C2,Dash!$AB$2)</f>
        <v>25</v>
      </c>
      <c r="F2" s="164"/>
      <c r="K2" s="168" t="s">
        <v>45</v>
      </c>
      <c r="L2" s="166" t="str">
        <f>_xlfn.XLOOKUP(M2,MA!C:C,MA!H:H,"")</f>
        <v/>
      </c>
      <c r="M2" s="186" t="s">
        <v>29</v>
      </c>
      <c r="N2" s="186" t="s">
        <v>45</v>
      </c>
      <c r="O2" s="54" t="str">
        <f>_xlfn.XLOOKUP(M2,MA!C:C,MA!VP:VP,"")</f>
        <v/>
      </c>
      <c r="P2" s="54" t="str">
        <f>_xlfn.XLOOKUP(M2,MA!C:C,MA!VQ:VQ,"")</f>
        <v/>
      </c>
      <c r="Q2" s="54"/>
      <c r="R2" s="54"/>
      <c r="S2" s="164" t="str">
        <f>_xlfn.XLOOKUP(M2,MA!C:C,MA!D:D,"")</f>
        <v/>
      </c>
      <c r="T2" s="164" t="str">
        <f>_xlfn.XLOOKUP(M2,MA!C:C,MA!K:K,"")</f>
        <v/>
      </c>
      <c r="U2" s="164" t="str">
        <f>_xlfn.XLOOKUP(M2,MA!C:C,MA!L:L,"")</f>
        <v/>
      </c>
      <c r="V2" s="177" t="e">
        <f>(T2-S2)*100/(T2-U2)</f>
        <v>#VALUE!</v>
      </c>
      <c r="X2" s="164">
        <v>19</v>
      </c>
      <c r="Y2" s="164">
        <v>30</v>
      </c>
      <c r="Z2" s="164" t="str">
        <f t="shared" ref="Z2:Z9" si="0">IF(S2&lt;=X2,"Y",IF(S2&gt;=Y2,"N","W"))</f>
        <v>N</v>
      </c>
      <c r="AB2" s="167">
        <v>46142</v>
      </c>
      <c r="AC2" s="164" t="s">
        <v>507</v>
      </c>
      <c r="AF2" s="54" t="s">
        <v>926</v>
      </c>
      <c r="AG2" s="156">
        <f>MAX(RR!D:D)</f>
        <v>46141</v>
      </c>
      <c r="AJ2" s="54" t="s">
        <v>128</v>
      </c>
      <c r="AK2" s="54">
        <v>200000</v>
      </c>
      <c r="AM2" s="54" t="s">
        <v>507</v>
      </c>
      <c r="AN2" s="156">
        <f>Dash!$AB$2</f>
        <v>46142</v>
      </c>
      <c r="AO2" s="354">
        <f>_xlfn.MAXIFS(TD!B:B,TD!B:B,"&lt;=" &amp; AN2)</f>
        <v>46141.6875</v>
      </c>
      <c r="AP2" s="354">
        <f>_xlfn.MAXIFS(TL!B:B,TL!B:B,"&lt;=" &amp; AN2)</f>
        <v>46141.6875</v>
      </c>
      <c r="AQ2" s="354">
        <f>_xlfn.MAXIFS(TW!B:B,TW!B:B,"&lt;=" &amp; AN2)</f>
        <v>46141.6875</v>
      </c>
      <c r="AR2" s="354">
        <f t="shared" ref="AR2:AR8" si="1">INT(AO2)</f>
        <v>46141</v>
      </c>
      <c r="AS2" s="354">
        <f>_xlfn.MAXIFS(TO!B:B,TO!B:B,"&lt;=" &amp; AN2)</f>
        <v>46139.6875</v>
      </c>
    </row>
    <row r="3" spans="1:45" x14ac:dyDescent="0.2">
      <c r="A3" s="54" t="s">
        <v>1611</v>
      </c>
      <c r="C3" s="181">
        <f>$AB$2+7</f>
        <v>46149</v>
      </c>
      <c r="E3" s="164">
        <f>_xlfn.DAYS(C3,Dash!$AB$2)</f>
        <v>7</v>
      </c>
      <c r="F3" s="164"/>
      <c r="K3" s="168" t="s">
        <v>151</v>
      </c>
      <c r="L3" s="166" t="str">
        <f>_xlfn.XLOOKUP(M3,MA!C:C,MA!H:H,"")</f>
        <v/>
      </c>
      <c r="M3" s="186" t="s">
        <v>325</v>
      </c>
      <c r="N3" s="186" t="s">
        <v>157</v>
      </c>
      <c r="O3" s="54" t="str">
        <f>_xlfn.XLOOKUP(M3,MA!C:C,MA!VP:VP,"")</f>
        <v/>
      </c>
      <c r="P3" s="54" t="str">
        <f>_xlfn.XLOOKUP(M3,MA!C:C,MA!VQ:VQ,"")</f>
        <v/>
      </c>
      <c r="Q3" s="54"/>
      <c r="R3" s="54"/>
      <c r="S3" s="164" t="str">
        <f>_xlfn.XLOOKUP(M3,MA!C:C,MA!D:D,"")</f>
        <v/>
      </c>
      <c r="T3" s="164" t="str">
        <f>_xlfn.XLOOKUP(M3,MA!C:C,MA!K:K,"")</f>
        <v/>
      </c>
      <c r="U3" s="164" t="str">
        <f>_xlfn.XLOOKUP(M3,MA!C:C,MA!L:L,"")</f>
        <v/>
      </c>
      <c r="V3" s="177" t="e">
        <f>(T3-S3)*100/(T3-U3)</f>
        <v>#VALUE!</v>
      </c>
      <c r="X3" s="164">
        <v>100</v>
      </c>
      <c r="Y3" s="164">
        <v>150</v>
      </c>
      <c r="Z3" s="164" t="str">
        <f t="shared" si="0"/>
        <v>N</v>
      </c>
      <c r="AB3" s="270"/>
      <c r="AC3" s="164" t="s">
        <v>1763</v>
      </c>
      <c r="AF3" s="54" t="s">
        <v>1929</v>
      </c>
      <c r="AG3" s="156">
        <f>MAX(call!C:C)</f>
        <v>46141</v>
      </c>
      <c r="AH3" s="156">
        <f>EDATE($AB$2, -1)</f>
        <v>46111</v>
      </c>
      <c r="AJ3" s="54" t="s">
        <v>1338</v>
      </c>
      <c r="AK3" s="54">
        <v>400000</v>
      </c>
      <c r="AM3" s="54" t="s">
        <v>1193</v>
      </c>
      <c r="AN3" s="156">
        <f>WORKDAY(AN2,-1)</f>
        <v>46141</v>
      </c>
      <c r="AO3" s="354">
        <f>_xlfn.MAXIFS(TD!B:B,TD!B:B,"&lt;=" &amp; AN3)</f>
        <v>0</v>
      </c>
      <c r="AP3" s="354">
        <f>_xlfn.MAXIFS(TL!B:B,TL!B:B,"&lt;=" &amp; AN3)</f>
        <v>0</v>
      </c>
      <c r="AQ3" s="354">
        <f>_xlfn.MAXIFS(TW!B:B,TW!B:B,"&lt;=" &amp; AN3)</f>
        <v>0</v>
      </c>
      <c r="AR3" s="354">
        <f t="shared" si="1"/>
        <v>0</v>
      </c>
      <c r="AS3" s="354">
        <f>_xlfn.MAXIFS(TO!B:B,TO!B:B,"&lt;=" &amp; AN3)</f>
        <v>46139.6875</v>
      </c>
    </row>
    <row r="4" spans="1:45" x14ac:dyDescent="0.2">
      <c r="A4" s="54" t="s">
        <v>1598</v>
      </c>
      <c r="B4" s="54">
        <v>1</v>
      </c>
      <c r="C4" s="168" t="str" cm="1">
        <f t="array" ref="C4:H4">INDEX(_xlfn._xlws.SORT(_xlfn._xlws.FILTER(Data!$C:$H, (Data!$L:$L="Y"),""),3),B4)</f>
        <v>Fed Blackout Period</v>
      </c>
      <c r="D4" s="179">
        <v>46130</v>
      </c>
      <c r="E4" s="164">
        <v>-12</v>
      </c>
      <c r="F4" s="164" t="str">
        <v>BULLISH</v>
      </c>
      <c r="G4" s="179">
        <v>46130</v>
      </c>
      <c r="H4" s="179">
        <v>46189</v>
      </c>
      <c r="K4" s="168" t="s">
        <v>1925</v>
      </c>
      <c r="L4" s="166" t="str">
        <f>_xlfn.XLOOKUP(M4,MA!C:C,MA!H:H,"")</f>
        <v/>
      </c>
      <c r="M4" s="186" t="s">
        <v>324</v>
      </c>
      <c r="N4" s="186" t="s">
        <v>209</v>
      </c>
      <c r="O4" s="54" t="str">
        <f>_xlfn.XLOOKUP(M4,MA!C:C,MA!VP:VP,"")</f>
        <v/>
      </c>
      <c r="P4" s="54" t="str">
        <f>_xlfn.XLOOKUP(M4,MA!C:C,MA!VQ:VQ,"")</f>
        <v/>
      </c>
      <c r="Q4" s="54"/>
      <c r="R4" s="54"/>
      <c r="S4" s="164" t="str">
        <f>_xlfn.XLOOKUP(M4,MA!C:C,MA!D:D,"")</f>
        <v/>
      </c>
      <c r="T4" s="164" t="str">
        <f>_xlfn.XLOOKUP(M4,MA!C:C,MA!K:K,"")</f>
        <v/>
      </c>
      <c r="U4" s="164" t="str">
        <f>_xlfn.XLOOKUP(M4,MA!C:C,MA!L:L,"")</f>
        <v/>
      </c>
      <c r="V4" s="177" t="e">
        <f>(T4-S4)*100/(T4-U4)</f>
        <v>#VALUE!</v>
      </c>
      <c r="X4" s="164">
        <v>22</v>
      </c>
      <c r="Y4" s="164">
        <v>40</v>
      </c>
      <c r="Z4" s="164" t="str">
        <f t="shared" si="0"/>
        <v>N</v>
      </c>
      <c r="AB4" s="169" t="str">
        <f>IF(AB18&gt;=AB14,"Y","N")</f>
        <v>Y</v>
      </c>
      <c r="AC4" s="168" t="s">
        <v>1496</v>
      </c>
      <c r="AF4" s="54" t="s">
        <v>1408</v>
      </c>
      <c r="AG4" s="156">
        <f>MAX(etf!C:C)</f>
        <v>46019</v>
      </c>
      <c r="AH4" s="156">
        <f>EDATE($AB$2, -1)</f>
        <v>46111</v>
      </c>
      <c r="AJ4" s="54" t="s">
        <v>1339</v>
      </c>
      <c r="AK4" s="54">
        <v>100000</v>
      </c>
      <c r="AM4" s="54" t="s">
        <v>1977</v>
      </c>
      <c r="AN4" s="156">
        <f>WORKDAY(AN2,-3)</f>
        <v>46139</v>
      </c>
      <c r="AO4" s="354">
        <f>_xlfn.MAXIFS(TD!B:B,TD!B:B,"&lt;=" &amp; AN4)</f>
        <v>0</v>
      </c>
      <c r="AP4" s="354">
        <f>_xlfn.MAXIFS(TL!B:B,TL!B:B,"&lt;=" &amp; AN4)</f>
        <v>0</v>
      </c>
      <c r="AQ4" s="354">
        <f>_xlfn.MAXIFS(TW!B:B,TW!B:B,"&lt;=" &amp; AN4)</f>
        <v>0</v>
      </c>
      <c r="AR4" s="354">
        <f t="shared" si="1"/>
        <v>0</v>
      </c>
      <c r="AS4" s="354">
        <f>_xlfn.MAXIFS(TO!B:B,TO!B:B,"&lt;=" &amp; AN4)</f>
        <v>0</v>
      </c>
    </row>
    <row r="5" spans="1:45" x14ac:dyDescent="0.2">
      <c r="A5" s="54" t="s">
        <v>1599</v>
      </c>
      <c r="B5" s="54">
        <v>2</v>
      </c>
      <c r="C5" s="168" t="str" cm="1">
        <f t="array" ref="C5:H5">INDEX(_xlfn._xlws.SORT(_xlfn._xlws.FILTER(Data!$C:$H, (Data!$L:$L="Y"),""),3),B5)</f>
        <v>Month end marking - 3 days before - Buy CAlls</v>
      </c>
      <c r="D5" s="180">
        <v>46142</v>
      </c>
      <c r="E5" s="164">
        <v>-3</v>
      </c>
      <c r="F5" s="164" t="str">
        <v>BULLISH</v>
      </c>
      <c r="G5" s="180">
        <v>46139</v>
      </c>
      <c r="H5" s="180">
        <v>46142</v>
      </c>
      <c r="K5" s="168" t="s">
        <v>163</v>
      </c>
      <c r="L5" s="166" t="str">
        <f>_xlfn.XLOOKUP(M5,MA!C:C,MA!H:H,"")</f>
        <v/>
      </c>
      <c r="M5" s="186" t="s">
        <v>152</v>
      </c>
      <c r="N5" s="186" t="s">
        <v>1556</v>
      </c>
      <c r="O5" s="54" t="str">
        <f>_xlfn.XLOOKUP(M5,MA!C:C,MA!VP:VP,"")</f>
        <v/>
      </c>
      <c r="P5" s="54" t="str">
        <f>_xlfn.XLOOKUP(M5,MA!C:C,MA!VQ:VQ,"")</f>
        <v/>
      </c>
      <c r="Q5" s="54"/>
      <c r="R5" s="54"/>
      <c r="S5" s="164" t="str">
        <f>_xlfn.XLOOKUP(M5,MA!C:C,MA!D:D,"")</f>
        <v/>
      </c>
      <c r="T5" s="164" t="str">
        <f>_xlfn.XLOOKUP(M5,MA!C:C,MA!K:K,"")</f>
        <v/>
      </c>
      <c r="U5" s="164" t="str">
        <f>_xlfn.XLOOKUP(M5,MA!C:C,MA!L:L,"")</f>
        <v/>
      </c>
      <c r="V5" s="177" t="e">
        <f>(T5-S5)*100/(T5-U5)</f>
        <v>#VALUE!</v>
      </c>
      <c r="X5" s="164">
        <v>22</v>
      </c>
      <c r="Y5" s="164">
        <v>32</v>
      </c>
      <c r="Z5" s="164" t="str">
        <f t="shared" si="0"/>
        <v>N</v>
      </c>
      <c r="AB5" s="169" t="str">
        <f>IF(AB22&gt;=AB14,"Y","N")</f>
        <v>Y</v>
      </c>
      <c r="AC5" s="168" t="s">
        <v>1596</v>
      </c>
      <c r="AF5" s="54" t="s">
        <v>1338</v>
      </c>
      <c r="AG5" s="156">
        <f>MAX(psRk!A:A)</f>
        <v>46146</v>
      </c>
      <c r="AJ5" s="54" t="s">
        <v>132</v>
      </c>
      <c r="AK5" s="54">
        <v>20000</v>
      </c>
      <c r="AM5" s="54" t="s">
        <v>1186</v>
      </c>
      <c r="AN5" s="156">
        <f>WORKDAY(AN2,-5)</f>
        <v>46135</v>
      </c>
      <c r="AO5" s="354">
        <f>_xlfn.MAXIFS(TD!B:B,TD!B:B,"&lt;=" &amp; AN5)</f>
        <v>0</v>
      </c>
      <c r="AP5" s="354">
        <f>_xlfn.MAXIFS(TL!B:B,TL!B:B,"&lt;=" &amp; AN5)</f>
        <v>0</v>
      </c>
      <c r="AQ5" s="354">
        <f>_xlfn.MAXIFS(TW!B:B,TW!B:B,"&lt;=" &amp; AN5)</f>
        <v>0</v>
      </c>
      <c r="AR5" s="354">
        <f t="shared" si="1"/>
        <v>0</v>
      </c>
      <c r="AS5" s="354">
        <f>_xlfn.MAXIFS(TO!B:B,TO!B:B,"&lt;=" &amp; AN5)</f>
        <v>0</v>
      </c>
    </row>
    <row r="6" spans="1:45" x14ac:dyDescent="0.2">
      <c r="A6" s="54" t="s">
        <v>1600</v>
      </c>
      <c r="B6" s="54">
        <v>3</v>
      </c>
      <c r="C6" s="168" t="str" cm="1">
        <f t="array" ref="C6:H6">INDEX(_xlfn._xlws.SORT(_xlfn._xlws.FILTER(Data!$C:$H, (Data!$L:$L="Y"),""),3),B6)</f>
        <v>Month end marking - 3 days after  - Buy Puts (Crypto)</v>
      </c>
      <c r="D6" s="180">
        <v>46142</v>
      </c>
      <c r="E6" s="164">
        <v>-2</v>
      </c>
      <c r="F6" s="164" t="str">
        <v>BEARISH</v>
      </c>
      <c r="G6" s="180">
        <v>46140</v>
      </c>
      <c r="H6" s="180">
        <v>46147</v>
      </c>
      <c r="K6" s="168" t="s">
        <v>161</v>
      </c>
      <c r="L6" s="166" t="str">
        <f>_xlfn.XLOOKUP(M6,MA!C:C,MA!H:H,"")</f>
        <v/>
      </c>
      <c r="M6" s="186" t="s">
        <v>321</v>
      </c>
      <c r="N6" s="186" t="s">
        <v>1557</v>
      </c>
      <c r="O6" s="54" t="str">
        <f>_xlfn.XLOOKUP(M6,MA!C:C,MA!VP:VP,"")</f>
        <v/>
      </c>
      <c r="P6" s="54" t="str">
        <f>_xlfn.XLOOKUP(M6,MA!C:C,MA!VQ:VQ,"")</f>
        <v/>
      </c>
      <c r="Q6" s="54"/>
      <c r="R6" s="54"/>
      <c r="S6" s="164" t="str">
        <f>_xlfn.XLOOKUP(M6,MA!C:C,MA!D:D,"")</f>
        <v/>
      </c>
      <c r="T6" s="164" t="str">
        <f>_xlfn.XLOOKUP(M6,MA!C:C,MA!K:K,"")</f>
        <v/>
      </c>
      <c r="U6" s="164" t="str">
        <f>_xlfn.XLOOKUP(M6,MA!C:C,MA!L:L,"")</f>
        <v/>
      </c>
      <c r="V6" s="177" t="e">
        <f>(T6-S6)*100/(T6-U6)</f>
        <v>#VALUE!</v>
      </c>
      <c r="X6" s="164">
        <v>26</v>
      </c>
      <c r="Y6" s="164">
        <v>32</v>
      </c>
      <c r="Z6" s="164" t="str">
        <f t="shared" si="0"/>
        <v>N</v>
      </c>
      <c r="AB6" s="163" t="s">
        <v>284</v>
      </c>
      <c r="AC6" s="168" t="s">
        <v>1495</v>
      </c>
      <c r="AF6" s="54" t="s">
        <v>1339</v>
      </c>
      <c r="AG6" s="156">
        <f>MAX(ssH!B:B)</f>
        <v>46140</v>
      </c>
      <c r="AH6" s="156">
        <f>EDATE($AB$2, -1)</f>
        <v>46111</v>
      </c>
      <c r="AM6" s="54" t="s">
        <v>1890</v>
      </c>
      <c r="AN6" s="156">
        <f>WORKDAY(AN2,-5*3)</f>
        <v>46121</v>
      </c>
      <c r="AO6" s="354">
        <f>_xlfn.MAXIFS(TD!B:B,TD!B:B,"&lt;=" &amp; AN6)</f>
        <v>0</v>
      </c>
      <c r="AP6" s="354">
        <f>_xlfn.MAXIFS(TL!B:B,TL!B:B,"&lt;=" &amp; AN6)</f>
        <v>0</v>
      </c>
      <c r="AQ6" s="354">
        <f>_xlfn.MAXIFS(TW!B:B,TW!B:B,"&lt;=" &amp; AN6)</f>
        <v>0</v>
      </c>
      <c r="AR6" s="354">
        <f t="shared" si="1"/>
        <v>0</v>
      </c>
      <c r="AS6" s="354">
        <f>_xlfn.MAXIFS(TO!B:B,TO!B:B,"&lt;=" &amp; AN6)</f>
        <v>0</v>
      </c>
    </row>
    <row r="7" spans="1:45" x14ac:dyDescent="0.2">
      <c r="A7" s="54" t="s">
        <v>1601</v>
      </c>
      <c r="B7" s="54">
        <v>4</v>
      </c>
      <c r="C7" s="168" t="str" cm="1">
        <f t="array" ref="C7:H7">INDEX(_xlfn._xlws.SORT(_xlfn._xlws.FILTER(Data!$C:$H, (Data!$L:$L="Y"),""),3),B7)</f>
        <v>Personal Consumption Expenditures - PCE</v>
      </c>
      <c r="D7" s="180">
        <v>46142</v>
      </c>
      <c r="E7" s="164">
        <v>-1</v>
      </c>
      <c r="F7" s="164">
        <v>0</v>
      </c>
      <c r="G7" s="180">
        <v>46141</v>
      </c>
      <c r="H7" s="180">
        <v>46141</v>
      </c>
      <c r="K7" s="168" t="s">
        <v>160</v>
      </c>
      <c r="L7" s="166" t="str">
        <f>_xlfn.XLOOKUP(M7,MA!C:C,MA!H:H,"")</f>
        <v/>
      </c>
      <c r="M7" s="186" t="s">
        <v>323</v>
      </c>
      <c r="N7" s="186" t="s">
        <v>1558</v>
      </c>
      <c r="O7" s="54" t="str">
        <f>_xlfn.XLOOKUP(M7,MA!C:C,MA!VP:VP,"")</f>
        <v/>
      </c>
      <c r="P7" s="54" t="str">
        <f>_xlfn.XLOOKUP(M7,MA!C:C,MA!VQ:VQ,"")</f>
        <v/>
      </c>
      <c r="Q7" s="54"/>
      <c r="R7" s="54"/>
      <c r="S7" s="164" t="str">
        <f>_xlfn.XLOOKUP(M7,MA!C:C,MA!D:D,"")</f>
        <v/>
      </c>
      <c r="T7" s="164" t="str">
        <f>_xlfn.XLOOKUP(M7,MA!C:C,MA!K:K,"")</f>
        <v/>
      </c>
      <c r="U7" s="164" t="str">
        <f>_xlfn.XLOOKUP(M7,MA!C:C,MA!L:L,"")</f>
        <v/>
      </c>
      <c r="V7" s="177" t="e">
        <f t="shared" ref="V7:V15" si="2">(T7-S7)*100/(T7-U7)</f>
        <v>#VALUE!</v>
      </c>
      <c r="X7" s="164">
        <v>30</v>
      </c>
      <c r="Y7" s="164">
        <v>50</v>
      </c>
      <c r="Z7" s="164" t="str">
        <f t="shared" si="0"/>
        <v>N</v>
      </c>
      <c r="AB7" s="163" t="s">
        <v>285</v>
      </c>
      <c r="AC7" s="168" t="s">
        <v>1450</v>
      </c>
      <c r="AF7" s="54" t="s">
        <v>1657</v>
      </c>
      <c r="AH7" s="156">
        <f>EDATE($AB$2, -1)</f>
        <v>46111</v>
      </c>
      <c r="AM7" s="54" t="s">
        <v>1194</v>
      </c>
      <c r="AN7" s="156">
        <f>WORKDAY(AN2,-5*4)</f>
        <v>46114</v>
      </c>
      <c r="AO7" s="354">
        <f>_xlfn.MAXIFS(TD!B:B,TD!B:B,"&lt;=" &amp; AN7)</f>
        <v>0</v>
      </c>
      <c r="AP7" s="354">
        <f>_xlfn.MAXIFS(TL!B:B,TL!B:B,"&lt;=" &amp; AN7)</f>
        <v>0</v>
      </c>
      <c r="AQ7" s="354">
        <f>_xlfn.MAXIFS(TW!B:B,TW!B:B,"&lt;=" &amp; AN7)</f>
        <v>0</v>
      </c>
      <c r="AR7" s="354">
        <f t="shared" si="1"/>
        <v>0</v>
      </c>
      <c r="AS7" s="354">
        <f>_xlfn.MAXIFS(TO!B:B,TO!B:B,"&lt;=" &amp; AN7)</f>
        <v>0</v>
      </c>
    </row>
    <row r="8" spans="1:45" x14ac:dyDescent="0.2">
      <c r="A8" s="54" t="s">
        <v>1602</v>
      </c>
      <c r="B8" s="54">
        <v>5</v>
      </c>
      <c r="C8" s="168" t="str" cm="1">
        <f t="array" ref="C8:H8">INDEX(_xlfn._xlws.SORT(_xlfn._xlws.FILTER(Data!$C:$H, (Data!$L:$L="Y"),""),3),B8)</f>
        <v xml:space="preserve">Gross domestic product - GDP </v>
      </c>
      <c r="D8" s="180">
        <v>46142</v>
      </c>
      <c r="E8" s="164">
        <v>-1</v>
      </c>
      <c r="F8" s="164">
        <v>0</v>
      </c>
      <c r="G8" s="180">
        <v>46141</v>
      </c>
      <c r="H8" s="180">
        <v>46141</v>
      </c>
      <c r="K8" s="168" t="s">
        <v>154</v>
      </c>
      <c r="L8" s="166" t="str">
        <f>_xlfn.XLOOKUP(M8,MA!C:C,MA!H:H,"")</f>
        <v/>
      </c>
      <c r="M8" s="186" t="s">
        <v>322</v>
      </c>
      <c r="N8" s="186" t="s">
        <v>288</v>
      </c>
      <c r="O8" s="54" t="str">
        <f>_xlfn.XLOOKUP(M8,MA!C:C,MA!VP:VP,"")</f>
        <v/>
      </c>
      <c r="P8" s="54" t="str">
        <f>_xlfn.XLOOKUP(M8,MA!C:C,MA!VQ:VQ,"")</f>
        <v/>
      </c>
      <c r="Q8" s="54"/>
      <c r="R8" s="54"/>
      <c r="S8" s="164" t="str">
        <f>_xlfn.XLOOKUP(M8,MA!C:C,MA!D:D,"")</f>
        <v/>
      </c>
      <c r="T8" s="164" t="str">
        <f>_xlfn.XLOOKUP(M8,MA!C:C,MA!K:K,"")</f>
        <v/>
      </c>
      <c r="U8" s="164" t="str">
        <f>_xlfn.XLOOKUP(M8,MA!C:C,MA!L:L,"")</f>
        <v/>
      </c>
      <c r="V8" s="177" t="e">
        <f t="shared" si="2"/>
        <v>#VALUE!</v>
      </c>
      <c r="X8" s="164">
        <v>100</v>
      </c>
      <c r="Y8" s="164">
        <v>120</v>
      </c>
      <c r="Z8" s="164" t="str">
        <f t="shared" si="0"/>
        <v>N</v>
      </c>
      <c r="AB8" s="156">
        <v>46141</v>
      </c>
      <c r="AC8" s="168" t="s">
        <v>1442</v>
      </c>
      <c r="AM8" s="54" t="s">
        <v>3332</v>
      </c>
      <c r="AN8" s="156">
        <f>WORKDAY(AN2,-5*4*2)</f>
        <v>46086</v>
      </c>
      <c r="AO8" s="354">
        <f>_xlfn.MAXIFS(TD!B:B,TD!B:B,"&lt;=" &amp; AN8)</f>
        <v>0</v>
      </c>
      <c r="AP8" s="354">
        <f>_xlfn.MAXIFS(TL!B:B,TL!B:B,"&lt;=" &amp; AN8)</f>
        <v>0</v>
      </c>
      <c r="AQ8" s="354">
        <f>_xlfn.MAXIFS(TW!B:B,TW!B:B,"&lt;=" &amp; AN8)</f>
        <v>0</v>
      </c>
      <c r="AR8" s="354">
        <f t="shared" si="1"/>
        <v>0</v>
      </c>
      <c r="AS8" s="354">
        <f>_xlfn.MAXIFS(TO!B:B,TO!B:B,"&lt;=" &amp; AN8)</f>
        <v>0</v>
      </c>
    </row>
    <row r="9" spans="1:45" x14ac:dyDescent="0.2">
      <c r="A9" s="54" t="s">
        <v>1603</v>
      </c>
      <c r="B9" s="54">
        <v>6</v>
      </c>
      <c r="C9" s="168" t="str" cm="1">
        <f t="array" ref="C9:H9">INDEX(_xlfn._xlws.SORT(_xlfn._xlws.FILTER(Data!$C:$H, (Data!$L:$L="Y"),""),3),B9)</f>
        <v>Pending Home Sales</v>
      </c>
      <c r="D9" s="180">
        <v>46142</v>
      </c>
      <c r="E9" s="164">
        <v>-1</v>
      </c>
      <c r="F9" s="164">
        <v>0</v>
      </c>
      <c r="G9" s="180">
        <v>46141</v>
      </c>
      <c r="H9" s="180">
        <v>46141</v>
      </c>
      <c r="K9" s="168" t="s">
        <v>758</v>
      </c>
      <c r="L9" s="166" t="str">
        <f>_xlfn.XLOOKUP(M9,MA!C:C,MA!H:H,"")</f>
        <v/>
      </c>
      <c r="M9" s="186" t="s">
        <v>759</v>
      </c>
      <c r="N9" s="186" t="s">
        <v>757</v>
      </c>
      <c r="O9" s="54" t="str">
        <f>_xlfn.XLOOKUP(M9,MA!C:C,MA!VP:VP,"")</f>
        <v/>
      </c>
      <c r="P9" s="54" t="str">
        <f>_xlfn.XLOOKUP(M9,MA!C:C,MA!VQ:VQ,"")</f>
        <v/>
      </c>
      <c r="Q9" s="54"/>
      <c r="R9" s="54"/>
      <c r="S9" s="164" t="str">
        <f>_xlfn.XLOOKUP(M9,MA!C:C,MA!D:D,"")</f>
        <v/>
      </c>
      <c r="T9" s="164" t="str">
        <f>_xlfn.XLOOKUP(M9,MA!C:C,MA!K:K,"")</f>
        <v/>
      </c>
      <c r="U9" s="164" t="str">
        <f>_xlfn.XLOOKUP(M9,MA!C:C,MA!L:L,"")</f>
        <v/>
      </c>
      <c r="V9" s="177" t="e">
        <f t="shared" si="2"/>
        <v>#VALUE!</v>
      </c>
      <c r="X9" s="164">
        <v>20</v>
      </c>
      <c r="Y9" s="164">
        <v>30</v>
      </c>
      <c r="Z9" s="164" t="str">
        <f t="shared" si="0"/>
        <v>N</v>
      </c>
      <c r="AB9" s="170">
        <f ca="1">IF(AND(WORKDAY(Dash!$AB$2-1,1,Data!$O$2:$O$31)=Dash!$AB$2, OR(Dash!$AB$2&lt;TODAY(),HOUR(NOW())&gt;=16)), Dash!$AB$2, WORKDAY(Dash!$AB$2,-1,Data!$O$2:$O$31))</f>
        <v>46142</v>
      </c>
      <c r="AC9" s="168" t="s">
        <v>953</v>
      </c>
    </row>
    <row r="10" spans="1:45" x14ac:dyDescent="0.2">
      <c r="A10" s="54" t="s">
        <v>1604</v>
      </c>
      <c r="B10" s="54">
        <v>7</v>
      </c>
      <c r="C10" s="168" t="str" cm="1">
        <f t="array" ref="C10:H10">INDEX(_xlfn._xlws.SORT(_xlfn._xlws.FILTER(Data!$C:$H, (Data!$L:$L="Y"),""),3),B10)</f>
        <v xml:space="preserve">Nonfarm payrolls </v>
      </c>
      <c r="D10" s="180">
        <v>46143</v>
      </c>
      <c r="E10" s="164">
        <v>0</v>
      </c>
      <c r="F10" s="164" t="str">
        <v>BEARISH</v>
      </c>
      <c r="G10" s="180">
        <v>46142</v>
      </c>
      <c r="H10" s="180">
        <v>46142</v>
      </c>
      <c r="K10" s="183"/>
      <c r="L10" s="172"/>
      <c r="M10" s="187"/>
      <c r="N10" s="187"/>
      <c r="O10" s="54">
        <f>_xlfn.XLOOKUP(M10,MA!C:C,MA!VP:VP,"")</f>
        <v>0</v>
      </c>
      <c r="P10" s="54">
        <f>_xlfn.XLOOKUP(M10,MA!C:C,MA!VQ:VQ,"")</f>
        <v>0</v>
      </c>
      <c r="Q10" s="187"/>
      <c r="R10" s="187"/>
      <c r="S10" s="171"/>
      <c r="T10" s="171"/>
      <c r="U10" s="171"/>
      <c r="V10" s="171"/>
      <c r="W10" s="171"/>
      <c r="X10" s="171"/>
      <c r="Y10" s="171"/>
      <c r="Z10" s="171"/>
      <c r="AB10" s="170">
        <f ca="1">WORKDAY(AB9,-1,Data!$O$2:$O$31)</f>
        <v>46141</v>
      </c>
      <c r="AC10" s="168" t="s">
        <v>760</v>
      </c>
    </row>
    <row r="11" spans="1:45" x14ac:dyDescent="0.2">
      <c r="A11" s="54" t="s">
        <v>1605</v>
      </c>
      <c r="B11" s="54">
        <v>8</v>
      </c>
      <c r="C11" s="168" t="str" cm="1">
        <f t="array" ref="C11:H11">INDEX(_xlfn._xlws.SORT(_xlfn._xlws.FILTER(Data!$C:$H, (Data!$L:$L="Y"),""),3),B11)</f>
        <v xml:space="preserve">ISM Mfg </v>
      </c>
      <c r="D11" s="180">
        <v>46145</v>
      </c>
      <c r="E11" s="164">
        <v>1</v>
      </c>
      <c r="F11" s="164">
        <v>0</v>
      </c>
      <c r="G11" s="180">
        <v>46143</v>
      </c>
      <c r="H11" s="180">
        <v>46143</v>
      </c>
      <c r="K11" s="168" t="s">
        <v>155</v>
      </c>
      <c r="L11" s="166" t="str">
        <f>_xlfn.XLOOKUP(M11,MA!C:C,MA!H:H,"")</f>
        <v/>
      </c>
      <c r="M11" s="186" t="s">
        <v>24</v>
      </c>
      <c r="N11" s="186" t="s">
        <v>189</v>
      </c>
      <c r="O11" s="54" t="str">
        <f>_xlfn.XLOOKUP(M11,MA!C:C,MA!VP:VP,"")</f>
        <v/>
      </c>
      <c r="P11" s="54" t="str">
        <f>_xlfn.XLOOKUP(M11,MA!C:C,MA!VQ:VQ,"")</f>
        <v/>
      </c>
      <c r="Q11" s="54" t="str">
        <f>_xlfn.XLOOKUP(M11,MA!C:C,MA!IG:IG,"")</f>
        <v/>
      </c>
      <c r="R11" s="54" t="str">
        <f>_xlfn.XLOOKUP(M11,MA!C:C,MA!IS:IS,"")</f>
        <v/>
      </c>
      <c r="S11" s="164" t="str">
        <f>_xlfn.XLOOKUP(M11,MA!C:C,MA!D:D,"")</f>
        <v/>
      </c>
      <c r="T11" s="164" t="str">
        <f>_xlfn.XLOOKUP(M11,MA!C:C,MA!K:K,"")</f>
        <v/>
      </c>
      <c r="U11" s="164" t="str">
        <f>_xlfn.XLOOKUP(M11,MA!C:C,MA!L:L,"")</f>
        <v/>
      </c>
      <c r="V11" s="177" t="e">
        <f t="shared" si="2"/>
        <v>#VALUE!</v>
      </c>
      <c r="X11" s="164"/>
      <c r="Y11" s="164"/>
      <c r="Z11" s="164" t="str" cm="1">
        <f t="array" ref="Z11">_xlfn.IFS(AND(O11&gt;0,P11&gt;=0),"Y",AND(O11&lt;0,P11&lt;=0),"N",AND(O11&gt;0),"W",AND(O11=0,P11&gt;0),"W",TRUE,"")</f>
        <v>Y</v>
      </c>
      <c r="AB11" s="173">
        <f ca="1">AB10 + TIME(16,0,0)</f>
        <v>46141.666666666664</v>
      </c>
      <c r="AC11" s="54" t="s">
        <v>1595</v>
      </c>
      <c r="AM11" s="156"/>
    </row>
    <row r="12" spans="1:45" x14ac:dyDescent="0.2">
      <c r="A12" s="54" t="s">
        <v>1606</v>
      </c>
      <c r="B12" s="54">
        <v>9</v>
      </c>
      <c r="C12" s="168" t="str" cm="1">
        <f t="array" ref="C12:H12">INDEX(_xlfn._xlws.SORT(_xlfn._xlws.FILTER(Data!$C:$H, (Data!$L:$L="Y"),""),3),B12)</f>
        <v>ISM Svcs</v>
      </c>
      <c r="D12" s="180">
        <v>46146</v>
      </c>
      <c r="E12" s="164">
        <v>1</v>
      </c>
      <c r="F12" s="164">
        <v>0</v>
      </c>
      <c r="G12" s="180">
        <v>46143</v>
      </c>
      <c r="H12" s="180">
        <v>46143</v>
      </c>
      <c r="K12" s="168" t="s">
        <v>156</v>
      </c>
      <c r="L12" s="166" t="str">
        <f>_xlfn.XLOOKUP(M12,MA!C:C,MA!H:H,"")</f>
        <v/>
      </c>
      <c r="M12" s="186" t="s">
        <v>23</v>
      </c>
      <c r="N12" s="186" t="s">
        <v>190</v>
      </c>
      <c r="O12" s="54" t="str">
        <f>_xlfn.XLOOKUP(M12,MA!C:C,MA!VP:VP,"")</f>
        <v/>
      </c>
      <c r="P12" s="54" t="str">
        <f>_xlfn.XLOOKUP(M12,MA!C:C,MA!VQ:VQ,"")</f>
        <v/>
      </c>
      <c r="Q12" s="54" t="str">
        <f>_xlfn.XLOOKUP(M12,MA!C:C,MA!IG:IG,"")</f>
        <v/>
      </c>
      <c r="R12" s="54" t="str">
        <f>_xlfn.XLOOKUP(M12,MA!C:C,MA!IS:IS,"")</f>
        <v/>
      </c>
      <c r="S12" s="164" t="str">
        <f>_xlfn.XLOOKUP(M12,MA!C:C,MA!D:D,"")</f>
        <v/>
      </c>
      <c r="T12" s="164" t="str">
        <f>_xlfn.XLOOKUP(M12,MA!C:C,MA!K:K,"")</f>
        <v/>
      </c>
      <c r="U12" s="164" t="str">
        <f>_xlfn.XLOOKUP(M12,MA!C:C,MA!L:L,"")</f>
        <v/>
      </c>
      <c r="V12" s="177" t="e">
        <f t="shared" si="2"/>
        <v>#VALUE!</v>
      </c>
      <c r="X12" s="164"/>
      <c r="Y12" s="164"/>
      <c r="Z12" s="164" t="str" cm="1">
        <f t="array" ref="Z12">_xlfn.IFS(AND(O12&gt;0,P12&gt;=0),"Y",AND(O12&lt;0,P12&lt;=0),"N",AND(O12&gt;0),"W",AND(O12=0,P12&gt;0),"W",TRUE,"")</f>
        <v>Y</v>
      </c>
      <c r="AB12" s="170">
        <f>IF($AB$8&lt;&gt;"",$AB$8,IF(AB7="N",AB9,AB10))</f>
        <v>46141</v>
      </c>
      <c r="AC12" s="174" t="s">
        <v>1470</v>
      </c>
      <c r="AL12" s="354"/>
    </row>
    <row r="13" spans="1:45" x14ac:dyDescent="0.2">
      <c r="A13" s="54" t="s">
        <v>1607</v>
      </c>
      <c r="B13" s="54">
        <v>10</v>
      </c>
      <c r="C13" s="168" t="str" cm="1">
        <f t="array" ref="C13:H13">INDEX(_xlfn._xlws.SORT(_xlfn._xlws.FILTER(Data!$C:$H, (Data!$L:$L="Y"),""),3),B13)</f>
        <v>Monthly options exp - 2 weeks before (Bullish)</v>
      </c>
      <c r="D13" s="180">
        <v>46157</v>
      </c>
      <c r="E13" s="164">
        <v>1</v>
      </c>
      <c r="F13" s="164" t="str">
        <v>BULLISH</v>
      </c>
      <c r="G13" s="180">
        <v>46143</v>
      </c>
      <c r="H13" s="180">
        <v>46157</v>
      </c>
      <c r="K13" s="168" t="s">
        <v>1926</v>
      </c>
      <c r="L13" s="166" t="str">
        <f>_xlfn.XLOOKUP(M13,MA!C:C,MA!H:H,"")</f>
        <v/>
      </c>
      <c r="M13" s="186" t="s">
        <v>25</v>
      </c>
      <c r="N13" s="186" t="s">
        <v>204</v>
      </c>
      <c r="O13" s="54" t="str">
        <f>_xlfn.XLOOKUP(M13,MA!C:C,MA!VP:VP,"")</f>
        <v/>
      </c>
      <c r="P13" s="54" t="str">
        <f>_xlfn.XLOOKUP(M13,MA!C:C,MA!VQ:VQ,"")</f>
        <v/>
      </c>
      <c r="Q13" s="54" t="str">
        <f>_xlfn.XLOOKUP(M13,MA!C:C,MA!IG:IG,"")</f>
        <v/>
      </c>
      <c r="R13" s="54" t="str">
        <f>_xlfn.XLOOKUP(M13,MA!C:C,MA!IS:IS,"")</f>
        <v/>
      </c>
      <c r="S13" s="164" t="str">
        <f>_xlfn.XLOOKUP(M13,MA!C:C,MA!D:D,"")</f>
        <v/>
      </c>
      <c r="T13" s="164" t="str">
        <f>_xlfn.XLOOKUP(M13,MA!C:C,MA!K:K,"")</f>
        <v/>
      </c>
      <c r="U13" s="164" t="str">
        <f>_xlfn.XLOOKUP(M13,MA!C:C,MA!L:L,"")</f>
        <v/>
      </c>
      <c r="V13" s="177" t="e">
        <f t="shared" si="2"/>
        <v>#VALUE!</v>
      </c>
      <c r="X13" s="164"/>
      <c r="Y13" s="164"/>
      <c r="Z13" s="164" t="str" cm="1">
        <f t="array" ref="Z13">_xlfn.IFS(AND(O13&gt;0,P13&gt;=0),"Y",AND(O13&lt;0,P13&lt;=0),"N",AND(O13&gt;0),"W",AND(O13=0,P13&gt;0),"W",TRUE,"")</f>
        <v>Y</v>
      </c>
      <c r="AB13" s="173">
        <f xml:space="preserve"> AB12 + TIME(9,30,0)</f>
        <v>46141.395833333336</v>
      </c>
      <c r="AC13" s="54" t="s">
        <v>1593</v>
      </c>
    </row>
    <row r="14" spans="1:45" x14ac:dyDescent="0.2">
      <c r="A14" s="54" t="s">
        <v>1608</v>
      </c>
      <c r="B14" s="54">
        <v>11</v>
      </c>
      <c r="C14" s="168" t="str" cm="1">
        <f t="array" ref="C14:H14">INDEX(_xlfn._xlws.SORT(_xlfn._xlws.FILTER(Data!$C:$H, (Data!$L:$L="Y"),""),3),B14)</f>
        <v xml:space="preserve">ADP payrolls </v>
      </c>
      <c r="D14" s="180">
        <v>46148</v>
      </c>
      <c r="E14" s="164">
        <v>5</v>
      </c>
      <c r="F14" s="164" t="str">
        <v>BEARISH</v>
      </c>
      <c r="G14" s="180">
        <v>46147</v>
      </c>
      <c r="H14" s="180">
        <v>46147</v>
      </c>
      <c r="K14" s="168" t="s">
        <v>1363</v>
      </c>
      <c r="L14" s="166" t="str">
        <f>_xlfn.XLOOKUP(M14,MA!C:C,MA!H:H,"")</f>
        <v/>
      </c>
      <c r="M14" s="186" t="s">
        <v>19</v>
      </c>
      <c r="N14" s="186" t="s">
        <v>19</v>
      </c>
      <c r="O14" s="54" t="str">
        <f>_xlfn.XLOOKUP(M14,MA!C:C,MA!VP:VP,"")</f>
        <v/>
      </c>
      <c r="P14" s="54" t="str">
        <f>_xlfn.XLOOKUP(M14,MA!C:C,MA!VQ:VQ,"")</f>
        <v/>
      </c>
      <c r="Q14" s="54" t="str">
        <f>_xlfn.XLOOKUP(M14,MA!C:C,MA!IG:IG,"")</f>
        <v/>
      </c>
      <c r="R14" s="54" t="str">
        <f>_xlfn.XLOOKUP(M14,MA!C:C,MA!IS:IS,"")</f>
        <v/>
      </c>
      <c r="S14" s="164" t="str">
        <f>_xlfn.XLOOKUP(M14,MA!C:C,MA!D:D,"")</f>
        <v/>
      </c>
      <c r="T14" s="164" t="str">
        <f>_xlfn.XLOOKUP(M14,MA!C:C,MA!K:K,"")</f>
        <v/>
      </c>
      <c r="U14" s="164" t="str">
        <f>_xlfn.XLOOKUP(M14,MA!C:C,MA!L:L,"")</f>
        <v/>
      </c>
      <c r="V14" s="177" t="e">
        <f t="shared" si="2"/>
        <v>#VALUE!</v>
      </c>
      <c r="X14" s="164"/>
      <c r="Y14" s="164"/>
      <c r="Z14" s="164" t="str" cm="1">
        <f t="array" ref="Z14">_xlfn.IFS(AND(O14&gt;0,P14&gt;=0),"Y",AND(O14&lt;0,P14&lt;=0),"N",AND(O14&gt;0),"W",AND(O14=0,P14&gt;0),"W",TRUE,"")</f>
        <v>Y</v>
      </c>
      <c r="AB14" s="173">
        <f>AB12 + TIME(16,0,0)</f>
        <v>46141.666666666664</v>
      </c>
      <c r="AC14" s="54" t="s">
        <v>1594</v>
      </c>
    </row>
    <row r="15" spans="1:45" x14ac:dyDescent="0.2">
      <c r="A15" s="54" t="s">
        <v>1609</v>
      </c>
      <c r="B15" s="54">
        <v>12</v>
      </c>
      <c r="C15" s="168" t="str" cm="1">
        <f t="array" ref="C15:H15">INDEX(_xlfn._xlws.SORT(_xlfn._xlws.FILTER(Data!$C:$H, (Data!$L:$L="Y"),""),3),B15)</f>
        <v>New Home Sales</v>
      </c>
      <c r="D15" s="180">
        <v>46148</v>
      </c>
      <c r="E15" s="164">
        <v>5</v>
      </c>
      <c r="F15" s="164">
        <v>0</v>
      </c>
      <c r="G15" s="180">
        <v>46147</v>
      </c>
      <c r="H15" s="180">
        <v>46147</v>
      </c>
      <c r="K15" s="168" t="s">
        <v>1364</v>
      </c>
      <c r="L15" s="166" t="str">
        <f>_xlfn.XLOOKUP(M15,MA!C:C,MA!H:H,"")</f>
        <v/>
      </c>
      <c r="M15" s="186" t="s">
        <v>1129</v>
      </c>
      <c r="N15" s="186" t="s">
        <v>1129</v>
      </c>
      <c r="O15" s="54" t="str">
        <f>_xlfn.XLOOKUP(M15,MA!C:C,MA!VP:VP,"")</f>
        <v/>
      </c>
      <c r="P15" s="54" t="str">
        <f>_xlfn.XLOOKUP(M15,MA!C:C,MA!VQ:VQ,"")</f>
        <v/>
      </c>
      <c r="Q15" s="54" t="str">
        <f>_xlfn.XLOOKUP(M15,MA!C:C,MA!IG:IG,"")</f>
        <v/>
      </c>
      <c r="R15" s="54" t="str">
        <f>_xlfn.XLOOKUP(M15,MA!C:C,MA!IS:IS,"")</f>
        <v/>
      </c>
      <c r="S15" s="164" t="str">
        <f>_xlfn.XLOOKUP(M15,MA!C:C,MA!D:D,"")</f>
        <v/>
      </c>
      <c r="T15" s="164" t="str">
        <f>_xlfn.XLOOKUP(M15,MA!C:C,MA!K:K,"")</f>
        <v/>
      </c>
      <c r="U15" s="164" t="str">
        <f>_xlfn.XLOOKUP(M15,MA!C:C,MA!L:L,"")</f>
        <v/>
      </c>
      <c r="V15" s="177" t="e">
        <f t="shared" si="2"/>
        <v>#VALUE!</v>
      </c>
      <c r="X15" s="164"/>
      <c r="Y15" s="164"/>
      <c r="Z15" s="164" t="str" cm="1">
        <f t="array" ref="Z15">_xlfn.IFS(AND(O15&gt;0,P15&gt;=0),"Y",AND(O15&lt;0,P15&lt;=0),"N",AND(O15&gt;0),"W",AND(O15=0,P15&gt;0),"W",TRUE,"")</f>
        <v>Y</v>
      </c>
      <c r="AB15" s="170">
        <f>WORKDAY(Dash!$AB$12,1,Data!$O$2:$O$31)</f>
        <v>46142</v>
      </c>
      <c r="AC15" s="54" t="s">
        <v>1484</v>
      </c>
    </row>
    <row r="16" spans="1:45" x14ac:dyDescent="0.2">
      <c r="A16" s="54" t="s">
        <v>1610</v>
      </c>
      <c r="B16" s="54">
        <v>13</v>
      </c>
      <c r="C16" s="168" t="str" cm="1">
        <f t="array" ref="C16:H16">INDEX(_xlfn._xlws.SORT(_xlfn._xlws.FILTER(Data!$C:$H, (Data!$L:$L="Y"),""),3),B16)</f>
        <v>U.S. Michigan Consumer Sentiment (2 Fridy of M)</v>
      </c>
      <c r="D16" s="180">
        <v>46150</v>
      </c>
      <c r="E16" s="164">
        <v>7</v>
      </c>
      <c r="F16" s="164" t="str">
        <v>BEARISH</v>
      </c>
      <c r="G16" s="180">
        <v>46149</v>
      </c>
      <c r="H16" s="180">
        <v>46149</v>
      </c>
      <c r="K16" s="183"/>
      <c r="L16" s="172"/>
      <c r="M16" s="187"/>
      <c r="N16" s="187"/>
      <c r="O16" s="54">
        <f>_xlfn.XLOOKUP(M16,MA!C:C,MA!VP:VP,"")</f>
        <v>0</v>
      </c>
      <c r="P16" s="54">
        <f>_xlfn.XLOOKUP(M16,MA!C:C,MA!VQ:VQ,"")</f>
        <v>0</v>
      </c>
      <c r="Q16" s="54">
        <f>_xlfn.XLOOKUP(M16,MA!C:C,MA!IG:IG,"")</f>
        <v>0</v>
      </c>
      <c r="R16" s="54">
        <f>_xlfn.XLOOKUP(M16,MA!C:C,MA!IS:IS,"")</f>
        <v>0</v>
      </c>
      <c r="S16" s="171"/>
      <c r="T16" s="171"/>
      <c r="U16" s="171"/>
      <c r="V16" s="171"/>
      <c r="W16" s="171"/>
      <c r="X16" s="171"/>
      <c r="Y16" s="171"/>
      <c r="Z16" s="171"/>
      <c r="AB16" s="173">
        <f>AB15 + TIME(9,30,0)</f>
        <v>46142.395833333336</v>
      </c>
      <c r="AC16" s="54" t="s">
        <v>1591</v>
      </c>
    </row>
    <row r="17" spans="2:29" x14ac:dyDescent="0.2">
      <c r="K17" s="334" t="s">
        <v>1360</v>
      </c>
      <c r="L17" s="166" t="str">
        <f>_xlfn.XLOOKUP(M17,MA!C:C,MA!H:H,"")</f>
        <v/>
      </c>
      <c r="M17" s="186" t="s">
        <v>27</v>
      </c>
      <c r="N17" s="186" t="s">
        <v>1636</v>
      </c>
      <c r="O17" s="54" t="str">
        <f>_xlfn.XLOOKUP(M17,MA!C:C,MA!VP:VP,"")</f>
        <v/>
      </c>
      <c r="P17" s="54" t="str">
        <f>_xlfn.XLOOKUP(M17,MA!C:C,MA!VQ:VQ,"")</f>
        <v/>
      </c>
      <c r="Q17" s="54" t="str">
        <f>_xlfn.XLOOKUP(M17,MA!C:C,MA!IG:IG,"")</f>
        <v/>
      </c>
      <c r="R17" s="54" t="str">
        <f>_xlfn.XLOOKUP(M17,MA!C:C,MA!IS:IS,"")</f>
        <v/>
      </c>
      <c r="S17" s="335">
        <f>_xlfn.XLOOKUP(M17,MA!C:C,MA!D:D,0)/10</f>
        <v>0</v>
      </c>
      <c r="T17" s="335" t="str">
        <f>_xlfn.XLOOKUP(M17,MA!C:C,MA!K:K,"")</f>
        <v/>
      </c>
      <c r="U17" s="335" t="str">
        <f>_xlfn.XLOOKUP(M17,MA!C:C,MA!L:L,"")</f>
        <v/>
      </c>
      <c r="V17" s="336" t="e">
        <f>(S17-U17)*100/(T17-U17)</f>
        <v>#VALUE!</v>
      </c>
      <c r="X17" s="164"/>
      <c r="Y17" s="164"/>
      <c r="Z17" s="164" t="str" cm="1">
        <f t="array" ref="Z17">_xlfn.IFS(O17&gt;0,"Y",O17&lt;0,"N",TRUE,"")</f>
        <v>Y</v>
      </c>
      <c r="AB17" s="173">
        <f>AB15 + TIME(16,0,0)</f>
        <v>46142.666666666664</v>
      </c>
      <c r="AC17" s="54" t="s">
        <v>1592</v>
      </c>
    </row>
    <row r="18" spans="2:29" x14ac:dyDescent="0.2">
      <c r="K18" s="334" t="s">
        <v>1361</v>
      </c>
      <c r="L18" s="166" t="str">
        <f>_xlfn.XLOOKUP(M18,MA!C:C,MA!H:H,"")</f>
        <v/>
      </c>
      <c r="M18" s="186" t="s">
        <v>26</v>
      </c>
      <c r="N18" s="186" t="s">
        <v>1635</v>
      </c>
      <c r="O18" s="54" t="str">
        <f>_xlfn.XLOOKUP(M18,MA!C:C,MA!VP:VP,"")</f>
        <v/>
      </c>
      <c r="P18" s="54" t="str">
        <f>_xlfn.XLOOKUP(M18,MA!C:C,MA!VQ:VQ,"")</f>
        <v/>
      </c>
      <c r="Q18" s="54" t="str">
        <f>_xlfn.XLOOKUP(M18,MA!C:C,MA!IG:IG,"")</f>
        <v/>
      </c>
      <c r="R18" s="54" t="str">
        <f>_xlfn.XLOOKUP(M18,MA!C:C,MA!IS:IS,"")</f>
        <v/>
      </c>
      <c r="S18" s="335">
        <f>_xlfn.XLOOKUP(M18,MA!C:C,MA!D:D,0)/10</f>
        <v>0</v>
      </c>
      <c r="T18" s="335" t="str">
        <f>_xlfn.XLOOKUP(M18,MA!C:C,MA!K:K,"")</f>
        <v/>
      </c>
      <c r="U18" s="335" t="str">
        <f>_xlfn.XLOOKUP(M18,MA!C:C,MA!L:L,"")</f>
        <v/>
      </c>
      <c r="V18" s="336" t="e">
        <f>(S18-U18)*100/(T18-U18)</f>
        <v>#VALUE!</v>
      </c>
      <c r="X18" s="164"/>
      <c r="Y18" s="164"/>
      <c r="Z18" s="164" t="str" cm="1">
        <f t="array" ref="Z18">_xlfn.IFS(O18&gt;0,"Y",O18&lt;0,"N",TRUE,"")</f>
        <v>Y</v>
      </c>
      <c r="AB18" s="173">
        <f>_xlfn.MAXIFS(TW!B:B,TW!B:B,"&lt;=" &amp; AB16)</f>
        <v>46141.6875</v>
      </c>
      <c r="AC18" s="54" t="s">
        <v>1842</v>
      </c>
    </row>
    <row r="19" spans="2:29" x14ac:dyDescent="0.2">
      <c r="K19" s="334" t="s">
        <v>1362</v>
      </c>
      <c r="L19" s="166" t="e">
        <f>_xlfn.XLOOKUP(MA!#REF!&amp;M19,Y!$D:$D,Y!$M:$M)</f>
        <v>#REF!</v>
      </c>
      <c r="M19" s="186" t="s">
        <v>1633</v>
      </c>
      <c r="N19" s="186" t="s">
        <v>1955</v>
      </c>
      <c r="O19" s="54" t="str">
        <f>_xlfn.XLOOKUP(M19,MA!C:C,MA!VP:VP,"")</f>
        <v/>
      </c>
      <c r="P19" s="54" t="str">
        <f>_xlfn.XLOOKUP(M19,MA!C:C,MA!VQ:VQ,"")</f>
        <v/>
      </c>
      <c r="Q19" s="54" t="str">
        <f>_xlfn.XLOOKUP(M19,MA!C:C,MA!IG:IG,"")</f>
        <v/>
      </c>
      <c r="R19" s="54" t="str">
        <f>_xlfn.XLOOKUP(M19,MA!C:C,MA!IS:IS,"")</f>
        <v/>
      </c>
      <c r="S19" s="335" t="e">
        <f ca="1">_xlfn.XLOOKUP($AB$23&amp;M19,Y!$D:$D,Y!$K:$K)</f>
        <v>#N/A</v>
      </c>
      <c r="T19" s="335" t="e">
        <f>_xlfn.XLOOKUP(N19,RR!F:F,RR!I:I)</f>
        <v>#N/A</v>
      </c>
      <c r="U19" s="335" t="e">
        <f>_xlfn.XLOOKUP(N19,RR!F:F,RR!J:J)</f>
        <v>#N/A</v>
      </c>
      <c r="V19" s="336" t="e">
        <f ca="1">(S19-U19)*100/(T19-U19)</f>
        <v>#N/A</v>
      </c>
      <c r="X19" s="164"/>
      <c r="Y19" s="164"/>
      <c r="Z19" s="164" t="str" cm="1">
        <f t="array" ref="Z19">_xlfn.IFS(O19&gt;0,"Y",O19&lt;0,"N",TRUE,"")</f>
        <v>Y</v>
      </c>
      <c r="AB19" s="173">
        <f>_xlfn.MAXIFS(TD!B:B,TD!B:B,"&gt;=" &amp; AB14,TD!B:B,"&lt;=" &amp; AB16)</f>
        <v>46141.6875</v>
      </c>
      <c r="AC19" s="54" t="s">
        <v>1843</v>
      </c>
    </row>
    <row r="20" spans="2:29" x14ac:dyDescent="0.2">
      <c r="B20" s="54" t="s">
        <v>28</v>
      </c>
      <c r="C20" s="168" t="s">
        <v>301</v>
      </c>
      <c r="F20" s="161" t="s">
        <v>1747</v>
      </c>
      <c r="G20" s="161" t="s">
        <v>3477</v>
      </c>
      <c r="K20" s="183"/>
      <c r="L20" s="172"/>
      <c r="M20" s="187"/>
      <c r="N20" s="187"/>
      <c r="O20" s="54">
        <f>_xlfn.XLOOKUP(M20,MA!C:C,MA!VP:VP,"")</f>
        <v>0</v>
      </c>
      <c r="P20" s="54">
        <f>_xlfn.XLOOKUP(M20,MA!C:C,MA!VQ:VQ,"")</f>
        <v>0</v>
      </c>
      <c r="Q20" s="54">
        <f>_xlfn.XLOOKUP(M20,MA!C:C,MA!IG:IG,"")</f>
        <v>0</v>
      </c>
      <c r="R20" s="54">
        <f>_xlfn.XLOOKUP(M20,MA!C:C,MA!IS:IS,"")</f>
        <v>0</v>
      </c>
      <c r="S20" s="171"/>
      <c r="T20" s="171"/>
      <c r="U20" s="171"/>
      <c r="V20" s="171"/>
      <c r="W20" s="171"/>
      <c r="X20" s="171"/>
      <c r="Y20" s="171"/>
      <c r="Z20" s="171"/>
      <c r="AB20" s="173">
        <f>_xlfn.MAXIFS(TO!B:B,TO!B:B,"&gt;=" &amp; AN5,TO!B:B,"&lt;=" &amp; AB16)</f>
        <v>46139.6875</v>
      </c>
      <c r="AC20" s="54" t="s">
        <v>3338</v>
      </c>
    </row>
    <row r="21" spans="2:29" x14ac:dyDescent="0.2">
      <c r="B21" s="54" t="e" cm="1" vm="1">
        <f t="array" aca="1" ref="B21" ca="1">_xlfn._xlws.SORT(_xlfn._xlws.FILTER(MA!JA2:JB179,(MA!JB2:JB179&gt;=0)*(MA!JB2:JB179&lt;7)*(MA!UY2:UY179=1)),2,1)</f>
        <v>#VALUE!</v>
      </c>
      <c r="F21" s="54" t="e" vm="2">
        <f ca="1">IF(B21&lt;&gt;"",_xlfn.XLOOKUP(B21,MA!C:C,MA!VP:VP,""),"")</f>
        <v>#VALUE!</v>
      </c>
      <c r="G21" s="54" t="e" vm="2">
        <f ca="1">IF(B21&lt;&gt;"",_xlfn.XLOOKUP(B21,MA!C:C,MA!VQ:VQ,""),"")</f>
        <v>#VALUE!</v>
      </c>
      <c r="K21" s="168" t="s">
        <v>84</v>
      </c>
      <c r="L21" s="166" t="str">
        <f>_xlfn.XLOOKUP(M21,MA!C:C,MA!H:H,"")</f>
        <v/>
      </c>
      <c r="M21" s="186" t="s">
        <v>119</v>
      </c>
      <c r="N21" s="186" t="s">
        <v>289</v>
      </c>
      <c r="O21" s="54" t="str">
        <f>_xlfn.XLOOKUP(M21,MA!C:C,MA!VP:VP,"")</f>
        <v/>
      </c>
      <c r="P21" s="54" t="str">
        <f>_xlfn.XLOOKUP(M21,MA!C:C,MA!VQ:VQ,"")</f>
        <v/>
      </c>
      <c r="Q21" s="54" t="str">
        <f>_xlfn.XLOOKUP(M21,MA!C:C,MA!IG:IG,"")</f>
        <v/>
      </c>
      <c r="R21" s="54" t="str">
        <f>_xlfn.XLOOKUP(M21,MA!C:C,MA!IS:IS,"")</f>
        <v/>
      </c>
      <c r="S21" s="164" t="str">
        <f>_xlfn.XLOOKUP(M21,MA!C:C,MA!D:D,"")</f>
        <v/>
      </c>
      <c r="T21" s="164" t="str">
        <f>_xlfn.XLOOKUP(M21,MA!C:C,MA!K:K,"")</f>
        <v/>
      </c>
      <c r="U21" s="164" t="str">
        <f>_xlfn.XLOOKUP(M21,MA!C:C,MA!L:L,"")</f>
        <v/>
      </c>
      <c r="V21" s="177" t="e">
        <f t="shared" ref="V21:V70" si="3">(T21-S21)*100/(T21-U21)</f>
        <v>#VALUE!</v>
      </c>
      <c r="X21" s="164">
        <v>100</v>
      </c>
      <c r="Y21" s="164">
        <v>105</v>
      </c>
      <c r="Z21" s="164" t="str" cm="1">
        <f t="array" ref="Z21">_xlfn.IFS(AND(O21&gt;0,P21&gt;=0),"Y",AND(O21&lt;0,P21&lt;=0),"N",AND(O21&gt;0),"W",AND(O21=0,P21&gt;0),"W",TRUE,"")</f>
        <v>Y</v>
      </c>
      <c r="AB21" s="175">
        <f>_xlfn.MAXIFS(TL!B:B,TL!B:B,"&gt;=" &amp; AB13,TL!B:B,"&lt;=" &amp; AB17)</f>
        <v>46141.6875</v>
      </c>
      <c r="AC21" s="54" t="s">
        <v>1844</v>
      </c>
    </row>
    <row r="22" spans="2:29" x14ac:dyDescent="0.2">
      <c r="F22" s="54" t="str">
        <f>IF(B22&lt;&gt;"",_xlfn.XLOOKUP(B22,MA!C:C,MA!VP:VP,""),"")</f>
        <v/>
      </c>
      <c r="G22" s="54" t="str">
        <f>IF(B22&lt;&gt;"",_xlfn.XLOOKUP(B22,MA!C:C,MA!VQ:VQ,""),"")</f>
        <v/>
      </c>
      <c r="K22" s="168" t="s">
        <v>3204</v>
      </c>
      <c r="L22" s="166" t="str">
        <f>_xlfn.XLOOKUP(M22,MA!C:C,MA!H:H,"")</f>
        <v/>
      </c>
      <c r="M22" s="186" t="s">
        <v>38</v>
      </c>
      <c r="N22" s="186" t="s">
        <v>1577</v>
      </c>
      <c r="O22" s="54" t="str">
        <f>_xlfn.XLOOKUP(M22,MA!C:C,MA!VP:VP,"")</f>
        <v/>
      </c>
      <c r="P22" s="54" t="str">
        <f>_xlfn.XLOOKUP(M22,MA!C:C,MA!VQ:VQ,"")</f>
        <v/>
      </c>
      <c r="Q22" s="54" t="str">
        <f>_xlfn.XLOOKUP(M22,MA!C:C,MA!IG:IG,"")</f>
        <v/>
      </c>
      <c r="R22" s="54" t="str">
        <f>_xlfn.XLOOKUP(M22,MA!C:C,MA!IS:IS,"")</f>
        <v/>
      </c>
      <c r="S22" s="164" t="str">
        <f>_xlfn.XLOOKUP(M22,MA!C:C,MA!D:D,"")</f>
        <v/>
      </c>
      <c r="T22" s="164" t="str">
        <f>_xlfn.XLOOKUP(M22,MA!C:C,MA!K:K,"")</f>
        <v/>
      </c>
      <c r="U22" s="164" t="str">
        <f>_xlfn.XLOOKUP(M22,MA!C:C,MA!L:L,"")</f>
        <v/>
      </c>
      <c r="V22" s="177" t="e">
        <f t="shared" si="3"/>
        <v>#VALUE!</v>
      </c>
      <c r="X22" s="164"/>
      <c r="Y22" s="164"/>
      <c r="Z22" s="164" t="str" cm="1">
        <f t="array" ref="Z22">_xlfn.IFS(AND(O22&gt;0,P22&gt;=0),"Y",AND(O22&lt;0,P22&lt;=0),"N",AND(O22&gt;0),"W",AND(O22=0,P22&gt;0),"W",TRUE,"")</f>
        <v>Y</v>
      </c>
      <c r="AB22" s="173">
        <f>_xlfn.MAXIFS(Y!B:B,Y!B:B,"&gt;=" &amp; AB14,Y!B:B,"&lt;=" &amp; AB16)</f>
        <v>46141.6875</v>
      </c>
      <c r="AC22" s="54" t="s">
        <v>1590</v>
      </c>
    </row>
    <row r="23" spans="2:29" x14ac:dyDescent="0.2">
      <c r="F23" s="54" t="str">
        <f>IF(B23&lt;&gt;"",_xlfn.XLOOKUP(B23,MA!C:C,MA!VP:VP,""),"")</f>
        <v/>
      </c>
      <c r="G23" s="54" t="str">
        <f>IF(B23&lt;&gt;"",_xlfn.XLOOKUP(B23,MA!C:C,MA!VQ:VQ,""),"")</f>
        <v/>
      </c>
      <c r="K23" s="168" t="s">
        <v>3205</v>
      </c>
      <c r="L23" s="166" t="str">
        <f>_xlfn.XLOOKUP(M23,MA!C:C,MA!H:H,"")</f>
        <v/>
      </c>
      <c r="M23" s="186" t="s">
        <v>1639</v>
      </c>
      <c r="N23" s="186" t="s">
        <v>1578</v>
      </c>
      <c r="O23" s="54" t="str">
        <f>_xlfn.XLOOKUP(M23,MA!C:C,MA!VP:VP,"")</f>
        <v/>
      </c>
      <c r="P23" s="54" t="str">
        <f>_xlfn.XLOOKUP(M23,MA!C:C,MA!VQ:VQ,"")</f>
        <v/>
      </c>
      <c r="Q23" s="54" t="str">
        <f>_xlfn.XLOOKUP(M23,MA!C:C,MA!IG:IG,"")</f>
        <v/>
      </c>
      <c r="R23" s="54" t="str">
        <f>_xlfn.XLOOKUP(M23,MA!C:C,MA!IS:IS,"")</f>
        <v/>
      </c>
      <c r="S23" s="164" t="str">
        <f>_xlfn.XLOOKUP(M23,MA!C:C,MA!D:D,"")</f>
        <v/>
      </c>
      <c r="T23" s="164" t="str">
        <f>_xlfn.XLOOKUP(M23,MA!C:C,MA!K:K,"")</f>
        <v/>
      </c>
      <c r="U23" s="164" t="str">
        <f>_xlfn.XLOOKUP(M23,MA!C:C,MA!L:L,"")</f>
        <v/>
      </c>
      <c r="V23" s="177" t="e">
        <f t="shared" si="3"/>
        <v>#VALUE!</v>
      </c>
      <c r="X23" s="164"/>
      <c r="Y23" s="164"/>
      <c r="Z23" s="164" t="str" cm="1">
        <f t="array" ref="Z23">_xlfn.IFS(AND(O23&gt;0,P23&gt;=0),"Y",AND(O23&lt;0,P23&lt;=0),"N",AND(O23&gt;0),"W",AND(O23=0,P23&gt;0),"W",TRUE,"")</f>
        <v>Y</v>
      </c>
      <c r="AB23" s="175">
        <f ca="1">_xlfn.MAXIFS(Y!B:B,Y!B:B,"&gt;=" &amp; AB11,Y!B:B,"&lt;=" &amp; AB17)</f>
        <v>46141.6875</v>
      </c>
      <c r="AC23" s="54" t="s">
        <v>487</v>
      </c>
    </row>
    <row r="24" spans="2:29" x14ac:dyDescent="0.2">
      <c r="F24" s="54" t="str">
        <f>IF(B24&lt;&gt;"",_xlfn.XLOOKUP(B24,MA!C:C,MA!VP:VP,""),"")</f>
        <v/>
      </c>
      <c r="G24" s="54" t="str">
        <f>IF(B24&lt;&gt;"",_xlfn.XLOOKUP(B24,MA!C:C,MA!VQ:VQ,""),"")</f>
        <v/>
      </c>
      <c r="K24" s="168" t="s">
        <v>3206</v>
      </c>
      <c r="L24" s="166" t="str">
        <f>_xlfn.XLOOKUP(M24,MA!C:C,MA!H:H,"")</f>
        <v/>
      </c>
      <c r="M24" s="186" t="s">
        <v>37</v>
      </c>
      <c r="N24" s="186" t="s">
        <v>1579</v>
      </c>
      <c r="O24" s="54" t="str">
        <f>_xlfn.XLOOKUP(M24,MA!C:C,MA!VP:VP,"")</f>
        <v/>
      </c>
      <c r="P24" s="54" t="str">
        <f>_xlfn.XLOOKUP(M24,MA!C:C,MA!VQ:VQ,"")</f>
        <v/>
      </c>
      <c r="Q24" s="54" t="str">
        <f>_xlfn.XLOOKUP(M24,MA!C:C,MA!IG:IG,"")</f>
        <v/>
      </c>
      <c r="R24" s="54" t="str">
        <f>_xlfn.XLOOKUP(M24,MA!C:C,MA!IS:IS,"")</f>
        <v/>
      </c>
      <c r="S24" s="164" t="str">
        <f>_xlfn.XLOOKUP(M24,MA!C:C,MA!D:D,"")</f>
        <v/>
      </c>
      <c r="T24" s="164" t="str">
        <f>_xlfn.XLOOKUP(M24,MA!C:C,MA!K:K,"")</f>
        <v/>
      </c>
      <c r="U24" s="164" t="str">
        <f>_xlfn.XLOOKUP(M24,MA!C:C,MA!L:L,"")</f>
        <v/>
      </c>
      <c r="V24" s="177" t="e">
        <f t="shared" si="3"/>
        <v>#VALUE!</v>
      </c>
      <c r="X24" s="164"/>
      <c r="Y24" s="164"/>
      <c r="Z24" s="164" t="str" cm="1">
        <f t="array" ref="Z24">_xlfn.IFS(AND(O24&gt;0,P24&gt;=0),"Y",AND(O24&lt;0,P24&lt;=0),"N",AND(O24&gt;0),"W",AND(O24=0,P24&gt;0),"W",TRUE,"")</f>
        <v>Y</v>
      </c>
      <c r="AB24" s="309" t="str">
        <f ca="1">IF($AB$23&gt;$AB$21,"Y","N")</f>
        <v>N</v>
      </c>
      <c r="AC24" s="54" t="s">
        <v>1864</v>
      </c>
    </row>
    <row r="25" spans="2:29" x14ac:dyDescent="0.2">
      <c r="F25" s="54" t="str">
        <f>IF(B25&lt;&gt;"",_xlfn.XLOOKUP(B25,MA!C:C,MA!VP:VP,""),"")</f>
        <v/>
      </c>
      <c r="G25" s="54" t="str">
        <f>IF(B25&lt;&gt;"",_xlfn.XLOOKUP(B25,MA!C:C,MA!VQ:VQ,""),"")</f>
        <v/>
      </c>
      <c r="K25" s="168" t="s">
        <v>3207</v>
      </c>
      <c r="L25" s="166" t="str">
        <f>_xlfn.XLOOKUP(M25,MA!C:C,MA!H:H,"")</f>
        <v/>
      </c>
      <c r="M25" s="186" t="s">
        <v>36</v>
      </c>
      <c r="N25" s="186" t="s">
        <v>1580</v>
      </c>
      <c r="O25" s="54" t="str">
        <f>_xlfn.XLOOKUP(M25,MA!C:C,MA!VP:VP,"")</f>
        <v/>
      </c>
      <c r="P25" s="54" t="str">
        <f>_xlfn.XLOOKUP(M25,MA!C:C,MA!VQ:VQ,"")</f>
        <v/>
      </c>
      <c r="Q25" s="54" t="str">
        <f>_xlfn.XLOOKUP(M25,MA!C:C,MA!IG:IG,"")</f>
        <v/>
      </c>
      <c r="R25" s="54" t="str">
        <f>_xlfn.XLOOKUP(M25,MA!C:C,MA!IS:IS,"")</f>
        <v/>
      </c>
      <c r="S25" s="164" t="str">
        <f>_xlfn.XLOOKUP(M25,MA!C:C,MA!D:D,"")</f>
        <v/>
      </c>
      <c r="T25" s="164" t="str">
        <f>_xlfn.XLOOKUP(M25,MA!C:C,MA!K:K,"")</f>
        <v/>
      </c>
      <c r="U25" s="164" t="str">
        <f>_xlfn.XLOOKUP(M25,MA!C:C,MA!L:L,"")</f>
        <v/>
      </c>
      <c r="V25" s="177" t="e">
        <f t="shared" si="3"/>
        <v>#VALUE!</v>
      </c>
      <c r="X25" s="164"/>
      <c r="Y25" s="164"/>
      <c r="Z25" s="164" t="str" cm="1">
        <f t="array" ref="Z25">_xlfn.IFS(AND(O25&gt;0,P25&gt;=0),"Y",AND(O25&lt;0,P25&lt;=0),"N",AND(O25&gt;0),"W",AND(O25=0,P25&gt;0),"W",TRUE,"")</f>
        <v>Y</v>
      </c>
      <c r="AB25" s="410" t="str">
        <f>IF($AB$21&gt;$AB$19,"Y","N")</f>
        <v>N</v>
      </c>
      <c r="AC25" s="54" t="s">
        <v>3263</v>
      </c>
    </row>
    <row r="26" spans="2:29" x14ac:dyDescent="0.2">
      <c r="F26" s="54" t="str">
        <f>IF(B26&lt;&gt;"",_xlfn.XLOOKUP(B26,MA!C:C,MA!VP:VP,""),"")</f>
        <v/>
      </c>
      <c r="G26" s="54" t="str">
        <f>IF(B26&lt;&gt;"",_xlfn.XLOOKUP(B26,MA!C:C,MA!VQ:VQ,""),"")</f>
        <v/>
      </c>
      <c r="K26" s="168" t="s">
        <v>1368</v>
      </c>
      <c r="L26" s="166" t="str">
        <f>_xlfn.XLOOKUP(M26,MA!C:C,MA!H:H,"")</f>
        <v/>
      </c>
      <c r="M26" s="186" t="s">
        <v>118</v>
      </c>
      <c r="N26" s="186" t="s">
        <v>1634</v>
      </c>
      <c r="O26" s="54" t="str">
        <f>_xlfn.XLOOKUP(M26,MA!C:C,MA!VP:VP,"")</f>
        <v/>
      </c>
      <c r="P26" s="54" t="str">
        <f>_xlfn.XLOOKUP(M26,MA!C:C,MA!VQ:VQ,"")</f>
        <v/>
      </c>
      <c r="Q26" s="54" t="str">
        <f>_xlfn.XLOOKUP(M26,MA!C:C,MA!IG:IG,"")</f>
        <v/>
      </c>
      <c r="R26" s="54" t="str">
        <f>_xlfn.XLOOKUP(M26,MA!C:C,MA!IS:IS,"")</f>
        <v/>
      </c>
      <c r="S26" s="164" t="str">
        <f>_xlfn.XLOOKUP(M26,MA!C:C,MA!D:D,"")</f>
        <v/>
      </c>
      <c r="T26" s="164" t="str">
        <f>_xlfn.XLOOKUP(M26,MA!C:C,MA!K:K,"")</f>
        <v/>
      </c>
      <c r="U26" s="164" t="str">
        <f>_xlfn.XLOOKUP(M26,MA!C:C,MA!L:L,"")</f>
        <v/>
      </c>
      <c r="V26" s="177" t="e">
        <f t="shared" si="3"/>
        <v>#VALUE!</v>
      </c>
      <c r="X26" s="164"/>
      <c r="Y26" s="164"/>
      <c r="Z26" s="164" t="str" cm="1">
        <f t="array" ref="Z26">_xlfn.IFS(AND(O26&gt;0,P26&gt;=0),"Y",AND(O26&lt;0,P26&lt;=0),"N",AND(O26&gt;0),"W",AND(O26=0,P26&gt;0),"W",TRUE,"")</f>
        <v>Y</v>
      </c>
    </row>
    <row r="27" spans="2:29" x14ac:dyDescent="0.2">
      <c r="F27" s="54" t="str">
        <f>IF(B27&lt;&gt;"",_xlfn.XLOOKUP(B27,MA!C:C,MA!VP:VP,""),"")</f>
        <v/>
      </c>
      <c r="G27" s="54" t="str">
        <f>IF(B27&lt;&gt;"",_xlfn.XLOOKUP(B27,MA!C:C,MA!VQ:VQ,""),"")</f>
        <v/>
      </c>
      <c r="K27" s="168" t="s">
        <v>1367</v>
      </c>
      <c r="L27" s="166" t="str">
        <f>_xlfn.XLOOKUP(M27,MA!C:C,MA!H:H,"")</f>
        <v/>
      </c>
      <c r="M27" s="186" t="s">
        <v>39</v>
      </c>
      <c r="N27" s="186" t="s">
        <v>1637</v>
      </c>
      <c r="O27" s="54" t="str">
        <f>_xlfn.XLOOKUP(M27,MA!C:C,MA!VP:VP,"")</f>
        <v/>
      </c>
      <c r="P27" s="54" t="str">
        <f>_xlfn.XLOOKUP(M27,MA!C:C,MA!VQ:VQ,"")</f>
        <v/>
      </c>
      <c r="Q27" s="54" t="str">
        <f>_xlfn.XLOOKUP(M27,MA!C:C,MA!IG:IG,"")</f>
        <v/>
      </c>
      <c r="R27" s="54" t="str">
        <f>_xlfn.XLOOKUP(M27,MA!C:C,MA!IS:IS,"")</f>
        <v/>
      </c>
      <c r="S27" s="164" t="str">
        <f>_xlfn.XLOOKUP(M27,MA!C:C,MA!D:D,"")</f>
        <v/>
      </c>
      <c r="T27" s="164" t="str">
        <f>_xlfn.XLOOKUP(M27,MA!C:C,MA!K:K,"")</f>
        <v/>
      </c>
      <c r="U27" s="164" t="str">
        <f>_xlfn.XLOOKUP(M27,MA!C:C,MA!L:L,"")</f>
        <v/>
      </c>
      <c r="V27" s="177" t="e">
        <f t="shared" si="3"/>
        <v>#VALUE!</v>
      </c>
      <c r="X27" s="164"/>
      <c r="Y27" s="164"/>
      <c r="Z27" s="164" t="str" cm="1">
        <f t="array" ref="Z27">_xlfn.IFS(AND(O27&gt;0,P27&gt;=0),"Y",AND(O27&lt;0,P27&lt;=0),"N",AND(O27&gt;0),"W",AND(O27=0,P27&gt;0),"W",TRUE,"")</f>
        <v>Y</v>
      </c>
      <c r="AB27" s="268" t="str">
        <f>_xlfn.XLOOKUP("Y",HQds!$D$2:$D$25,HQds!$E$2:$E$25)</f>
        <v>Quad 2</v>
      </c>
      <c r="AC27" s="176" t="s">
        <v>1661</v>
      </c>
    </row>
    <row r="28" spans="2:29" x14ac:dyDescent="0.2">
      <c r="F28" s="54" t="str">
        <f>IF(B28&lt;&gt;"",_xlfn.XLOOKUP(B28,MA!C:C,MA!VP:VP,""),"")</f>
        <v/>
      </c>
      <c r="G28" s="54" t="str">
        <f>IF(B28&lt;&gt;"",_xlfn.XLOOKUP(B28,MA!C:C,MA!VQ:VQ,""),"")</f>
        <v/>
      </c>
      <c r="K28" s="183" t="s">
        <v>1638</v>
      </c>
      <c r="L28" s="172"/>
      <c r="M28" s="187"/>
      <c r="N28" s="187"/>
      <c r="O28" s="54">
        <f>_xlfn.XLOOKUP(M28,MA!C:C,MA!VP:VP,"")</f>
        <v>0</v>
      </c>
      <c r="P28" s="54">
        <f>_xlfn.XLOOKUP(M28,MA!C:C,MA!VQ:VQ,"")</f>
        <v>0</v>
      </c>
      <c r="Q28" s="54">
        <f>_xlfn.XLOOKUP(M28,MA!C:C,MA!IG:IG,"")</f>
        <v>0</v>
      </c>
      <c r="R28" s="54">
        <f>_xlfn.XLOOKUP(M28,MA!C:C,MA!IS:IS,"")</f>
        <v>0</v>
      </c>
      <c r="S28" s="171"/>
      <c r="T28" s="171"/>
      <c r="U28" s="171"/>
      <c r="V28" s="171"/>
      <c r="W28" s="171"/>
      <c r="X28" s="171"/>
      <c r="Y28" s="171"/>
      <c r="Z28" s="171"/>
      <c r="AB28" s="268" t="str">
        <f>_xlfn.XLOOKUP("Y",HQds!$L$2:$L$25,HQds!$M$2:$M$25)</f>
        <v>Quad 3</v>
      </c>
      <c r="AC28" s="54" t="s">
        <v>1662</v>
      </c>
    </row>
    <row r="29" spans="2:29" x14ac:dyDescent="0.2">
      <c r="F29" s="54" t="str">
        <f>IF(B29&lt;&gt;"",_xlfn.XLOOKUP(B29,MA!C:C,MA!VP:VP,""),"")</f>
        <v/>
      </c>
      <c r="G29" s="54" t="str">
        <f>IF(B29&lt;&gt;"",_xlfn.XLOOKUP(B29,MA!C:C,MA!VQ:VQ,""),"")</f>
        <v/>
      </c>
      <c r="K29" s="168" t="s">
        <v>840</v>
      </c>
      <c r="L29" s="166" t="str">
        <f>_xlfn.XLOOKUP(M29,MA!C:C,MA!H:H,"")</f>
        <v/>
      </c>
      <c r="M29" s="54" t="s">
        <v>492</v>
      </c>
      <c r="N29" s="54" t="s">
        <v>492</v>
      </c>
      <c r="O29" s="54" t="str">
        <f>_xlfn.XLOOKUP(M29,MA!C:C,MA!VP:VP,"")</f>
        <v/>
      </c>
      <c r="P29" s="54" t="str">
        <f>_xlfn.XLOOKUP(M29,MA!C:C,MA!VQ:VQ,"")</f>
        <v/>
      </c>
      <c r="Q29" s="54" t="str">
        <f>_xlfn.XLOOKUP(M29,MA!C:C,MA!IG:IG,"")</f>
        <v/>
      </c>
      <c r="R29" s="54" t="str">
        <f>_xlfn.XLOOKUP(M29,MA!C:C,MA!IS:IS,"")</f>
        <v/>
      </c>
      <c r="S29" s="164" t="str">
        <f>_xlfn.XLOOKUP(M29,MA!C:C,MA!D:D,"")</f>
        <v/>
      </c>
      <c r="T29" s="164" t="str">
        <f>_xlfn.XLOOKUP(M29,MA!C:C,MA!K:K,"")</f>
        <v/>
      </c>
      <c r="U29" s="164" t="str">
        <f>_xlfn.XLOOKUP(M29,MA!C:C,MA!L:L,"")</f>
        <v/>
      </c>
      <c r="V29" s="177" t="e">
        <f t="shared" si="3"/>
        <v>#VALUE!</v>
      </c>
      <c r="Z29" s="164" t="str" cm="1">
        <f t="array" ref="Z29">_xlfn.IFS(SUM(O29:R29)=0,"",AND(O29:R29&gt;=0),"Y",AND(O29:R29&lt;=0),"N",TRUE,"W")</f>
        <v/>
      </c>
    </row>
    <row r="30" spans="2:29" x14ac:dyDescent="0.2">
      <c r="F30" s="54" t="str">
        <f>IF(B30&lt;&gt;"",_xlfn.XLOOKUP(B30,MA!C:C,MA!VP:VP,""),"")</f>
        <v/>
      </c>
      <c r="G30" s="54" t="str">
        <f>IF(B30&lt;&gt;"",_xlfn.XLOOKUP(B30,MA!C:C,MA!VQ:VQ,""),"")</f>
        <v/>
      </c>
      <c r="K30" s="168" t="s">
        <v>101</v>
      </c>
      <c r="L30" s="166" t="str">
        <f>_xlfn.XLOOKUP(M30,MA!C:C,MA!H:H,"")</f>
        <v/>
      </c>
      <c r="M30" s="54" t="s">
        <v>102</v>
      </c>
      <c r="N30" s="54" t="s">
        <v>102</v>
      </c>
      <c r="O30" s="54" t="str">
        <f>_xlfn.XLOOKUP(M30,MA!C:C,MA!VP:VP,"")</f>
        <v/>
      </c>
      <c r="P30" s="54" t="str">
        <f>_xlfn.XLOOKUP(M30,MA!C:C,MA!VQ:VQ,"")</f>
        <v/>
      </c>
      <c r="Q30" s="54" t="str">
        <f>_xlfn.XLOOKUP(M30,MA!C:C,MA!IG:IG,"")</f>
        <v/>
      </c>
      <c r="R30" s="54" t="str">
        <f>_xlfn.XLOOKUP(M30,MA!C:C,MA!IS:IS,"")</f>
        <v/>
      </c>
      <c r="S30" s="164" t="str">
        <f>_xlfn.XLOOKUP(M30,MA!C:C,MA!D:D,"")</f>
        <v/>
      </c>
      <c r="T30" s="164" t="str">
        <f>_xlfn.XLOOKUP(M30,MA!C:C,MA!K:K,"")</f>
        <v/>
      </c>
      <c r="U30" s="164" t="str">
        <f>_xlfn.XLOOKUP(M30,MA!C:C,MA!L:L,"")</f>
        <v/>
      </c>
      <c r="V30" s="177" t="e">
        <f t="shared" si="3"/>
        <v>#VALUE!</v>
      </c>
      <c r="Z30" s="164" t="str" cm="1">
        <f t="array" ref="Z30">_xlfn.IFS(SUM(O30:R30)=0,"",AND(O30:R30&gt;=0),"Y",AND(O30:R30&lt;=0),"N",TRUE,"W")</f>
        <v/>
      </c>
      <c r="AB30" s="160" t="str" cm="1">
        <f t="array" aca="1" ref="AB30" ca="1">REPLACE(LEFT(CELL("filename",A1),FIND("]",CELL("filename",A1))-1),1,FIND("[",CELL("filename",A1)),"")</f>
        <v>Tickers 2026-04-30.xlsx</v>
      </c>
      <c r="AC30" s="54" t="s">
        <v>1761</v>
      </c>
    </row>
    <row r="31" spans="2:29" x14ac:dyDescent="0.2">
      <c r="F31" s="54" t="str">
        <f>IF(B31&lt;&gt;"",_xlfn.XLOOKUP(B31,MA!C:C,MA!VP:VP,""),"")</f>
        <v/>
      </c>
      <c r="G31" s="54" t="str">
        <f>IF(B31&lt;&gt;"",_xlfn.XLOOKUP(B31,MA!C:C,MA!VQ:VQ,""),"")</f>
        <v/>
      </c>
      <c r="K31" s="168" t="s">
        <v>98</v>
      </c>
      <c r="L31" s="166" t="str">
        <f>_xlfn.XLOOKUP(M31,MA!C:C,MA!H:H,"")</f>
        <v/>
      </c>
      <c r="M31" s="54" t="s">
        <v>17</v>
      </c>
      <c r="N31" s="54" t="s">
        <v>17</v>
      </c>
      <c r="O31" s="54" t="str">
        <f>_xlfn.XLOOKUP(M31,MA!C:C,MA!VP:VP,"")</f>
        <v/>
      </c>
      <c r="P31" s="54" t="str">
        <f>_xlfn.XLOOKUP(M31,MA!C:C,MA!VQ:VQ,"")</f>
        <v/>
      </c>
      <c r="Q31" s="54" t="str">
        <f>_xlfn.XLOOKUP(M31,MA!C:C,MA!IG:IG,"")</f>
        <v/>
      </c>
      <c r="R31" s="54" t="str">
        <f>_xlfn.XLOOKUP(M31,MA!C:C,MA!IS:IS,"")</f>
        <v/>
      </c>
      <c r="S31" s="164" t="str">
        <f>_xlfn.XLOOKUP(M31,MA!C:C,MA!D:D,"")</f>
        <v/>
      </c>
      <c r="T31" s="164" t="str">
        <f>_xlfn.XLOOKUP(M31,MA!C:C,MA!K:K,"")</f>
        <v/>
      </c>
      <c r="U31" s="164" t="str">
        <f>_xlfn.XLOOKUP(M31,MA!C:C,MA!L:L,"")</f>
        <v/>
      </c>
      <c r="V31" s="177" t="e">
        <f t="shared" si="3"/>
        <v>#VALUE!</v>
      </c>
      <c r="Z31" s="164" t="str" cm="1">
        <f t="array" ref="Z31">_xlfn.IFS(SUM(O31:R31)=0,"",AND(O31:R31&gt;=0),"Y",AND(O31:R31&lt;=0),"N",TRUE,"W")</f>
        <v/>
      </c>
      <c r="AB31" s="170">
        <f ca="1">DATEVALUE(MID(AB30,FIND(" ",AB30)+1,10))</f>
        <v>46142</v>
      </c>
      <c r="AC31" s="156" t="s">
        <v>1762</v>
      </c>
    </row>
    <row r="32" spans="2:29" x14ac:dyDescent="0.2">
      <c r="F32" s="54" t="str">
        <f>IF(B32&lt;&gt;"",_xlfn.XLOOKUP(B32,MA!C:C,MA!VP:VP,""),"")</f>
        <v/>
      </c>
      <c r="G32" s="54" t="str">
        <f>IF(B32&lt;&gt;"",_xlfn.XLOOKUP(B32,MA!C:C,MA!VQ:VQ,""),"")</f>
        <v/>
      </c>
      <c r="K32" s="168" t="s">
        <v>769</v>
      </c>
      <c r="L32" s="166" t="str">
        <f>_xlfn.XLOOKUP(M32,MA!C:C,MA!H:H,"")</f>
        <v/>
      </c>
      <c r="M32" s="54" t="s">
        <v>491</v>
      </c>
      <c r="N32" s="54" t="s">
        <v>491</v>
      </c>
      <c r="O32" s="54" t="str">
        <f>_xlfn.XLOOKUP(M32,MA!C:C,MA!VP:VP,"")</f>
        <v/>
      </c>
      <c r="P32" s="54" t="str">
        <f>_xlfn.XLOOKUP(M32,MA!C:C,MA!VQ:VQ,"")</f>
        <v/>
      </c>
      <c r="Q32" s="54" t="str">
        <f>_xlfn.XLOOKUP(M32,MA!C:C,MA!IG:IG,"")</f>
        <v/>
      </c>
      <c r="R32" s="54" t="str">
        <f>_xlfn.XLOOKUP(M32,MA!C:C,MA!IS:IS,"")</f>
        <v/>
      </c>
      <c r="S32" s="164" t="str">
        <f>_xlfn.XLOOKUP(M32,MA!C:C,MA!D:D,"")</f>
        <v/>
      </c>
      <c r="T32" s="164" t="str">
        <f>_xlfn.XLOOKUP(M32,MA!C:C,MA!K:K,"")</f>
        <v/>
      </c>
      <c r="U32" s="164" t="str">
        <f>_xlfn.XLOOKUP(M32,MA!C:C,MA!L:L,"")</f>
        <v/>
      </c>
      <c r="V32" s="177" t="e">
        <f t="shared" si="3"/>
        <v>#VALUE!</v>
      </c>
      <c r="Z32" s="164" t="str" cm="1">
        <f t="array" ref="Z32">_xlfn.IFS(SUM(O32:R32)=0,"",AND(O32:R32&gt;=0),"Y",AND(O32:R32&lt;=0),"N",TRUE,"W")</f>
        <v/>
      </c>
    </row>
    <row r="33" spans="6:30" x14ac:dyDescent="0.2">
      <c r="F33" s="54" t="str">
        <f>IF(B33&lt;&gt;"",_xlfn.XLOOKUP(B33,MA!C:C,MA!VP:VP,""),"")</f>
        <v/>
      </c>
      <c r="G33" s="54" t="str">
        <f>IF(B33&lt;&gt;"",_xlfn.XLOOKUP(B33,MA!C:C,MA!VQ:VQ,""),"")</f>
        <v/>
      </c>
      <c r="K33" s="168" t="s">
        <v>800</v>
      </c>
      <c r="L33" s="166" t="str">
        <f>_xlfn.XLOOKUP(M33,MA!C:C,MA!H:H,"")</f>
        <v/>
      </c>
      <c r="M33" s="54" t="s">
        <v>490</v>
      </c>
      <c r="N33" s="54" t="s">
        <v>490</v>
      </c>
      <c r="O33" s="54" t="str">
        <f>_xlfn.XLOOKUP(M33,MA!C:C,MA!VP:VP,"")</f>
        <v/>
      </c>
      <c r="P33" s="54" t="str">
        <f>_xlfn.XLOOKUP(M33,MA!C:C,MA!VQ:VQ,"")</f>
        <v/>
      </c>
      <c r="Q33" s="54" t="str">
        <f>_xlfn.XLOOKUP(M33,MA!C:C,MA!IG:IG,"")</f>
        <v/>
      </c>
      <c r="R33" s="54" t="str">
        <f>_xlfn.XLOOKUP(M33,MA!C:C,MA!IS:IS,"")</f>
        <v/>
      </c>
      <c r="S33" s="164" t="str">
        <f>_xlfn.XLOOKUP(M33,MA!C:C,MA!D:D,"")</f>
        <v/>
      </c>
      <c r="T33" s="164" t="str">
        <f>_xlfn.XLOOKUP(M33,MA!C:C,MA!K:K,"")</f>
        <v/>
      </c>
      <c r="U33" s="164" t="str">
        <f>_xlfn.XLOOKUP(M33,MA!C:C,MA!L:L,"")</f>
        <v/>
      </c>
      <c r="V33" s="177" t="e">
        <f t="shared" si="3"/>
        <v>#VALUE!</v>
      </c>
      <c r="Z33" s="164" t="str" cm="1">
        <f t="array" ref="Z33">_xlfn.IFS(SUM(O33:R33)=0,"",AND(O33:R33&gt;=0),"Y",AND(O33:R33&lt;=0),"N",TRUE,"W")</f>
        <v/>
      </c>
      <c r="AB33" s="396">
        <v>2.59</v>
      </c>
      <c r="AC33" s="54" t="s">
        <v>2073</v>
      </c>
    </row>
    <row r="34" spans="6:30" x14ac:dyDescent="0.2">
      <c r="F34" s="54" t="str">
        <f>IF(B34&lt;&gt;"",_xlfn.XLOOKUP(B34,MA!C:C,MA!VP:VP,""),"")</f>
        <v/>
      </c>
      <c r="G34" s="54" t="str">
        <f>IF(B34&lt;&gt;"",_xlfn.XLOOKUP(B34,MA!C:C,MA!VQ:VQ,""),"")</f>
        <v/>
      </c>
      <c r="K34" s="168" t="s">
        <v>841</v>
      </c>
      <c r="L34" s="166" t="str">
        <f>_xlfn.XLOOKUP(M34,MA!C:C,MA!H:H,"")</f>
        <v/>
      </c>
      <c r="M34" s="54" t="s">
        <v>16</v>
      </c>
      <c r="N34" s="54" t="s">
        <v>16</v>
      </c>
      <c r="O34" s="54" t="str">
        <f>_xlfn.XLOOKUP(M34,MA!C:C,MA!VP:VP,"")</f>
        <v/>
      </c>
      <c r="P34" s="54" t="str">
        <f>_xlfn.XLOOKUP(M34,MA!C:C,MA!VQ:VQ,"")</f>
        <v/>
      </c>
      <c r="Q34" s="54" t="str">
        <f>_xlfn.XLOOKUP(M34,MA!C:C,MA!IG:IG,"")</f>
        <v/>
      </c>
      <c r="R34" s="54" t="str">
        <f>_xlfn.XLOOKUP(M34,MA!C:C,MA!IS:IS,"")</f>
        <v/>
      </c>
      <c r="S34" s="164" t="str">
        <f>_xlfn.XLOOKUP(M34,MA!C:C,MA!D:D,"")</f>
        <v/>
      </c>
      <c r="T34" s="164" t="str">
        <f>_xlfn.XLOOKUP(M34,MA!C:C,MA!K:K,"")</f>
        <v/>
      </c>
      <c r="U34" s="164" t="str">
        <f>_xlfn.XLOOKUP(M34,MA!C:C,MA!L:L,"")</f>
        <v/>
      </c>
      <c r="V34" s="177" t="e">
        <f t="shared" si="3"/>
        <v>#VALUE!</v>
      </c>
      <c r="Z34" s="164" t="str" cm="1">
        <f t="array" ref="Z34">_xlfn.IFS(SUM(O34:R34)=0,"",AND(O34:R34&gt;=0),"Y",AND(O34:R34&lt;=0),"N",TRUE,"W")</f>
        <v/>
      </c>
    </row>
    <row r="35" spans="6:30" x14ac:dyDescent="0.2">
      <c r="F35" s="54" t="str">
        <f>IF(B35&lt;&gt;"",_xlfn.XLOOKUP(B35,MA!C:C,MA!VP:VP,""),"")</f>
        <v/>
      </c>
      <c r="G35" s="54" t="str">
        <f>IF(B35&lt;&gt;"",_xlfn.XLOOKUP(B35,MA!C:C,MA!VQ:VQ,""),"")</f>
        <v/>
      </c>
      <c r="K35" s="168" t="s">
        <v>788</v>
      </c>
      <c r="L35" s="166" t="str">
        <f>_xlfn.XLOOKUP(M35,MA!C:C,MA!H:H,"")</f>
        <v/>
      </c>
      <c r="M35" s="54" t="s">
        <v>489</v>
      </c>
      <c r="N35" s="54" t="s">
        <v>489</v>
      </c>
      <c r="O35" s="54" t="str">
        <f>_xlfn.XLOOKUP(M35,MA!C:C,MA!VP:VP,"")</f>
        <v/>
      </c>
      <c r="P35" s="54" t="str">
        <f>_xlfn.XLOOKUP(M35,MA!C:C,MA!VQ:VQ,"")</f>
        <v/>
      </c>
      <c r="Q35" s="54" t="str">
        <f>_xlfn.XLOOKUP(M35,MA!C:C,MA!IG:IG,"")</f>
        <v/>
      </c>
      <c r="R35" s="54" t="str">
        <f>_xlfn.XLOOKUP(M35,MA!C:C,MA!IS:IS,"")</f>
        <v/>
      </c>
      <c r="S35" s="164" t="str">
        <f>_xlfn.XLOOKUP(M35,MA!C:C,MA!D:D,"")</f>
        <v/>
      </c>
      <c r="T35" s="164" t="str">
        <f>_xlfn.XLOOKUP(M35,MA!C:C,MA!K:K,"")</f>
        <v/>
      </c>
      <c r="U35" s="164" t="str">
        <f>_xlfn.XLOOKUP(M35,MA!C:C,MA!L:L,"")</f>
        <v/>
      </c>
      <c r="V35" s="177" t="e">
        <f t="shared" si="3"/>
        <v>#VALUE!</v>
      </c>
      <c r="Z35" s="164" t="str" cm="1">
        <f t="array" ref="Z35">_xlfn.IFS(SUM(O35:R35)=0,"",AND(O35:R35&gt;=0),"Y",AND(O35:R35&lt;=0),"N",TRUE,"W")</f>
        <v/>
      </c>
    </row>
    <row r="36" spans="6:30" x14ac:dyDescent="0.2">
      <c r="F36" s="54" t="str">
        <f>IF(B36&lt;&gt;"",_xlfn.XLOOKUP(B36,MA!C:C,MA!VP:VP,""),"")</f>
        <v/>
      </c>
      <c r="G36" s="54" t="str">
        <f>IF(B36&lt;&gt;"",_xlfn.XLOOKUP(B36,MA!C:C,MA!VQ:VQ,""),"")</f>
        <v/>
      </c>
      <c r="K36" s="168" t="s">
        <v>839</v>
      </c>
      <c r="L36" s="166" t="str">
        <f>_xlfn.XLOOKUP(M36,MA!C:C,MA!H:H,"")</f>
        <v/>
      </c>
      <c r="M36" s="54" t="s">
        <v>20</v>
      </c>
      <c r="N36" s="54" t="s">
        <v>20</v>
      </c>
      <c r="O36" s="54" t="str">
        <f>_xlfn.XLOOKUP(M36,MA!C:C,MA!VP:VP,"")</f>
        <v/>
      </c>
      <c r="P36" s="54" t="str">
        <f>_xlfn.XLOOKUP(M36,MA!C:C,MA!VQ:VQ,"")</f>
        <v/>
      </c>
      <c r="Q36" s="54" t="str">
        <f>_xlfn.XLOOKUP(M36,MA!C:C,MA!IG:IG,"")</f>
        <v/>
      </c>
      <c r="R36" s="54" t="str">
        <f>_xlfn.XLOOKUP(M36,MA!C:C,MA!IS:IS,"")</f>
        <v/>
      </c>
      <c r="S36" s="164" t="str">
        <f>_xlfn.XLOOKUP(M36,MA!C:C,MA!D:D,"")</f>
        <v/>
      </c>
      <c r="T36" s="164" t="str">
        <f>_xlfn.XLOOKUP(M36,MA!C:C,MA!K:K,"")</f>
        <v/>
      </c>
      <c r="U36" s="164" t="str">
        <f>_xlfn.XLOOKUP(M36,MA!C:C,MA!L:L,"")</f>
        <v/>
      </c>
      <c r="V36" s="177" t="e">
        <f t="shared" si="3"/>
        <v>#VALUE!</v>
      </c>
      <c r="Z36" s="164" t="str" cm="1">
        <f t="array" ref="Z36">_xlfn.IFS(SUM(O36:R36)=0,"",AND(O36:R36&gt;=0),"Y",AND(O36:R36&lt;=0),"N",TRUE,"W")</f>
        <v/>
      </c>
    </row>
    <row r="37" spans="6:30" x14ac:dyDescent="0.2">
      <c r="F37" s="54" t="str">
        <f>IF(B37&lt;&gt;"",_xlfn.XLOOKUP(B37,MA!C:C,MA!VP:VP,""),"")</f>
        <v/>
      </c>
      <c r="G37" s="54" t="str">
        <f>IF(B37&lt;&gt;"",_xlfn.XLOOKUP(B37,MA!C:C,MA!VQ:VQ,""),"")</f>
        <v/>
      </c>
      <c r="K37" s="168" t="s">
        <v>801</v>
      </c>
      <c r="L37" s="166" t="str">
        <f>_xlfn.XLOOKUP(M37,MA!C:C,MA!H:H,"")</f>
        <v/>
      </c>
      <c r="M37" s="54" t="s">
        <v>493</v>
      </c>
      <c r="N37" s="54" t="s">
        <v>493</v>
      </c>
      <c r="O37" s="54" t="str">
        <f>_xlfn.XLOOKUP(M37,MA!C:C,MA!VP:VP,"")</f>
        <v/>
      </c>
      <c r="P37" s="54" t="str">
        <f>_xlfn.XLOOKUP(M37,MA!C:C,MA!VQ:VQ,"")</f>
        <v/>
      </c>
      <c r="Q37" s="54" t="str">
        <f>_xlfn.XLOOKUP(M37,MA!C:C,MA!IG:IG,"")</f>
        <v/>
      </c>
      <c r="R37" s="54" t="str">
        <f>_xlfn.XLOOKUP(M37,MA!C:C,MA!IS:IS,"")</f>
        <v/>
      </c>
      <c r="S37" s="164" t="str">
        <f>_xlfn.XLOOKUP(M37,MA!C:C,MA!D:D,"")</f>
        <v/>
      </c>
      <c r="T37" s="164" t="str">
        <f>_xlfn.XLOOKUP(M37,MA!C:C,MA!K:K,"")</f>
        <v/>
      </c>
      <c r="U37" s="164" t="str">
        <f>_xlfn.XLOOKUP(M37,MA!C:C,MA!L:L,"")</f>
        <v/>
      </c>
      <c r="V37" s="177" t="e">
        <f t="shared" si="3"/>
        <v>#VALUE!</v>
      </c>
      <c r="Z37" s="164" t="str" cm="1">
        <f t="array" ref="Z37">_xlfn.IFS(SUM(O37:R37)=0,"",AND(O37:R37&gt;=0),"Y",AND(O37:R37&lt;=0),"N",TRUE,"W")</f>
        <v/>
      </c>
    </row>
    <row r="38" spans="6:30" x14ac:dyDescent="0.2">
      <c r="F38" s="54" t="str">
        <f>IF(B38&lt;&gt;"",_xlfn.XLOOKUP(B38,MA!C:C,MA!VP:VP,""),"")</f>
        <v/>
      </c>
      <c r="G38" s="54" t="str">
        <f>IF(B38&lt;&gt;"",_xlfn.XLOOKUP(B38,MA!C:C,MA!VQ:VQ,""),"")</f>
        <v/>
      </c>
      <c r="K38" s="168" t="s">
        <v>780</v>
      </c>
      <c r="L38" s="166" t="str">
        <f>_xlfn.XLOOKUP(M38,MA!C:C,MA!H:H,"")</f>
        <v/>
      </c>
      <c r="M38" s="54" t="s">
        <v>488</v>
      </c>
      <c r="N38" s="54" t="s">
        <v>488</v>
      </c>
      <c r="O38" s="54" t="str">
        <f>_xlfn.XLOOKUP(M38,MA!C:C,MA!VP:VP,"")</f>
        <v/>
      </c>
      <c r="P38" s="54" t="str">
        <f>_xlfn.XLOOKUP(M38,MA!C:C,MA!VQ:VQ,"")</f>
        <v/>
      </c>
      <c r="Q38" s="54" t="str">
        <f>_xlfn.XLOOKUP(M38,MA!C:C,MA!IG:IG,"")</f>
        <v/>
      </c>
      <c r="R38" s="54" t="str">
        <f>_xlfn.XLOOKUP(M38,MA!C:C,MA!IS:IS,"")</f>
        <v/>
      </c>
      <c r="S38" s="164" t="str">
        <f>_xlfn.XLOOKUP(M38,MA!C:C,MA!D:D,"")</f>
        <v/>
      </c>
      <c r="T38" s="164" t="str">
        <f>_xlfn.XLOOKUP(M38,MA!C:C,MA!K:K,"")</f>
        <v/>
      </c>
      <c r="U38" s="164" t="str">
        <f>_xlfn.XLOOKUP(M38,MA!C:C,MA!L:L,"")</f>
        <v/>
      </c>
      <c r="V38" s="177" t="e">
        <f t="shared" si="3"/>
        <v>#VALUE!</v>
      </c>
      <c r="Z38" s="164" t="str" cm="1">
        <f t="array" ref="Z38">_xlfn.IFS(SUM(O38:R38)=0,"",AND(O38:R38&gt;=0),"Y",AND(O38:R38&lt;=0),"N",TRUE,"W")</f>
        <v/>
      </c>
    </row>
    <row r="39" spans="6:30" x14ac:dyDescent="0.2">
      <c r="F39" s="54" t="str">
        <f>IF(B39&lt;&gt;"",_xlfn.XLOOKUP(B39,MA!C:C,MA!VP:VP,""),"")</f>
        <v/>
      </c>
      <c r="G39" s="54" t="str">
        <f>IF(B39&lt;&gt;"",_xlfn.XLOOKUP(B39,MA!C:C,MA!VQ:VQ,""),"")</f>
        <v/>
      </c>
      <c r="K39" s="168" t="s">
        <v>89</v>
      </c>
      <c r="L39" s="166" t="str">
        <f>_xlfn.XLOOKUP(M39,MA!C:C,MA!H:H,"")</f>
        <v/>
      </c>
      <c r="M39" s="54" t="s">
        <v>14</v>
      </c>
      <c r="N39" s="54" t="s">
        <v>14</v>
      </c>
      <c r="O39" s="54" t="str">
        <f>_xlfn.XLOOKUP(M39,MA!C:C,MA!VP:VP,"")</f>
        <v/>
      </c>
      <c r="P39" s="54" t="str">
        <f>_xlfn.XLOOKUP(M39,MA!C:C,MA!VQ:VQ,"")</f>
        <v/>
      </c>
      <c r="Q39" s="54" t="str">
        <f>_xlfn.XLOOKUP(M39,MA!C:C,MA!IG:IG,"")</f>
        <v/>
      </c>
      <c r="R39" s="54" t="str">
        <f>_xlfn.XLOOKUP(M39,MA!C:C,MA!IS:IS,"")</f>
        <v/>
      </c>
      <c r="S39" s="164" t="str">
        <f>_xlfn.XLOOKUP(M39,MA!C:C,MA!D:D,"")</f>
        <v/>
      </c>
      <c r="T39" s="164" t="str">
        <f>_xlfn.XLOOKUP(M39,MA!C:C,MA!K:K,"")</f>
        <v/>
      </c>
      <c r="U39" s="164" t="str">
        <f>_xlfn.XLOOKUP(M39,MA!C:C,MA!L:L,"")</f>
        <v/>
      </c>
      <c r="V39" s="177" t="e">
        <f t="shared" si="3"/>
        <v>#VALUE!</v>
      </c>
      <c r="Z39" s="164" t="str" cm="1">
        <f t="array" ref="Z39">_xlfn.IFS(SUM(O39:R39)=0,"",AND(O39:R39&gt;=0),"Y",AND(O39:R39&lt;=0),"N",TRUE,"W")</f>
        <v/>
      </c>
    </row>
    <row r="40" spans="6:30" x14ac:dyDescent="0.2">
      <c r="F40" s="54" t="str">
        <f>IF(B40&lt;&gt;"",_xlfn.XLOOKUP(B40,MA!C:C,MA!VP:VP,""),"")</f>
        <v/>
      </c>
      <c r="G40" s="54" t="str">
        <f>IF(B40&lt;&gt;"",_xlfn.XLOOKUP(B40,MA!C:C,MA!VQ:VQ,""),"")</f>
        <v/>
      </c>
      <c r="K40" s="183" t="s">
        <v>100</v>
      </c>
      <c r="L40" s="172"/>
      <c r="M40" s="187"/>
      <c r="N40" s="187"/>
      <c r="O40" s="54">
        <f>_xlfn.XLOOKUP(M40,MA!C:C,MA!VP:VP,"")</f>
        <v>0</v>
      </c>
      <c r="P40" s="54">
        <f>_xlfn.XLOOKUP(M40,MA!C:C,MA!VQ:VQ,"")</f>
        <v>0</v>
      </c>
      <c r="Q40" s="54">
        <f>_xlfn.XLOOKUP(M40,MA!C:C,MA!IG:IG,"")</f>
        <v>0</v>
      </c>
      <c r="R40" s="54">
        <f>_xlfn.XLOOKUP(M40,MA!C:C,MA!IS:IS,"")</f>
        <v>0</v>
      </c>
      <c r="S40" s="171"/>
      <c r="T40" s="171"/>
      <c r="U40" s="171"/>
      <c r="V40" s="171"/>
      <c r="W40" s="171"/>
      <c r="X40" s="171"/>
      <c r="Y40" s="171"/>
      <c r="Z40" s="171"/>
    </row>
    <row r="41" spans="6:30" x14ac:dyDescent="0.2">
      <c r="F41" s="54" t="str">
        <f>IF(B41&lt;&gt;"",_xlfn.XLOOKUP(B41,MA!C:C,MA!VP:VP,""),"")</f>
        <v/>
      </c>
      <c r="G41" s="54" t="str">
        <f>IF(B41&lt;&gt;"",_xlfn.XLOOKUP(B41,MA!C:C,MA!VQ:VQ,""),"")</f>
        <v/>
      </c>
      <c r="K41" s="184" t="s">
        <v>1370</v>
      </c>
      <c r="L41" s="166" t="str">
        <f>_xlfn.XLOOKUP(M41,MA!C:C,MA!H:H,"")</f>
        <v/>
      </c>
      <c r="M41" s="186" t="s">
        <v>34</v>
      </c>
      <c r="N41" s="186" t="s">
        <v>1581</v>
      </c>
      <c r="O41" s="54" t="str">
        <f>_xlfn.XLOOKUP(M41,MA!C:C,MA!VP:VP,"")</f>
        <v/>
      </c>
      <c r="P41" s="54" t="str">
        <f>_xlfn.XLOOKUP(M41,MA!C:C,MA!VQ:VQ,"")</f>
        <v/>
      </c>
      <c r="Q41" s="54" t="str">
        <f>_xlfn.XLOOKUP(M41,MA!C:C,MA!IG:IG,"")</f>
        <v/>
      </c>
      <c r="R41" s="54" t="str">
        <f>_xlfn.XLOOKUP(M41,MA!C:C,MA!IS:IS,"")</f>
        <v/>
      </c>
      <c r="S41" s="164" t="str">
        <f>_xlfn.XLOOKUP(M41,MA!C:C,MA!D:D,"")</f>
        <v/>
      </c>
      <c r="T41" s="164" t="str">
        <f>_xlfn.XLOOKUP(M41,MA!C:C,MA!K:K,"")</f>
        <v/>
      </c>
      <c r="U41" s="164" t="str">
        <f>_xlfn.XLOOKUP(M41,MA!C:C,MA!L:L,"")</f>
        <v/>
      </c>
      <c r="V41" s="177" t="e">
        <f t="shared" si="3"/>
        <v>#VALUE!</v>
      </c>
      <c r="Z41" s="164" t="str" cm="1">
        <f t="array" ref="Z41">_xlfn.IFS(SUM(O41:R41)=0,"",AND(O41:R41&gt;=0),"Y",AND(O41:R41&lt;=0),"N",TRUE,"W")</f>
        <v/>
      </c>
    </row>
    <row r="42" spans="6:30" x14ac:dyDescent="0.2">
      <c r="F42" s="54" t="str">
        <f>IF(B42&lt;&gt;"",_xlfn.XLOOKUP(B42,MA!C:C,MA!VP:VP,""),"")</f>
        <v/>
      </c>
      <c r="G42" s="54" t="str">
        <f>IF(B42&lt;&gt;"",_xlfn.XLOOKUP(B42,MA!C:C,MA!VQ:VQ,""),"")</f>
        <v/>
      </c>
      <c r="K42" s="184" t="s">
        <v>1371</v>
      </c>
      <c r="L42" s="166" t="str">
        <f>_xlfn.XLOOKUP(M42,MA!C:C,MA!H:H,"")</f>
        <v/>
      </c>
      <c r="M42" s="186" t="s">
        <v>847</v>
      </c>
      <c r="N42" s="186" t="s">
        <v>1582</v>
      </c>
      <c r="O42" s="54" t="str">
        <f>_xlfn.XLOOKUP(M42,MA!C:C,MA!VP:VP,"")</f>
        <v/>
      </c>
      <c r="P42" s="54" t="str">
        <f>_xlfn.XLOOKUP(M42,MA!C:C,MA!VQ:VQ,"")</f>
        <v/>
      </c>
      <c r="Q42" s="54" t="str">
        <f>_xlfn.XLOOKUP(M42,MA!C:C,MA!IG:IG,"")</f>
        <v/>
      </c>
      <c r="R42" s="54" t="str">
        <f>_xlfn.XLOOKUP(M42,MA!C:C,MA!IS:IS,"")</f>
        <v/>
      </c>
      <c r="S42" s="164" t="str">
        <f>_xlfn.XLOOKUP(M42,MA!C:C,MA!D:D,"")</f>
        <v/>
      </c>
      <c r="T42" s="164" t="str">
        <f>_xlfn.XLOOKUP(M42,MA!C:C,MA!K:K,"")</f>
        <v/>
      </c>
      <c r="U42" s="164" t="str">
        <f>_xlfn.XLOOKUP(M42,MA!C:C,MA!L:L,"")</f>
        <v/>
      </c>
      <c r="V42" s="177" t="e">
        <f t="shared" si="3"/>
        <v>#VALUE!</v>
      </c>
      <c r="Z42" s="164" t="str" cm="1">
        <f t="array" ref="Z42">_xlfn.IFS(SUM(O42:R42)=0,"",AND(O42:R42&gt;=0),"Y",AND(O42:R42&lt;=0),"N",TRUE,"W")</f>
        <v/>
      </c>
    </row>
    <row r="43" spans="6:30" x14ac:dyDescent="0.2">
      <c r="F43" s="54" t="str">
        <f>IF(B43&lt;&gt;"",_xlfn.XLOOKUP(B43,MA!C:C,MA!VP:VP,""),"")</f>
        <v/>
      </c>
      <c r="G43" s="54" t="str">
        <f>IF(B43&lt;&gt;"",_xlfn.XLOOKUP(B43,MA!C:C,MA!VQ:VQ,""),"")</f>
        <v/>
      </c>
      <c r="K43" s="184" t="s">
        <v>1372</v>
      </c>
      <c r="L43" s="166" t="str">
        <f>_xlfn.XLOOKUP(M43,MA!C:C,MA!H:H,"")</f>
        <v/>
      </c>
      <c r="M43" s="186" t="s">
        <v>35</v>
      </c>
      <c r="N43" s="186" t="s">
        <v>1583</v>
      </c>
      <c r="O43" s="54" t="str">
        <f>_xlfn.XLOOKUP(M43,MA!C:C,MA!VP:VP,"")</f>
        <v/>
      </c>
      <c r="P43" s="54" t="str">
        <f>_xlfn.XLOOKUP(M43,MA!C:C,MA!VQ:VQ,"")</f>
        <v/>
      </c>
      <c r="Q43" s="54" t="str">
        <f>_xlfn.XLOOKUP(M43,MA!C:C,MA!IG:IG,"")</f>
        <v/>
      </c>
      <c r="R43" s="54" t="str">
        <f>_xlfn.XLOOKUP(M43,MA!C:C,MA!IS:IS,"")</f>
        <v/>
      </c>
      <c r="S43" s="164" t="str">
        <f>_xlfn.XLOOKUP(M43,MA!C:C,MA!D:D,"")</f>
        <v/>
      </c>
      <c r="T43" s="164" t="str">
        <f>_xlfn.XLOOKUP(M43,MA!C:C,MA!K:K,"")</f>
        <v/>
      </c>
      <c r="U43" s="164" t="str">
        <f>_xlfn.XLOOKUP(M43,MA!C:C,MA!L:L,"")</f>
        <v/>
      </c>
      <c r="V43" s="177" t="e">
        <f t="shared" si="3"/>
        <v>#VALUE!</v>
      </c>
      <c r="Z43" s="164" t="str" cm="1">
        <f t="array" ref="Z43">_xlfn.IFS(SUM(O43:R43)=0,"",AND(O43:R43&gt;=0),"Y",AND(O43:R43&lt;=0),"N",TRUE,"W")</f>
        <v/>
      </c>
      <c r="AD43" s="54"/>
    </row>
    <row r="44" spans="6:30" x14ac:dyDescent="0.2">
      <c r="F44" s="54" t="str">
        <f>IF(B44&lt;&gt;"",_xlfn.XLOOKUP(B44,MA!C:C,MA!VP:VP,""),"")</f>
        <v/>
      </c>
      <c r="G44" s="54" t="str">
        <f>IF(B44&lt;&gt;"",_xlfn.XLOOKUP(B44,MA!C:C,MA!VQ:VQ,""),"")</f>
        <v/>
      </c>
      <c r="K44" s="184" t="s">
        <v>1373</v>
      </c>
      <c r="L44" s="166" t="str">
        <f>_xlfn.XLOOKUP(M44,MA!C:C,MA!H:H,"")</f>
        <v/>
      </c>
      <c r="M44" s="186" t="s">
        <v>120</v>
      </c>
      <c r="N44" s="186" t="s">
        <v>1584</v>
      </c>
      <c r="O44" s="54" t="str">
        <f>_xlfn.XLOOKUP(M44,MA!C:C,MA!VP:VP,"")</f>
        <v/>
      </c>
      <c r="P44" s="54" t="str">
        <f>_xlfn.XLOOKUP(M44,MA!C:C,MA!VQ:VQ,"")</f>
        <v/>
      </c>
      <c r="Q44" s="54" t="str">
        <f>_xlfn.XLOOKUP(M44,MA!C:C,MA!IG:IG,"")</f>
        <v/>
      </c>
      <c r="R44" s="54" t="str">
        <f>_xlfn.XLOOKUP(M44,MA!C:C,MA!IS:IS,"")</f>
        <v/>
      </c>
      <c r="S44" s="164" t="str">
        <f>_xlfn.XLOOKUP(M44,MA!C:C,MA!D:D,"")</f>
        <v/>
      </c>
      <c r="T44" s="164" t="str">
        <f>_xlfn.XLOOKUP(M44,MA!C:C,MA!K:K,"")</f>
        <v/>
      </c>
      <c r="U44" s="164" t="str">
        <f>_xlfn.XLOOKUP(M44,MA!C:C,MA!L:L,"")</f>
        <v/>
      </c>
      <c r="V44" s="177" t="e">
        <f t="shared" si="3"/>
        <v>#VALUE!</v>
      </c>
      <c r="Z44" s="164" t="str" cm="1">
        <f t="array" ref="Z44">_xlfn.IFS(SUM(O44:R44)=0,"",AND(O44:R44&gt;=0),"Y",AND(O44:R44&lt;=0),"N",TRUE,"W")</f>
        <v/>
      </c>
    </row>
    <row r="45" spans="6:30" x14ac:dyDescent="0.2">
      <c r="F45" s="54" t="str">
        <f>IF(B45&lt;&gt;"",_xlfn.XLOOKUP(B45,MA!C:C,MA!VP:VP,""),"")</f>
        <v/>
      </c>
      <c r="G45" s="54" t="str">
        <f>IF(B45&lt;&gt;"",_xlfn.XLOOKUP(B45,MA!C:C,MA!VQ:VQ,""),"")</f>
        <v/>
      </c>
      <c r="K45" s="184" t="s">
        <v>1374</v>
      </c>
      <c r="L45" s="166" t="str">
        <f>_xlfn.XLOOKUP(M45,MA!C:C,MA!H:H,"")</f>
        <v/>
      </c>
      <c r="M45" s="186" t="s">
        <v>32</v>
      </c>
      <c r="N45" s="186" t="s">
        <v>1585</v>
      </c>
      <c r="O45" s="54" t="str">
        <f>_xlfn.XLOOKUP(M45,MA!C:C,MA!VP:VP,"")</f>
        <v/>
      </c>
      <c r="P45" s="54" t="str">
        <f>_xlfn.XLOOKUP(M45,MA!C:C,MA!VQ:VQ,"")</f>
        <v/>
      </c>
      <c r="Q45" s="54" t="str">
        <f>_xlfn.XLOOKUP(M45,MA!C:C,MA!IG:IG,"")</f>
        <v/>
      </c>
      <c r="R45" s="54" t="str">
        <f>_xlfn.XLOOKUP(M45,MA!C:C,MA!IS:IS,"")</f>
        <v/>
      </c>
      <c r="S45" s="164" t="str">
        <f>_xlfn.XLOOKUP(M45,MA!C:C,MA!D:D,"")</f>
        <v/>
      </c>
      <c r="T45" s="164" t="str">
        <f>_xlfn.XLOOKUP(M45,MA!C:C,MA!K:K,"")</f>
        <v/>
      </c>
      <c r="U45" s="164" t="str">
        <f>_xlfn.XLOOKUP(M45,MA!C:C,MA!L:L,"")</f>
        <v/>
      </c>
      <c r="V45" s="177" t="e">
        <f t="shared" si="3"/>
        <v>#VALUE!</v>
      </c>
      <c r="Z45" s="164" t="str" cm="1">
        <f t="array" ref="Z45">_xlfn.IFS(SUM(O45:R45)=0,"",AND(O45:R45&gt;=0),"Y",AND(O45:R45&lt;=0),"N",TRUE,"W")</f>
        <v/>
      </c>
    </row>
    <row r="46" spans="6:30" x14ac:dyDescent="0.2">
      <c r="F46" s="54" t="str">
        <f>IF(B46&lt;&gt;"",_xlfn.XLOOKUP(B46,MA!C:C,MA!VP:VP,""),"")</f>
        <v/>
      </c>
      <c r="G46" s="54" t="str">
        <f>IF(B46&lt;&gt;"",_xlfn.XLOOKUP(B46,MA!C:C,MA!VQ:VQ,""),"")</f>
        <v/>
      </c>
      <c r="K46" s="184" t="s">
        <v>1375</v>
      </c>
      <c r="L46" s="166" t="str">
        <f>_xlfn.XLOOKUP(M46,MA!C:C,MA!H:H,"")</f>
        <v/>
      </c>
      <c r="M46" s="186" t="s">
        <v>33</v>
      </c>
      <c r="N46" s="186" t="s">
        <v>1586</v>
      </c>
      <c r="O46" s="54" t="str">
        <f>_xlfn.XLOOKUP(M46,MA!C:C,MA!VP:VP,"")</f>
        <v/>
      </c>
      <c r="P46" s="54" t="str">
        <f>_xlfn.XLOOKUP(M46,MA!C:C,MA!VQ:VQ,"")</f>
        <v/>
      </c>
      <c r="Q46" s="54" t="str">
        <f>_xlfn.XLOOKUP(M46,MA!C:C,MA!IG:IG,"")</f>
        <v/>
      </c>
      <c r="R46" s="54" t="str">
        <f>_xlfn.XLOOKUP(M46,MA!C:C,MA!IS:IS,"")</f>
        <v/>
      </c>
      <c r="S46" s="164" t="str">
        <f>_xlfn.XLOOKUP(M46,MA!C:C,MA!D:D,"")</f>
        <v/>
      </c>
      <c r="T46" s="164" t="str">
        <f>_xlfn.XLOOKUP(M46,MA!C:C,MA!K:K,"")</f>
        <v/>
      </c>
      <c r="U46" s="164" t="str">
        <f>_xlfn.XLOOKUP(M46,MA!C:C,MA!L:L,"")</f>
        <v/>
      </c>
      <c r="V46" s="177" t="e">
        <f t="shared" si="3"/>
        <v>#VALUE!</v>
      </c>
      <c r="Z46" s="164" t="str" cm="1">
        <f t="array" ref="Z46">_xlfn.IFS(SUM(O46:R46)=0,"",AND(O46:R46&gt;=0),"Y",AND(O46:R46&lt;=0),"N",TRUE,"W")</f>
        <v/>
      </c>
    </row>
    <row r="47" spans="6:30" x14ac:dyDescent="0.2">
      <c r="F47" s="54" t="str">
        <f>IF(B47&lt;&gt;"",_xlfn.XLOOKUP(B47,MA!C:C,MA!VP:VP,""),"")</f>
        <v/>
      </c>
      <c r="G47" s="54" t="str">
        <f>IF(B47&lt;&gt;"",_xlfn.XLOOKUP(B47,MA!C:C,MA!VQ:VQ,""),"")</f>
        <v/>
      </c>
      <c r="K47" s="184" t="s">
        <v>441</v>
      </c>
      <c r="L47" s="166" t="str">
        <f>_xlfn.XLOOKUP(M47,MA!C:C,MA!H:H,"")</f>
        <v/>
      </c>
      <c r="M47" s="186" t="s">
        <v>87</v>
      </c>
      <c r="N47" s="186" t="s">
        <v>87</v>
      </c>
      <c r="O47" s="54" t="str">
        <f>_xlfn.XLOOKUP(M47,MA!C:C,MA!VP:VP,"")</f>
        <v/>
      </c>
      <c r="P47" s="54" t="str">
        <f>_xlfn.XLOOKUP(M47,MA!C:C,MA!VQ:VQ,"")</f>
        <v/>
      </c>
      <c r="Q47" s="54" t="str">
        <f>_xlfn.XLOOKUP(M47,MA!C:C,MA!IG:IG,"")</f>
        <v/>
      </c>
      <c r="R47" s="54" t="str">
        <f>_xlfn.XLOOKUP(M47,MA!C:C,MA!IS:IS,"")</f>
        <v/>
      </c>
      <c r="S47" s="164" t="str">
        <f>_xlfn.XLOOKUP(M47,MA!C:C,MA!D:D,"")</f>
        <v/>
      </c>
      <c r="T47" s="164" t="str">
        <f>_xlfn.XLOOKUP(M47,MA!C:C,MA!K:K,"")</f>
        <v/>
      </c>
      <c r="U47" s="164" t="str">
        <f>_xlfn.XLOOKUP(M47,MA!C:C,MA!L:L,"")</f>
        <v/>
      </c>
      <c r="V47" s="177" t="e">
        <f t="shared" si="3"/>
        <v>#VALUE!</v>
      </c>
      <c r="Z47" s="164" t="str" cm="1">
        <f t="array" ref="Z47">_xlfn.IFS(SUM(O47:R47)=0,"",AND(O47:R47&gt;=0),"Y",AND(O47:R47&lt;=0),"N",TRUE,"W")</f>
        <v/>
      </c>
    </row>
    <row r="48" spans="6:30" x14ac:dyDescent="0.2">
      <c r="F48" s="54" t="str">
        <f>IF(B48&lt;&gt;"",_xlfn.XLOOKUP(B48,MA!C:C,MA!VP:VP,""),"")</f>
        <v/>
      </c>
      <c r="G48" s="54" t="str">
        <f>IF(B48&lt;&gt;"",_xlfn.XLOOKUP(B48,MA!C:C,MA!VQ:VQ,""),"")</f>
        <v/>
      </c>
      <c r="K48" s="183" t="s">
        <v>122</v>
      </c>
      <c r="L48" s="172"/>
      <c r="M48" s="187"/>
      <c r="N48" s="187"/>
      <c r="O48" s="54">
        <f>_xlfn.XLOOKUP(M48,MA!C:C,MA!VP:VP,"")</f>
        <v>0</v>
      </c>
      <c r="P48" s="54">
        <f>_xlfn.XLOOKUP(M48,MA!C:C,MA!VQ:VQ,"")</f>
        <v>0</v>
      </c>
      <c r="Q48" s="54">
        <f>_xlfn.XLOOKUP(M48,MA!C:C,MA!IG:IG,"")</f>
        <v>0</v>
      </c>
      <c r="R48" s="54">
        <f>_xlfn.XLOOKUP(M48,MA!C:C,MA!IS:IS,"")</f>
        <v>0</v>
      </c>
      <c r="S48" s="171"/>
      <c r="T48" s="171"/>
      <c r="U48" s="171"/>
      <c r="V48" s="171"/>
      <c r="W48" s="171"/>
      <c r="X48" s="171"/>
      <c r="Y48" s="171"/>
      <c r="Z48" s="171"/>
    </row>
    <row r="49" spans="6:26" x14ac:dyDescent="0.2">
      <c r="F49" s="54" t="str">
        <f>IF(B49&lt;&gt;"",_xlfn.XLOOKUP(B49,MA!C:C,MA!VP:VP,""),"")</f>
        <v/>
      </c>
      <c r="G49" s="54" t="str">
        <f>IF(B49&lt;&gt;"",_xlfn.XLOOKUP(B49,MA!C:C,MA!VQ:VQ,""),"")</f>
        <v/>
      </c>
      <c r="K49" s="184" t="s">
        <v>1750</v>
      </c>
      <c r="L49" s="166" t="str">
        <f>_xlfn.XLOOKUP(M49,MA!C:C,MA!H:H,"")</f>
        <v/>
      </c>
      <c r="M49" s="186" t="s">
        <v>22</v>
      </c>
      <c r="N49" s="186" t="s">
        <v>22</v>
      </c>
      <c r="O49" s="54" t="str">
        <f>_xlfn.XLOOKUP(M49,MA!C:C,MA!VP:VP,"")</f>
        <v/>
      </c>
      <c r="P49" s="54" t="str">
        <f>_xlfn.XLOOKUP(M49,MA!C:C,MA!VQ:VQ,"")</f>
        <v/>
      </c>
      <c r="Q49" s="54" t="str">
        <f>_xlfn.XLOOKUP(M49,MA!C:C,MA!IG:IG,"")</f>
        <v/>
      </c>
      <c r="R49" s="54" t="str">
        <f>_xlfn.XLOOKUP(M49,MA!C:C,MA!IS:IS,"")</f>
        <v/>
      </c>
      <c r="S49" s="164" t="str">
        <f>_xlfn.XLOOKUP(M49,MA!C:C,MA!D:D,"")</f>
        <v/>
      </c>
      <c r="T49" s="164" t="str">
        <f>_xlfn.XLOOKUP(M49,MA!C:C,MA!K:K,"")</f>
        <v/>
      </c>
      <c r="U49" s="164" t="str">
        <f>_xlfn.XLOOKUP(M49,MA!C:C,MA!L:L,"")</f>
        <v/>
      </c>
      <c r="V49" s="177" t="e">
        <f t="shared" si="3"/>
        <v>#VALUE!</v>
      </c>
      <c r="Z49" s="164" t="str" cm="1">
        <f t="array" ref="Z49">_xlfn.IFS(SUM(O49:R49)=0,"",AND(O49:R49&gt;=0),"Y",AND(O49:R49&lt;=0),"N",TRUE,"W")</f>
        <v/>
      </c>
    </row>
    <row r="50" spans="6:26" x14ac:dyDescent="0.2">
      <c r="F50" s="54" t="str">
        <f>IF(B50&lt;&gt;"",_xlfn.XLOOKUP(B50,MA!C:C,MA!VP:VP,""),"")</f>
        <v/>
      </c>
      <c r="G50" s="54" t="str">
        <f>IF(B50&lt;&gt;"",_xlfn.XLOOKUP(B50,MA!C:C,MA!VQ:VQ,""),"")</f>
        <v/>
      </c>
      <c r="K50" s="184" t="s">
        <v>1751</v>
      </c>
      <c r="L50" s="166" t="str">
        <f>_xlfn.XLOOKUP(M50,MA!C:C,MA!H:H,"")</f>
        <v/>
      </c>
      <c r="M50" s="186" t="s">
        <v>1</v>
      </c>
      <c r="N50" s="186" t="s">
        <v>1</v>
      </c>
      <c r="O50" s="54" t="str">
        <f>_xlfn.XLOOKUP(M50,MA!C:C,MA!VP:VP,"")</f>
        <v/>
      </c>
      <c r="P50" s="54" t="str">
        <f>_xlfn.XLOOKUP(M50,MA!C:C,MA!VQ:VQ,"")</f>
        <v/>
      </c>
      <c r="Q50" s="54" t="str">
        <f>_xlfn.XLOOKUP(M50,MA!C:C,MA!IG:IG,"")</f>
        <v/>
      </c>
      <c r="R50" s="54" t="str">
        <f>_xlfn.XLOOKUP(M50,MA!C:C,MA!IS:IS,"")</f>
        <v/>
      </c>
      <c r="S50" s="164" t="str">
        <f>_xlfn.XLOOKUP(M50,MA!C:C,MA!D:D,"")</f>
        <v/>
      </c>
      <c r="T50" s="164" t="str">
        <f>_xlfn.XLOOKUP(M50,MA!C:C,MA!K:K,"")</f>
        <v/>
      </c>
      <c r="U50" s="164" t="str">
        <f>_xlfn.XLOOKUP(M50,MA!C:C,MA!L:L,"")</f>
        <v/>
      </c>
      <c r="V50" s="177" t="e">
        <f t="shared" si="3"/>
        <v>#VALUE!</v>
      </c>
      <c r="Z50" s="164" t="str" cm="1">
        <f t="array" ref="Z50">_xlfn.IFS(SUM(O50:R50)=0,"",AND(O50:R50&gt;=0),"Y",AND(O50:R50&lt;=0),"N",TRUE,"W")</f>
        <v/>
      </c>
    </row>
    <row r="51" spans="6:26" x14ac:dyDescent="0.2">
      <c r="F51" s="54" t="str">
        <f>IF(B51&lt;&gt;"",_xlfn.XLOOKUP(B51,MA!C:C,MA!VP:VP,""),"")</f>
        <v/>
      </c>
      <c r="G51" s="54" t="str">
        <f>IF(B51&lt;&gt;"",_xlfn.XLOOKUP(B51,MA!C:C,MA!VQ:VQ,""),"")</f>
        <v/>
      </c>
      <c r="K51" s="184" t="s">
        <v>1752</v>
      </c>
      <c r="L51" s="166" t="str">
        <f>_xlfn.XLOOKUP(M51,MA!C:C,MA!H:H,"")</f>
        <v/>
      </c>
      <c r="M51" s="186" t="s">
        <v>21</v>
      </c>
      <c r="N51" s="186" t="s">
        <v>21</v>
      </c>
      <c r="O51" s="54" t="str">
        <f>_xlfn.XLOOKUP(M51,MA!C:C,MA!VP:VP,"")</f>
        <v/>
      </c>
      <c r="P51" s="54" t="str">
        <f>_xlfn.XLOOKUP(M51,MA!C:C,MA!VQ:VQ,"")</f>
        <v/>
      </c>
      <c r="Q51" s="54" t="str">
        <f>_xlfn.XLOOKUP(M51,MA!C:C,MA!IG:IG,"")</f>
        <v/>
      </c>
      <c r="R51" s="54" t="str">
        <f>_xlfn.XLOOKUP(M51,MA!C:C,MA!IS:IS,"")</f>
        <v/>
      </c>
      <c r="S51" s="164" t="str">
        <f>_xlfn.XLOOKUP(M51,MA!C:C,MA!D:D,"")</f>
        <v/>
      </c>
      <c r="T51" s="164" t="str">
        <f>_xlfn.XLOOKUP(M51,MA!C:C,MA!K:K,"")</f>
        <v/>
      </c>
      <c r="U51" s="164" t="str">
        <f>_xlfn.XLOOKUP(M51,MA!C:C,MA!L:L,"")</f>
        <v/>
      </c>
      <c r="V51" s="177" t="e">
        <f t="shared" si="3"/>
        <v>#VALUE!</v>
      </c>
      <c r="Z51" s="164" t="str" cm="1">
        <f t="array" ref="Z51">_xlfn.IFS(SUM(O51:R51)=0,"",AND(O51:R51&gt;=0),"Y",AND(O51:R51&lt;=0),"N",TRUE,"W")</f>
        <v/>
      </c>
    </row>
    <row r="52" spans="6:26" x14ac:dyDescent="0.2">
      <c r="F52" s="54" t="str">
        <f>IF(B52&lt;&gt;"",_xlfn.XLOOKUP(B52,MA!C:C,MA!VP:VP,""),"")</f>
        <v/>
      </c>
      <c r="G52" s="54" t="str">
        <f>IF(B52&lt;&gt;"",_xlfn.XLOOKUP(B52,MA!C:C,MA!VQ:VQ,""),"")</f>
        <v/>
      </c>
      <c r="K52" s="184" t="s">
        <v>1753</v>
      </c>
      <c r="L52" s="166" t="str">
        <f>_xlfn.XLOOKUP(M52,MA!C:C,MA!H:H,"")</f>
        <v/>
      </c>
      <c r="M52" s="186" t="s">
        <v>2</v>
      </c>
      <c r="N52" s="186" t="s">
        <v>2</v>
      </c>
      <c r="O52" s="54" t="str">
        <f>_xlfn.XLOOKUP(M52,MA!C:C,MA!VP:VP,"")</f>
        <v/>
      </c>
      <c r="P52" s="54" t="str">
        <f>_xlfn.XLOOKUP(M52,MA!C:C,MA!VQ:VQ,"")</f>
        <v/>
      </c>
      <c r="Q52" s="54" t="str">
        <f>_xlfn.XLOOKUP(M52,MA!C:C,MA!IG:IG,"")</f>
        <v/>
      </c>
      <c r="R52" s="54" t="str">
        <f>_xlfn.XLOOKUP(M52,MA!C:C,MA!IS:IS,"")</f>
        <v/>
      </c>
      <c r="S52" s="164" t="str">
        <f>_xlfn.XLOOKUP(M52,MA!C:C,MA!D:D,"")</f>
        <v/>
      </c>
      <c r="T52" s="164" t="str">
        <f>_xlfn.XLOOKUP(M52,MA!C:C,MA!K:K,"")</f>
        <v/>
      </c>
      <c r="U52" s="164" t="str">
        <f>_xlfn.XLOOKUP(M52,MA!C:C,MA!L:L,"")</f>
        <v/>
      </c>
      <c r="V52" s="177" t="e">
        <f t="shared" si="3"/>
        <v>#VALUE!</v>
      </c>
      <c r="Z52" s="164" t="str" cm="1">
        <f t="array" ref="Z52">_xlfn.IFS(SUM(O52:R52)=0,"",AND(O52:R52&gt;=0),"Y",AND(O52:R52&lt;=0),"N",TRUE,"W")</f>
        <v/>
      </c>
    </row>
    <row r="53" spans="6:26" x14ac:dyDescent="0.2">
      <c r="F53" s="54" t="str">
        <f>IF(B53&lt;&gt;"",_xlfn.XLOOKUP(B53,MA!C:C,MA!VP:VP,""),"")</f>
        <v/>
      </c>
      <c r="G53" s="54" t="str">
        <f>IF(B53&lt;&gt;"",_xlfn.XLOOKUP(B53,MA!C:C,MA!VQ:VQ,""),"")</f>
        <v/>
      </c>
      <c r="K53" s="184" t="s">
        <v>1754</v>
      </c>
      <c r="L53" s="166" t="str">
        <f>_xlfn.XLOOKUP(M53,MA!C:C,MA!H:H,"")</f>
        <v/>
      </c>
      <c r="M53" s="186" t="s">
        <v>3</v>
      </c>
      <c r="N53" s="186" t="s">
        <v>3</v>
      </c>
      <c r="O53" s="54" t="str">
        <f>_xlfn.XLOOKUP(M53,MA!C:C,MA!VP:VP,"")</f>
        <v/>
      </c>
      <c r="P53" s="54" t="str">
        <f>_xlfn.XLOOKUP(M53,MA!C:C,MA!VQ:VQ,"")</f>
        <v/>
      </c>
      <c r="Q53" s="54" t="str">
        <f>_xlfn.XLOOKUP(M53,MA!C:C,MA!IG:IG,"")</f>
        <v/>
      </c>
      <c r="R53" s="54" t="str">
        <f>_xlfn.XLOOKUP(M53,MA!C:C,MA!IS:IS,"")</f>
        <v/>
      </c>
      <c r="S53" s="164" t="str">
        <f>_xlfn.XLOOKUP(M53,MA!C:C,MA!D:D,"")</f>
        <v/>
      </c>
      <c r="T53" s="164" t="str">
        <f>_xlfn.XLOOKUP(M53,MA!C:C,MA!K:K,"")</f>
        <v/>
      </c>
      <c r="U53" s="164" t="str">
        <f>_xlfn.XLOOKUP(M53,MA!C:C,MA!L:L,"")</f>
        <v/>
      </c>
      <c r="V53" s="177" t="e">
        <f t="shared" si="3"/>
        <v>#VALUE!</v>
      </c>
      <c r="Z53" s="164" t="str" cm="1">
        <f t="array" ref="Z53">_xlfn.IFS(SUM(O53:R53)=0,"",AND(O53:R53&gt;=0),"Y",AND(O53:R53&lt;=0),"N",TRUE,"W")</f>
        <v/>
      </c>
    </row>
    <row r="54" spans="6:26" x14ac:dyDescent="0.2">
      <c r="F54" s="54" t="str">
        <f>IF(B54&lt;&gt;"",_xlfn.XLOOKUP(B54,MA!C:C,MA!VP:VP,""),"")</f>
        <v/>
      </c>
      <c r="G54" s="54" t="str">
        <f>IF(B54&lt;&gt;"",_xlfn.XLOOKUP(B54,MA!C:C,MA!VQ:VQ,""),"")</f>
        <v/>
      </c>
      <c r="K54" s="184" t="s">
        <v>1755</v>
      </c>
      <c r="L54" s="166" t="str">
        <f>_xlfn.XLOOKUP(M54,MA!C:C,MA!H:H,"")</f>
        <v/>
      </c>
      <c r="M54" s="186" t="s">
        <v>4</v>
      </c>
      <c r="N54" s="186" t="s">
        <v>4</v>
      </c>
      <c r="O54" s="54" t="str">
        <f>_xlfn.XLOOKUP(M54,MA!C:C,MA!VP:VP,"")</f>
        <v/>
      </c>
      <c r="P54" s="54" t="str">
        <f>_xlfn.XLOOKUP(M54,MA!C:C,MA!VQ:VQ,"")</f>
        <v/>
      </c>
      <c r="Q54" s="54" t="str">
        <f>_xlfn.XLOOKUP(M54,MA!C:C,MA!IG:IG,"")</f>
        <v/>
      </c>
      <c r="R54" s="54" t="str">
        <f>_xlfn.XLOOKUP(M54,MA!C:C,MA!IS:IS,"")</f>
        <v/>
      </c>
      <c r="S54" s="164" t="str">
        <f>_xlfn.XLOOKUP(M54,MA!C:C,MA!D:D,"")</f>
        <v/>
      </c>
      <c r="T54" s="164" t="str">
        <f>_xlfn.XLOOKUP(M54,MA!C:C,MA!K:K,"")</f>
        <v/>
      </c>
      <c r="U54" s="164" t="str">
        <f>_xlfn.XLOOKUP(M54,MA!C:C,MA!L:L,"")</f>
        <v/>
      </c>
      <c r="V54" s="177" t="e">
        <f t="shared" si="3"/>
        <v>#VALUE!</v>
      </c>
      <c r="Z54" s="164" t="str" cm="1">
        <f t="array" ref="Z54">_xlfn.IFS(SUM(O54:R54)=0,"",AND(O54:R54&gt;=0),"Y",AND(O54:R54&lt;=0),"N",TRUE,"W")</f>
        <v/>
      </c>
    </row>
    <row r="55" spans="6:26" x14ac:dyDescent="0.2">
      <c r="F55" s="54" t="str">
        <f>IF(B55&lt;&gt;"",_xlfn.XLOOKUP(B55,MA!C:C,MA!VP:VP,""),"")</f>
        <v/>
      </c>
      <c r="G55" s="54" t="str">
        <f>IF(B55&lt;&gt;"",_xlfn.XLOOKUP(B55,MA!C:C,MA!VQ:VQ,""),"")</f>
        <v/>
      </c>
      <c r="K55" s="184" t="s">
        <v>1756</v>
      </c>
      <c r="L55" s="166" t="str">
        <f>_xlfn.XLOOKUP(M55,MA!C:C,MA!H:H,"")</f>
        <v/>
      </c>
      <c r="M55" s="186" t="s">
        <v>0</v>
      </c>
      <c r="N55" s="186" t="s">
        <v>0</v>
      </c>
      <c r="O55" s="54" t="str">
        <f>_xlfn.XLOOKUP(M55,MA!C:C,MA!VP:VP,"")</f>
        <v/>
      </c>
      <c r="P55" s="54" t="str">
        <f>_xlfn.XLOOKUP(M55,MA!C:C,MA!VQ:VQ,"")</f>
        <v/>
      </c>
      <c r="Q55" s="54" t="str">
        <f>_xlfn.XLOOKUP(M55,MA!C:C,MA!IG:IG,"")</f>
        <v/>
      </c>
      <c r="R55" s="54" t="str">
        <f>_xlfn.XLOOKUP(M55,MA!C:C,MA!IS:IS,"")</f>
        <v/>
      </c>
      <c r="S55" s="164" t="str">
        <f>_xlfn.XLOOKUP(M55,MA!C:C,MA!D:D,"")</f>
        <v/>
      </c>
      <c r="T55" s="164" t="str">
        <f>_xlfn.XLOOKUP(M55,MA!C:C,MA!K:K,"")</f>
        <v/>
      </c>
      <c r="U55" s="164" t="str">
        <f>_xlfn.XLOOKUP(M55,MA!C:C,MA!L:L,"")</f>
        <v/>
      </c>
      <c r="V55" s="177" t="e">
        <f t="shared" si="3"/>
        <v>#VALUE!</v>
      </c>
      <c r="Z55" s="164" t="str" cm="1">
        <f t="array" ref="Z55">_xlfn.IFS(SUM(O55:R55)=0,"",AND(O55:R55&gt;=0),"Y",AND(O55:R55&lt;=0),"N",TRUE,"W")</f>
        <v/>
      </c>
    </row>
    <row r="56" spans="6:26" x14ac:dyDescent="0.2">
      <c r="F56" s="54" t="str">
        <f>IF(B56&lt;&gt;"",_xlfn.XLOOKUP(B56,MA!C:C,MA!VP:VP,""),"")</f>
        <v/>
      </c>
      <c r="G56" s="54" t="str">
        <f>IF(B56&lt;&gt;"",_xlfn.XLOOKUP(B56,MA!C:C,MA!VQ:VQ,""),"")</f>
        <v/>
      </c>
      <c r="K56" s="184" t="s">
        <v>1757</v>
      </c>
      <c r="L56" s="166" t="str">
        <f>_xlfn.XLOOKUP(M56,MA!C:C,MA!H:H,"")</f>
        <v/>
      </c>
      <c r="M56" s="186" t="s">
        <v>138</v>
      </c>
      <c r="N56" s="186" t="s">
        <v>138</v>
      </c>
      <c r="O56" s="54" t="str">
        <f>_xlfn.XLOOKUP(M56,MA!C:C,MA!VP:VP,"")</f>
        <v/>
      </c>
      <c r="P56" s="54" t="str">
        <f>_xlfn.XLOOKUP(M56,MA!C:C,MA!VQ:VQ,"")</f>
        <v/>
      </c>
      <c r="Q56" s="54" t="str">
        <f>_xlfn.XLOOKUP(M56,MA!C:C,MA!IG:IG,"")</f>
        <v/>
      </c>
      <c r="R56" s="54" t="str">
        <f>_xlfn.XLOOKUP(M56,MA!C:C,MA!IS:IS,"")</f>
        <v/>
      </c>
      <c r="S56" s="164" t="str">
        <f>_xlfn.XLOOKUP(M56,MA!C:C,MA!D:D,"")</f>
        <v/>
      </c>
      <c r="T56" s="164" t="str">
        <f>_xlfn.XLOOKUP(M56,MA!C:C,MA!K:K,"")</f>
        <v/>
      </c>
      <c r="U56" s="164" t="str">
        <f>_xlfn.XLOOKUP(M56,MA!C:C,MA!L:L,"")</f>
        <v/>
      </c>
      <c r="V56" s="177" t="e">
        <f t="shared" si="3"/>
        <v>#VALUE!</v>
      </c>
      <c r="Z56" s="164" t="str" cm="1">
        <f t="array" ref="Z56">_xlfn.IFS(SUM(O56:R56)=0,"",AND(O56:R56&gt;=0),"Y",AND(O56:R56&lt;=0),"N",TRUE,"W")</f>
        <v/>
      </c>
    </row>
    <row r="57" spans="6:26" x14ac:dyDescent="0.2">
      <c r="F57" s="54" t="str">
        <f>IF(B57&lt;&gt;"",_xlfn.XLOOKUP(B57,MA!C:C,MA!VP:VP,""),"")</f>
        <v/>
      </c>
      <c r="G57" s="54" t="str">
        <f>IF(B57&lt;&gt;"",_xlfn.XLOOKUP(B57,MA!C:C,MA!VQ:VQ,""),"")</f>
        <v/>
      </c>
      <c r="K57" s="184" t="s">
        <v>1779</v>
      </c>
      <c r="L57" s="166" t="str">
        <f>_xlfn.XLOOKUP(M57,MA!C:C,MA!H:H,"")</f>
        <v/>
      </c>
      <c r="M57" s="186" t="s">
        <v>193</v>
      </c>
      <c r="N57" s="186" t="s">
        <v>193</v>
      </c>
      <c r="O57" s="54" t="str">
        <f>_xlfn.XLOOKUP(M57,MA!C:C,MA!VP:VP,"")</f>
        <v/>
      </c>
      <c r="P57" s="54" t="str">
        <f>_xlfn.XLOOKUP(M57,MA!C:C,MA!VQ:VQ,"")</f>
        <v/>
      </c>
      <c r="Q57" s="54" t="str">
        <f>_xlfn.XLOOKUP(M57,MA!C:C,MA!IG:IG,"")</f>
        <v/>
      </c>
      <c r="R57" s="54" t="str">
        <f>_xlfn.XLOOKUP(M57,MA!C:C,MA!IS:IS,"")</f>
        <v/>
      </c>
      <c r="S57" s="164" t="str">
        <f>_xlfn.XLOOKUP(M57,MA!C:C,MA!D:D,"")</f>
        <v/>
      </c>
      <c r="T57" s="164" t="str">
        <f>_xlfn.XLOOKUP(M57,MA!C:C,MA!K:K,"")</f>
        <v/>
      </c>
      <c r="U57" s="164" t="str">
        <f>_xlfn.XLOOKUP(M57,MA!C:C,MA!L:L,"")</f>
        <v/>
      </c>
      <c r="V57" s="177" t="e">
        <f t="shared" si="3"/>
        <v>#VALUE!</v>
      </c>
      <c r="Z57" s="164" t="str" cm="1">
        <f t="array" ref="Z57">_xlfn.IFS(SUM(O57:R57)=0,"",AND(O57:R57&gt;=0),"Y",AND(O57:R57&lt;=0),"N",TRUE,"W")</f>
        <v/>
      </c>
    </row>
    <row r="58" spans="6:26" x14ac:dyDescent="0.2">
      <c r="F58" s="54" t="str">
        <f>IF(B58&lt;&gt;"",_xlfn.XLOOKUP(B58,MA!C:C,MA!VP:VP,""),"")</f>
        <v/>
      </c>
      <c r="G58" s="54" t="str">
        <f>IF(B58&lt;&gt;"",_xlfn.XLOOKUP(B58,MA!C:C,MA!VQ:VQ,""),"")</f>
        <v/>
      </c>
      <c r="K58" s="184" t="s">
        <v>1758</v>
      </c>
      <c r="L58" s="166" t="str">
        <f>_xlfn.XLOOKUP(M58,MA!C:C,MA!H:H,"")</f>
        <v/>
      </c>
      <c r="M58" s="186" t="s">
        <v>1475</v>
      </c>
      <c r="N58" s="186" t="s">
        <v>1587</v>
      </c>
      <c r="O58" s="54" t="str">
        <f>_xlfn.XLOOKUP(M58,MA!C:C,MA!VP:VP,"")</f>
        <v/>
      </c>
      <c r="P58" s="54" t="str">
        <f>_xlfn.XLOOKUP(M58,MA!C:C,MA!VQ:VQ,"")</f>
        <v/>
      </c>
      <c r="Q58" s="54" t="str">
        <f>_xlfn.XLOOKUP(M58,MA!C:C,MA!IG:IG,"")</f>
        <v/>
      </c>
      <c r="R58" s="54" t="str">
        <f>_xlfn.XLOOKUP(M58,MA!C:C,MA!IS:IS,"")</f>
        <v/>
      </c>
      <c r="S58" s="164" t="str">
        <f>_xlfn.XLOOKUP(M58,MA!C:C,MA!D:D,"")</f>
        <v/>
      </c>
      <c r="T58" s="164" t="str">
        <f>_xlfn.XLOOKUP(M58,MA!C:C,MA!K:K,"")</f>
        <v/>
      </c>
      <c r="U58" s="164" t="str">
        <f>_xlfn.XLOOKUP(M58,MA!C:C,MA!L:L,"")</f>
        <v/>
      </c>
      <c r="V58" s="177" t="e">
        <f t="shared" si="3"/>
        <v>#VALUE!</v>
      </c>
      <c r="Z58" s="164" t="str" cm="1">
        <f t="array" ref="Z58">_xlfn.IFS(SUM(O58:R58)=0,"",AND(O58:R58&gt;=0),"Y",AND(O58:R58&lt;=0),"N",TRUE,"W")</f>
        <v/>
      </c>
    </row>
    <row r="59" spans="6:26" x14ac:dyDescent="0.2">
      <c r="F59" s="54" t="str">
        <f>IF(B59&lt;&gt;"",_xlfn.XLOOKUP(B59,MA!C:C,MA!VP:VP,""),"")</f>
        <v/>
      </c>
      <c r="G59" s="54" t="str">
        <f>IF(B59&lt;&gt;"",_xlfn.XLOOKUP(B59,MA!C:C,MA!VQ:VQ,""),"")</f>
        <v/>
      </c>
      <c r="K59" s="184" t="s">
        <v>1759</v>
      </c>
      <c r="L59" s="166" t="str">
        <f>_xlfn.XLOOKUP(M59,MA!C:C,MA!H:H,"")</f>
        <v/>
      </c>
      <c r="M59" s="186" t="s">
        <v>15</v>
      </c>
      <c r="N59" s="186" t="s">
        <v>15</v>
      </c>
      <c r="O59" s="54" t="str">
        <f>_xlfn.XLOOKUP(M59,MA!C:C,MA!VP:VP,"")</f>
        <v/>
      </c>
      <c r="P59" s="54" t="str">
        <f>_xlfn.XLOOKUP(M59,MA!C:C,MA!VQ:VQ,"")</f>
        <v/>
      </c>
      <c r="Q59" s="54" t="str">
        <f>_xlfn.XLOOKUP(M59,MA!C:C,MA!IG:IG,"")</f>
        <v/>
      </c>
      <c r="R59" s="54" t="str">
        <f>_xlfn.XLOOKUP(M59,MA!C:C,MA!IS:IS,"")</f>
        <v/>
      </c>
      <c r="S59" s="164" t="str">
        <f>_xlfn.XLOOKUP(M59,MA!C:C,MA!D:D,"")</f>
        <v/>
      </c>
      <c r="T59" s="164" t="str">
        <f>_xlfn.XLOOKUP(M59,MA!C:C,MA!K:K,"")</f>
        <v/>
      </c>
      <c r="U59" s="164" t="str">
        <f>_xlfn.XLOOKUP(M59,MA!C:C,MA!L:L,"")</f>
        <v/>
      </c>
      <c r="V59" s="177" t="e">
        <f t="shared" si="3"/>
        <v>#VALUE!</v>
      </c>
      <c r="Z59" s="164" t="str" cm="1">
        <f t="array" ref="Z59">_xlfn.IFS(SUM(O59:R59)=0,"",AND(O59:R59&gt;=0),"Y",AND(O59:R59&lt;=0),"N",TRUE,"W")</f>
        <v/>
      </c>
    </row>
    <row r="60" spans="6:26" x14ac:dyDescent="0.2">
      <c r="F60" s="54" t="str">
        <f>IF(B60&lt;&gt;"",_xlfn.XLOOKUP(B60,MA!C:C,MA!VP:VP,""),"")</f>
        <v/>
      </c>
      <c r="G60" s="54" t="str">
        <f>IF(B60&lt;&gt;"",_xlfn.XLOOKUP(B60,MA!C:C,MA!VQ:VQ,""),"")</f>
        <v/>
      </c>
      <c r="K60" s="184" t="s">
        <v>1792</v>
      </c>
      <c r="L60" s="166" t="str">
        <f>_xlfn.XLOOKUP(M60,MA!C:C,MA!H:H,"")</f>
        <v/>
      </c>
      <c r="M60" s="186" t="s">
        <v>590</v>
      </c>
      <c r="N60" s="186" t="s">
        <v>590</v>
      </c>
      <c r="O60" s="54" t="str">
        <f>_xlfn.XLOOKUP(M60,MA!C:C,MA!VP:VP,"")</f>
        <v/>
      </c>
      <c r="P60" s="54" t="str">
        <f>_xlfn.XLOOKUP(M60,MA!C:C,MA!VQ:VQ,"")</f>
        <v/>
      </c>
      <c r="Q60" s="54" t="str">
        <f>_xlfn.XLOOKUP(M60,MA!C:C,MA!IG:IG,"")</f>
        <v/>
      </c>
      <c r="R60" s="54" t="str">
        <f>_xlfn.XLOOKUP(M60,MA!C:C,MA!IS:IS,"")</f>
        <v/>
      </c>
      <c r="S60" s="164" t="str">
        <f>_xlfn.XLOOKUP(M60,MA!C:C,MA!D:D,"")</f>
        <v/>
      </c>
      <c r="T60" s="164" t="str">
        <f>_xlfn.XLOOKUP(M60,MA!C:C,MA!K:K,"")</f>
        <v/>
      </c>
      <c r="U60" s="164" t="str">
        <f>_xlfn.XLOOKUP(M60,MA!C:C,MA!L:L,"")</f>
        <v/>
      </c>
      <c r="V60" s="177" t="e">
        <f t="shared" si="3"/>
        <v>#VALUE!</v>
      </c>
      <c r="Z60" s="164" t="str" cm="1">
        <f t="array" ref="Z60">_xlfn.IFS(SUM(O60:R60)=0,"",AND(O60:R60&gt;=0),"Y",AND(O60:R60&lt;=0),"N",TRUE,"W")</f>
        <v/>
      </c>
    </row>
    <row r="61" spans="6:26" x14ac:dyDescent="0.2">
      <c r="F61" s="54" t="str">
        <f>IF(B61&lt;&gt;"",_xlfn.XLOOKUP(B61,MA!C:C,MA!VP:VP,""),"")</f>
        <v/>
      </c>
      <c r="G61" s="54" t="str">
        <f>IF(B61&lt;&gt;"",_xlfn.XLOOKUP(B61,MA!C:C,MA!VQ:VQ,""),"")</f>
        <v/>
      </c>
      <c r="K61" s="184" t="s">
        <v>1553</v>
      </c>
      <c r="L61" s="166" t="str">
        <f>_xlfn.XLOOKUP(M61,MA!C:C,MA!H:H,"")</f>
        <v/>
      </c>
      <c r="M61" s="186" t="s">
        <v>488</v>
      </c>
      <c r="N61" s="186" t="s">
        <v>488</v>
      </c>
      <c r="O61" s="54" t="str">
        <f>_xlfn.XLOOKUP(M61,MA!C:C,MA!VP:VP,"")</f>
        <v/>
      </c>
      <c r="P61" s="54" t="str">
        <f>_xlfn.XLOOKUP(M61,MA!C:C,MA!VQ:VQ,"")</f>
        <v/>
      </c>
      <c r="Q61" s="54" t="str">
        <f>_xlfn.XLOOKUP(M61,MA!C:C,MA!IG:IG,"")</f>
        <v/>
      </c>
      <c r="R61" s="54" t="str">
        <f>_xlfn.XLOOKUP(M61,MA!C:C,MA!IS:IS,"")</f>
        <v/>
      </c>
      <c r="S61" s="164" t="str">
        <f>_xlfn.XLOOKUP(M61,MA!C:C,MA!D:D,"")</f>
        <v/>
      </c>
      <c r="T61" s="164" t="str">
        <f>_xlfn.XLOOKUP(M61,MA!C:C,MA!K:K,"")</f>
        <v/>
      </c>
      <c r="U61" s="164" t="str">
        <f>_xlfn.XLOOKUP(M61,MA!C:C,MA!L:L,"")</f>
        <v/>
      </c>
      <c r="V61" s="177" t="e">
        <f t="shared" si="3"/>
        <v>#VALUE!</v>
      </c>
      <c r="Z61" s="164" t="str" cm="1">
        <f t="array" ref="Z61">_xlfn.IFS(SUM(O61:R61)=0,"",AND(O61:R61&gt;=0),"Y",AND(O61:R61&lt;=0),"N",TRUE,"W")</f>
        <v/>
      </c>
    </row>
    <row r="62" spans="6:26" x14ac:dyDescent="0.2">
      <c r="F62" s="54" t="str">
        <f>IF(B62&lt;&gt;"",_xlfn.XLOOKUP(B62,MA!C:C,MA!VP:VP,""),"")</f>
        <v/>
      </c>
      <c r="G62" s="54" t="str">
        <f>IF(B62&lt;&gt;"",_xlfn.XLOOKUP(B62,MA!C:C,MA!VQ:VQ,""),"")</f>
        <v/>
      </c>
      <c r="K62" s="184" t="s">
        <v>1564</v>
      </c>
      <c r="L62" s="166" t="str">
        <f>_xlfn.XLOOKUP(M62,MA!C:C,MA!H:H,"")</f>
        <v/>
      </c>
      <c r="M62" s="186" t="s">
        <v>880</v>
      </c>
      <c r="N62" s="186" t="s">
        <v>880</v>
      </c>
      <c r="O62" s="54" t="str">
        <f>_xlfn.XLOOKUP(M62,MA!C:C,MA!VP:VP,"")</f>
        <v/>
      </c>
      <c r="P62" s="54" t="str">
        <f>_xlfn.XLOOKUP(M62,MA!C:C,MA!VQ:VQ,"")</f>
        <v/>
      </c>
      <c r="Q62" s="54" t="str">
        <f>_xlfn.XLOOKUP(M62,MA!C:C,MA!IG:IG,"")</f>
        <v/>
      </c>
      <c r="R62" s="54" t="str">
        <f>_xlfn.XLOOKUP(M62,MA!C:C,MA!IS:IS,"")</f>
        <v/>
      </c>
      <c r="S62" s="164" t="str">
        <f>_xlfn.XLOOKUP(M62,MA!C:C,MA!D:D,"")</f>
        <v/>
      </c>
      <c r="T62" s="164" t="str">
        <f>_xlfn.XLOOKUP(M62,MA!C:C,MA!K:K,"")</f>
        <v/>
      </c>
      <c r="U62" s="164" t="str">
        <f>_xlfn.XLOOKUP(M62,MA!C:C,MA!L:L,"")</f>
        <v/>
      </c>
      <c r="V62" s="177" t="e">
        <f t="shared" si="3"/>
        <v>#VALUE!</v>
      </c>
      <c r="Z62" s="164" t="str" cm="1">
        <f t="array" ref="Z62">_xlfn.IFS(SUM(O62:R62)=0,"",AND(O62:R62&gt;=0),"Y",AND(O62:R62&lt;=0),"N",TRUE,"W")</f>
        <v/>
      </c>
    </row>
    <row r="63" spans="6:26" x14ac:dyDescent="0.2">
      <c r="F63" s="54" t="str">
        <f>IF(B63&lt;&gt;"",_xlfn.XLOOKUP(B63,MA!C:C,MA!VP:VP,""),"")</f>
        <v/>
      </c>
      <c r="G63" s="54" t="str">
        <f>IF(B63&lt;&gt;"",_xlfn.XLOOKUP(B63,MA!C:C,MA!VQ:VQ,""),"")</f>
        <v/>
      </c>
      <c r="K63" s="184" t="s">
        <v>1552</v>
      </c>
      <c r="L63" s="166" t="str">
        <f>_xlfn.XLOOKUP(M63,MA!C:C,MA!H:H,"")</f>
        <v/>
      </c>
      <c r="M63" s="186" t="s">
        <v>17</v>
      </c>
      <c r="N63" s="186" t="s">
        <v>17</v>
      </c>
      <c r="O63" s="54" t="str">
        <f>_xlfn.XLOOKUP(M63,MA!C:C,MA!VP:VP,"")</f>
        <v/>
      </c>
      <c r="P63" s="54" t="str">
        <f>_xlfn.XLOOKUP(M63,MA!C:C,MA!VQ:VQ,"")</f>
        <v/>
      </c>
      <c r="Q63" s="54" t="str">
        <f>_xlfn.XLOOKUP(M63,MA!C:C,MA!IG:IG,"")</f>
        <v/>
      </c>
      <c r="R63" s="54" t="str">
        <f>_xlfn.XLOOKUP(M63,MA!C:C,MA!IS:IS,"")</f>
        <v/>
      </c>
      <c r="S63" s="164" t="str">
        <f>_xlfn.XLOOKUP(M63,MA!C:C,MA!D:D,"")</f>
        <v/>
      </c>
      <c r="T63" s="164" t="str">
        <f>_xlfn.XLOOKUP(M63,MA!C:C,MA!K:K,"")</f>
        <v/>
      </c>
      <c r="U63" s="164" t="str">
        <f>_xlfn.XLOOKUP(M63,MA!C:C,MA!L:L,"")</f>
        <v/>
      </c>
      <c r="V63" s="177" t="e">
        <f t="shared" si="3"/>
        <v>#VALUE!</v>
      </c>
      <c r="Z63" s="164" t="str" cm="1">
        <f t="array" ref="Z63">_xlfn.IFS(SUM(O63:R63)=0,"",AND(O63:R63&gt;=0),"Y",AND(O63:R63&lt;=0),"N",TRUE,"W")</f>
        <v/>
      </c>
    </row>
    <row r="64" spans="6:26" x14ac:dyDescent="0.2">
      <c r="F64" s="54" t="str">
        <f>IF(B64&lt;&gt;"",_xlfn.XLOOKUP(B64,MA!C:C,MA!VP:VP,""),"")</f>
        <v/>
      </c>
      <c r="G64" s="54" t="str">
        <f>IF(B64&lt;&gt;"",_xlfn.XLOOKUP(B64,MA!C:C,MA!VQ:VQ,""),"")</f>
        <v/>
      </c>
      <c r="K64" s="184" t="s">
        <v>1760</v>
      </c>
      <c r="L64" s="166" t="str">
        <f>_xlfn.XLOOKUP(M64,MA!C:C,MA!H:H,"")</f>
        <v/>
      </c>
      <c r="M64" s="186" t="s">
        <v>770</v>
      </c>
      <c r="N64" s="186" t="s">
        <v>770</v>
      </c>
      <c r="O64" s="54" t="str">
        <f>_xlfn.XLOOKUP(M64,MA!C:C,MA!VP:VP,"")</f>
        <v/>
      </c>
      <c r="P64" s="54" t="str">
        <f>_xlfn.XLOOKUP(M64,MA!C:C,MA!VQ:VQ,"")</f>
        <v/>
      </c>
      <c r="Q64" s="54" t="str">
        <f>_xlfn.XLOOKUP(M64,MA!C:C,MA!IG:IG,"")</f>
        <v/>
      </c>
      <c r="R64" s="54" t="str">
        <f>_xlfn.XLOOKUP(M64,MA!C:C,MA!IS:IS,"")</f>
        <v/>
      </c>
      <c r="S64" s="164" t="str">
        <f>_xlfn.XLOOKUP(M64,MA!C:C,MA!D:D,"")</f>
        <v/>
      </c>
      <c r="T64" s="164" t="str">
        <f>_xlfn.XLOOKUP(M64,MA!C:C,MA!K:K,"")</f>
        <v/>
      </c>
      <c r="U64" s="164" t="str">
        <f>_xlfn.XLOOKUP(M64,MA!C:C,MA!L:L,"")</f>
        <v/>
      </c>
      <c r="V64" s="177" t="e">
        <f t="shared" si="3"/>
        <v>#VALUE!</v>
      </c>
      <c r="Z64" s="164" t="str" cm="1">
        <f t="array" ref="Z64">_xlfn.IFS(SUM(O64:R64)=0,"",AND(O64:R64&gt;=0),"Y",AND(O64:R64&lt;=0),"N",TRUE,"W")</f>
        <v/>
      </c>
    </row>
    <row r="65" spans="6:26" x14ac:dyDescent="0.2">
      <c r="F65" s="54" t="str">
        <f>IF(B65&lt;&gt;"",_xlfn.XLOOKUP(B65,MA!C:C,MA!VP:VP,""),"")</f>
        <v/>
      </c>
      <c r="G65" s="54" t="str">
        <f>IF(B65&lt;&gt;"",_xlfn.XLOOKUP(B65,MA!C:C,MA!VQ:VQ,""),"")</f>
        <v/>
      </c>
      <c r="K65" s="184" t="s">
        <v>1365</v>
      </c>
      <c r="L65" s="166" t="str">
        <f>_xlfn.XLOOKUP(M65,MA!C:C,MA!H:H,"")</f>
        <v/>
      </c>
      <c r="M65" s="186" t="s">
        <v>14</v>
      </c>
      <c r="N65" s="186" t="s">
        <v>14</v>
      </c>
      <c r="O65" s="54" t="str">
        <f>_xlfn.XLOOKUP(M65,MA!C:C,MA!VP:VP,"")</f>
        <v/>
      </c>
      <c r="P65" s="54" t="str">
        <f>_xlfn.XLOOKUP(M65,MA!C:C,MA!VQ:VQ,"")</f>
        <v/>
      </c>
      <c r="Q65" s="54" t="str">
        <f>_xlfn.XLOOKUP(M65,MA!C:C,MA!IG:IG,"")</f>
        <v/>
      </c>
      <c r="R65" s="54" t="str">
        <f>_xlfn.XLOOKUP(M65,MA!C:C,MA!IS:IS,"")</f>
        <v/>
      </c>
      <c r="S65" s="164" t="str">
        <f>_xlfn.XLOOKUP(M65,MA!C:C,MA!D:D,"")</f>
        <v/>
      </c>
      <c r="T65" s="164" t="str">
        <f>_xlfn.XLOOKUP(M65,MA!C:C,MA!K:K,"")</f>
        <v/>
      </c>
      <c r="U65" s="164" t="str">
        <f>_xlfn.XLOOKUP(M65,MA!C:C,MA!L:L,"")</f>
        <v/>
      </c>
      <c r="V65" s="177" t="e">
        <f t="shared" si="3"/>
        <v>#VALUE!</v>
      </c>
      <c r="Z65" s="164" t="str" cm="1">
        <f t="array" ref="Z65">_xlfn.IFS(SUM(O65:R65)=0,"",AND(O65:R65&gt;=0),"Y",AND(O65:R65&lt;=0),"N",TRUE,"W")</f>
        <v/>
      </c>
    </row>
    <row r="66" spans="6:26" x14ac:dyDescent="0.2">
      <c r="F66" s="54" t="str">
        <f>IF(B66&lt;&gt;"",_xlfn.XLOOKUP(B66,MA!C:C,MA!VP:VP,""),"")</f>
        <v/>
      </c>
      <c r="G66" s="54" t="str">
        <f>IF(B66&lt;&gt;"",_xlfn.XLOOKUP(B66,MA!C:C,MA!VQ:VQ,""),"")</f>
        <v/>
      </c>
      <c r="K66" s="184" t="s">
        <v>1366</v>
      </c>
      <c r="L66" s="166" t="str">
        <f>_xlfn.XLOOKUP(M66,MA!C:C,MA!H:H,"")</f>
        <v/>
      </c>
      <c r="M66" s="186" t="s">
        <v>491</v>
      </c>
      <c r="N66" s="186" t="s">
        <v>491</v>
      </c>
      <c r="O66" s="54" t="str">
        <f>_xlfn.XLOOKUP(M66,MA!C:C,MA!VP:VP,"")</f>
        <v/>
      </c>
      <c r="P66" s="54" t="str">
        <f>_xlfn.XLOOKUP(M66,MA!C:C,MA!VQ:VQ,"")</f>
        <v/>
      </c>
      <c r="Q66" s="54" t="str">
        <f>_xlfn.XLOOKUP(M66,MA!C:C,MA!IG:IG,"")</f>
        <v/>
      </c>
      <c r="R66" s="54" t="str">
        <f>_xlfn.XLOOKUP(M66,MA!C:C,MA!IS:IS,"")</f>
        <v/>
      </c>
      <c r="S66" s="164" t="str">
        <f>_xlfn.XLOOKUP(M66,MA!C:C,MA!D:D,"")</f>
        <v/>
      </c>
      <c r="T66" s="164" t="str">
        <f>_xlfn.XLOOKUP(M66,MA!C:C,MA!K:K,"")</f>
        <v/>
      </c>
      <c r="U66" s="164" t="str">
        <f>_xlfn.XLOOKUP(M66,MA!C:C,MA!L:L,"")</f>
        <v/>
      </c>
      <c r="V66" s="177" t="e">
        <f t="shared" si="3"/>
        <v>#VALUE!</v>
      </c>
      <c r="Z66" s="164" t="str" cm="1">
        <f t="array" ref="Z66">_xlfn.IFS(SUM(O66:R66)=0,"",AND(O66:R66&gt;=0),"Y",AND(O66:R66&lt;=0),"N",TRUE,"W")</f>
        <v/>
      </c>
    </row>
    <row r="67" spans="6:26" x14ac:dyDescent="0.2">
      <c r="F67" s="54" t="str">
        <f>IF(B67&lt;&gt;"",_xlfn.XLOOKUP(B67,MA!C:C,MA!VP:VP,""),"")</f>
        <v/>
      </c>
      <c r="G67" s="54" t="str">
        <f>IF(B67&lt;&gt;"",_xlfn.XLOOKUP(B67,MA!C:C,MA!VQ:VQ,""),"")</f>
        <v/>
      </c>
      <c r="K67" s="184" t="s">
        <v>1551</v>
      </c>
      <c r="L67" s="166" t="str">
        <f>_xlfn.XLOOKUP(M67,MA!C:C,MA!H:H,"")</f>
        <v/>
      </c>
      <c r="M67" s="186" t="s">
        <v>490</v>
      </c>
      <c r="N67" s="186" t="s">
        <v>490</v>
      </c>
      <c r="O67" s="54" t="str">
        <f>_xlfn.XLOOKUP(M67,MA!C:C,MA!VP:VP,"")</f>
        <v/>
      </c>
      <c r="P67" s="54" t="str">
        <f>_xlfn.XLOOKUP(M67,MA!C:C,MA!VQ:VQ,"")</f>
        <v/>
      </c>
      <c r="Q67" s="54" t="str">
        <f>_xlfn.XLOOKUP(M67,MA!C:C,MA!IG:IG,"")</f>
        <v/>
      </c>
      <c r="R67" s="54" t="str">
        <f>_xlfn.XLOOKUP(M67,MA!C:C,MA!IS:IS,"")</f>
        <v/>
      </c>
      <c r="S67" s="164" t="str">
        <f>_xlfn.XLOOKUP(M67,MA!C:C,MA!D:D,"")</f>
        <v/>
      </c>
      <c r="T67" s="164" t="str">
        <f>_xlfn.XLOOKUP(M67,MA!C:C,MA!K:K,"")</f>
        <v/>
      </c>
      <c r="U67" s="164" t="str">
        <f>_xlfn.XLOOKUP(M67,MA!C:C,MA!L:L,"")</f>
        <v/>
      </c>
      <c r="V67" s="177" t="e">
        <f t="shared" si="3"/>
        <v>#VALUE!</v>
      </c>
      <c r="Z67" s="164" t="str" cm="1">
        <f t="array" ref="Z67">_xlfn.IFS(SUM(O67:R67)=0,"",AND(O67:R67&gt;=0),"Y",AND(O67:R67&lt;=0),"N",TRUE,"W")</f>
        <v/>
      </c>
    </row>
    <row r="68" spans="6:26" x14ac:dyDescent="0.2">
      <c r="F68" s="54" t="str">
        <f>IF(B68&lt;&gt;"",_xlfn.XLOOKUP(B68,MA!C:C,MA!VP:VP,""),"")</f>
        <v/>
      </c>
      <c r="G68" s="54" t="str">
        <f>IF(B68&lt;&gt;"",_xlfn.XLOOKUP(B68,MA!C:C,MA!VQ:VQ,""),"")</f>
        <v/>
      </c>
      <c r="K68" s="184" t="s">
        <v>391</v>
      </c>
      <c r="L68" s="166" t="str">
        <f>_xlfn.XLOOKUP(M68,MA!C:C,MA!H:H,"")</f>
        <v/>
      </c>
      <c r="M68" s="186" t="s">
        <v>85</v>
      </c>
      <c r="N68" s="186" t="s">
        <v>85</v>
      </c>
      <c r="O68" s="54" t="str">
        <f>_xlfn.XLOOKUP(M68,MA!C:C,MA!VP:VP,"")</f>
        <v/>
      </c>
      <c r="P68" s="54" t="str">
        <f>_xlfn.XLOOKUP(M68,MA!C:C,MA!VQ:VQ,"")</f>
        <v/>
      </c>
      <c r="Q68" s="54" t="str">
        <f>_xlfn.XLOOKUP(M68,MA!C:C,MA!IG:IG,"")</f>
        <v/>
      </c>
      <c r="R68" s="54" t="str">
        <f>_xlfn.XLOOKUP(M68,MA!C:C,MA!IS:IS,"")</f>
        <v/>
      </c>
      <c r="S68" s="164" t="str">
        <f>_xlfn.XLOOKUP(M68,MA!C:C,MA!D:D,"")</f>
        <v/>
      </c>
      <c r="T68" s="164" t="str">
        <f>_xlfn.XLOOKUP(M68,MA!C:C,MA!K:K,"")</f>
        <v/>
      </c>
      <c r="U68" s="164" t="str">
        <f>_xlfn.XLOOKUP(M68,MA!C:C,MA!L:L,"")</f>
        <v/>
      </c>
      <c r="V68" s="177" t="e">
        <f t="shared" si="3"/>
        <v>#VALUE!</v>
      </c>
      <c r="Z68" s="164" t="str" cm="1">
        <f t="array" ref="Z68">_xlfn.IFS(SUM(O68:R68)=0,"",AND(O68:R68&gt;=0),"Y",AND(O68:R68&lt;=0),"N",TRUE,"W")</f>
        <v/>
      </c>
    </row>
    <row r="69" spans="6:26" x14ac:dyDescent="0.2">
      <c r="F69" s="54" t="str">
        <f>IF(B69&lt;&gt;"",_xlfn.XLOOKUP(B69,MA!C:C,MA!VP:VP,""),"")</f>
        <v/>
      </c>
      <c r="G69" s="54" t="str">
        <f>IF(B69&lt;&gt;"",_xlfn.XLOOKUP(B69,MA!C:C,MA!VQ:VQ,""),"")</f>
        <v/>
      </c>
      <c r="K69" s="184" t="s">
        <v>835</v>
      </c>
      <c r="L69" s="166" t="str">
        <f>_xlfn.XLOOKUP(M69,MA!C:C,MA!H:H,"")</f>
        <v/>
      </c>
      <c r="M69" s="186" t="s">
        <v>762</v>
      </c>
      <c r="N69" s="186" t="s">
        <v>762</v>
      </c>
      <c r="O69" s="54" t="str">
        <f>_xlfn.XLOOKUP(M69,MA!C:C,MA!VP:VP,"")</f>
        <v/>
      </c>
      <c r="P69" s="54" t="str">
        <f>_xlfn.XLOOKUP(M69,MA!C:C,MA!VQ:VQ,"")</f>
        <v/>
      </c>
      <c r="Q69" s="54" t="str">
        <f>_xlfn.XLOOKUP(M69,MA!C:C,MA!IG:IG,"")</f>
        <v/>
      </c>
      <c r="R69" s="54" t="str">
        <f>_xlfn.XLOOKUP(M69,MA!C:C,MA!IS:IS,"")</f>
        <v/>
      </c>
      <c r="S69" s="164" t="str">
        <f>_xlfn.XLOOKUP(M69,MA!C:C,MA!D:D,"")</f>
        <v/>
      </c>
      <c r="T69" s="164" t="str">
        <f>_xlfn.XLOOKUP(M69,MA!C:C,MA!K:K,"")</f>
        <v/>
      </c>
      <c r="U69" s="164" t="str">
        <f>_xlfn.XLOOKUP(M69,MA!C:C,MA!L:L,"")</f>
        <v/>
      </c>
      <c r="V69" s="177" t="e">
        <f t="shared" si="3"/>
        <v>#VALUE!</v>
      </c>
      <c r="Z69" s="164" t="str" cm="1">
        <f t="array" ref="Z69">_xlfn.IFS(SUM(O69:R69)=0,"",AND(O69:R69&gt;=0),"Y",AND(O69:R69&lt;=0),"N",TRUE,"W")</f>
        <v/>
      </c>
    </row>
    <row r="70" spans="6:26" x14ac:dyDescent="0.2">
      <c r="F70" s="54" t="str">
        <f>IF(B70&lt;&gt;"",_xlfn.XLOOKUP(B70,MA!C:C,MA!VP:VP,""),"")</f>
        <v/>
      </c>
      <c r="G70" s="54" t="str">
        <f>IF(B70&lt;&gt;"",_xlfn.XLOOKUP(B70,MA!C:C,MA!VQ:VQ,""),"")</f>
        <v/>
      </c>
      <c r="K70" s="184" t="s">
        <v>1554</v>
      </c>
      <c r="L70" s="166" t="str">
        <f>_xlfn.XLOOKUP(M70,MA!C:C,MA!H:H,"")</f>
        <v/>
      </c>
      <c r="M70" s="186" t="s">
        <v>102</v>
      </c>
      <c r="N70" s="186" t="s">
        <v>102</v>
      </c>
      <c r="O70" s="54" t="str">
        <f>_xlfn.XLOOKUP(M70,MA!C:C,MA!VP:VP,"")</f>
        <v/>
      </c>
      <c r="P70" s="54" t="str">
        <f>_xlfn.XLOOKUP(M70,MA!C:C,MA!VQ:VQ,"")</f>
        <v/>
      </c>
      <c r="Q70" s="54" t="str">
        <f>_xlfn.XLOOKUP(M70,MA!C:C,MA!IG:IG,"")</f>
        <v/>
      </c>
      <c r="R70" s="54" t="str">
        <f>_xlfn.XLOOKUP(M70,MA!C:C,MA!IS:IS,"")</f>
        <v/>
      </c>
      <c r="S70" s="164" t="str">
        <f>_xlfn.XLOOKUP(M70,MA!C:C,MA!D:D,"")</f>
        <v/>
      </c>
      <c r="T70" s="164" t="str">
        <f>_xlfn.XLOOKUP(M70,MA!C:C,MA!K:K,"")</f>
        <v/>
      </c>
      <c r="U70" s="164" t="str">
        <f>_xlfn.XLOOKUP(M70,MA!C:C,MA!L:L,"")</f>
        <v/>
      </c>
      <c r="V70" s="177" t="e">
        <f t="shared" si="3"/>
        <v>#VALUE!</v>
      </c>
      <c r="Z70" s="164" t="str" cm="1">
        <f t="array" ref="Z70">_xlfn.IFS(SUM(O70:R70)=0,"",AND(O70:R70&gt;=0),"Y",AND(O70:R70&lt;=0),"N",TRUE,"W")</f>
        <v/>
      </c>
    </row>
    <row r="71" spans="6:26" x14ac:dyDescent="0.2">
      <c r="F71" s="54" t="str">
        <f>IF(B71&lt;&gt;"",_xlfn.XLOOKUP(B71,MA!C:C,MA!VP:VP,""),"")</f>
        <v/>
      </c>
      <c r="G71" s="54" t="str">
        <f>IF(B71&lt;&gt;"",_xlfn.XLOOKUP(B71,MA!C:C,MA!VQ:VQ,""),"")</f>
        <v/>
      </c>
    </row>
    <row r="72" spans="6:26" x14ac:dyDescent="0.2">
      <c r="F72" s="54" t="str">
        <f>IF(B72&lt;&gt;"",_xlfn.XLOOKUP(B72,MA!C:C,MA!VP:VP,""),"")</f>
        <v/>
      </c>
      <c r="G72" s="54" t="str">
        <f>IF(B72&lt;&gt;"",_xlfn.XLOOKUP(B72,MA!C:C,MA!VQ:VQ,""),"")</f>
        <v/>
      </c>
    </row>
    <row r="73" spans="6:26" x14ac:dyDescent="0.2">
      <c r="F73" s="54" t="str">
        <f>IF(B73&lt;&gt;"",_xlfn.XLOOKUP(B73,MA!C:C,MA!VP:VP,""),"")</f>
        <v/>
      </c>
      <c r="G73" s="54" t="str">
        <f>IF(B73&lt;&gt;"",_xlfn.XLOOKUP(B73,MA!C:C,MA!VQ:VQ,""),"")</f>
        <v/>
      </c>
    </row>
    <row r="74" spans="6:26" x14ac:dyDescent="0.2">
      <c r="F74" s="54" t="str">
        <f>IF(B74&lt;&gt;"",_xlfn.XLOOKUP(B74,MA!C:C,MA!VP:VP,""),"")</f>
        <v/>
      </c>
      <c r="G74" s="54" t="str">
        <f>IF(B74&lt;&gt;"",_xlfn.XLOOKUP(B74,MA!C:C,MA!VQ:VQ,""),"")</f>
        <v/>
      </c>
    </row>
    <row r="75" spans="6:26" x14ac:dyDescent="0.2">
      <c r="F75" s="54" t="str">
        <f>IF(B75&lt;&gt;"",_xlfn.XLOOKUP(B75,MA!C:C,MA!VP:VP,""),"")</f>
        <v/>
      </c>
      <c r="G75" s="54" t="str">
        <f>IF(B75&lt;&gt;"",_xlfn.XLOOKUP(B75,MA!C:C,MA!VQ:VQ,""),"")</f>
        <v/>
      </c>
    </row>
    <row r="76" spans="6:26" x14ac:dyDescent="0.2">
      <c r="F76" s="54" t="str">
        <f>IF(B76&lt;&gt;"",_xlfn.XLOOKUP(B76,MA!C:C,MA!VP:VP,""),"")</f>
        <v/>
      </c>
      <c r="G76" s="54" t="str">
        <f>IF(B76&lt;&gt;"",_xlfn.XLOOKUP(B76,MA!C:C,MA!VQ:VQ,""),"")</f>
        <v/>
      </c>
    </row>
    <row r="77" spans="6:26" x14ac:dyDescent="0.2">
      <c r="F77" s="54" t="str">
        <f>IF(B77&lt;&gt;"",_xlfn.XLOOKUP(B77,MA!C:C,MA!VP:VP,""),"")</f>
        <v/>
      </c>
      <c r="G77" s="54" t="str">
        <f>IF(B77&lt;&gt;"",_xlfn.XLOOKUP(B77,MA!C:C,MA!VQ:VQ,""),"")</f>
        <v/>
      </c>
    </row>
    <row r="78" spans="6:26" x14ac:dyDescent="0.2">
      <c r="F78" s="54" t="str">
        <f>IF(B78&lt;&gt;"",_xlfn.XLOOKUP(B78,MA!C:C,MA!VP:VP,""),"")</f>
        <v/>
      </c>
      <c r="G78" s="54" t="str">
        <f>IF(B78&lt;&gt;"",_xlfn.XLOOKUP(B78,MA!C:C,MA!VQ:VQ,""),"")</f>
        <v/>
      </c>
    </row>
    <row r="79" spans="6:26" x14ac:dyDescent="0.2">
      <c r="F79" s="54" t="str">
        <f>IF(B79&lt;&gt;"",_xlfn.XLOOKUP(B79,MA!C:C,MA!VP:VP,""),"")</f>
        <v/>
      </c>
      <c r="G79" s="54" t="str">
        <f>IF(B79&lt;&gt;"",_xlfn.XLOOKUP(B79,MA!C:C,MA!VQ:VQ,""),"")</f>
        <v/>
      </c>
    </row>
    <row r="80" spans="6:26" x14ac:dyDescent="0.2">
      <c r="F80" s="54" t="str">
        <f>IF(B80&lt;&gt;"",_xlfn.XLOOKUP(B80,MA!C:C,MA!VP:VP,""),"")</f>
        <v/>
      </c>
      <c r="G80" s="54" t="str">
        <f>IF(B80&lt;&gt;"",_xlfn.XLOOKUP(B80,MA!C:C,MA!VQ:VQ,""),"")</f>
        <v/>
      </c>
    </row>
    <row r="81" spans="6:7" x14ac:dyDescent="0.2">
      <c r="F81" s="54" t="str">
        <f>IF(B81&lt;&gt;"",_xlfn.XLOOKUP(B81,MA!C:C,MA!VP:VP,""),"")</f>
        <v/>
      </c>
      <c r="G81" s="54" t="str">
        <f>IF(B81&lt;&gt;"",_xlfn.XLOOKUP(B81,MA!C:C,MA!VQ:VQ,""),"")</f>
        <v/>
      </c>
    </row>
    <row r="82" spans="6:7" x14ac:dyDescent="0.2">
      <c r="F82" s="54" t="str">
        <f>IF(B82&lt;&gt;"",_xlfn.XLOOKUP(B82,MA!C:C,MA!VP:VP,""),"")</f>
        <v/>
      </c>
      <c r="G82" s="54" t="str">
        <f>IF(B82&lt;&gt;"",_xlfn.XLOOKUP(B82,MA!C:C,MA!VQ:VQ,""),"")</f>
        <v/>
      </c>
    </row>
    <row r="83" spans="6:7" x14ac:dyDescent="0.2">
      <c r="F83" s="54" t="str">
        <f>IF(B83&lt;&gt;"",_xlfn.XLOOKUP(B83,MA!C:C,MA!VP:VP,""),"")</f>
        <v/>
      </c>
      <c r="G83" s="54" t="str">
        <f>IF(B83&lt;&gt;"",_xlfn.XLOOKUP(B83,MA!C:C,MA!VQ:VQ,""),"")</f>
        <v/>
      </c>
    </row>
    <row r="84" spans="6:7" x14ac:dyDescent="0.2">
      <c r="F84" s="54" t="str">
        <f>IF(B84&lt;&gt;"",_xlfn.XLOOKUP(B84,MA!C:C,MA!VP:VP,""),"")</f>
        <v/>
      </c>
      <c r="G84" s="54" t="str">
        <f>IF(B84&lt;&gt;"",_xlfn.XLOOKUP(B84,MA!C:C,MA!VQ:VQ,""),"")</f>
        <v/>
      </c>
    </row>
    <row r="85" spans="6:7" x14ac:dyDescent="0.2">
      <c r="F85" s="54" t="str">
        <f>IF(B85&lt;&gt;"",_xlfn.XLOOKUP(B85,MA!C:C,MA!VP:VP,""),"")</f>
        <v/>
      </c>
      <c r="G85" s="54" t="str">
        <f>IF(B85&lt;&gt;"",_xlfn.XLOOKUP(B85,MA!C:C,MA!VQ:VQ,""),"")</f>
        <v/>
      </c>
    </row>
    <row r="86" spans="6:7" x14ac:dyDescent="0.2">
      <c r="F86" s="54" t="str">
        <f>IF(B86&lt;&gt;"",_xlfn.XLOOKUP(B86,MA!C:C,MA!VP:VP,""),"")</f>
        <v/>
      </c>
      <c r="G86" s="54" t="str">
        <f>IF(B86&lt;&gt;"",_xlfn.XLOOKUP(B86,MA!C:C,MA!VQ:VQ,""),"")</f>
        <v/>
      </c>
    </row>
    <row r="87" spans="6:7" x14ac:dyDescent="0.2">
      <c r="F87" s="54" t="str">
        <f>IF(B87&lt;&gt;"",_xlfn.XLOOKUP(B87,MA!C:C,MA!VP:VP,""),"")</f>
        <v/>
      </c>
      <c r="G87" s="54" t="str">
        <f>IF(B87&lt;&gt;"",_xlfn.XLOOKUP(B87,MA!C:C,MA!VQ:VQ,""),"")</f>
        <v/>
      </c>
    </row>
    <row r="88" spans="6:7" x14ac:dyDescent="0.2">
      <c r="F88" s="54" t="str">
        <f>IF(B88&lt;&gt;"",_xlfn.XLOOKUP(B88,MA!C:C,MA!VP:VP,""),"")</f>
        <v/>
      </c>
      <c r="G88" s="54" t="str">
        <f>IF(B88&lt;&gt;"",_xlfn.XLOOKUP(B88,MA!C:C,MA!VQ:VQ,""),"")</f>
        <v/>
      </c>
    </row>
    <row r="89" spans="6:7" x14ac:dyDescent="0.2">
      <c r="F89" s="54" t="str">
        <f>IF(B89&lt;&gt;"",_xlfn.XLOOKUP(B89,MA!C:C,MA!VP:VP,""),"")</f>
        <v/>
      </c>
      <c r="G89" s="54" t="str">
        <f>IF(B89&lt;&gt;"",_xlfn.XLOOKUP(B89,MA!C:C,MA!VQ:VQ,""),"")</f>
        <v/>
      </c>
    </row>
    <row r="90" spans="6:7" x14ac:dyDescent="0.2">
      <c r="F90" s="54" t="str">
        <f>IF(B90&lt;&gt;"",_xlfn.XLOOKUP(B90,MA!C:C,MA!VP:VP,""),"")</f>
        <v/>
      </c>
      <c r="G90" s="54" t="str">
        <f>IF(B90&lt;&gt;"",_xlfn.XLOOKUP(B90,MA!C:C,MA!VQ:VQ,""),"")</f>
        <v/>
      </c>
    </row>
    <row r="91" spans="6:7" x14ac:dyDescent="0.2">
      <c r="F91" s="54" t="str">
        <f>IF(B91&lt;&gt;"",_xlfn.XLOOKUP(B91,MA!C:C,MA!VP:VP,""),"")</f>
        <v/>
      </c>
      <c r="G91" s="54" t="str">
        <f>IF(B91&lt;&gt;"",_xlfn.XLOOKUP(B91,MA!C:C,MA!VQ:VQ,""),"")</f>
        <v/>
      </c>
    </row>
    <row r="92" spans="6:7" x14ac:dyDescent="0.2">
      <c r="F92" s="54" t="str">
        <f>IF(B92&lt;&gt;"",_xlfn.XLOOKUP(B92,MA!C:C,MA!VP:VP,""),"")</f>
        <v/>
      </c>
      <c r="G92" s="54" t="str">
        <f>IF(B92&lt;&gt;"",_xlfn.XLOOKUP(B92,MA!C:C,MA!VQ:VQ,""),"")</f>
        <v/>
      </c>
    </row>
    <row r="93" spans="6:7" x14ac:dyDescent="0.2">
      <c r="F93" s="54" t="str">
        <f>IF(B93&lt;&gt;"",_xlfn.XLOOKUP(B93,MA!C:C,MA!VP:VP,""),"")</f>
        <v/>
      </c>
      <c r="G93" s="54" t="str">
        <f>IF(B93&lt;&gt;"",_xlfn.XLOOKUP(B93,MA!C:C,MA!VQ:VQ,""),"")</f>
        <v/>
      </c>
    </row>
    <row r="94" spans="6:7" x14ac:dyDescent="0.2">
      <c r="F94" s="54" t="str">
        <f>IF(B94&lt;&gt;"",_xlfn.XLOOKUP(B94,MA!C:C,MA!VP:VP,""),"")</f>
        <v/>
      </c>
      <c r="G94" s="54" t="str">
        <f>IF(B94&lt;&gt;"",_xlfn.XLOOKUP(B94,MA!C:C,MA!VQ:VQ,""),"")</f>
        <v/>
      </c>
    </row>
    <row r="95" spans="6:7" x14ac:dyDescent="0.2">
      <c r="F95" s="54" t="str">
        <f>IF(B95&lt;&gt;"",_xlfn.XLOOKUP(B95,MA!C:C,MA!VP:VP,""),"")</f>
        <v/>
      </c>
      <c r="G95" s="54" t="str">
        <f>IF(B95&lt;&gt;"",_xlfn.XLOOKUP(B95,MA!C:C,MA!VQ:VQ,""),"")</f>
        <v/>
      </c>
    </row>
    <row r="96" spans="6:7" x14ac:dyDescent="0.2">
      <c r="F96" s="54" t="str">
        <f>IF(B96&lt;&gt;"",_xlfn.XLOOKUP(B96,MA!C:C,MA!VP:VP,""),"")</f>
        <v/>
      </c>
      <c r="G96" s="54" t="str">
        <f>IF(B96&lt;&gt;"",_xlfn.XLOOKUP(B96,MA!C:C,MA!VQ:VQ,""),"")</f>
        <v/>
      </c>
    </row>
    <row r="97" spans="6:7" x14ac:dyDescent="0.2">
      <c r="F97" s="54" t="str">
        <f>IF(B97&lt;&gt;"",_xlfn.XLOOKUP(B97,MA!C:C,MA!VP:VP,""),"")</f>
        <v/>
      </c>
      <c r="G97" s="54" t="str">
        <f>IF(B97&lt;&gt;"",_xlfn.XLOOKUP(B97,MA!C:C,MA!VQ:VQ,""),"")</f>
        <v/>
      </c>
    </row>
    <row r="98" spans="6:7" x14ac:dyDescent="0.2">
      <c r="F98" s="54" t="str">
        <f>IF(B98&lt;&gt;"",_xlfn.XLOOKUP(B98,MA!C:C,MA!VP:VP,""),"")</f>
        <v/>
      </c>
      <c r="G98" s="54" t="str">
        <f>IF(B98&lt;&gt;"",_xlfn.XLOOKUP(B98,MA!C:C,MA!VQ:VQ,""),"")</f>
        <v/>
      </c>
    </row>
    <row r="99" spans="6:7" x14ac:dyDescent="0.2">
      <c r="F99" s="54" t="str">
        <f>IF(B99&lt;&gt;"",_xlfn.XLOOKUP(B99,MA!C:C,MA!VP:VP,""),"")</f>
        <v/>
      </c>
      <c r="G99" s="54" t="str">
        <f>IF(B99&lt;&gt;"",_xlfn.XLOOKUP(B99,MA!C:C,MA!VQ:VQ,""),"")</f>
        <v/>
      </c>
    </row>
    <row r="100" spans="6:7" x14ac:dyDescent="0.2">
      <c r="F100" s="54" t="str">
        <f>IF(B100&lt;&gt;"",_xlfn.XLOOKUP(B100,MA!C:C,MA!VP:VP,""),"")</f>
        <v/>
      </c>
      <c r="G100" s="54" t="str">
        <f>IF(B100&lt;&gt;"",_xlfn.XLOOKUP(B100,MA!C:C,MA!VQ:VQ,""),"")</f>
        <v/>
      </c>
    </row>
    <row r="101" spans="6:7" x14ac:dyDescent="0.2">
      <c r="F101" s="54" t="str">
        <f>IF(B101&lt;&gt;"",_xlfn.XLOOKUP(B101,MA!C:C,MA!VP:VP,""),"")</f>
        <v/>
      </c>
      <c r="G101" s="54" t="str">
        <f>IF(B101&lt;&gt;"",_xlfn.XLOOKUP(B101,MA!C:C,MA!VQ:VQ,""),"")</f>
        <v/>
      </c>
    </row>
    <row r="102" spans="6:7" x14ac:dyDescent="0.2">
      <c r="F102" s="54" t="str">
        <f>IF(B102&lt;&gt;"",_xlfn.XLOOKUP(B102,MA!C:C,MA!VP:VP,""),"")</f>
        <v/>
      </c>
      <c r="G102" s="54" t="str">
        <f>IF(B102&lt;&gt;"",_xlfn.XLOOKUP(B102,MA!C:C,MA!VQ:VQ,""),"")</f>
        <v/>
      </c>
    </row>
    <row r="103" spans="6:7" x14ac:dyDescent="0.2">
      <c r="F103" s="54" t="str">
        <f>IF(B103&lt;&gt;"",_xlfn.XLOOKUP(B103,MA!C:C,MA!VP:VP,""),"")</f>
        <v/>
      </c>
      <c r="G103" s="54" t="str">
        <f>IF(B103&lt;&gt;"",_xlfn.XLOOKUP(B103,MA!C:C,MA!VQ:VQ,""),"")</f>
        <v/>
      </c>
    </row>
    <row r="104" spans="6:7" x14ac:dyDescent="0.2">
      <c r="F104" s="54" t="str">
        <f>IF(B104&lt;&gt;"",_xlfn.XLOOKUP(B104,MA!C:C,MA!VP:VP,""),"")</f>
        <v/>
      </c>
      <c r="G104" s="54" t="str">
        <f>IF(B104&lt;&gt;"",_xlfn.XLOOKUP(B104,MA!C:C,MA!VQ:VQ,""),"")</f>
        <v/>
      </c>
    </row>
    <row r="105" spans="6:7" x14ac:dyDescent="0.2">
      <c r="F105" s="54" t="str">
        <f>IF(B105&lt;&gt;"",_xlfn.XLOOKUP(B105,MA!C:C,MA!VP:VP,""),"")</f>
        <v/>
      </c>
      <c r="G105" s="54" t="str">
        <f>IF(B105&lt;&gt;"",_xlfn.XLOOKUP(B105,MA!C:C,MA!VQ:VQ,""),"")</f>
        <v/>
      </c>
    </row>
    <row r="106" spans="6:7" x14ac:dyDescent="0.2">
      <c r="F106" s="54" t="str">
        <f>IF(B106&lt;&gt;"",_xlfn.XLOOKUP(B106,MA!C:C,MA!VP:VP,""),"")</f>
        <v/>
      </c>
      <c r="G106" s="54" t="str">
        <f>IF(B106&lt;&gt;"",_xlfn.XLOOKUP(B106,MA!C:C,MA!VQ:VQ,""),"")</f>
        <v/>
      </c>
    </row>
    <row r="107" spans="6:7" x14ac:dyDescent="0.2">
      <c r="F107" s="54" t="str">
        <f>IF(B107&lt;&gt;"",_xlfn.XLOOKUP(B107,MA!C:C,MA!VP:VP,""),"")</f>
        <v/>
      </c>
      <c r="G107" s="54" t="str">
        <f>IF(B107&lt;&gt;"",_xlfn.XLOOKUP(B107,MA!C:C,MA!VQ:VQ,""),"")</f>
        <v/>
      </c>
    </row>
    <row r="108" spans="6:7" x14ac:dyDescent="0.2">
      <c r="F108" s="54" t="str">
        <f>IF(B108&lt;&gt;"",_xlfn.XLOOKUP(B108,MA!C:C,MA!VP:VP,""),"")</f>
        <v/>
      </c>
      <c r="G108" s="54" t="str">
        <f>IF(B108&lt;&gt;"",_xlfn.XLOOKUP(B108,MA!C:C,MA!VQ:VQ,""),"")</f>
        <v/>
      </c>
    </row>
    <row r="109" spans="6:7" x14ac:dyDescent="0.2">
      <c r="F109" s="54" t="str">
        <f>IF(B109&lt;&gt;"",_xlfn.XLOOKUP(B109,MA!C:C,MA!VP:VP,""),"")</f>
        <v/>
      </c>
      <c r="G109" s="54" t="str">
        <f>IF(B109&lt;&gt;"",_xlfn.XLOOKUP(B109,MA!C:C,MA!VQ:VQ,""),"")</f>
        <v/>
      </c>
    </row>
    <row r="110" spans="6:7" x14ac:dyDescent="0.2">
      <c r="F110" s="54" t="str">
        <f>IF(B110&lt;&gt;"",_xlfn.XLOOKUP(B110,MA!C:C,MA!VP:VP,""),"")</f>
        <v/>
      </c>
      <c r="G110" s="54" t="str">
        <f>IF(B110&lt;&gt;"",_xlfn.XLOOKUP(B110,MA!C:C,MA!VQ:VQ,""),"")</f>
        <v/>
      </c>
    </row>
    <row r="111" spans="6:7" x14ac:dyDescent="0.2">
      <c r="F111" s="54" t="str">
        <f>IF(B111&lt;&gt;"",_xlfn.XLOOKUP(B111,MA!C:C,MA!VP:VP,""),"")</f>
        <v/>
      </c>
      <c r="G111" s="54" t="str">
        <f>IF(B111&lt;&gt;"",_xlfn.XLOOKUP(B111,MA!C:C,MA!VQ:VQ,""),"")</f>
        <v/>
      </c>
    </row>
    <row r="112" spans="6:7" x14ac:dyDescent="0.2">
      <c r="F112" s="54" t="str">
        <f>IF(B112&lt;&gt;"",_xlfn.XLOOKUP(B112,MA!C:C,MA!VP:VP,""),"")</f>
        <v/>
      </c>
      <c r="G112" s="54" t="str">
        <f>IF(B112&lt;&gt;"",_xlfn.XLOOKUP(B112,MA!C:C,MA!VQ:VQ,""),"")</f>
        <v/>
      </c>
    </row>
    <row r="113" spans="6:7" x14ac:dyDescent="0.2">
      <c r="F113" s="54" t="str">
        <f>IF(B113&lt;&gt;"",_xlfn.XLOOKUP(B113,MA!C:C,MA!VP:VP,""),"")</f>
        <v/>
      </c>
      <c r="G113" s="54" t="str">
        <f>IF(B113&lt;&gt;"",_xlfn.XLOOKUP(B113,MA!C:C,MA!VQ:VQ,""),"")</f>
        <v/>
      </c>
    </row>
    <row r="114" spans="6:7" x14ac:dyDescent="0.2">
      <c r="F114" s="54" t="str">
        <f>IF(B114&lt;&gt;"",_xlfn.XLOOKUP(B114,MA!C:C,MA!VP:VP,""),"")</f>
        <v/>
      </c>
      <c r="G114" s="54" t="str">
        <f>IF(B114&lt;&gt;"",_xlfn.XLOOKUP(B114,MA!C:C,MA!VQ:VQ,""),"")</f>
        <v/>
      </c>
    </row>
    <row r="115" spans="6:7" x14ac:dyDescent="0.2">
      <c r="F115" s="54" t="str">
        <f>IF(B115&lt;&gt;"",_xlfn.XLOOKUP(B115,MA!C:C,MA!VP:VP,""),"")</f>
        <v/>
      </c>
      <c r="G115" s="54" t="str">
        <f>IF(B115&lt;&gt;"",_xlfn.XLOOKUP(B115,MA!C:C,MA!VQ:VQ,""),"")</f>
        <v/>
      </c>
    </row>
    <row r="116" spans="6:7" x14ac:dyDescent="0.2">
      <c r="F116" s="54" t="str">
        <f>IF(B116&lt;&gt;"",_xlfn.XLOOKUP(B116,MA!C:C,MA!VP:VP,""),"")</f>
        <v/>
      </c>
      <c r="G116" s="54" t="str">
        <f>IF(B116&lt;&gt;"",_xlfn.XLOOKUP(B116,MA!C:C,MA!VQ:VQ,""),"")</f>
        <v/>
      </c>
    </row>
    <row r="117" spans="6:7" x14ac:dyDescent="0.2">
      <c r="F117" s="54" t="str">
        <f>IF(B117&lt;&gt;"",_xlfn.XLOOKUP(B117,MA!C:C,MA!VP:VP,""),"")</f>
        <v/>
      </c>
      <c r="G117" s="54" t="str">
        <f>IF(B117&lt;&gt;"",_xlfn.XLOOKUP(B117,MA!C:C,MA!VQ:VQ,""),"")</f>
        <v/>
      </c>
    </row>
    <row r="118" spans="6:7" x14ac:dyDescent="0.2">
      <c r="F118" s="54" t="str">
        <f>IF(B118&lt;&gt;"",_xlfn.XLOOKUP(B118,MA!C:C,MA!VP:VP,""),"")</f>
        <v/>
      </c>
      <c r="G118" s="54" t="str">
        <f>IF(B118&lt;&gt;"",_xlfn.XLOOKUP(B118,MA!C:C,MA!VQ:VQ,""),"")</f>
        <v/>
      </c>
    </row>
    <row r="119" spans="6:7" x14ac:dyDescent="0.2">
      <c r="F119" s="54" t="str">
        <f>IF(B119&lt;&gt;"",_xlfn.XLOOKUP(B119,MA!C:C,MA!VP:VP,""),"")</f>
        <v/>
      </c>
      <c r="G119" s="54" t="str">
        <f>IF(B119&lt;&gt;"",_xlfn.XLOOKUP(B119,MA!C:C,MA!VQ:VQ,""),"")</f>
        <v/>
      </c>
    </row>
    <row r="120" spans="6:7" x14ac:dyDescent="0.2">
      <c r="F120" s="54" t="str">
        <f>IF(B120&lt;&gt;"",_xlfn.XLOOKUP(B120,MA!C:C,MA!VP:VP,""),"")</f>
        <v/>
      </c>
      <c r="G120" s="54" t="str">
        <f>IF(B120&lt;&gt;"",_xlfn.XLOOKUP(B120,MA!C:C,MA!VQ:VQ,""),"")</f>
        <v/>
      </c>
    </row>
    <row r="121" spans="6:7" x14ac:dyDescent="0.2">
      <c r="F121" s="54" t="str">
        <f>IF(B121&lt;&gt;"",_xlfn.XLOOKUP(B121,MA!C:C,MA!VP:VP,""),"")</f>
        <v/>
      </c>
      <c r="G121" s="54" t="str">
        <f>IF(B121&lt;&gt;"",_xlfn.XLOOKUP(B121,MA!C:C,MA!VQ:VQ,""),"")</f>
        <v/>
      </c>
    </row>
    <row r="122" spans="6:7" x14ac:dyDescent="0.2">
      <c r="F122" s="54" t="str">
        <f>IF(B122&lt;&gt;"",_xlfn.XLOOKUP(B122,MA!C:C,MA!VP:VP,""),"")</f>
        <v/>
      </c>
      <c r="G122" s="54" t="str">
        <f>IF(B122&lt;&gt;"",_xlfn.XLOOKUP(B122,MA!C:C,MA!VQ:VQ,""),"")</f>
        <v/>
      </c>
    </row>
    <row r="123" spans="6:7" x14ac:dyDescent="0.2">
      <c r="F123" s="54" t="str">
        <f>IF(B123&lt;&gt;"",_xlfn.XLOOKUP(B123,MA!C:C,MA!VP:VP,""),"")</f>
        <v/>
      </c>
      <c r="G123" s="54" t="str">
        <f>IF(B123&lt;&gt;"",_xlfn.XLOOKUP(B123,MA!C:C,MA!VQ:VQ,""),"")</f>
        <v/>
      </c>
    </row>
    <row r="124" spans="6:7" x14ac:dyDescent="0.2">
      <c r="F124" s="54" t="str">
        <f>IF(B124&lt;&gt;"",_xlfn.XLOOKUP(B124,MA!C:C,MA!VP:VP,""),"")</f>
        <v/>
      </c>
      <c r="G124" s="54" t="str">
        <f>IF(B124&lt;&gt;"",_xlfn.XLOOKUP(B124,MA!C:C,MA!VQ:VQ,""),"")</f>
        <v/>
      </c>
    </row>
    <row r="125" spans="6:7" x14ac:dyDescent="0.2">
      <c r="F125" s="54" t="str">
        <f>IF(B125&lt;&gt;"",_xlfn.XLOOKUP(B125,MA!C:C,MA!VP:VP,""),"")</f>
        <v/>
      </c>
      <c r="G125" s="54" t="str">
        <f>IF(B125&lt;&gt;"",_xlfn.XLOOKUP(B125,MA!C:C,MA!VQ:VQ,""),"")</f>
        <v/>
      </c>
    </row>
    <row r="126" spans="6:7" x14ac:dyDescent="0.2">
      <c r="F126" s="54" t="str">
        <f>IF(B126&lt;&gt;"",_xlfn.XLOOKUP(B126,MA!C:C,MA!VP:VP,""),"")</f>
        <v/>
      </c>
      <c r="G126" s="54" t="str">
        <f>IF(B126&lt;&gt;"",_xlfn.XLOOKUP(B126,MA!C:C,MA!VQ:VQ,""),"")</f>
        <v/>
      </c>
    </row>
    <row r="127" spans="6:7" x14ac:dyDescent="0.2">
      <c r="F127" s="54" t="str">
        <f>IF(B127&lt;&gt;"",_xlfn.XLOOKUP(B127,MA!C:C,MA!VP:VP,""),"")</f>
        <v/>
      </c>
      <c r="G127" s="54" t="str">
        <f>IF(B127&lt;&gt;"",_xlfn.XLOOKUP(B127,MA!C:C,MA!VQ:VQ,""),"")</f>
        <v/>
      </c>
    </row>
    <row r="128" spans="6:7" x14ac:dyDescent="0.2">
      <c r="F128" s="54" t="str">
        <f>IF(B128&lt;&gt;"",_xlfn.XLOOKUP(B128,MA!C:C,MA!VP:VP,""),"")</f>
        <v/>
      </c>
      <c r="G128" s="54" t="str">
        <f>IF(B128&lt;&gt;"",_xlfn.XLOOKUP(B128,MA!C:C,MA!VQ:VQ,""),"")</f>
        <v/>
      </c>
    </row>
    <row r="129" spans="6:7" x14ac:dyDescent="0.2">
      <c r="F129" s="54" t="str">
        <f>IF(B129&lt;&gt;"",_xlfn.XLOOKUP(B129,MA!C:C,MA!VP:VP,""),"")</f>
        <v/>
      </c>
      <c r="G129" s="54" t="str">
        <f>IF(B129&lt;&gt;"",_xlfn.XLOOKUP(B129,MA!C:C,MA!VQ:VQ,""),"")</f>
        <v/>
      </c>
    </row>
    <row r="130" spans="6:7" x14ac:dyDescent="0.2">
      <c r="F130" s="54" t="str">
        <f>IF(B130&lt;&gt;"",_xlfn.XLOOKUP(B130,MA!C:C,MA!VP:VP,""),"")</f>
        <v/>
      </c>
      <c r="G130" s="54" t="str">
        <f>IF(B130&lt;&gt;"",_xlfn.XLOOKUP(B130,MA!C:C,MA!VQ:VQ,""),"")</f>
        <v/>
      </c>
    </row>
    <row r="131" spans="6:7" x14ac:dyDescent="0.2">
      <c r="F131" s="54" t="str">
        <f>IF(B131&lt;&gt;"",_xlfn.XLOOKUP(B131,MA!C:C,MA!VP:VP,""),"")</f>
        <v/>
      </c>
      <c r="G131" s="54" t="str">
        <f>IF(B131&lt;&gt;"",_xlfn.XLOOKUP(B131,MA!C:C,MA!VQ:VQ,""),"")</f>
        <v/>
      </c>
    </row>
    <row r="132" spans="6:7" x14ac:dyDescent="0.2">
      <c r="F132" s="54" t="str">
        <f>IF(B132&lt;&gt;"",_xlfn.XLOOKUP(B132,MA!C:C,MA!VP:VP,""),"")</f>
        <v/>
      </c>
      <c r="G132" s="54" t="str">
        <f>IF(B132&lt;&gt;"",_xlfn.XLOOKUP(B132,MA!C:C,MA!VQ:VQ,""),"")</f>
        <v/>
      </c>
    </row>
    <row r="133" spans="6:7" x14ac:dyDescent="0.2">
      <c r="F133" s="54" t="str">
        <f>IF(B133&lt;&gt;"",_xlfn.XLOOKUP(B133,MA!C:C,MA!VP:VP,""),"")</f>
        <v/>
      </c>
      <c r="G133" s="54" t="str">
        <f>IF(B133&lt;&gt;"",_xlfn.XLOOKUP(B133,MA!C:C,MA!VQ:VQ,""),"")</f>
        <v/>
      </c>
    </row>
    <row r="134" spans="6:7" x14ac:dyDescent="0.2">
      <c r="F134" s="54" t="str">
        <f>IF(B134&lt;&gt;"",_xlfn.XLOOKUP(B134,MA!C:C,MA!VP:VP,""),"")</f>
        <v/>
      </c>
      <c r="G134" s="54" t="str">
        <f>IF(B134&lt;&gt;"",_xlfn.XLOOKUP(B134,MA!C:C,MA!VQ:VQ,""),"")</f>
        <v/>
      </c>
    </row>
    <row r="135" spans="6:7" x14ac:dyDescent="0.2">
      <c r="F135" s="54" t="str">
        <f>IF(B135&lt;&gt;"",_xlfn.XLOOKUP(B135,MA!C:C,MA!VP:VP,""),"")</f>
        <v/>
      </c>
      <c r="G135" s="54" t="str">
        <f>IF(B135&lt;&gt;"",_xlfn.XLOOKUP(B135,MA!C:C,MA!VQ:VQ,""),"")</f>
        <v/>
      </c>
    </row>
    <row r="136" spans="6:7" x14ac:dyDescent="0.2">
      <c r="F136" s="54" t="str">
        <f>IF(B136&lt;&gt;"",_xlfn.XLOOKUP(B136,MA!C:C,MA!VP:VP,""),"")</f>
        <v/>
      </c>
      <c r="G136" s="54" t="str">
        <f>IF(B136&lt;&gt;"",_xlfn.XLOOKUP(B136,MA!C:C,MA!VQ:VQ,""),"")</f>
        <v/>
      </c>
    </row>
    <row r="137" spans="6:7" x14ac:dyDescent="0.2">
      <c r="F137" s="54" t="str">
        <f>IF(B137&lt;&gt;"",_xlfn.XLOOKUP(B137,MA!C:C,MA!VP:VP,""),"")</f>
        <v/>
      </c>
      <c r="G137" s="54" t="str">
        <f>IF(B137&lt;&gt;"",_xlfn.XLOOKUP(B137,MA!C:C,MA!VQ:VQ,""),"")</f>
        <v/>
      </c>
    </row>
    <row r="138" spans="6:7" x14ac:dyDescent="0.2">
      <c r="F138" s="54" t="str">
        <f>IF(B138&lt;&gt;"",_xlfn.XLOOKUP(B138,MA!C:C,MA!VP:VP,""),"")</f>
        <v/>
      </c>
      <c r="G138" s="54" t="str">
        <f>IF(B138&lt;&gt;"",_xlfn.XLOOKUP(B138,MA!C:C,MA!VQ:VQ,""),"")</f>
        <v/>
      </c>
    </row>
    <row r="139" spans="6:7" x14ac:dyDescent="0.2">
      <c r="F139" s="54" t="str">
        <f>IF(B139&lt;&gt;"",_xlfn.XLOOKUP(B139,MA!C:C,MA!VP:VP,""),"")</f>
        <v/>
      </c>
      <c r="G139" s="54" t="str">
        <f>IF(B139&lt;&gt;"",_xlfn.XLOOKUP(B139,MA!C:C,MA!VQ:VQ,""),"")</f>
        <v/>
      </c>
    </row>
    <row r="140" spans="6:7" x14ac:dyDescent="0.2">
      <c r="F140" s="54" t="str">
        <f>IF(B140&lt;&gt;"",_xlfn.XLOOKUP(B140,MA!C:C,MA!VP:VP,""),"")</f>
        <v/>
      </c>
      <c r="G140" s="54" t="str">
        <f>IF(B140&lt;&gt;"",_xlfn.XLOOKUP(B140,MA!C:C,MA!VQ:VQ,""),"")</f>
        <v/>
      </c>
    </row>
    <row r="141" spans="6:7" x14ac:dyDescent="0.2">
      <c r="F141" s="54" t="str">
        <f>IF(B141&lt;&gt;"",_xlfn.XLOOKUP(B141,MA!C:C,MA!VP:VP,""),"")</f>
        <v/>
      </c>
      <c r="G141" s="54" t="str">
        <f>IF(B141&lt;&gt;"",_xlfn.XLOOKUP(B141,MA!C:C,MA!VQ:VQ,""),"")</f>
        <v/>
      </c>
    </row>
    <row r="142" spans="6:7" x14ac:dyDescent="0.2">
      <c r="F142" s="54" t="str">
        <f>IF(B142&lt;&gt;"",_xlfn.XLOOKUP(B142,MA!C:C,MA!VP:VP,""),"")</f>
        <v/>
      </c>
      <c r="G142" s="54" t="str">
        <f>IF(B142&lt;&gt;"",_xlfn.XLOOKUP(B142,MA!C:C,MA!VQ:VQ,""),"")</f>
        <v/>
      </c>
    </row>
    <row r="143" spans="6:7" x14ac:dyDescent="0.2">
      <c r="F143" s="54" t="str">
        <f>IF(B143&lt;&gt;"",_xlfn.XLOOKUP(B143,MA!C:C,MA!VP:VP,""),"")</f>
        <v/>
      </c>
      <c r="G143" s="54" t="str">
        <f>IF(B143&lt;&gt;"",_xlfn.XLOOKUP(B143,MA!C:C,MA!VQ:VQ,""),"")</f>
        <v/>
      </c>
    </row>
    <row r="144" spans="6:7" x14ac:dyDescent="0.2">
      <c r="F144" s="54" t="str">
        <f>IF(B144&lt;&gt;"",_xlfn.XLOOKUP(B144,MA!C:C,MA!VP:VP,""),"")</f>
        <v/>
      </c>
      <c r="G144" s="54" t="str">
        <f>IF(B144&lt;&gt;"",_xlfn.XLOOKUP(B144,MA!C:C,MA!VQ:VQ,""),"")</f>
        <v/>
      </c>
    </row>
    <row r="145" spans="6:7" x14ac:dyDescent="0.2">
      <c r="F145" s="54" t="str">
        <f>IF(B145&lt;&gt;"",_xlfn.XLOOKUP(B145,MA!C:C,MA!VP:VP,""),"")</f>
        <v/>
      </c>
      <c r="G145" s="54" t="str">
        <f>IF(B145&lt;&gt;"",_xlfn.XLOOKUP(B145,MA!C:C,MA!VQ:VQ,""),"")</f>
        <v/>
      </c>
    </row>
    <row r="146" spans="6:7" x14ac:dyDescent="0.2">
      <c r="F146" s="54" t="str">
        <f>IF(B146&lt;&gt;"",_xlfn.XLOOKUP(B146,MA!C:C,MA!VP:VP,""),"")</f>
        <v/>
      </c>
      <c r="G146" s="54" t="str">
        <f>IF(B146&lt;&gt;"",_xlfn.XLOOKUP(B146,MA!C:C,MA!VQ:VQ,""),"")</f>
        <v/>
      </c>
    </row>
    <row r="147" spans="6:7" x14ac:dyDescent="0.2">
      <c r="F147" s="54" t="str">
        <f>IF(B147&lt;&gt;"",_xlfn.XLOOKUP(B147,MA!C:C,MA!VP:VP,""),"")</f>
        <v/>
      </c>
      <c r="G147" s="54" t="str">
        <f>IF(B147&lt;&gt;"",_xlfn.XLOOKUP(B147,MA!C:C,MA!VQ:VQ,""),"")</f>
        <v/>
      </c>
    </row>
    <row r="148" spans="6:7" x14ac:dyDescent="0.2">
      <c r="F148" s="54" t="str">
        <f>IF(B148&lt;&gt;"",_xlfn.XLOOKUP(B148,MA!C:C,MA!VP:VP,""),"")</f>
        <v/>
      </c>
      <c r="G148" s="54" t="str">
        <f>IF(B148&lt;&gt;"",_xlfn.XLOOKUP(B148,MA!C:C,MA!VQ:VQ,""),"")</f>
        <v/>
      </c>
    </row>
    <row r="149" spans="6:7" x14ac:dyDescent="0.2">
      <c r="F149" s="54" t="str">
        <f>IF(B149&lt;&gt;"",_xlfn.XLOOKUP(B149,MA!C:C,MA!VP:VP,""),"")</f>
        <v/>
      </c>
      <c r="G149" s="54" t="str">
        <f>IF(B149&lt;&gt;"",_xlfn.XLOOKUP(B149,MA!C:C,MA!VQ:VQ,""),"")</f>
        <v/>
      </c>
    </row>
    <row r="150" spans="6:7" x14ac:dyDescent="0.2">
      <c r="F150" s="54" t="str">
        <f>IF(B150&lt;&gt;"",_xlfn.XLOOKUP(B150,MA!C:C,MA!VP:VP,""),"")</f>
        <v/>
      </c>
      <c r="G150" s="54" t="str">
        <f>IF(B150&lt;&gt;"",_xlfn.XLOOKUP(B150,MA!C:C,MA!VQ:VQ,""),"")</f>
        <v/>
      </c>
    </row>
    <row r="151" spans="6:7" x14ac:dyDescent="0.2">
      <c r="F151" s="54" t="str">
        <f>IF(B151&lt;&gt;"",_xlfn.XLOOKUP(B151,MA!C:C,MA!VP:VP,""),"")</f>
        <v/>
      </c>
      <c r="G151" s="54" t="str">
        <f>IF(B151&lt;&gt;"",_xlfn.XLOOKUP(B151,MA!C:C,MA!VQ:VQ,""),"")</f>
        <v/>
      </c>
    </row>
    <row r="152" spans="6:7" x14ac:dyDescent="0.2">
      <c r="F152" s="54" t="str">
        <f>IF(B152&lt;&gt;"",_xlfn.XLOOKUP(B152,MA!C:C,MA!VP:VP,""),"")</f>
        <v/>
      </c>
      <c r="G152" s="54" t="str">
        <f>IF(B152&lt;&gt;"",_xlfn.XLOOKUP(B152,MA!C:C,MA!VQ:VQ,""),"")</f>
        <v/>
      </c>
    </row>
    <row r="153" spans="6:7" x14ac:dyDescent="0.2">
      <c r="F153" s="54" t="str">
        <f>IF(B153&lt;&gt;"",_xlfn.XLOOKUP(B153,MA!C:C,MA!VP:VP,""),"")</f>
        <v/>
      </c>
      <c r="G153" s="54" t="str">
        <f>IF(B153&lt;&gt;"",_xlfn.XLOOKUP(B153,MA!C:C,MA!VQ:VQ,""),"")</f>
        <v/>
      </c>
    </row>
    <row r="154" spans="6:7" x14ac:dyDescent="0.2">
      <c r="F154" s="54" t="str">
        <f>IF(B154&lt;&gt;"",_xlfn.XLOOKUP(B154,MA!C:C,MA!VP:VP,""),"")</f>
        <v/>
      </c>
      <c r="G154" s="54" t="str">
        <f>IF(B154&lt;&gt;"",_xlfn.XLOOKUP(B154,MA!C:C,MA!VQ:VQ,""),"")</f>
        <v/>
      </c>
    </row>
    <row r="155" spans="6:7" x14ac:dyDescent="0.2">
      <c r="F155" s="54" t="str">
        <f>IF(B155&lt;&gt;"",_xlfn.XLOOKUP(B155,MA!C:C,MA!VP:VP,""),"")</f>
        <v/>
      </c>
      <c r="G155" s="54" t="str">
        <f>IF(B155&lt;&gt;"",_xlfn.XLOOKUP(B155,MA!C:C,MA!VQ:VQ,""),"")</f>
        <v/>
      </c>
    </row>
    <row r="156" spans="6:7" x14ac:dyDescent="0.2">
      <c r="F156" s="54" t="str">
        <f>IF(B156&lt;&gt;"",_xlfn.XLOOKUP(B156,MA!C:C,MA!VP:VP,""),"")</f>
        <v/>
      </c>
      <c r="G156" s="54" t="str">
        <f>IF(B156&lt;&gt;"",_xlfn.XLOOKUP(B156,MA!C:C,MA!VQ:VQ,""),"")</f>
        <v/>
      </c>
    </row>
    <row r="157" spans="6:7" x14ac:dyDescent="0.2">
      <c r="F157" s="54" t="str">
        <f>IF(B157&lt;&gt;"",_xlfn.XLOOKUP(B157,MA!C:C,MA!VP:VP,""),"")</f>
        <v/>
      </c>
      <c r="G157" s="54" t="str">
        <f>IF(B157&lt;&gt;"",_xlfn.XLOOKUP(B157,MA!C:C,MA!VQ:VQ,""),"")</f>
        <v/>
      </c>
    </row>
    <row r="158" spans="6:7" x14ac:dyDescent="0.2">
      <c r="F158" s="54" t="str">
        <f>IF(B158&lt;&gt;"",_xlfn.XLOOKUP(B158,MA!C:C,MA!VP:VP,""),"")</f>
        <v/>
      </c>
      <c r="G158" s="54" t="str">
        <f>IF(B158&lt;&gt;"",_xlfn.XLOOKUP(B158,MA!C:C,MA!VQ:VQ,""),"")</f>
        <v/>
      </c>
    </row>
    <row r="159" spans="6:7" x14ac:dyDescent="0.2">
      <c r="F159" s="54" t="str">
        <f>IF(B159&lt;&gt;"",_xlfn.XLOOKUP(B159,MA!C:C,MA!VP:VP,""),"")</f>
        <v/>
      </c>
      <c r="G159" s="54" t="str">
        <f>IF(B159&lt;&gt;"",_xlfn.XLOOKUP(B159,MA!C:C,MA!VQ:VQ,""),"")</f>
        <v/>
      </c>
    </row>
    <row r="160" spans="6:7" x14ac:dyDescent="0.2">
      <c r="F160" s="54" t="str">
        <f>IF(B160&lt;&gt;"",_xlfn.XLOOKUP(B160,MA!C:C,MA!VP:VP,""),"")</f>
        <v/>
      </c>
      <c r="G160" s="54" t="str">
        <f>IF(B160&lt;&gt;"",_xlfn.XLOOKUP(B160,MA!C:C,MA!VQ:VQ,""),"")</f>
        <v/>
      </c>
    </row>
    <row r="161" spans="6:7" x14ac:dyDescent="0.2">
      <c r="F161" s="54" t="str">
        <f>IF(B161&lt;&gt;"",_xlfn.XLOOKUP(B161,MA!C:C,MA!VP:VP,""),"")</f>
        <v/>
      </c>
      <c r="G161" s="54" t="str">
        <f>IF(B161&lt;&gt;"",_xlfn.XLOOKUP(B161,MA!C:C,MA!VQ:VQ,""),"")</f>
        <v/>
      </c>
    </row>
    <row r="162" spans="6:7" x14ac:dyDescent="0.2">
      <c r="F162" s="54" t="str">
        <f>IF(B162&lt;&gt;"",_xlfn.XLOOKUP(B162,MA!C:C,MA!VP:VP,""),"")</f>
        <v/>
      </c>
      <c r="G162" s="54" t="str">
        <f>IF(B162&lt;&gt;"",_xlfn.XLOOKUP(B162,MA!C:C,MA!VQ:VQ,""),"")</f>
        <v/>
      </c>
    </row>
    <row r="163" spans="6:7" x14ac:dyDescent="0.2">
      <c r="F163" s="54" t="str">
        <f>IF(B163&lt;&gt;"",_xlfn.XLOOKUP(B163,MA!C:C,MA!VP:VP,""),"")</f>
        <v/>
      </c>
      <c r="G163" s="54" t="str">
        <f>IF(B163&lt;&gt;"",_xlfn.XLOOKUP(B163,MA!C:C,MA!VQ:VQ,""),"")</f>
        <v/>
      </c>
    </row>
    <row r="164" spans="6:7" x14ac:dyDescent="0.2">
      <c r="F164" s="54" t="str">
        <f>IF(B164&lt;&gt;"",_xlfn.XLOOKUP(B164,MA!C:C,MA!VP:VP,""),"")</f>
        <v/>
      </c>
      <c r="G164" s="54" t="str">
        <f>IF(B164&lt;&gt;"",_xlfn.XLOOKUP(B164,MA!C:C,MA!VQ:VQ,""),"")</f>
        <v/>
      </c>
    </row>
    <row r="165" spans="6:7" x14ac:dyDescent="0.2">
      <c r="F165" s="54" t="str">
        <f>IF(B165&lt;&gt;"",_xlfn.XLOOKUP(B165,MA!C:C,MA!VP:VP,""),"")</f>
        <v/>
      </c>
      <c r="G165" s="54" t="str">
        <f>IF(B165&lt;&gt;"",_xlfn.XLOOKUP(B165,MA!C:C,MA!VQ:VQ,""),"")</f>
        <v/>
      </c>
    </row>
    <row r="166" spans="6:7" x14ac:dyDescent="0.2">
      <c r="F166" s="54" t="str">
        <f>IF(B166&lt;&gt;"",_xlfn.XLOOKUP(B166,MA!C:C,MA!VP:VP,""),"")</f>
        <v/>
      </c>
      <c r="G166" s="54" t="str">
        <f>IF(B166&lt;&gt;"",_xlfn.XLOOKUP(B166,MA!C:C,MA!VQ:VQ,""),"")</f>
        <v/>
      </c>
    </row>
    <row r="167" spans="6:7" x14ac:dyDescent="0.2">
      <c r="F167" s="54" t="str">
        <f>IF(B167&lt;&gt;"",_xlfn.XLOOKUP(B167,MA!C:C,MA!VP:VP,""),"")</f>
        <v/>
      </c>
      <c r="G167" s="54" t="str">
        <f>IF(B167&lt;&gt;"",_xlfn.XLOOKUP(B167,MA!C:C,MA!VQ:VQ,""),"")</f>
        <v/>
      </c>
    </row>
    <row r="168" spans="6:7" x14ac:dyDescent="0.2">
      <c r="F168" s="54" t="str">
        <f>IF(B168&lt;&gt;"",_xlfn.XLOOKUP(B168,MA!C:C,MA!VP:VP,""),"")</f>
        <v/>
      </c>
      <c r="G168" s="54" t="str">
        <f>IF(B168&lt;&gt;"",_xlfn.XLOOKUP(B168,MA!C:C,MA!VQ:VQ,""),"")</f>
        <v/>
      </c>
    </row>
    <row r="169" spans="6:7" x14ac:dyDescent="0.2">
      <c r="F169" s="54" t="str">
        <f>IF(B169&lt;&gt;"",_xlfn.XLOOKUP(B169,MA!C:C,MA!VP:VP,""),"")</f>
        <v/>
      </c>
      <c r="G169" s="54" t="str">
        <f>IF(B169&lt;&gt;"",_xlfn.XLOOKUP(B169,MA!C:C,MA!VQ:VQ,""),"")</f>
        <v/>
      </c>
    </row>
    <row r="170" spans="6:7" x14ac:dyDescent="0.2">
      <c r="F170" s="54" t="str">
        <f>IF(B170&lt;&gt;"",_xlfn.XLOOKUP(B170,MA!C:C,MA!VP:VP,""),"")</f>
        <v/>
      </c>
      <c r="G170" s="54" t="str">
        <f>IF(B170&lt;&gt;"",_xlfn.XLOOKUP(B170,MA!C:C,MA!VQ:VQ,""),"")</f>
        <v/>
      </c>
    </row>
    <row r="171" spans="6:7" x14ac:dyDescent="0.2">
      <c r="F171" s="54" t="str">
        <f>IF(B171&lt;&gt;"",_xlfn.XLOOKUP(B171,MA!C:C,MA!VP:VP,""),"")</f>
        <v/>
      </c>
      <c r="G171" s="54" t="str">
        <f>IF(B171&lt;&gt;"",_xlfn.XLOOKUP(B171,MA!C:C,MA!VQ:VQ,""),"")</f>
        <v/>
      </c>
    </row>
    <row r="172" spans="6:7" x14ac:dyDescent="0.2">
      <c r="F172" s="54" t="str">
        <f>IF(B172&lt;&gt;"",_xlfn.XLOOKUP(B172,MA!C:C,MA!VP:VP,""),"")</f>
        <v/>
      </c>
      <c r="G172" s="54" t="str">
        <f>IF(B172&lt;&gt;"",_xlfn.XLOOKUP(B172,MA!C:C,MA!VQ:VQ,""),"")</f>
        <v/>
      </c>
    </row>
    <row r="173" spans="6:7" x14ac:dyDescent="0.2">
      <c r="F173" s="54" t="str">
        <f>IF(B173&lt;&gt;"",_xlfn.XLOOKUP(B173,MA!C:C,MA!VP:VP,""),"")</f>
        <v/>
      </c>
      <c r="G173" s="54" t="str">
        <f>IF(B173&lt;&gt;"",_xlfn.XLOOKUP(B173,MA!C:C,MA!VQ:VQ,""),"")</f>
        <v/>
      </c>
    </row>
    <row r="174" spans="6:7" x14ac:dyDescent="0.2">
      <c r="F174" s="54" t="str">
        <f>IF(B174&lt;&gt;"",_xlfn.XLOOKUP(B174,MA!C:C,MA!VP:VP,""),"")</f>
        <v/>
      </c>
      <c r="G174" s="54" t="str">
        <f>IF(B174&lt;&gt;"",_xlfn.XLOOKUP(B174,MA!C:C,MA!VQ:VQ,""),"")</f>
        <v/>
      </c>
    </row>
    <row r="175" spans="6:7" x14ac:dyDescent="0.2">
      <c r="F175" s="54" t="str">
        <f>IF(B175&lt;&gt;"",_xlfn.XLOOKUP(B175,MA!C:C,MA!VP:VP,""),"")</f>
        <v/>
      </c>
      <c r="G175" s="54" t="str">
        <f>IF(B175&lt;&gt;"",_xlfn.XLOOKUP(B175,MA!C:C,MA!VQ:VQ,""),"")</f>
        <v/>
      </c>
    </row>
    <row r="176" spans="6:7" x14ac:dyDescent="0.2">
      <c r="F176" s="54" t="str">
        <f>IF(B176&lt;&gt;"",_xlfn.XLOOKUP(B176,MA!C:C,MA!VP:VP,""),"")</f>
        <v/>
      </c>
      <c r="G176" s="54" t="str">
        <f>IF(B176&lt;&gt;"",_xlfn.XLOOKUP(B176,MA!C:C,MA!VQ:VQ,""),"")</f>
        <v/>
      </c>
    </row>
    <row r="177" spans="6:7" x14ac:dyDescent="0.2">
      <c r="F177" s="54" t="str">
        <f>IF(B177&lt;&gt;"",_xlfn.XLOOKUP(B177,MA!C:C,MA!VP:VP,""),"")</f>
        <v/>
      </c>
      <c r="G177" s="54" t="str">
        <f>IF(B177&lt;&gt;"",_xlfn.XLOOKUP(B177,MA!C:C,MA!VQ:VQ,""),"")</f>
        <v/>
      </c>
    </row>
    <row r="178" spans="6:7" x14ac:dyDescent="0.2">
      <c r="F178" s="54" t="str">
        <f>IF(B178&lt;&gt;"",_xlfn.XLOOKUP(B178,MA!C:C,MA!VP:VP,""),"")</f>
        <v/>
      </c>
      <c r="G178" s="54" t="str">
        <f>IF(B178&lt;&gt;"",_xlfn.XLOOKUP(B178,MA!C:C,MA!VQ:VQ,""),"")</f>
        <v/>
      </c>
    </row>
    <row r="179" spans="6:7" x14ac:dyDescent="0.2">
      <c r="F179" s="54" t="str">
        <f>IF(B179&lt;&gt;"",_xlfn.XLOOKUP(B179,MA!C:C,MA!VP:VP,""),"")</f>
        <v/>
      </c>
      <c r="G179" s="54" t="str">
        <f>IF(B179&lt;&gt;"",_xlfn.XLOOKUP(B179,MA!C:C,MA!VQ:VQ,""),"")</f>
        <v/>
      </c>
    </row>
    <row r="180" spans="6:7" x14ac:dyDescent="0.2">
      <c r="F180" s="54" t="str">
        <f>IF(B180&lt;&gt;"",_xlfn.XLOOKUP(B180,MA!C:C,MA!VP:VP,""),"")</f>
        <v/>
      </c>
      <c r="G180" s="54" t="str">
        <f>IF(B180&lt;&gt;"",_xlfn.XLOOKUP(B180,MA!C:C,MA!VQ:VQ,""),"")</f>
        <v/>
      </c>
    </row>
    <row r="181" spans="6:7" x14ac:dyDescent="0.2">
      <c r="F181" s="54" t="str">
        <f>IF(B181&lt;&gt;"",_xlfn.XLOOKUP(B181,MA!C:C,MA!VP:VP,""),"")</f>
        <v/>
      </c>
      <c r="G181" s="54" t="str">
        <f>IF(B181&lt;&gt;"",_xlfn.XLOOKUP(B181,MA!C:C,MA!VQ:VQ,""),"")</f>
        <v/>
      </c>
    </row>
    <row r="182" spans="6:7" x14ac:dyDescent="0.2">
      <c r="F182" s="54" t="str">
        <f>IF(B182&lt;&gt;"",_xlfn.XLOOKUP(B182,MA!C:C,MA!VP:VP,""),"")</f>
        <v/>
      </c>
      <c r="G182" s="54" t="str">
        <f>IF(B182&lt;&gt;"",_xlfn.XLOOKUP(B182,MA!C:C,MA!VQ:VQ,""),"")</f>
        <v/>
      </c>
    </row>
    <row r="183" spans="6:7" x14ac:dyDescent="0.2">
      <c r="F183" s="54" t="str">
        <f>IF(B183&lt;&gt;"",_xlfn.XLOOKUP(B183,MA!C:C,MA!VP:VP,""),"")</f>
        <v/>
      </c>
      <c r="G183" s="54" t="str">
        <f>IF(B183&lt;&gt;"",_xlfn.XLOOKUP(B183,MA!C:C,MA!VQ:VQ,""),"")</f>
        <v/>
      </c>
    </row>
    <row r="184" spans="6:7" x14ac:dyDescent="0.2">
      <c r="F184" s="54" t="str">
        <f>IF(B184&lt;&gt;"",_xlfn.XLOOKUP(B184,MA!C:C,MA!VP:VP,""),"")</f>
        <v/>
      </c>
      <c r="G184" s="54" t="str">
        <f>IF(B184&lt;&gt;"",_xlfn.XLOOKUP(B184,MA!C:C,MA!VQ:VQ,""),"")</f>
        <v/>
      </c>
    </row>
    <row r="185" spans="6:7" x14ac:dyDescent="0.2">
      <c r="F185" s="54" t="str">
        <f>IF(B185&lt;&gt;"",_xlfn.XLOOKUP(B185,MA!C:C,MA!VP:VP,""),"")</f>
        <v/>
      </c>
      <c r="G185" s="54" t="str">
        <f>IF(B185&lt;&gt;"",_xlfn.XLOOKUP(B185,MA!C:C,MA!VQ:VQ,""),"")</f>
        <v/>
      </c>
    </row>
    <row r="186" spans="6:7" x14ac:dyDescent="0.2">
      <c r="F186" s="54" t="str">
        <f>IF(B186&lt;&gt;"",_xlfn.XLOOKUP(B186,MA!C:C,MA!VP:VP,""),"")</f>
        <v/>
      </c>
      <c r="G186" s="54" t="str">
        <f>IF(B186&lt;&gt;"",_xlfn.XLOOKUP(B186,MA!C:C,MA!VQ:VQ,""),"")</f>
        <v/>
      </c>
    </row>
    <row r="187" spans="6:7" x14ac:dyDescent="0.2">
      <c r="F187" s="54" t="str">
        <f>IF(B187&lt;&gt;"",_xlfn.XLOOKUP(B187,MA!C:C,MA!VP:VP,""),"")</f>
        <v/>
      </c>
      <c r="G187" s="54" t="str">
        <f>IF(B187&lt;&gt;"",_xlfn.XLOOKUP(B187,MA!C:C,MA!VQ:VQ,""),"")</f>
        <v/>
      </c>
    </row>
    <row r="188" spans="6:7" x14ac:dyDescent="0.2">
      <c r="F188" s="54" t="str">
        <f>IF(B188&lt;&gt;"",_xlfn.XLOOKUP(B188,MA!C:C,MA!VP:VP,""),"")</f>
        <v/>
      </c>
      <c r="G188" s="54" t="str">
        <f>IF(B188&lt;&gt;"",_xlfn.XLOOKUP(B188,MA!C:C,MA!VQ:VQ,""),"")</f>
        <v/>
      </c>
    </row>
    <row r="189" spans="6:7" x14ac:dyDescent="0.2">
      <c r="F189" s="54" t="str">
        <f>IF(B189&lt;&gt;"",_xlfn.XLOOKUP(B189,MA!C:C,MA!VP:VP,""),"")</f>
        <v/>
      </c>
      <c r="G189" s="54" t="str">
        <f>IF(B189&lt;&gt;"",_xlfn.XLOOKUP(B189,MA!C:C,MA!VQ:VQ,""),"")</f>
        <v/>
      </c>
    </row>
    <row r="190" spans="6:7" x14ac:dyDescent="0.2">
      <c r="F190" s="54" t="str">
        <f>IF(B190&lt;&gt;"",_xlfn.XLOOKUP(B190,MA!C:C,MA!VP:VP,""),"")</f>
        <v/>
      </c>
      <c r="G190" s="54" t="str">
        <f>IF(B190&lt;&gt;"",_xlfn.XLOOKUP(B190,MA!C:C,MA!VQ:VQ,""),"")</f>
        <v/>
      </c>
    </row>
    <row r="191" spans="6:7" x14ac:dyDescent="0.2">
      <c r="F191" s="54" t="str">
        <f>IF(B191&lt;&gt;"",_xlfn.XLOOKUP(B191,MA!C:C,MA!VP:VP,""),"")</f>
        <v/>
      </c>
      <c r="G191" s="54" t="str">
        <f>IF(B191&lt;&gt;"",_xlfn.XLOOKUP(B191,MA!C:C,MA!VQ:VQ,""),"")</f>
        <v/>
      </c>
    </row>
    <row r="192" spans="6:7" x14ac:dyDescent="0.2">
      <c r="F192" s="54" t="str">
        <f>IF(B192&lt;&gt;"",_xlfn.XLOOKUP(B192,MA!C:C,MA!VP:VP,""),"")</f>
        <v/>
      </c>
      <c r="G192" s="54" t="str">
        <f>IF(B192&lt;&gt;"",_xlfn.XLOOKUP(B192,MA!C:C,MA!VQ:VQ,""),"")</f>
        <v/>
      </c>
    </row>
    <row r="193" spans="6:7" x14ac:dyDescent="0.2">
      <c r="F193" s="54" t="str">
        <f>IF(B193&lt;&gt;"",_xlfn.XLOOKUP(B193,MA!C:C,MA!VP:VP,""),"")</f>
        <v/>
      </c>
      <c r="G193" s="54" t="str">
        <f>IF(B193&lt;&gt;"",_xlfn.XLOOKUP(B193,MA!C:C,MA!VQ:VQ,""),"")</f>
        <v/>
      </c>
    </row>
    <row r="194" spans="6:7" x14ac:dyDescent="0.2">
      <c r="F194" s="54" t="str">
        <f>IF(B194&lt;&gt;"",_xlfn.XLOOKUP(B194,MA!C:C,MA!VP:VP,""),"")</f>
        <v/>
      </c>
      <c r="G194" s="54" t="str">
        <f>IF(B194&lt;&gt;"",_xlfn.XLOOKUP(B194,MA!C:C,MA!VQ:VQ,""),"")</f>
        <v/>
      </c>
    </row>
    <row r="195" spans="6:7" x14ac:dyDescent="0.2">
      <c r="F195" s="54" t="str">
        <f>IF(B195&lt;&gt;"",_xlfn.XLOOKUP(B195,MA!C:C,MA!VP:VP,""),"")</f>
        <v/>
      </c>
      <c r="G195" s="54" t="str">
        <f>IF(B195&lt;&gt;"",_xlfn.XLOOKUP(B195,MA!C:C,MA!VQ:VQ,""),"")</f>
        <v/>
      </c>
    </row>
    <row r="196" spans="6:7" x14ac:dyDescent="0.2">
      <c r="F196" s="54" t="str">
        <f>IF(B196&lt;&gt;"",_xlfn.XLOOKUP(B196,MA!C:C,MA!VP:VP,""),"")</f>
        <v/>
      </c>
      <c r="G196" s="54" t="str">
        <f>IF(B196&lt;&gt;"",_xlfn.XLOOKUP(B196,MA!C:C,MA!VQ:VQ,""),"")</f>
        <v/>
      </c>
    </row>
    <row r="197" spans="6:7" x14ac:dyDescent="0.2">
      <c r="F197" s="54" t="str">
        <f>IF(B197&lt;&gt;"",_xlfn.XLOOKUP(B197,MA!C:C,MA!VP:VP,""),"")</f>
        <v/>
      </c>
      <c r="G197" s="54" t="str">
        <f>IF(B197&lt;&gt;"",_xlfn.XLOOKUP(B197,MA!C:C,MA!VQ:VQ,""),"")</f>
        <v/>
      </c>
    </row>
    <row r="198" spans="6:7" x14ac:dyDescent="0.2">
      <c r="F198" s="54" t="str">
        <f>IF(B198&lt;&gt;"",_xlfn.XLOOKUP(B198,MA!C:C,MA!VP:VP,""),"")</f>
        <v/>
      </c>
      <c r="G198" s="54" t="str">
        <f>IF(B198&lt;&gt;"",_xlfn.XLOOKUP(B198,MA!C:C,MA!VQ:VQ,""),"")</f>
        <v/>
      </c>
    </row>
    <row r="199" spans="6:7" x14ac:dyDescent="0.2">
      <c r="F199" s="54" t="str">
        <f>IF(B199&lt;&gt;"",_xlfn.XLOOKUP(B199,MA!C:C,MA!VP:VP,""),"")</f>
        <v/>
      </c>
      <c r="G199" s="54" t="str">
        <f>IF(B199&lt;&gt;"",_xlfn.XLOOKUP(B199,MA!C:C,MA!VQ:VQ,""),"")</f>
        <v/>
      </c>
    </row>
    <row r="200" spans="6:7" x14ac:dyDescent="0.2">
      <c r="F200" s="54" t="str">
        <f>IF(B200&lt;&gt;"",_xlfn.XLOOKUP(B200,MA!C:C,MA!VP:VP,""),"")</f>
        <v/>
      </c>
      <c r="G200" s="54" t="str">
        <f>IF(B200&lt;&gt;"",_xlfn.XLOOKUP(B200,MA!C:C,MA!VQ:VQ,""),"")</f>
        <v/>
      </c>
    </row>
    <row r="201" spans="6:7" x14ac:dyDescent="0.2">
      <c r="F201" s="54" t="str">
        <f>IF(B201&lt;&gt;"",_xlfn.XLOOKUP(B201,MA!C:C,MA!VP:VP,""),"")</f>
        <v/>
      </c>
      <c r="G201" s="54" t="str">
        <f>IF(B201&lt;&gt;"",_xlfn.XLOOKUP(B201,MA!C:C,MA!VQ:VQ,""),"")</f>
        <v/>
      </c>
    </row>
    <row r="202" spans="6:7" x14ac:dyDescent="0.2">
      <c r="F202" s="54" t="str">
        <f>IF(B202&lt;&gt;"",_xlfn.XLOOKUP(B202,MA!C:C,MA!VP:VP,""),"")</f>
        <v/>
      </c>
      <c r="G202" s="54" t="str">
        <f>IF(B202&lt;&gt;"",_xlfn.XLOOKUP(B202,MA!C:C,MA!VQ:VQ,""),"")</f>
        <v/>
      </c>
    </row>
    <row r="203" spans="6:7" x14ac:dyDescent="0.2">
      <c r="F203" s="54" t="str">
        <f>IF(B203&lt;&gt;"",_xlfn.XLOOKUP(B203,MA!C:C,MA!VP:VP,""),"")</f>
        <v/>
      </c>
      <c r="G203" s="54" t="str">
        <f>IF(B203&lt;&gt;"",_xlfn.XLOOKUP(B203,MA!C:C,MA!VQ:VQ,""),"")</f>
        <v/>
      </c>
    </row>
    <row r="204" spans="6:7" x14ac:dyDescent="0.2">
      <c r="F204" s="54" t="str">
        <f>IF(B204&lt;&gt;"",_xlfn.XLOOKUP(B204,MA!C:C,MA!VP:VP,""),"")</f>
        <v/>
      </c>
      <c r="G204" s="54" t="str">
        <f>IF(B204&lt;&gt;"",_xlfn.XLOOKUP(B204,MA!C:C,MA!VQ:VQ,""),"")</f>
        <v/>
      </c>
    </row>
    <row r="205" spans="6:7" x14ac:dyDescent="0.2">
      <c r="F205" s="54" t="str">
        <f>IF(B205&lt;&gt;"",_xlfn.XLOOKUP(B205,MA!C:C,MA!VP:VP,""),"")</f>
        <v/>
      </c>
      <c r="G205" s="54" t="str">
        <f>IF(B205&lt;&gt;"",_xlfn.XLOOKUP(B205,MA!C:C,MA!VQ:VQ,""),"")</f>
        <v/>
      </c>
    </row>
    <row r="206" spans="6:7" x14ac:dyDescent="0.2">
      <c r="F206" s="54" t="str">
        <f>IF(B206&lt;&gt;"",_xlfn.XLOOKUP(B206,MA!C:C,MA!VP:VP,""),"")</f>
        <v/>
      </c>
      <c r="G206" s="54" t="str">
        <f>IF(B206&lt;&gt;"",_xlfn.XLOOKUP(B206,MA!C:C,MA!VQ:VQ,""),"")</f>
        <v/>
      </c>
    </row>
    <row r="207" spans="6:7" x14ac:dyDescent="0.2">
      <c r="F207" s="54" t="str">
        <f>IF(B207&lt;&gt;"",_xlfn.XLOOKUP(B207,MA!C:C,MA!VP:VP,""),"")</f>
        <v/>
      </c>
      <c r="G207" s="54" t="str">
        <f>IF(B207&lt;&gt;"",_xlfn.XLOOKUP(B207,MA!C:C,MA!VQ:VQ,""),"")</f>
        <v/>
      </c>
    </row>
    <row r="208" spans="6:7" x14ac:dyDescent="0.2">
      <c r="F208" s="54" t="str">
        <f>IF(B208&lt;&gt;"",_xlfn.XLOOKUP(B208,MA!C:C,MA!VP:VP,""),"")</f>
        <v/>
      </c>
      <c r="G208" s="54" t="str">
        <f>IF(B208&lt;&gt;"",_xlfn.XLOOKUP(B208,MA!C:C,MA!VQ:VQ,""),"")</f>
        <v/>
      </c>
    </row>
    <row r="209" spans="6:7" x14ac:dyDescent="0.2">
      <c r="F209" s="54" t="str">
        <f>IF(B209&lt;&gt;"",_xlfn.XLOOKUP(B209,MA!C:C,MA!VP:VP,""),"")</f>
        <v/>
      </c>
      <c r="G209" s="54" t="str">
        <f>IF(B209&lt;&gt;"",_xlfn.XLOOKUP(B209,MA!C:C,MA!VQ:VQ,""),"")</f>
        <v/>
      </c>
    </row>
    <row r="210" spans="6:7" x14ac:dyDescent="0.2">
      <c r="F210" s="54" t="str">
        <f>IF(B210&lt;&gt;"",_xlfn.XLOOKUP(B210,MA!C:C,MA!VP:VP,""),"")</f>
        <v/>
      </c>
      <c r="G210" s="54" t="str">
        <f>IF(B210&lt;&gt;"",_xlfn.XLOOKUP(B210,MA!C:C,MA!VQ:VQ,""),"")</f>
        <v/>
      </c>
    </row>
    <row r="211" spans="6:7" x14ac:dyDescent="0.2">
      <c r="F211" s="54" t="str">
        <f>IF(B211&lt;&gt;"",_xlfn.XLOOKUP(B211,MA!C:C,MA!VP:VP,""),"")</f>
        <v/>
      </c>
      <c r="G211" s="54" t="str">
        <f>IF(B211&lt;&gt;"",_xlfn.XLOOKUP(B211,MA!C:C,MA!VQ:VQ,""),"")</f>
        <v/>
      </c>
    </row>
    <row r="212" spans="6:7" x14ac:dyDescent="0.2">
      <c r="F212" s="54" t="str">
        <f>IF(B212&lt;&gt;"",_xlfn.XLOOKUP(B212,MA!C:C,MA!VP:VP,""),"")</f>
        <v/>
      </c>
      <c r="G212" s="54" t="str">
        <f>IF(B212&lt;&gt;"",_xlfn.XLOOKUP(B212,MA!C:C,MA!VQ:VQ,""),"")</f>
        <v/>
      </c>
    </row>
    <row r="213" spans="6:7" x14ac:dyDescent="0.2">
      <c r="F213" s="54" t="str">
        <f>IF(B213&lt;&gt;"",_xlfn.XLOOKUP(B213,MA!C:C,MA!VP:VP,""),"")</f>
        <v/>
      </c>
      <c r="G213" s="54" t="str">
        <f>IF(B213&lt;&gt;"",_xlfn.XLOOKUP(B213,MA!C:C,MA!VQ:VQ,""),"")</f>
        <v/>
      </c>
    </row>
    <row r="214" spans="6:7" x14ac:dyDescent="0.2">
      <c r="F214" s="54" t="str">
        <f>IF(B214&lt;&gt;"",_xlfn.XLOOKUP(B214,MA!C:C,MA!VP:VP,""),"")</f>
        <v/>
      </c>
      <c r="G214" s="54" t="str">
        <f>IF(B214&lt;&gt;"",_xlfn.XLOOKUP(B214,MA!C:C,MA!VQ:VQ,""),"")</f>
        <v/>
      </c>
    </row>
    <row r="215" spans="6:7" x14ac:dyDescent="0.2">
      <c r="F215" s="54" t="str">
        <f>IF(B215&lt;&gt;"",_xlfn.XLOOKUP(B215,MA!C:C,MA!VP:VP,""),"")</f>
        <v/>
      </c>
      <c r="G215" s="54" t="str">
        <f>IF(B215&lt;&gt;"",_xlfn.XLOOKUP(B215,MA!C:C,MA!VQ:VQ,""),"")</f>
        <v/>
      </c>
    </row>
    <row r="216" spans="6:7" x14ac:dyDescent="0.2">
      <c r="F216" s="54" t="str">
        <f>IF(B216&lt;&gt;"",_xlfn.XLOOKUP(B216,MA!C:C,MA!VP:VP,""),"")</f>
        <v/>
      </c>
      <c r="G216" s="54" t="str">
        <f>IF(B216&lt;&gt;"",_xlfn.XLOOKUP(B216,MA!C:C,MA!VQ:VQ,""),"")</f>
        <v/>
      </c>
    </row>
    <row r="217" spans="6:7" x14ac:dyDescent="0.2">
      <c r="F217" s="54" t="str">
        <f>IF(B217&lt;&gt;"",_xlfn.XLOOKUP(B217,MA!C:C,MA!VP:VP,""),"")</f>
        <v/>
      </c>
      <c r="G217" s="54" t="str">
        <f>IF(B217&lt;&gt;"",_xlfn.XLOOKUP(B217,MA!C:C,MA!VQ:VQ,""),"")</f>
        <v/>
      </c>
    </row>
    <row r="218" spans="6:7" x14ac:dyDescent="0.2">
      <c r="F218" s="54" t="str">
        <f>IF(B218&lt;&gt;"",_xlfn.XLOOKUP(B218,MA!C:C,MA!VP:VP,""),"")</f>
        <v/>
      </c>
      <c r="G218" s="54" t="str">
        <f>IF(B218&lt;&gt;"",_xlfn.XLOOKUP(B218,MA!C:C,MA!VQ:VQ,""),"")</f>
        <v/>
      </c>
    </row>
    <row r="219" spans="6:7" x14ac:dyDescent="0.2">
      <c r="F219" s="54" t="str">
        <f>IF(B219&lt;&gt;"",_xlfn.XLOOKUP(B219,MA!C:C,MA!VP:VP,""),"")</f>
        <v/>
      </c>
      <c r="G219" s="54" t="str">
        <f>IF(B219&lt;&gt;"",_xlfn.XLOOKUP(B219,MA!C:C,MA!VQ:VQ,""),"")</f>
        <v/>
      </c>
    </row>
    <row r="220" spans="6:7" x14ac:dyDescent="0.2">
      <c r="F220" s="54" t="str">
        <f>IF(B220&lt;&gt;"",_xlfn.XLOOKUP(B220,MA!C:C,MA!VP:VP,""),"")</f>
        <v/>
      </c>
      <c r="G220" s="54" t="str">
        <f>IF(B220&lt;&gt;"",_xlfn.XLOOKUP(B220,MA!C:C,MA!VQ:VQ,""),"")</f>
        <v/>
      </c>
    </row>
    <row r="221" spans="6:7" x14ac:dyDescent="0.2">
      <c r="F221" s="54" t="str">
        <f>IF(B221&lt;&gt;"",_xlfn.XLOOKUP(B221,MA!C:C,MA!VP:VP,""),"")</f>
        <v/>
      </c>
      <c r="G221" s="54" t="str">
        <f>IF(B221&lt;&gt;"",_xlfn.XLOOKUP(B221,MA!C:C,MA!VQ:VQ,""),"")</f>
        <v/>
      </c>
    </row>
    <row r="222" spans="6:7" x14ac:dyDescent="0.2">
      <c r="F222" s="54" t="str">
        <f>IF(B222&lt;&gt;"",_xlfn.XLOOKUP(B222,MA!C:C,MA!VP:VP,""),"")</f>
        <v/>
      </c>
      <c r="G222" s="54" t="str">
        <f>IF(B222&lt;&gt;"",_xlfn.XLOOKUP(B222,MA!C:C,MA!VQ:VQ,""),"")</f>
        <v/>
      </c>
    </row>
    <row r="223" spans="6:7" x14ac:dyDescent="0.2">
      <c r="F223" s="54" t="str">
        <f>IF(B223&lt;&gt;"",_xlfn.XLOOKUP(B223,MA!C:C,MA!VP:VP,""),"")</f>
        <v/>
      </c>
      <c r="G223" s="54" t="str">
        <f>IF(B223&lt;&gt;"",_xlfn.XLOOKUP(B223,MA!C:C,MA!VQ:VQ,""),"")</f>
        <v/>
      </c>
    </row>
    <row r="224" spans="6:7" x14ac:dyDescent="0.2">
      <c r="F224" s="54" t="str">
        <f>IF(B224&lt;&gt;"",_xlfn.XLOOKUP(B224,MA!C:C,MA!VP:VP,""),"")</f>
        <v/>
      </c>
      <c r="G224" s="54" t="str">
        <f>IF(B224&lt;&gt;"",_xlfn.XLOOKUP(B224,MA!C:C,MA!VQ:VQ,""),"")</f>
        <v/>
      </c>
    </row>
    <row r="225" spans="6:7" x14ac:dyDescent="0.2">
      <c r="F225" s="54" t="str">
        <f>IF(B225&lt;&gt;"",_xlfn.XLOOKUP(B225,MA!C:C,MA!VP:VP,""),"")</f>
        <v/>
      </c>
      <c r="G225" s="54" t="str">
        <f>IF(B225&lt;&gt;"",_xlfn.XLOOKUP(B225,MA!C:C,MA!VQ:VQ,""),"")</f>
        <v/>
      </c>
    </row>
    <row r="226" spans="6:7" x14ac:dyDescent="0.2">
      <c r="F226" s="54" t="str">
        <f>IF(B226&lt;&gt;"",_xlfn.XLOOKUP(B226,MA!C:C,MA!VP:VP,""),"")</f>
        <v/>
      </c>
      <c r="G226" s="54" t="str">
        <f>IF(B226&lt;&gt;"",_xlfn.XLOOKUP(B226,MA!C:C,MA!VQ:VQ,""),"")</f>
        <v/>
      </c>
    </row>
    <row r="227" spans="6:7" x14ac:dyDescent="0.2">
      <c r="F227" s="54" t="str">
        <f>IF(B227&lt;&gt;"",_xlfn.XLOOKUP(B227,MA!C:C,MA!VP:VP,""),"")</f>
        <v/>
      </c>
      <c r="G227" s="54" t="str">
        <f>IF(B227&lt;&gt;"",_xlfn.XLOOKUP(B227,MA!C:C,MA!VQ:VQ,""),"")</f>
        <v/>
      </c>
    </row>
    <row r="228" spans="6:7" x14ac:dyDescent="0.2">
      <c r="F228" s="54" t="str">
        <f>IF(B228&lt;&gt;"",_xlfn.XLOOKUP(B228,MA!C:C,MA!VP:VP,""),"")</f>
        <v/>
      </c>
      <c r="G228" s="54" t="str">
        <f>IF(B228&lt;&gt;"",_xlfn.XLOOKUP(B228,MA!C:C,MA!VQ:VQ,""),"")</f>
        <v/>
      </c>
    </row>
    <row r="229" spans="6:7" x14ac:dyDescent="0.2">
      <c r="F229" s="54" t="str">
        <f>IF(B229&lt;&gt;"",_xlfn.XLOOKUP(B229,MA!C:C,MA!VP:VP,""),"")</f>
        <v/>
      </c>
      <c r="G229" s="54" t="str">
        <f>IF(B229&lt;&gt;"",_xlfn.XLOOKUP(B229,MA!C:C,MA!VQ:VQ,""),"")</f>
        <v/>
      </c>
    </row>
    <row r="230" spans="6:7" x14ac:dyDescent="0.2">
      <c r="F230" s="54" t="str">
        <f>IF(B230&lt;&gt;"",_xlfn.XLOOKUP(B230,MA!C:C,MA!VP:VP,""),"")</f>
        <v/>
      </c>
      <c r="G230" s="54" t="str">
        <f>IF(B230&lt;&gt;"",_xlfn.XLOOKUP(B230,MA!C:C,MA!VQ:VQ,""),"")</f>
        <v/>
      </c>
    </row>
    <row r="231" spans="6:7" x14ac:dyDescent="0.2">
      <c r="F231" s="54" t="str">
        <f>IF(B231&lt;&gt;"",_xlfn.XLOOKUP(B231,MA!C:C,MA!VP:VP,""),"")</f>
        <v/>
      </c>
      <c r="G231" s="54" t="str">
        <f>IF(B231&lt;&gt;"",_xlfn.XLOOKUP(B231,MA!C:C,MA!VQ:VQ,""),"")</f>
        <v/>
      </c>
    </row>
    <row r="232" spans="6:7" x14ac:dyDescent="0.2">
      <c r="F232" s="54" t="str">
        <f>IF(B232&lt;&gt;"",_xlfn.XLOOKUP(B232,MA!C:C,MA!VP:VP,""),"")</f>
        <v/>
      </c>
      <c r="G232" s="54" t="str">
        <f>IF(B232&lt;&gt;"",_xlfn.XLOOKUP(B232,MA!C:C,MA!VQ:VQ,""),"")</f>
        <v/>
      </c>
    </row>
    <row r="233" spans="6:7" x14ac:dyDescent="0.2">
      <c r="F233" s="54" t="str">
        <f>IF(B233&lt;&gt;"",_xlfn.XLOOKUP(B233,MA!C:C,MA!VP:VP,""),"")</f>
        <v/>
      </c>
      <c r="G233" s="54" t="str">
        <f>IF(B233&lt;&gt;"",_xlfn.XLOOKUP(B233,MA!C:C,MA!VQ:VQ,""),"")</f>
        <v/>
      </c>
    </row>
    <row r="234" spans="6:7" x14ac:dyDescent="0.2">
      <c r="F234" s="54" t="str">
        <f>IF(B234&lt;&gt;"",_xlfn.XLOOKUP(B234,MA!C:C,MA!VP:VP,""),"")</f>
        <v/>
      </c>
      <c r="G234" s="54" t="str">
        <f>IF(B234&lt;&gt;"",_xlfn.XLOOKUP(B234,MA!C:C,MA!VQ:VQ,""),"")</f>
        <v/>
      </c>
    </row>
    <row r="235" spans="6:7" x14ac:dyDescent="0.2">
      <c r="F235" s="54" t="str">
        <f>IF(B235&lt;&gt;"",_xlfn.XLOOKUP(B235,MA!C:C,MA!VP:VP,""),"")</f>
        <v/>
      </c>
      <c r="G235" s="54" t="str">
        <f>IF(B235&lt;&gt;"",_xlfn.XLOOKUP(B235,MA!C:C,MA!VQ:VQ,""),"")</f>
        <v/>
      </c>
    </row>
    <row r="236" spans="6:7" x14ac:dyDescent="0.2">
      <c r="F236" s="54" t="str">
        <f>IF(B236&lt;&gt;"",_xlfn.XLOOKUP(B236,MA!C:C,MA!VP:VP,""),"")</f>
        <v/>
      </c>
      <c r="G236" s="54" t="str">
        <f>IF(B236&lt;&gt;"",_xlfn.XLOOKUP(B236,MA!C:C,MA!VQ:VQ,""),"")</f>
        <v/>
      </c>
    </row>
    <row r="237" spans="6:7" x14ac:dyDescent="0.2">
      <c r="F237" s="54" t="str">
        <f>IF(B237&lt;&gt;"",_xlfn.XLOOKUP(B237,MA!C:C,MA!VP:VP,""),"")</f>
        <v/>
      </c>
      <c r="G237" s="54" t="str">
        <f>IF(B237&lt;&gt;"",_xlfn.XLOOKUP(B237,MA!C:C,MA!VQ:VQ,""),"")</f>
        <v/>
      </c>
    </row>
    <row r="238" spans="6:7" x14ac:dyDescent="0.2">
      <c r="F238" s="54" t="str">
        <f>IF(B238&lt;&gt;"",_xlfn.XLOOKUP(B238,MA!C:C,MA!VP:VP,""),"")</f>
        <v/>
      </c>
      <c r="G238" s="54" t="str">
        <f>IF(B238&lt;&gt;"",_xlfn.XLOOKUP(B238,MA!C:C,MA!VQ:VQ,""),"")</f>
        <v/>
      </c>
    </row>
    <row r="239" spans="6:7" x14ac:dyDescent="0.2">
      <c r="F239" s="54" t="str">
        <f>IF(B239&lt;&gt;"",_xlfn.XLOOKUP(B239,MA!C:C,MA!VP:VP,""),"")</f>
        <v/>
      </c>
      <c r="G239" s="54" t="str">
        <f>IF(B239&lt;&gt;"",_xlfn.XLOOKUP(B239,MA!C:C,MA!VQ:VQ,""),"")</f>
        <v/>
      </c>
    </row>
    <row r="240" spans="6:7" x14ac:dyDescent="0.2">
      <c r="F240" s="54" t="str">
        <f>IF(B240&lt;&gt;"",_xlfn.XLOOKUP(B240,MA!C:C,MA!VP:VP,""),"")</f>
        <v/>
      </c>
      <c r="G240" s="54" t="str">
        <f>IF(B240&lt;&gt;"",_xlfn.XLOOKUP(B240,MA!C:C,MA!VQ:VQ,""),"")</f>
        <v/>
      </c>
    </row>
    <row r="241" spans="6:7" x14ac:dyDescent="0.2">
      <c r="F241" s="54" t="str">
        <f>IF(B241&lt;&gt;"",_xlfn.XLOOKUP(B241,MA!C:C,MA!VP:VP,""),"")</f>
        <v/>
      </c>
      <c r="G241" s="54" t="str">
        <f>IF(B241&lt;&gt;"",_xlfn.XLOOKUP(B241,MA!C:C,MA!VQ:VQ,""),"")</f>
        <v/>
      </c>
    </row>
    <row r="242" spans="6:7" x14ac:dyDescent="0.2">
      <c r="F242" s="54" t="str">
        <f>IF(B242&lt;&gt;"",_xlfn.XLOOKUP(B242,MA!C:C,MA!VP:VP,""),"")</f>
        <v/>
      </c>
      <c r="G242" s="54" t="str">
        <f>IF(B242&lt;&gt;"",_xlfn.XLOOKUP(B242,MA!C:C,MA!VQ:VQ,""),"")</f>
        <v/>
      </c>
    </row>
    <row r="243" spans="6:7" x14ac:dyDescent="0.2">
      <c r="F243" s="54" t="str">
        <f>IF(B243&lt;&gt;"",_xlfn.XLOOKUP(B243,MA!C:C,MA!VP:VP,""),"")</f>
        <v/>
      </c>
      <c r="G243" s="54" t="str">
        <f>IF(B243&lt;&gt;"",_xlfn.XLOOKUP(B243,MA!C:C,MA!VQ:VQ,""),"")</f>
        <v/>
      </c>
    </row>
    <row r="244" spans="6:7" x14ac:dyDescent="0.2">
      <c r="F244" s="54" t="str">
        <f>IF(B244&lt;&gt;"",_xlfn.XLOOKUP(B244,MA!C:C,MA!VP:VP,""),"")</f>
        <v/>
      </c>
      <c r="G244" s="54" t="str">
        <f>IF(B244&lt;&gt;"",_xlfn.XLOOKUP(B244,MA!C:C,MA!VQ:VQ,""),"")</f>
        <v/>
      </c>
    </row>
    <row r="245" spans="6:7" x14ac:dyDescent="0.2">
      <c r="F245" s="54" t="str">
        <f>IF(B245&lt;&gt;"",_xlfn.XLOOKUP(B245,MA!C:C,MA!VP:VP,""),"")</f>
        <v/>
      </c>
      <c r="G245" s="54" t="str">
        <f>IF(B245&lt;&gt;"",_xlfn.XLOOKUP(B245,MA!C:C,MA!VQ:VQ,""),"")</f>
        <v/>
      </c>
    </row>
    <row r="246" spans="6:7" x14ac:dyDescent="0.2">
      <c r="F246" s="54" t="str">
        <f>IF(B246&lt;&gt;"",_xlfn.XLOOKUP(B246,MA!C:C,MA!VP:VP,""),"")</f>
        <v/>
      </c>
      <c r="G246" s="54" t="str">
        <f>IF(B246&lt;&gt;"",_xlfn.XLOOKUP(B246,MA!C:C,MA!VQ:VQ,""),"")</f>
        <v/>
      </c>
    </row>
    <row r="247" spans="6:7" x14ac:dyDescent="0.2">
      <c r="F247" s="54" t="str">
        <f>IF(B247&lt;&gt;"",_xlfn.XLOOKUP(B247,MA!C:C,MA!VP:VP,""),"")</f>
        <v/>
      </c>
      <c r="G247" s="54" t="str">
        <f>IF(B247&lt;&gt;"",_xlfn.XLOOKUP(B247,MA!C:C,MA!VQ:VQ,""),"")</f>
        <v/>
      </c>
    </row>
    <row r="248" spans="6:7" x14ac:dyDescent="0.2">
      <c r="F248" s="54" t="str">
        <f>IF(B248&lt;&gt;"",_xlfn.XLOOKUP(B248,MA!C:C,MA!VP:VP,""),"")</f>
        <v/>
      </c>
      <c r="G248" s="54" t="str">
        <f>IF(B248&lt;&gt;"",_xlfn.XLOOKUP(B248,MA!C:C,MA!VQ:VQ,""),"")</f>
        <v/>
      </c>
    </row>
    <row r="249" spans="6:7" x14ac:dyDescent="0.2">
      <c r="F249" s="54" t="str">
        <f>IF(B249&lt;&gt;"",_xlfn.XLOOKUP(B249,MA!C:C,MA!VP:VP,""),"")</f>
        <v/>
      </c>
      <c r="G249" s="54" t="str">
        <f>IF(B249&lt;&gt;"",_xlfn.XLOOKUP(B249,MA!C:C,MA!VQ:VQ,""),"")</f>
        <v/>
      </c>
    </row>
    <row r="250" spans="6:7" x14ac:dyDescent="0.2">
      <c r="F250" s="54" t="str">
        <f>IF(B250&lt;&gt;"",_xlfn.XLOOKUP(B250,MA!C:C,MA!VP:VP,""),"")</f>
        <v/>
      </c>
      <c r="G250" s="54" t="str">
        <f>IF(B250&lt;&gt;"",_xlfn.XLOOKUP(B250,MA!C:C,MA!VQ:VQ,""),"")</f>
        <v/>
      </c>
    </row>
    <row r="251" spans="6:7" x14ac:dyDescent="0.2">
      <c r="F251" s="54" t="str">
        <f>IF(B251&lt;&gt;"",_xlfn.XLOOKUP(B251,MA!C:C,MA!VP:VP,""),"")</f>
        <v/>
      </c>
      <c r="G251" s="54" t="str">
        <f>IF(B251&lt;&gt;"",_xlfn.XLOOKUP(B251,MA!C:C,MA!VQ:VQ,""),"")</f>
        <v/>
      </c>
    </row>
    <row r="252" spans="6:7" x14ac:dyDescent="0.2">
      <c r="F252" s="54" t="str">
        <f>IF(B252&lt;&gt;"",_xlfn.XLOOKUP(B252,MA!C:C,MA!VP:VP,""),"")</f>
        <v/>
      </c>
      <c r="G252" s="54" t="str">
        <f>IF(B252&lt;&gt;"",_xlfn.XLOOKUP(B252,MA!C:C,MA!VQ:VQ,""),"")</f>
        <v/>
      </c>
    </row>
    <row r="253" spans="6:7" x14ac:dyDescent="0.2">
      <c r="F253" s="54" t="str">
        <f>IF(B253&lt;&gt;"",_xlfn.XLOOKUP(B253,MA!C:C,MA!VP:VP,""),"")</f>
        <v/>
      </c>
      <c r="G253" s="54" t="str">
        <f>IF(B253&lt;&gt;"",_xlfn.XLOOKUP(B253,MA!C:C,MA!VQ:VQ,""),"")</f>
        <v/>
      </c>
    </row>
    <row r="254" spans="6:7" x14ac:dyDescent="0.2">
      <c r="F254" s="54" t="str">
        <f>IF(B254&lt;&gt;"",_xlfn.XLOOKUP(B254,MA!C:C,MA!VP:VP,""),"")</f>
        <v/>
      </c>
      <c r="G254" s="54" t="str">
        <f>IF(B254&lt;&gt;"",_xlfn.XLOOKUP(B254,MA!C:C,MA!VQ:VQ,""),"")</f>
        <v/>
      </c>
    </row>
    <row r="255" spans="6:7" x14ac:dyDescent="0.2">
      <c r="F255" s="54" t="str">
        <f>IF(B255&lt;&gt;"",_xlfn.XLOOKUP(B255,MA!C:C,MA!VP:VP,""),"")</f>
        <v/>
      </c>
      <c r="G255" s="54" t="str">
        <f>IF(B255&lt;&gt;"",_xlfn.XLOOKUP(B255,MA!C:C,MA!VQ:VQ,""),"")</f>
        <v/>
      </c>
    </row>
    <row r="256" spans="6:7" x14ac:dyDescent="0.2">
      <c r="F256" s="54" t="str">
        <f>IF(B256&lt;&gt;"",_xlfn.XLOOKUP(B256,MA!C:C,MA!VP:VP,""),"")</f>
        <v/>
      </c>
      <c r="G256" s="54" t="str">
        <f>IF(B256&lt;&gt;"",_xlfn.XLOOKUP(B256,MA!C:C,MA!VQ:VQ,""),"")</f>
        <v/>
      </c>
    </row>
    <row r="257" spans="6:7" x14ac:dyDescent="0.2">
      <c r="F257" s="54" t="str">
        <f>IF(B257&lt;&gt;"",_xlfn.XLOOKUP(B257,MA!C:C,MA!VP:VP,""),"")</f>
        <v/>
      </c>
      <c r="G257" s="54" t="str">
        <f>IF(B257&lt;&gt;"",_xlfn.XLOOKUP(B257,MA!C:C,MA!VQ:VQ,""),"")</f>
        <v/>
      </c>
    </row>
    <row r="258" spans="6:7" x14ac:dyDescent="0.2">
      <c r="F258" s="54" t="str">
        <f>IF(B258&lt;&gt;"",_xlfn.XLOOKUP(B258,MA!C:C,MA!VP:VP,""),"")</f>
        <v/>
      </c>
      <c r="G258" s="54" t="str">
        <f>IF(B258&lt;&gt;"",_xlfn.XLOOKUP(B258,MA!C:C,MA!VQ:VQ,""),"")</f>
        <v/>
      </c>
    </row>
    <row r="259" spans="6:7" x14ac:dyDescent="0.2">
      <c r="F259" s="54" t="str">
        <f>IF(B259&lt;&gt;"",_xlfn.XLOOKUP(B259,MA!C:C,MA!VP:VP,""),"")</f>
        <v/>
      </c>
      <c r="G259" s="54" t="str">
        <f>IF(B259&lt;&gt;"",_xlfn.XLOOKUP(B259,MA!C:C,MA!VQ:VQ,""),"")</f>
        <v/>
      </c>
    </row>
    <row r="260" spans="6:7" x14ac:dyDescent="0.2">
      <c r="F260" s="54" t="str">
        <f>IF(B260&lt;&gt;"",_xlfn.XLOOKUP(B260,MA!C:C,MA!VP:VP,""),"")</f>
        <v/>
      </c>
      <c r="G260" s="54" t="str">
        <f>IF(B260&lt;&gt;"",_xlfn.XLOOKUP(B260,MA!C:C,MA!VQ:VQ,""),"")</f>
        <v/>
      </c>
    </row>
    <row r="261" spans="6:7" x14ac:dyDescent="0.2">
      <c r="F261" s="54" t="str">
        <f>IF(B261&lt;&gt;"",_xlfn.XLOOKUP(B261,MA!C:C,MA!VP:VP,""),"")</f>
        <v/>
      </c>
      <c r="G261" s="54" t="str">
        <f>IF(B261&lt;&gt;"",_xlfn.XLOOKUP(B261,MA!C:C,MA!VQ:VQ,""),"")</f>
        <v/>
      </c>
    </row>
    <row r="262" spans="6:7" x14ac:dyDescent="0.2">
      <c r="F262" s="54" t="str">
        <f>IF(B262&lt;&gt;"",_xlfn.XLOOKUP(B262,MA!C:C,MA!VP:VP,""),"")</f>
        <v/>
      </c>
      <c r="G262" s="54" t="str">
        <f>IF(B262&lt;&gt;"",_xlfn.XLOOKUP(B262,MA!C:C,MA!VQ:VQ,""),"")</f>
        <v/>
      </c>
    </row>
  </sheetData>
  <customSheetViews>
    <customSheetView guid="{52D1722A-E00E-455D-B18E-AA205BA79E79}" scale="80" topLeftCell="F1">
      <selection activeCell="U3" sqref="U3"/>
      <pageMargins left="0.7" right="0.7" top="0.75" bottom="0.75" header="0.3" footer="0.3"/>
      <pageSetup orientation="portrait" r:id="rId1"/>
    </customSheetView>
  </customSheetViews>
  <phoneticPr fontId="90" type="noConversion"/>
  <conditionalFormatting sqref="C4:C16">
    <cfRule type="expression" dxfId="68" priority="59" stopIfTrue="1">
      <formula>F4="BEARISH"</formula>
    </cfRule>
    <cfRule type="expression" dxfId="67" priority="454" stopIfTrue="1">
      <formula>F4="BULLISH"</formula>
    </cfRule>
  </conditionalFormatting>
  <conditionalFormatting sqref="E4:E16">
    <cfRule type="cellIs" dxfId="66" priority="91" operator="between">
      <formula>1</formula>
      <formula>7</formula>
    </cfRule>
    <cfRule type="cellIs" dxfId="65" priority="100" operator="lessThan">
      <formula>3</formula>
    </cfRule>
  </conditionalFormatting>
  <conditionalFormatting sqref="L2:L70 O2:R70 F21:G262">
    <cfRule type="cellIs" dxfId="64" priority="28" stopIfTrue="1" operator="lessThan">
      <formula>0</formula>
    </cfRule>
  </conditionalFormatting>
  <conditionalFormatting sqref="O2:R70 F21:G262 L2:L70">
    <cfRule type="cellIs" dxfId="63" priority="2" stopIfTrue="1" operator="greaterThan">
      <formula>0</formula>
    </cfRule>
  </conditionalFormatting>
  <conditionalFormatting sqref="Z2:Z70">
    <cfRule type="cellIs" dxfId="62" priority="41" stopIfTrue="1" operator="equal">
      <formula>"W"</formula>
    </cfRule>
    <cfRule type="cellIs" dxfId="61" priority="42" stopIfTrue="1" operator="equal">
      <formula>"Y"</formula>
    </cfRule>
    <cfRule type="cellIs" dxfId="60" priority="43" stopIfTrue="1" operator="equal">
      <formula>"N"</formula>
    </cfRule>
  </conditionalFormatting>
  <conditionalFormatting sqref="AB2:AB35 O2:R70 F21:G262">
    <cfRule type="containsBlanks" dxfId="59" priority="1" stopIfTrue="1">
      <formula>LEN(TRIM(F2))=0</formula>
    </cfRule>
  </conditionalFormatting>
  <conditionalFormatting sqref="AB27:AB28">
    <cfRule type="cellIs" dxfId="58" priority="36" stopIfTrue="1" operator="equal">
      <formula>"Quad 1"</formula>
    </cfRule>
    <cfRule type="cellIs" dxfId="57" priority="37" stopIfTrue="1" operator="equal">
      <formula>"Quad 2"</formula>
    </cfRule>
    <cfRule type="cellIs" dxfId="56" priority="38" stopIfTrue="1" operator="equal">
      <formula>"Quad 3"</formula>
    </cfRule>
    <cfRule type="cellIs" dxfId="55" priority="39" stopIfTrue="1" operator="equal">
      <formula>"Quad 4"</formula>
    </cfRule>
  </conditionalFormatting>
  <conditionalFormatting sqref="AB2:AC2 AC3">
    <cfRule type="expression" dxfId="54" priority="84">
      <formula>$AB$2&lt;TODAY()</formula>
    </cfRule>
  </conditionalFormatting>
  <conditionalFormatting sqref="AB13:AC14">
    <cfRule type="expression" dxfId="53" priority="79">
      <formula>$AB$12&lt;&gt;$AB$9</formula>
    </cfRule>
  </conditionalFormatting>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88D3F-3766-44E2-BFAF-D3ABA72AFD9D}">
  <sheetPr codeName="Sheet1"/>
  <dimension ref="A1"/>
  <sheetViews>
    <sheetView workbookViewId="0">
      <selection activeCell="G25" sqref="G25"/>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5EEF4-2185-4264-8ECD-A7D186EAFB19}">
  <sheetPr codeName="Sheet3"/>
  <dimension ref="A1:S3"/>
  <sheetViews>
    <sheetView workbookViewId="0">
      <pane xSplit="8" ySplit="1" topLeftCell="I2" activePane="bottomRight" state="frozen"/>
      <selection pane="topRight" activeCell="I1" sqref="I1"/>
      <selection pane="bottomLeft" activeCell="A2" sqref="A2"/>
      <selection pane="bottomRight" activeCell="G5" sqref="G5"/>
    </sheetView>
  </sheetViews>
  <sheetFormatPr defaultRowHeight="11.25" x14ac:dyDescent="0.2"/>
  <cols>
    <col min="1" max="1" width="9.140625" style="307"/>
    <col min="2" max="2" width="9.28515625" style="307" customWidth="1"/>
    <col min="3" max="4" width="9.140625" style="307"/>
    <col min="5" max="5" width="9.140625" style="306"/>
    <col min="6" max="6" width="9.140625" style="307"/>
    <col min="7" max="7" width="9.140625" style="306"/>
    <col min="8" max="16384" width="9.140625" style="307"/>
  </cols>
  <sheetData>
    <row r="1" spans="1:19" x14ac:dyDescent="0.2">
      <c r="A1" s="302" t="s">
        <v>198</v>
      </c>
      <c r="B1" s="302" t="s">
        <v>1589</v>
      </c>
      <c r="C1" s="303" t="s">
        <v>1614</v>
      </c>
      <c r="D1" s="302" t="s">
        <v>309</v>
      </c>
      <c r="E1" s="304" t="s">
        <v>7</v>
      </c>
      <c r="F1" s="305" t="s">
        <v>307</v>
      </c>
      <c r="G1" s="306" t="s">
        <v>1439</v>
      </c>
      <c r="H1" s="307" t="s">
        <v>1440</v>
      </c>
      <c r="I1" s="307" t="s">
        <v>6</v>
      </c>
      <c r="J1" s="315" t="s">
        <v>294</v>
      </c>
      <c r="K1" s="307" t="s">
        <v>295</v>
      </c>
      <c r="L1" s="307" t="s">
        <v>9</v>
      </c>
      <c r="M1" s="307" t="s">
        <v>1051</v>
      </c>
      <c r="N1" s="307" t="s">
        <v>10</v>
      </c>
      <c r="O1" s="307" t="s">
        <v>11</v>
      </c>
      <c r="P1" s="307" t="s">
        <v>12</v>
      </c>
      <c r="Q1" s="307" t="s">
        <v>297</v>
      </c>
      <c r="R1" s="307" t="s">
        <v>1866</v>
      </c>
      <c r="S1" s="307" t="s">
        <v>1867</v>
      </c>
    </row>
    <row r="2" spans="1:19" x14ac:dyDescent="0.2">
      <c r="A2" s="310" t="str">
        <f t="shared" ref="A2:A3" si="0">IF(I2="","",E2&amp;I2)</f>
        <v>46141ZM</v>
      </c>
      <c r="B2" s="310">
        <f t="shared" ref="B2:B3" si="1" xml:space="preserve"> E2 + TIME(LEFT(TEXT(F2,"0000"),2),RIGHT(TEXT(F2,"0000"),2),0)</f>
        <v>46141.6875</v>
      </c>
      <c r="C2" s="310" t="str">
        <f t="shared" ref="C2:C3" si="2">IF(ISNUMBER(SEARCH("[",I2)),LEFT(I2,FIND("[",I2)-1),I2)</f>
        <v>ZM</v>
      </c>
      <c r="D2" s="310" t="str">
        <f t="shared" ref="D2:D3" si="3">IF(I2="","",B2&amp;C2)</f>
        <v>46141.6875ZM</v>
      </c>
      <c r="E2" s="311">
        <f t="shared" ref="E2:E3" si="4">G2</f>
        <v>46141</v>
      </c>
      <c r="F2" s="310">
        <f t="shared" ref="F2:F3" si="5">H2</f>
        <v>1630</v>
      </c>
      <c r="G2" s="306">
        <v>46141</v>
      </c>
      <c r="H2" s="307">
        <v>1630</v>
      </c>
      <c r="I2" s="307" t="s">
        <v>484</v>
      </c>
      <c r="J2" s="307" t="s">
        <v>1901</v>
      </c>
      <c r="K2" s="307">
        <v>95.76</v>
      </c>
      <c r="L2" s="307">
        <v>4.62</v>
      </c>
      <c r="M2" s="307">
        <v>5.0700000000000002E-2</v>
      </c>
      <c r="N2" s="307">
        <v>91.54</v>
      </c>
      <c r="O2" s="307">
        <v>96.51</v>
      </c>
      <c r="P2" s="307">
        <v>91.02</v>
      </c>
      <c r="Q2" s="307">
        <v>1.7</v>
      </c>
      <c r="R2" s="307" t="s">
        <v>3469</v>
      </c>
      <c r="S2" s="307" t="s">
        <v>3346</v>
      </c>
    </row>
    <row r="3" spans="1:19" x14ac:dyDescent="0.2">
      <c r="A3" s="310" t="str">
        <f t="shared" si="0"/>
        <v>46141ZS</v>
      </c>
      <c r="B3" s="310">
        <f t="shared" si="1"/>
        <v>46141.6875</v>
      </c>
      <c r="C3" s="310" t="str">
        <f t="shared" si="2"/>
        <v>ZS</v>
      </c>
      <c r="D3" s="310" t="str">
        <f t="shared" si="3"/>
        <v>46141.6875ZS</v>
      </c>
      <c r="E3" s="311">
        <f t="shared" si="4"/>
        <v>46141</v>
      </c>
      <c r="F3" s="310">
        <f t="shared" si="5"/>
        <v>1630</v>
      </c>
      <c r="G3" s="306">
        <v>46141</v>
      </c>
      <c r="H3" s="307">
        <v>1630</v>
      </c>
      <c r="I3" s="307" t="s">
        <v>145</v>
      </c>
      <c r="J3" s="307" t="s">
        <v>302</v>
      </c>
      <c r="K3" s="307">
        <v>134.72999999999999</v>
      </c>
      <c r="L3" s="307">
        <v>-1.34</v>
      </c>
      <c r="M3" s="307">
        <v>-9.7999999999999997E-3</v>
      </c>
      <c r="N3" s="307">
        <v>135.12</v>
      </c>
      <c r="O3" s="307">
        <v>135.71</v>
      </c>
      <c r="P3" s="307">
        <v>131.76</v>
      </c>
      <c r="Q3" s="307">
        <v>3.53</v>
      </c>
      <c r="R3" s="307" t="s">
        <v>3442</v>
      </c>
      <c r="S3" s="307" t="s">
        <v>3347</v>
      </c>
    </row>
  </sheetData>
  <autoFilter ref="A1:P1" xr:uid="{3265EEF4-2185-4264-8ECD-A7D186EAFB1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A91E-0B0B-4536-A193-F42D62B73638}">
  <sheetPr codeName="Sheet4"/>
  <dimension ref="A1:T3"/>
  <sheetViews>
    <sheetView workbookViewId="0">
      <pane xSplit="10" ySplit="1" topLeftCell="K2" activePane="bottomRight" state="frozen"/>
      <selection pane="topRight" activeCell="Q1" sqref="Q1"/>
      <selection pane="bottomLeft" activeCell="A2" sqref="A2"/>
      <selection pane="bottomRight" activeCell="B5" sqref="B5"/>
    </sheetView>
  </sheetViews>
  <sheetFormatPr defaultRowHeight="11.25" x14ac:dyDescent="0.2"/>
  <cols>
    <col min="1" max="4" width="9.140625" style="298"/>
    <col min="5" max="5" width="10.7109375" style="298" bestFit="1" customWidth="1"/>
    <col min="6" max="6" width="9.140625" style="298"/>
    <col min="7" max="7" width="10.42578125" style="314" bestFit="1" customWidth="1"/>
    <col min="8" max="8" width="9.140625" style="298"/>
    <col min="9" max="9" width="10.7109375" style="297" bestFit="1" customWidth="1"/>
    <col min="10" max="17" width="9.140625" style="298"/>
    <col min="18" max="18" width="12.5703125" style="314" customWidth="1"/>
    <col min="19" max="19" width="10.5703125" style="298" customWidth="1"/>
    <col min="20" max="16384" width="9.140625" style="298"/>
  </cols>
  <sheetData>
    <row r="1" spans="1:20" x14ac:dyDescent="0.2">
      <c r="A1" s="293" t="s">
        <v>198</v>
      </c>
      <c r="B1" s="294" t="s">
        <v>1589</v>
      </c>
      <c r="C1" s="294" t="s">
        <v>1614</v>
      </c>
      <c r="D1" s="293" t="s">
        <v>309</v>
      </c>
      <c r="E1" s="295" t="s">
        <v>7</v>
      </c>
      <c r="F1" s="296" t="s">
        <v>307</v>
      </c>
      <c r="G1" s="431" t="s">
        <v>3381</v>
      </c>
      <c r="H1" s="296" t="s">
        <v>196</v>
      </c>
      <c r="I1" s="297" t="s">
        <v>1439</v>
      </c>
      <c r="J1" s="298" t="s">
        <v>1440</v>
      </c>
      <c r="K1" s="298" t="s">
        <v>6</v>
      </c>
      <c r="L1" s="298" t="s">
        <v>178</v>
      </c>
      <c r="M1" s="298" t="s">
        <v>179</v>
      </c>
      <c r="N1" s="298" t="s">
        <v>164</v>
      </c>
      <c r="O1" s="298" t="s">
        <v>10</v>
      </c>
      <c r="P1" s="298" t="s">
        <v>11</v>
      </c>
      <c r="Q1" s="298" t="s">
        <v>12</v>
      </c>
      <c r="R1" s="314" t="s">
        <v>13</v>
      </c>
      <c r="S1" s="298" t="s">
        <v>181</v>
      </c>
      <c r="T1" s="298" t="s">
        <v>196</v>
      </c>
    </row>
    <row r="2" spans="1:20" x14ac:dyDescent="0.2">
      <c r="A2" s="299" t="str">
        <f t="shared" ref="A2:A3" si="0">IF(K2="","",E2&amp;K2)</f>
        <v>46141ZM</v>
      </c>
      <c r="B2" s="299">
        <f t="shared" ref="B2:B3" si="1" xml:space="preserve"> E2 + TIME(LEFT(TEXT(F2,"0000"),2),RIGHT(TEXT(F2,"0000"),2),0)</f>
        <v>46141.6875</v>
      </c>
      <c r="C2" s="299" t="str">
        <f t="shared" ref="C2:C3" si="2">IF(ISNUMBER(SEARCH("[",K2)),LEFT(K2,FIND("[",K2)-1),K2)</f>
        <v>ZM</v>
      </c>
      <c r="D2" s="299" t="str">
        <f t="shared" ref="D2:D3" si="3">IF(K2="","",B2&amp;C2)</f>
        <v>46141.6875ZM</v>
      </c>
      <c r="E2" s="300">
        <f t="shared" ref="E2:E3" si="4">I2</f>
        <v>46141</v>
      </c>
      <c r="F2" s="299">
        <f t="shared" ref="F2:F3" si="5">J2</f>
        <v>1630</v>
      </c>
      <c r="G2" s="361">
        <f t="shared" ref="G2:G3" si="6">IF(OR(K2="",R2="&lt;empty&gt;",F2&lt;930),"",IF(F2&lt;1600, R2*390/((INT(F2/100)*60 + MOD(F2,100)) - 570),R2))</f>
        <v>6815835</v>
      </c>
      <c r="H2" s="299">
        <f t="shared" ref="H2:H3" si="7">IF(J2="","",IF(T2="NaN",0,T2))</f>
        <v>0.59</v>
      </c>
      <c r="I2" s="297">
        <v>46141</v>
      </c>
      <c r="J2" s="298">
        <v>1630</v>
      </c>
      <c r="K2" s="298" t="s">
        <v>484</v>
      </c>
      <c r="L2" s="298">
        <v>95.76</v>
      </c>
      <c r="M2" s="298">
        <v>4.62</v>
      </c>
      <c r="N2" s="312">
        <v>5.0700000000000002E-2</v>
      </c>
      <c r="O2" s="298">
        <v>91.685000000000002</v>
      </c>
      <c r="P2" s="298">
        <v>96.51</v>
      </c>
      <c r="Q2" s="298">
        <v>91.02</v>
      </c>
      <c r="R2" s="314">
        <v>6815835</v>
      </c>
      <c r="S2" s="298">
        <v>69.17</v>
      </c>
      <c r="T2" s="298">
        <v>0.59</v>
      </c>
    </row>
    <row r="3" spans="1:20" x14ac:dyDescent="0.2">
      <c r="A3" s="299" t="str">
        <f t="shared" si="0"/>
        <v>46141ZS</v>
      </c>
      <c r="B3" s="299">
        <f t="shared" si="1"/>
        <v>46141.6875</v>
      </c>
      <c r="C3" s="299" t="str">
        <f t="shared" si="2"/>
        <v>ZS</v>
      </c>
      <c r="D3" s="299" t="str">
        <f t="shared" si="3"/>
        <v>46141.6875ZS</v>
      </c>
      <c r="E3" s="300">
        <f t="shared" si="4"/>
        <v>46141</v>
      </c>
      <c r="F3" s="299">
        <f t="shared" si="5"/>
        <v>1630</v>
      </c>
      <c r="G3" s="361">
        <f t="shared" si="6"/>
        <v>1339176</v>
      </c>
      <c r="H3" s="299">
        <f t="shared" si="7"/>
        <v>0.76</v>
      </c>
      <c r="I3" s="297">
        <v>46141</v>
      </c>
      <c r="J3" s="298">
        <v>1630</v>
      </c>
      <c r="K3" s="298" t="s">
        <v>145</v>
      </c>
      <c r="L3" s="298">
        <v>134.72999999999999</v>
      </c>
      <c r="M3" s="298">
        <v>-1.34</v>
      </c>
      <c r="N3" s="312">
        <v>-9.7999999999999997E-3</v>
      </c>
      <c r="O3" s="298">
        <v>135.12</v>
      </c>
      <c r="P3" s="298">
        <v>135.715</v>
      </c>
      <c r="Q3" s="298">
        <v>131.74</v>
      </c>
      <c r="R3" s="314">
        <v>1339176</v>
      </c>
      <c r="S3" s="298">
        <v>46.06</v>
      </c>
      <c r="T3" s="298">
        <v>0.76</v>
      </c>
    </row>
  </sheetData>
  <autoFilter ref="A1:T1" xr:uid="{6EFBA91E-0B0B-4536-A193-F42D62B73638}"/>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046E-A232-43B3-A098-8090786B3792}">
  <sheetPr codeName="Sheet33"/>
  <dimension ref="A1:BI3"/>
  <sheetViews>
    <sheetView zoomScaleNormal="100" workbookViewId="0">
      <pane xSplit="40" ySplit="1" topLeftCell="AO2" activePane="bottomRight" state="frozen"/>
      <selection pane="topRight" activeCell="AF1" sqref="AF1"/>
      <selection pane="bottomLeft" activeCell="A2" sqref="A2"/>
      <selection pane="bottomRight" activeCell="A3435" sqref="A2:XFD3435"/>
    </sheetView>
  </sheetViews>
  <sheetFormatPr defaultRowHeight="11.25" x14ac:dyDescent="0.2"/>
  <cols>
    <col min="1" max="1" width="3.7109375" style="298" customWidth="1"/>
    <col min="2" max="2" width="5" style="298" customWidth="1"/>
    <col min="3" max="4" width="3.140625" style="298" customWidth="1"/>
    <col min="5" max="5" width="3.140625" style="358" customWidth="1"/>
    <col min="6" max="6" width="4.85546875" style="298" customWidth="1"/>
    <col min="7" max="7" width="6.140625" style="298" customWidth="1"/>
    <col min="8" max="8" width="4.85546875" style="298" customWidth="1"/>
    <col min="9" max="10" width="4.5703125" style="298" customWidth="1"/>
    <col min="11" max="11" width="5.7109375" style="360" customWidth="1"/>
    <col min="12" max="12" width="3.42578125" style="298" customWidth="1"/>
    <col min="13" max="15" width="6.42578125" style="298" customWidth="1"/>
    <col min="16" max="16" width="6.140625" style="298" customWidth="1"/>
    <col min="17" max="17" width="3.140625" style="298" customWidth="1"/>
    <col min="18" max="18" width="3.140625" style="314" customWidth="1"/>
    <col min="19" max="19" width="3.85546875" style="360" customWidth="1"/>
    <col min="20" max="22" width="3.140625" style="314" customWidth="1"/>
    <col min="23" max="23" width="3.140625" style="298" customWidth="1"/>
    <col min="24" max="24" width="4.42578125" style="360" customWidth="1"/>
    <col min="25" max="26" width="4" style="360" customWidth="1"/>
    <col min="27" max="27" width="3.140625" style="298" customWidth="1"/>
    <col min="28" max="28" width="3.85546875" style="360" customWidth="1"/>
    <col min="29" max="29" width="3.7109375" style="360" customWidth="1"/>
    <col min="30" max="30" width="4" style="360" customWidth="1"/>
    <col min="31" max="31" width="3.140625" style="298" customWidth="1"/>
    <col min="32" max="33" width="3.140625" style="314" customWidth="1"/>
    <col min="34" max="34" width="3.140625" style="298" customWidth="1"/>
    <col min="35" max="35" width="3.140625" style="314" customWidth="1"/>
    <col min="36" max="36" width="3.7109375" style="360" customWidth="1"/>
    <col min="37" max="37" width="3.140625" style="298" customWidth="1"/>
    <col min="38" max="38" width="5.5703125" style="298" customWidth="1"/>
    <col min="39" max="39" width="9.28515625" style="297" customWidth="1"/>
    <col min="40" max="40" width="5.7109375" style="298" customWidth="1"/>
    <col min="41" max="41" width="6.42578125" style="298" customWidth="1"/>
    <col min="42" max="43" width="6" style="298" customWidth="1"/>
    <col min="44" max="44" width="7" style="298" customWidth="1"/>
    <col min="45" max="45" width="6.140625" style="298" customWidth="1"/>
    <col min="46" max="46" width="7.7109375" style="298" customWidth="1"/>
    <col min="47" max="47" width="7" style="298" customWidth="1"/>
    <col min="48" max="48" width="7.28515625" style="298" customWidth="1"/>
    <col min="49" max="49" width="5.42578125" style="298" customWidth="1"/>
    <col min="50" max="50" width="7.140625" style="298" customWidth="1"/>
    <col min="51" max="51" width="7.5703125" style="298" customWidth="1"/>
    <col min="52" max="52" width="6.5703125" style="298" customWidth="1"/>
    <col min="53" max="53" width="5.140625" style="298" customWidth="1"/>
    <col min="54" max="54" width="7.5703125" style="298" customWidth="1"/>
    <col min="55" max="56" width="9.28515625" style="298" bestFit="1" customWidth="1"/>
    <col min="57" max="57" width="6.42578125" style="298" customWidth="1"/>
    <col min="58" max="58" width="5.5703125" style="298" customWidth="1"/>
    <col min="59" max="59" width="6" style="298" customWidth="1"/>
    <col min="60" max="60" width="6.140625" style="298" customWidth="1"/>
    <col min="61" max="61" width="5.28515625" style="298" customWidth="1"/>
    <col min="62" max="16384" width="9.140625" style="298"/>
  </cols>
  <sheetData>
    <row r="1" spans="1:61" x14ac:dyDescent="0.2">
      <c r="A1" s="293" t="s">
        <v>198</v>
      </c>
      <c r="B1" s="294" t="s">
        <v>1589</v>
      </c>
      <c r="C1" s="294" t="s">
        <v>1614</v>
      </c>
      <c r="D1" s="293" t="s">
        <v>309</v>
      </c>
      <c r="E1" s="442" t="s">
        <v>3483</v>
      </c>
      <c r="F1" s="296" t="s">
        <v>307</v>
      </c>
      <c r="G1" s="413" t="s">
        <v>3277</v>
      </c>
      <c r="H1" s="413" t="s">
        <v>3278</v>
      </c>
      <c r="I1" s="437" t="s">
        <v>3389</v>
      </c>
      <c r="J1" s="435" t="s">
        <v>3386</v>
      </c>
      <c r="K1" s="436" t="s">
        <v>3274</v>
      </c>
      <c r="L1" s="409" t="s">
        <v>3194</v>
      </c>
      <c r="M1" s="437" t="s">
        <v>3388</v>
      </c>
      <c r="N1" s="435" t="s">
        <v>3387</v>
      </c>
      <c r="O1" s="435" t="s">
        <v>3273</v>
      </c>
      <c r="P1" s="414" t="s">
        <v>3191</v>
      </c>
      <c r="Q1" s="371" t="s">
        <v>1780</v>
      </c>
      <c r="R1" s="373" t="s">
        <v>2026</v>
      </c>
      <c r="S1" s="375" t="s">
        <v>2034</v>
      </c>
      <c r="T1" s="366" t="s">
        <v>1986</v>
      </c>
      <c r="U1" s="362" t="s">
        <v>1987</v>
      </c>
      <c r="V1" s="362" t="s">
        <v>1990</v>
      </c>
      <c r="W1" s="356" t="s">
        <v>1991</v>
      </c>
      <c r="X1" s="364" t="s">
        <v>2000</v>
      </c>
      <c r="Y1" s="363" t="s">
        <v>1988</v>
      </c>
      <c r="Z1" s="363" t="s">
        <v>1992</v>
      </c>
      <c r="AA1" s="356" t="s">
        <v>1993</v>
      </c>
      <c r="AB1" s="364" t="s">
        <v>2001</v>
      </c>
      <c r="AC1" s="363" t="s">
        <v>1989</v>
      </c>
      <c r="AD1" s="363" t="s">
        <v>1994</v>
      </c>
      <c r="AE1" s="371" t="s">
        <v>1995</v>
      </c>
      <c r="AF1" s="362" t="s">
        <v>1996</v>
      </c>
      <c r="AG1" s="362" t="s">
        <v>1997</v>
      </c>
      <c r="AH1" s="371" t="s">
        <v>1998</v>
      </c>
      <c r="AI1" s="362" t="s">
        <v>1999</v>
      </c>
      <c r="AJ1" s="374" t="s">
        <v>2016</v>
      </c>
      <c r="AK1" s="418" t="s">
        <v>2067</v>
      </c>
      <c r="AL1" s="387" t="s">
        <v>2069</v>
      </c>
      <c r="AM1" s="297" t="s">
        <v>1439</v>
      </c>
      <c r="AN1" s="298" t="s">
        <v>1440</v>
      </c>
      <c r="AO1" s="298" t="s">
        <v>6</v>
      </c>
      <c r="AP1" s="298" t="s">
        <v>178</v>
      </c>
      <c r="AQ1" s="298" t="s">
        <v>179</v>
      </c>
      <c r="AR1" s="298" t="s">
        <v>164</v>
      </c>
      <c r="AS1" s="298" t="s">
        <v>10</v>
      </c>
      <c r="AT1" s="298" t="s">
        <v>11</v>
      </c>
      <c r="AU1" s="298" t="s">
        <v>12</v>
      </c>
      <c r="AV1" s="298" t="s">
        <v>181</v>
      </c>
      <c r="AW1" s="298" t="s">
        <v>201</v>
      </c>
      <c r="AX1" s="298" t="s">
        <v>196</v>
      </c>
      <c r="AY1" s="298" t="s">
        <v>182</v>
      </c>
      <c r="AZ1" s="298" t="s">
        <v>183</v>
      </c>
      <c r="BA1" s="298" t="s">
        <v>184</v>
      </c>
      <c r="BB1" s="298" t="s">
        <v>185</v>
      </c>
      <c r="BC1" s="298" t="s">
        <v>997</v>
      </c>
      <c r="BD1" s="298" t="s">
        <v>899</v>
      </c>
      <c r="BE1" s="298" t="s">
        <v>1278</v>
      </c>
      <c r="BF1" s="298" t="s">
        <v>1781</v>
      </c>
      <c r="BG1" s="372" t="s">
        <v>2028</v>
      </c>
      <c r="BH1" s="298" t="s">
        <v>3443</v>
      </c>
      <c r="BI1" s="298" t="s">
        <v>3444</v>
      </c>
    </row>
    <row r="2" spans="1:61" x14ac:dyDescent="0.2">
      <c r="A2" s="299" t="str">
        <f t="shared" ref="A2:A3" si="0">IF(AO2="","",E2&amp;AO2)</f>
        <v>46141ZM</v>
      </c>
      <c r="B2" s="299">
        <f t="shared" ref="B2:B3" si="1" xml:space="preserve"> E2 + TIME(LEFT(TEXT(F2,"0000"),2),RIGHT(TEXT(F2,"0000"),2),0)</f>
        <v>46141.6875</v>
      </c>
      <c r="C2" s="299" t="str">
        <f t="shared" ref="C2:C3" si="2">IF(ISNUMBER(SEARCH("[",AO2)),LEFT(AO2,FIND("[",AO2)-1),AO2)</f>
        <v>ZM</v>
      </c>
      <c r="D2" s="299" t="str">
        <f t="shared" ref="D2:D3" si="3">IF(AO2="","",B2&amp;C2)</f>
        <v>46141.6875ZM</v>
      </c>
      <c r="E2" s="357">
        <f t="shared" ref="E2:E3" si="4">AM2</f>
        <v>46141</v>
      </c>
      <c r="F2" s="299">
        <f t="shared" ref="F2:F3" si="5">AN2</f>
        <v>1630</v>
      </c>
      <c r="G2" s="299" t="str">
        <f t="shared" ref="G2:G3" si="6">H2&amp;C2</f>
        <v>1ZM</v>
      </c>
      <c r="H2" s="299">
        <f>1</f>
        <v>1</v>
      </c>
      <c r="I2" s="299" cm="1">
        <f t="array" ref="I2">_xlfn.XLOOKUP((H2-15)&amp;C2, G$1:G1, BA$1:BA1, 0, 0, -1)</f>
        <v>0</v>
      </c>
      <c r="J2" s="299" cm="1">
        <f t="array" ref="J2">_xlfn.XLOOKUP((H2-7)&amp;C2, G$1:G1, BA$1:BA1, 0, 0, -1)</f>
        <v>0</v>
      </c>
      <c r="K2" s="359" cm="1">
        <f t="array" ref="K2">_xlfn.XLOOKUP((H2-3)&amp;C2,G$1:G1,BA$1:BA1,0,0,-1)</f>
        <v>0</v>
      </c>
      <c r="L2" s="299" cm="1">
        <f t="array" ref="L2">_xlfn.XLOOKUP(C2, C$1:C1, BA$1:BA1, 0, 0, -1)</f>
        <v>0</v>
      </c>
      <c r="M2" s="299" cm="1">
        <f t="array" ref="M2">_xlfn.XLOOKUP((H2-15)&amp;C2,G$1:G1,BB$1:BB1,0,0,-1)</f>
        <v>0</v>
      </c>
      <c r="N2" s="299" cm="1">
        <f t="array" ref="N2">_xlfn.XLOOKUP((H2-7)&amp;C2,G$1:G1,BB$1:BB1,0,0,-1)</f>
        <v>0</v>
      </c>
      <c r="O2" s="299" cm="1">
        <f t="array" ref="O2">_xlfn.XLOOKUP((H2-3)&amp;C2, G$1:G1, BB$1:BB1, 0, 0, -1)</f>
        <v>0</v>
      </c>
      <c r="P2" s="299" cm="1">
        <f t="array" ref="P2">_xlfn.XLOOKUP(C2, C$1:C1, BB$1:BB1, 0, 0, -1)</f>
        <v>0</v>
      </c>
      <c r="Q2" s="299">
        <f t="shared" ref="Q2:Q3" si="7">IF(AO2="","",IF(BF2="NaN",0,BF2))</f>
        <v>96.4</v>
      </c>
      <c r="R2" s="361">
        <f t="shared" ref="R2:R3" si="8">IF(AO2="","",IF(BG2="NaN",0,BG2))</f>
        <v>74.099999999999994</v>
      </c>
      <c r="S2" s="359" cm="1">
        <f t="array" ref="S2">(MAX(_xlfn.TAKE(_xlfn._xlws.FILTER($AT$2:$AT2, $C$2:$C2=$C2), -10)) - MIN(_xlfn.TAKE(_xlfn._xlws.FILTER($AU$2:$AU2, $C$2:$C2=$C2), -10)))/AP2</f>
        <v>5.7330827067669267E-2</v>
      </c>
      <c r="T2" s="361">
        <f t="shared" ref="T2:T3" si="9">AV2</f>
        <v>69.17</v>
      </c>
      <c r="U2" s="361" cm="1">
        <f t="array" ref="U2">AVERAGE(_xlfn.TAKE(_xlfn._xlws.FILTER(AV$2:AV2, C$2:C2=C2), -3))</f>
        <v>69.17</v>
      </c>
      <c r="V2" s="361" cm="1">
        <f t="array" ref="V2">AVERAGE(_xlfn.TAKE(_xlfn._xlws.FILTER(AV$2:AV2, C$2:C2=C2), -7))</f>
        <v>69.17</v>
      </c>
      <c r="W2" s="299" cm="1">
        <f t="array" ref="W2">_xlfn.IFS(OR(U2=0, V2=0), 0, (U2-V2) &gt; 1, 1, (U2-V2) &lt; -1, -1, TRUE, 0)</f>
        <v>0</v>
      </c>
      <c r="X2" s="359">
        <f t="shared" ref="X2:X3" si="10">AW2</f>
        <v>0.46</v>
      </c>
      <c r="Y2" s="359" cm="1">
        <f t="array" ref="Y2">AVERAGE(_xlfn.TAKE(_xlfn._xlws.FILTER(AW$2:AW2, C$2:C2=C2), -3))</f>
        <v>0.46</v>
      </c>
      <c r="Z2" s="359" cm="1">
        <f t="array" ref="Z2">AVERAGE(_xlfn.TAKE(_xlfn._xlws.FILTER(AW$2:AW2, C$2:C2=C2), -7))</f>
        <v>0.46</v>
      </c>
      <c r="AA2" s="299" cm="1">
        <f t="array" ref="AA2">_xlfn.IFS(OR(Y2=0, Z2=0), 0, (Y2-Z2)/Z2 &gt; 0.03, 1, (Y2-Z2)/Z2 &lt; -0.03, -1, TRUE, 0)</f>
        <v>0</v>
      </c>
      <c r="AB2" s="359">
        <f t="shared" ref="AB2:AB3" si="11">IF(AN2="","",IF(AX2="NaN",0,AX2))</f>
        <v>0.59</v>
      </c>
      <c r="AC2" s="359" cm="1">
        <f t="array" ref="AC2">AVERAGE(_xlfn.TAKE(_xlfn._xlws.FILTER(AB$2:AB2, C$2:C2=C2), -3))</f>
        <v>0.59</v>
      </c>
      <c r="AD2" s="359" cm="1">
        <f t="array" ref="AD2">AVERAGE(_xlfn.TAKE(_xlfn._xlws.FILTER(AB$2:AB2, $C$2:$C2=$C2), -7))</f>
        <v>0.59</v>
      </c>
      <c r="AE2" s="299" cm="1">
        <f t="array" ref="AE2">_xlfn.IFS(OR(AC2=0, AD2=0), 0, (AC2-AD2)/AD2 &gt; 0.03, 1, (AC2-AD2)/AD2 &lt; -0.03, -1, TRUE, 0)</f>
        <v>0</v>
      </c>
      <c r="AF2" s="361" cm="1">
        <f t="array" ref="AF2">AVERAGE(_xlfn.TAKE(_xlfn._xlws.FILTER($Q$2:$Q2, $C$2:$C2=$C2), -3))</f>
        <v>96.4</v>
      </c>
      <c r="AG2" s="361" cm="1">
        <f t="array" ref="AG2">AVERAGE(_xlfn.TAKE(_xlfn._xlws.FILTER($Q$2:$Q2, $C$2:$C2=$C2), -7))</f>
        <v>96.4</v>
      </c>
      <c r="AH2" s="299" cm="1">
        <f t="array" ref="AH2">_xlfn.IFS(OR(AF2=0, AG2=0), 0, (AF2-AG2) &gt; 1, 1, (AF2-AG2) &lt; -1, -1, TRUE, 0)</f>
        <v>0</v>
      </c>
      <c r="AI2" s="361" cm="1">
        <f t="array" ref="AI2">MAX(_xlfn.TAKE(_xlfn._xlws.FILTER($Q$2:$Q2, $C$2:$C2=$C2), -10))</f>
        <v>96.4</v>
      </c>
      <c r="AJ2" s="359">
        <f t="shared" ref="AJ2:AJ3" si="12">IF(X2=0,0,AB2/X2)</f>
        <v>1.2826086956521738</v>
      </c>
      <c r="AK2" s="299" t="str" cm="1">
        <f t="array" ref="AK2">_xlfn.IFS(
OR(Q2=0,X2=0,AB2=0),"",
AND(Q2&gt;90,W2&lt;=0,OR((X2/Z2)&gt;1.25,(Y2/Z2)&gt;1.1,(AC2/AD2)&gt;1.1)),1,
AND(Q2&gt;60,AJ2&gt;2,AE2&lt;0),2,
AND(Q2&lt;60,AA2&lt;0,AE2&gt;0,W2&lt;0),3,
AND(Q2&gt;40,(Y2/Z2)&gt;1.25,AA2&lt;=0),4,
AND(Q2&gt;25,AA2&lt;0,AE2&lt;0,W2&lt;0),5,
AND(Q2&lt;50,AA2&lt;0,AE2&lt;=0,W2&lt;=0),6,
AND(Q2&lt;10,R2&lt;=10,AH2&lt;=0,S2&lt;0.03),7,
AND(Q2&gt;60,AI2&gt;=80,(AI2-Q2)&gt;10,W2&gt;0,AE2&lt;0),8,
AND(Q2&lt;25,AA2&gt;0,AE2&gt;0,W2&gt;0,AH2&gt;0),9,
AND(Q2&lt;60,W2&gt;0,AA2&gt;=0,AE2&gt;=0,T2&gt;U2,T2&gt;V2),10,
TRUE,""
)</f>
        <v/>
      </c>
      <c r="AL2" s="299" t="str" cm="1">
        <f t="array" ref="AL2">_xlfn.IFS(
    OR(Q2=0,X2=0,AB2=0),"",
    Q2 &gt; 90, "IVPXtrm",
    X2 / Z2 &gt; 1.25, "HV1Spke",
    Y2 / Z2 &gt; 1.25, "HV3Spke",
    AB2 / AD2 &gt; 1.25, "IV1Spke",
    AC2 / AD2 &gt; 1.25, "IV3Spke",
    AJ2 &gt; 2, "HiIV2HV",
    AND(S2 &lt; 0.03, X2 / Z2 &gt; 1.25), "IVExpn",
    TRUE,""
)</f>
        <v>IVPXtrm</v>
      </c>
      <c r="AM2" s="297">
        <v>46141</v>
      </c>
      <c r="AN2" s="298">
        <v>1630</v>
      </c>
      <c r="AO2" s="298" t="s">
        <v>484</v>
      </c>
      <c r="AP2" s="298">
        <v>95.76</v>
      </c>
      <c r="AQ2" s="298">
        <v>4.62</v>
      </c>
      <c r="AR2" s="312">
        <v>5.0700000000000002E-2</v>
      </c>
      <c r="AS2" s="298">
        <v>91.685000000000002</v>
      </c>
      <c r="AT2" s="298">
        <v>96.51</v>
      </c>
      <c r="AU2" s="298">
        <v>91.02</v>
      </c>
      <c r="AV2" s="298">
        <v>69.17</v>
      </c>
      <c r="AW2" s="298">
        <v>0.46</v>
      </c>
      <c r="AX2" s="298">
        <v>0.59</v>
      </c>
      <c r="AY2" s="298">
        <v>87.19</v>
      </c>
      <c r="AZ2" s="298">
        <v>77.02</v>
      </c>
      <c r="BA2" s="298">
        <v>83.77</v>
      </c>
      <c r="BB2" s="298">
        <v>98.86</v>
      </c>
      <c r="BC2" s="298">
        <v>8213.01</v>
      </c>
      <c r="BD2" s="298">
        <v>9651.01</v>
      </c>
      <c r="BE2" s="298">
        <v>6.14</v>
      </c>
      <c r="BF2" s="298">
        <v>96.4</v>
      </c>
      <c r="BG2" s="298">
        <v>74.099999999999994</v>
      </c>
      <c r="BH2" s="298">
        <v>9.1999999999999993</v>
      </c>
      <c r="BI2" s="298">
        <v>6.8</v>
      </c>
    </row>
    <row r="3" spans="1:61" x14ac:dyDescent="0.2">
      <c r="A3" s="299" t="str">
        <f t="shared" si="0"/>
        <v>46141ZS</v>
      </c>
      <c r="B3" s="299">
        <f t="shared" si="1"/>
        <v>46141.6875</v>
      </c>
      <c r="C3" s="299" t="str">
        <f t="shared" si="2"/>
        <v>ZS</v>
      </c>
      <c r="D3" s="299" t="str">
        <f t="shared" si="3"/>
        <v>46141.6875ZS</v>
      </c>
      <c r="E3" s="357">
        <f t="shared" si="4"/>
        <v>46141</v>
      </c>
      <c r="F3" s="299">
        <f t="shared" si="5"/>
        <v>1630</v>
      </c>
      <c r="G3" s="299" t="str">
        <f t="shared" si="6"/>
        <v>1ZS</v>
      </c>
      <c r="H3" s="299">
        <f>1</f>
        <v>1</v>
      </c>
      <c r="I3" s="299" cm="1">
        <f t="array" ref="I3">_xlfn.XLOOKUP((H3-15)&amp;C3, G$1:G2, BA$1:BA2, 0, 0, -1)</f>
        <v>0</v>
      </c>
      <c r="J3" s="299" cm="1">
        <f t="array" ref="J3">_xlfn.XLOOKUP((H3-7)&amp;C3, G$1:G2, BA$1:BA2, 0, 0, -1)</f>
        <v>0</v>
      </c>
      <c r="K3" s="359" cm="1">
        <f t="array" ref="K3">_xlfn.XLOOKUP((H3-3)&amp;C3,G$1:G2,BA$1:BA2,0,0,-1)</f>
        <v>0</v>
      </c>
      <c r="L3" s="299" cm="1">
        <f t="array" ref="L3">_xlfn.XLOOKUP(C3, C$1:C2, BA$1:BA2, 0, 0, -1)</f>
        <v>0</v>
      </c>
      <c r="M3" s="299" cm="1">
        <f t="array" ref="M3">_xlfn.XLOOKUP((H3-15)&amp;C3,G$1:G2,BB$1:BB2,0,0,-1)</f>
        <v>0</v>
      </c>
      <c r="N3" s="299" cm="1">
        <f t="array" ref="N3">_xlfn.XLOOKUP((H3-7)&amp;C3,G$1:G2,BB$1:BB2,0,0,-1)</f>
        <v>0</v>
      </c>
      <c r="O3" s="299" cm="1">
        <f t="array" ref="O3">_xlfn.XLOOKUP((H3-3)&amp;C3, G$1:G2, BB$1:BB2, 0, 0, -1)</f>
        <v>0</v>
      </c>
      <c r="P3" s="299" cm="1">
        <f t="array" ref="P3">_xlfn.XLOOKUP(C3, C$1:C2, BB$1:BB2, 0, 0, -1)</f>
        <v>0</v>
      </c>
      <c r="Q3" s="299">
        <f t="shared" si="7"/>
        <v>97.3</v>
      </c>
      <c r="R3" s="361">
        <f t="shared" si="8"/>
        <v>86.3</v>
      </c>
      <c r="S3" s="359" cm="1">
        <f t="array" ref="S3">(MAX(_xlfn.TAKE(_xlfn._xlws.FILTER($AT$2:$AT3, $C$2:$C3=$C3), -10)) - MIN(_xlfn.TAKE(_xlfn._xlws.FILTER($AU$2:$AU3, $C$2:$C3=$C3), -10)))/AP3</f>
        <v>2.9503451347138682E-2</v>
      </c>
      <c r="T3" s="361">
        <f t="shared" si="9"/>
        <v>46.06</v>
      </c>
      <c r="U3" s="361" cm="1">
        <f t="array" ref="U3">AVERAGE(_xlfn.TAKE(_xlfn._xlws.FILTER(AV$2:AV3, C$2:C3=C3), -3))</f>
        <v>46.06</v>
      </c>
      <c r="V3" s="361" cm="1">
        <f t="array" ref="V3">AVERAGE(_xlfn.TAKE(_xlfn._xlws.FILTER(AV$2:AV3, C$2:C3=C3), -7))</f>
        <v>46.06</v>
      </c>
      <c r="W3" s="299" cm="1">
        <f t="array" ref="W3">_xlfn.IFS(OR(U3=0, V3=0), 0, (U3-V3) &gt; 1, 1, (U3-V3) &lt; -1, -1, TRUE, 0)</f>
        <v>0</v>
      </c>
      <c r="X3" s="359">
        <f t="shared" si="10"/>
        <v>0.65</v>
      </c>
      <c r="Y3" s="359" cm="1">
        <f t="array" ref="Y3">AVERAGE(_xlfn.TAKE(_xlfn._xlws.FILTER(AW$2:AW3, C$2:C3=C3), -3))</f>
        <v>0.65</v>
      </c>
      <c r="Z3" s="359" cm="1">
        <f t="array" ref="Z3">AVERAGE(_xlfn.TAKE(_xlfn._xlws.FILTER(AW$2:AW3, C$2:C3=C3), -7))</f>
        <v>0.65</v>
      </c>
      <c r="AA3" s="299" cm="1">
        <f t="array" ref="AA3">_xlfn.IFS(OR(Y3=0, Z3=0), 0, (Y3-Z3)/Z3 &gt; 0.03, 1, (Y3-Z3)/Z3 &lt; -0.03, -1, TRUE, 0)</f>
        <v>0</v>
      </c>
      <c r="AB3" s="359">
        <f t="shared" si="11"/>
        <v>0.76</v>
      </c>
      <c r="AC3" s="359" cm="1">
        <f t="array" ref="AC3">AVERAGE(_xlfn.TAKE(_xlfn._xlws.FILTER(AB$2:AB3, C$2:C3=C3), -3))</f>
        <v>0.76</v>
      </c>
      <c r="AD3" s="359" cm="1">
        <f t="array" ref="AD3">AVERAGE(_xlfn.TAKE(_xlfn._xlws.FILTER(AB$2:AB3, $C$2:$C3=$C3), -7))</f>
        <v>0.76</v>
      </c>
      <c r="AE3" s="299" cm="1">
        <f t="array" ref="AE3">_xlfn.IFS(OR(AC3=0, AD3=0), 0, (AC3-AD3)/AD3 &gt; 0.03, 1, (AC3-AD3)/AD3 &lt; -0.03, -1, TRUE, 0)</f>
        <v>0</v>
      </c>
      <c r="AF3" s="361" cm="1">
        <f t="array" ref="AF3">AVERAGE(_xlfn.TAKE(_xlfn._xlws.FILTER($Q$2:$Q3, $C$2:$C3=$C3), -3))</f>
        <v>97.3</v>
      </c>
      <c r="AG3" s="361" cm="1">
        <f t="array" ref="AG3">AVERAGE(_xlfn.TAKE(_xlfn._xlws.FILTER($Q$2:$Q3, $C$2:$C3=$C3), -7))</f>
        <v>97.3</v>
      </c>
      <c r="AH3" s="299" cm="1">
        <f t="array" ref="AH3">_xlfn.IFS(OR(AF3=0, AG3=0), 0, (AF3-AG3) &gt; 1, 1, (AF3-AG3) &lt; -1, -1, TRUE, 0)</f>
        <v>0</v>
      </c>
      <c r="AI3" s="361" cm="1">
        <f t="array" ref="AI3">MAX(_xlfn.TAKE(_xlfn._xlws.FILTER($Q$2:$Q3, $C$2:$C3=$C3), -10))</f>
        <v>97.3</v>
      </c>
      <c r="AJ3" s="359">
        <f t="shared" si="12"/>
        <v>1.1692307692307693</v>
      </c>
      <c r="AK3" s="299" t="str" cm="1">
        <f t="array" ref="AK3">_xlfn.IFS(
OR(Q3=0,X3=0,AB3=0),"",
AND(Q3&gt;90,W3&lt;=0,OR((X3/Z3)&gt;1.25,(Y3/Z3)&gt;1.1,(AC3/AD3)&gt;1.1)),1,
AND(Q3&gt;60,AJ3&gt;2,AE3&lt;0),2,
AND(Q3&lt;60,AA3&lt;0,AE3&gt;0,W3&lt;0),3,
AND(Q3&gt;40,(Y3/Z3)&gt;1.25,AA3&lt;=0),4,
AND(Q3&gt;25,AA3&lt;0,AE3&lt;0,W3&lt;0),5,
AND(Q3&lt;50,AA3&lt;0,AE3&lt;=0,W3&lt;=0),6,
AND(Q3&lt;10,R3&lt;=10,AH3&lt;=0,S3&lt;0.03),7,
AND(Q3&gt;60,AI3&gt;=80,(AI3-Q3)&gt;10,W3&gt;0,AE3&lt;0),8,
AND(Q3&lt;25,AA3&gt;0,AE3&gt;0,W3&gt;0,AH3&gt;0),9,
AND(Q3&lt;60,W3&gt;0,AA3&gt;=0,AE3&gt;=0,T3&gt;U3,T3&gt;V3),10,
TRUE,""
)</f>
        <v/>
      </c>
      <c r="AL3" s="299" t="str" cm="1">
        <f t="array" ref="AL3">_xlfn.IFS(
    OR(Q3=0,X3=0,AB3=0),"",
    Q3 &gt; 90, "IVPXtrm",
    X3 / Z3 &gt; 1.25, "HV1Spke",
    Y3 / Z3 &gt; 1.25, "HV3Spke",
    AB3 / AD3 &gt; 1.25, "IV1Spke",
    AC3 / AD3 &gt; 1.25, "IV3Spke",
    AJ3 &gt; 2, "HiIV2HV",
    AND(S3 &lt; 0.03, X3 / Z3 &gt; 1.25), "IVExpn",
    TRUE,""
)</f>
        <v>IVPXtrm</v>
      </c>
      <c r="AM3" s="297">
        <v>46141</v>
      </c>
      <c r="AN3" s="298">
        <v>1630</v>
      </c>
      <c r="AO3" s="298" t="s">
        <v>145</v>
      </c>
      <c r="AP3" s="298">
        <v>134.72999999999999</v>
      </c>
      <c r="AQ3" s="298">
        <v>-1.34</v>
      </c>
      <c r="AR3" s="312">
        <v>-9.7999999999999997E-3</v>
      </c>
      <c r="AS3" s="298">
        <v>135.12</v>
      </c>
      <c r="AT3" s="298">
        <v>135.715</v>
      </c>
      <c r="AU3" s="298">
        <v>131.74</v>
      </c>
      <c r="AV3" s="298">
        <v>46.06</v>
      </c>
      <c r="AW3" s="298">
        <v>0.65</v>
      </c>
      <c r="AX3" s="298">
        <v>0.76</v>
      </c>
      <c r="AY3" s="298">
        <v>162.94</v>
      </c>
      <c r="AZ3" s="298">
        <v>114.63</v>
      </c>
      <c r="BA3" s="298">
        <v>120.88</v>
      </c>
      <c r="BB3" s="298">
        <v>148.55000000000001</v>
      </c>
      <c r="BC3" s="298">
        <v>3211.06</v>
      </c>
      <c r="BD3" s="298">
        <v>14472.07</v>
      </c>
      <c r="BE3" s="298">
        <v>7.13</v>
      </c>
      <c r="BF3" s="298">
        <v>97.3</v>
      </c>
      <c r="BG3" s="298">
        <v>86.3</v>
      </c>
      <c r="BH3" s="298">
        <v>-0.1</v>
      </c>
      <c r="BI3" s="298">
        <v>0</v>
      </c>
    </row>
  </sheetData>
  <autoFilter ref="A1:AX1" xr:uid="{B7F9046E-A232-43B3-A098-8090786B3792}"/>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A3CB-F369-420E-A915-B913E631DCA5}">
  <sheetPr codeName="Sheet35"/>
  <dimension ref="A1:BC3"/>
  <sheetViews>
    <sheetView workbookViewId="0">
      <pane xSplit="26" ySplit="1" topLeftCell="AA2" activePane="bottomRight" state="frozen"/>
      <selection pane="topRight" activeCell="AD1" sqref="AD1"/>
      <selection pane="bottomLeft" activeCell="A2" sqref="A2"/>
      <selection pane="bottomRight" activeCell="A2" sqref="A2:XFD12884"/>
    </sheetView>
  </sheetViews>
  <sheetFormatPr defaultRowHeight="11.25" x14ac:dyDescent="0.2"/>
  <cols>
    <col min="1" max="1" width="3.28515625" style="298" customWidth="1"/>
    <col min="2" max="2" width="4.28515625" style="298" customWidth="1"/>
    <col min="3" max="3" width="4" style="298" customWidth="1"/>
    <col min="4" max="4" width="3.28515625" style="298" customWidth="1"/>
    <col min="5" max="5" width="5" style="298" customWidth="1"/>
    <col min="6" max="6" width="3.85546875" style="298" customWidth="1"/>
    <col min="7" max="7" width="3.28515625" style="298" customWidth="1"/>
    <col min="8" max="8" width="4.140625" style="298" customWidth="1"/>
    <col min="9" max="9" width="3.28515625" style="298" customWidth="1"/>
    <col min="10" max="10" width="4" style="298" customWidth="1"/>
    <col min="11" max="11" width="3.7109375" style="298" customWidth="1"/>
    <col min="12" max="12" width="4.85546875" style="298" customWidth="1"/>
    <col min="13" max="13" width="4.140625" style="298" customWidth="1"/>
    <col min="14" max="14" width="3.28515625" style="298" customWidth="1"/>
    <col min="15" max="15" width="3.7109375" style="360" customWidth="1"/>
    <col min="16" max="16" width="2.42578125" style="360" customWidth="1"/>
    <col min="17" max="17" width="5.28515625" style="382" customWidth="1"/>
    <col min="18" max="18" width="4" style="379" customWidth="1"/>
    <col min="19" max="19" width="5.7109375" style="360" customWidth="1"/>
    <col min="20" max="20" width="3.28515625" style="379" customWidth="1"/>
    <col min="21" max="21" width="3.28515625" style="314" customWidth="1"/>
    <col min="22" max="24" width="3.28515625" style="298" customWidth="1"/>
    <col min="25" max="25" width="9" style="297" bestFit="1" customWidth="1"/>
    <col min="26" max="27" width="5.140625" style="298" customWidth="1"/>
    <col min="28" max="28" width="6" style="298" customWidth="1"/>
    <col min="29" max="29" width="6.140625" style="298" customWidth="1"/>
    <col min="30" max="30" width="3.42578125" style="298" customWidth="1"/>
    <col min="31" max="31" width="4" style="298" customWidth="1"/>
    <col min="32" max="32" width="5.28515625" style="298" customWidth="1"/>
    <col min="33" max="33" width="5.5703125" style="298" customWidth="1"/>
    <col min="34" max="34" width="6.5703125" style="298" customWidth="1"/>
    <col min="35" max="35" width="6.140625" style="298" customWidth="1"/>
    <col min="36" max="36" width="5.5703125" style="298" customWidth="1"/>
    <col min="37" max="37" width="6.140625" style="298" customWidth="1"/>
    <col min="38" max="38" width="6" style="298" customWidth="1"/>
    <col min="39" max="39" width="3.42578125" style="298" customWidth="1"/>
    <col min="40" max="40" width="4.85546875" style="298" customWidth="1"/>
    <col min="41" max="41" width="5.7109375" style="298" customWidth="1"/>
    <col min="42" max="42" width="6.42578125" style="298" customWidth="1"/>
    <col min="43" max="43" width="9.85546875" style="298" customWidth="1"/>
    <col min="44" max="44" width="7.7109375" style="314" customWidth="1"/>
    <col min="45" max="45" width="7.28515625" style="298" customWidth="1"/>
    <col min="46" max="49" width="4.42578125" style="298" customWidth="1"/>
    <col min="50" max="50" width="4.7109375" style="298" customWidth="1"/>
    <col min="51" max="51" width="5.42578125" style="298" customWidth="1"/>
    <col min="52" max="55" width="4.42578125" style="298" customWidth="1"/>
    <col min="56" max="16384" width="9.140625" style="298"/>
  </cols>
  <sheetData>
    <row r="1" spans="1:55" x14ac:dyDescent="0.2">
      <c r="A1" s="293" t="s">
        <v>198</v>
      </c>
      <c r="B1" s="294" t="s">
        <v>1589</v>
      </c>
      <c r="C1" s="294" t="s">
        <v>1614</v>
      </c>
      <c r="D1" s="293" t="s">
        <v>309</v>
      </c>
      <c r="E1" s="443" t="s">
        <v>3483</v>
      </c>
      <c r="F1" s="296" t="s">
        <v>307</v>
      </c>
      <c r="G1" s="293" t="s">
        <v>308</v>
      </c>
      <c r="H1" s="370" t="s">
        <v>1976</v>
      </c>
      <c r="I1" s="293" t="s">
        <v>934</v>
      </c>
      <c r="J1" s="293" t="s">
        <v>935</v>
      </c>
      <c r="K1" s="383" t="s">
        <v>2050</v>
      </c>
      <c r="L1" s="383" t="s">
        <v>2051</v>
      </c>
      <c r="M1" s="383" t="s">
        <v>2052</v>
      </c>
      <c r="N1" s="383" t="s">
        <v>2053</v>
      </c>
      <c r="O1" s="384" t="s">
        <v>2054</v>
      </c>
      <c r="P1" s="384" t="s">
        <v>2055</v>
      </c>
      <c r="Q1" s="380" t="s">
        <v>164</v>
      </c>
      <c r="R1" s="408" t="s">
        <v>295</v>
      </c>
      <c r="S1" s="385" t="s">
        <v>2058</v>
      </c>
      <c r="T1" s="386" t="s">
        <v>2059</v>
      </c>
      <c r="U1" s="416" t="s">
        <v>2057</v>
      </c>
      <c r="V1" s="365" t="s">
        <v>923</v>
      </c>
      <c r="W1" s="365" t="s">
        <v>924</v>
      </c>
      <c r="X1" s="367" t="s">
        <v>1865</v>
      </c>
      <c r="Y1" s="297" t="s">
        <v>1439</v>
      </c>
      <c r="Z1" s="298" t="s">
        <v>1440</v>
      </c>
      <c r="AA1" s="298" t="s">
        <v>6</v>
      </c>
      <c r="AB1" s="298" t="s">
        <v>178</v>
      </c>
      <c r="AC1" s="298" t="s">
        <v>164</v>
      </c>
      <c r="AD1" s="298" t="s">
        <v>764</v>
      </c>
      <c r="AE1" s="298" t="s">
        <v>842</v>
      </c>
      <c r="AF1" s="298" t="s">
        <v>192</v>
      </c>
      <c r="AG1" s="298" t="s">
        <v>180</v>
      </c>
      <c r="AH1" s="298" t="s">
        <v>1837</v>
      </c>
      <c r="AI1" s="298" t="s">
        <v>1838</v>
      </c>
      <c r="AJ1" s="298" t="s">
        <v>1839</v>
      </c>
      <c r="AK1" s="298" t="s">
        <v>1839</v>
      </c>
      <c r="AL1" s="298" t="s">
        <v>1839</v>
      </c>
      <c r="AM1" s="372" t="s">
        <v>2007</v>
      </c>
      <c r="AN1" s="298" t="s">
        <v>936</v>
      </c>
      <c r="AO1" s="298" t="s">
        <v>937</v>
      </c>
      <c r="AP1" s="298" t="s">
        <v>13</v>
      </c>
      <c r="AQ1" s="298" t="s">
        <v>1099</v>
      </c>
      <c r="AR1" s="314" t="s">
        <v>1836</v>
      </c>
      <c r="AS1" s="298" t="s">
        <v>1836</v>
      </c>
      <c r="AT1" s="298" t="s">
        <v>187</v>
      </c>
      <c r="AU1" s="298" t="s">
        <v>1275</v>
      </c>
      <c r="AV1" s="298" t="s">
        <v>856</v>
      </c>
      <c r="AW1" s="298" t="s">
        <v>186</v>
      </c>
      <c r="AX1" s="298" t="s">
        <v>861</v>
      </c>
      <c r="AY1" s="298" t="s">
        <v>860</v>
      </c>
      <c r="AZ1" s="298" t="s">
        <v>584</v>
      </c>
      <c r="BA1" s="298" t="s">
        <v>583</v>
      </c>
      <c r="BB1" s="298" t="s">
        <v>1840</v>
      </c>
      <c r="BC1" s="419" t="s">
        <v>1055</v>
      </c>
    </row>
    <row r="2" spans="1:55" x14ac:dyDescent="0.2">
      <c r="A2" s="299" t="str">
        <f t="shared" ref="A2:A3" si="0">IF(AA2="","",E2&amp;AA2)</f>
        <v>46141ZM</v>
      </c>
      <c r="B2" s="299">
        <f t="shared" ref="B2:B3" si="1" xml:space="preserve"> E2 + TIME(LEFT(TEXT(F2,"0000"),2),RIGHT(TEXT(F2,"0000"),2),0)</f>
        <v>46141.6875</v>
      </c>
      <c r="C2" s="299" t="str">
        <f t="shared" ref="C2:C3" si="2">IF(ISNUMBER(SEARCH("[",AA2)),LEFT(AA2,FIND("[",AA2)-1),AA2)</f>
        <v>ZM</v>
      </c>
      <c r="D2" s="299" t="str">
        <f t="shared" ref="D2:D3" si="3">IF(AA2="","",B2&amp;C2)</f>
        <v>46141.6875ZM</v>
      </c>
      <c r="E2" s="300">
        <f t="shared" ref="E2:E3" si="4">Y2</f>
        <v>46141</v>
      </c>
      <c r="F2" s="299">
        <f t="shared" ref="F2:F3" si="5">Z2</f>
        <v>1630</v>
      </c>
      <c r="G2" s="299">
        <f t="shared" ref="G2:G3" si="6">IF(AA2="","",IF(AG2="&lt;empty&gt;","",AG2))</f>
        <v>6.4</v>
      </c>
      <c r="H2" s="299">
        <f t="shared" ref="H2:H3" si="7">IF(Z2="","",IF(AJ2="NaN",0,AJ2))</f>
        <v>86.92</v>
      </c>
      <c r="I2" s="299">
        <f t="shared" ref="I2:I3" si="8">IF(AA2="","",IF(AK2="NaN",0,AK2))</f>
        <v>82.11</v>
      </c>
      <c r="J2" s="299">
        <f t="shared" ref="J2:J3" si="9">IF(AA2="","",IF(AL2="NaN",0,AL2))</f>
        <v>82.69</v>
      </c>
      <c r="K2" s="299">
        <f t="shared" ref="K2:K3" si="10">IF(AA2="","",IF(AP2="&lt;empty&gt;",0,AP2))</f>
        <v>6815835</v>
      </c>
      <c r="L2" s="299">
        <f t="shared" ref="L2:L3" si="11">IF(AA2="","",IF(AR2="NaN",0,AR2))</f>
        <v>4431087.34</v>
      </c>
      <c r="M2" s="299">
        <f t="shared" ref="M2:M3" si="12">IF(AA2="","",IF(AS2="NaN",0,AS2))</f>
        <v>4379189.87</v>
      </c>
      <c r="N2" s="299">
        <f t="shared" ref="N2:N3" si="13">IF(AA2="","",IF(AT2="NaN",0,AT2))</f>
        <v>38.549999999999997</v>
      </c>
      <c r="O2" s="359">
        <f t="shared" ref="O2:O3" si="14">IFERROR(K2/L2,0)</f>
        <v>1.5381856589628857</v>
      </c>
      <c r="P2" s="359" t="str" cm="1">
        <f t="array" ref="P2">_xlfn.IFNA(_xlfn.XLOOKUP(C2, C$1:C1, O$1:O1, "", 0, -1), "")</f>
        <v/>
      </c>
      <c r="Q2" s="381">
        <f t="shared" ref="Q2:Q3" si="15">AC2</f>
        <v>5.0700000000000002E-2</v>
      </c>
      <c r="R2" s="407" t="str">
        <f>IF(E2&lt;Dash!$AQ$5, C2, "")</f>
        <v/>
      </c>
      <c r="S2" s="388" cm="1">
        <f t="array" ref="S2">_xlfn.XLOOKUP(C2, R$1:R1, AB$1:AB1, 0, 0, -1)</f>
        <v>0</v>
      </c>
      <c r="T2" s="389">
        <f t="shared" ref="T2:T3" si="16">IF(OR(AB2=0,S2=0),0,(AB2-S2)*100/S2)</f>
        <v>0</v>
      </c>
      <c r="U2" s="417" t="str" cm="1">
        <f t="array" ref="U2">_xlfn.IFS(
AND(T2&gt;12,O2&gt;=2.8,N2&gt;=120),1,
AND(O2&gt;=1.5,ABS(Q2)&lt;0.003),2,
AND(N2&gt;=60,K2&lt;L2,L2&lt;=M2),3,
AND(O2&gt;=2.8,N2&gt;=150),4,
AND(L2&lt;=1.05*M2,O2&lt;1),5,
AND(N2&gt;=40,K2&lt;L2,L2&lt;=M2),6,
AND(O2&gt;=2,L2&gt;M2,N2&gt;=80,N2&lt;150),7,
AND(L2&lt;=1.05*M2,O2&gt;=2,N2&gt;=60,Q2&gt;0),8,
AND(L2&gt;M2,O2&lt;1,P2&gt;=1.5,N2&gt;=30,Q2&gt;0),9,
AND(O2&gt;=1.5,L2&gt;M2,N2&gt;=40,N2&lt;140,Q2&gt;0),10,
TRUE,""
)</f>
        <v/>
      </c>
      <c r="V2" s="299">
        <f t="shared" ref="V2:V3" si="17">IF(AA2="","",IF(AN2="NaN",0,AN2))</f>
        <v>1</v>
      </c>
      <c r="W2" s="299">
        <f t="shared" ref="W2:W3" si="18">IF(AA2="","",IF(AO2="NaN",0,AO2))</f>
        <v>0.81</v>
      </c>
      <c r="X2" s="299">
        <f t="shared" ref="X2:X3" si="19">IF(BB2="NaN",-99,BB2)</f>
        <v>16</v>
      </c>
      <c r="Y2" s="297">
        <v>46141</v>
      </c>
      <c r="Z2" s="298">
        <v>1630</v>
      </c>
      <c r="AA2" s="298" t="s">
        <v>484</v>
      </c>
      <c r="AB2" s="298">
        <v>95.76</v>
      </c>
      <c r="AC2" s="312">
        <v>5.0700000000000002E-2</v>
      </c>
      <c r="AD2" s="298" t="s">
        <v>839</v>
      </c>
      <c r="AE2" s="298">
        <v>1.5</v>
      </c>
      <c r="AF2" s="298">
        <v>4.32</v>
      </c>
      <c r="AG2" s="369">
        <v>6.4</v>
      </c>
      <c r="AH2" s="298">
        <v>97.58</v>
      </c>
      <c r="AI2" s="298">
        <v>69.150000000000006</v>
      </c>
      <c r="AJ2" s="298">
        <v>86.92</v>
      </c>
      <c r="AK2" s="298">
        <v>82.11</v>
      </c>
      <c r="AL2" s="298">
        <v>82.69</v>
      </c>
      <c r="AM2" s="298">
        <v>1</v>
      </c>
      <c r="AN2" s="298">
        <v>1</v>
      </c>
      <c r="AO2" s="298">
        <v>0.81</v>
      </c>
      <c r="AP2" s="313">
        <v>6815835</v>
      </c>
      <c r="AQ2" s="298">
        <v>-200443.44</v>
      </c>
      <c r="AR2" s="314">
        <v>4431087.34</v>
      </c>
      <c r="AS2" s="298">
        <v>4379189.87</v>
      </c>
      <c r="AT2" s="298">
        <v>38.549999999999997</v>
      </c>
      <c r="AU2" s="298">
        <v>29.51</v>
      </c>
      <c r="AV2" s="298">
        <v>7.56</v>
      </c>
      <c r="AW2" s="298">
        <v>4.05</v>
      </c>
      <c r="AX2" s="298">
        <v>97.54</v>
      </c>
      <c r="AY2" s="298">
        <v>71.400000000000006</v>
      </c>
      <c r="AZ2" s="298">
        <v>-71.400000000000006</v>
      </c>
      <c r="BA2" s="298">
        <v>-77.13</v>
      </c>
      <c r="BB2" s="298">
        <v>16</v>
      </c>
      <c r="BC2" s="298" t="s">
        <v>3374</v>
      </c>
    </row>
    <row r="3" spans="1:55" x14ac:dyDescent="0.2">
      <c r="A3" s="299" t="str">
        <f t="shared" si="0"/>
        <v>46141ZS</v>
      </c>
      <c r="B3" s="299">
        <f t="shared" si="1"/>
        <v>46141.6875</v>
      </c>
      <c r="C3" s="299" t="str">
        <f t="shared" si="2"/>
        <v>ZS</v>
      </c>
      <c r="D3" s="299" t="str">
        <f t="shared" si="3"/>
        <v>46141.6875ZS</v>
      </c>
      <c r="E3" s="300">
        <f t="shared" si="4"/>
        <v>46141</v>
      </c>
      <c r="F3" s="299">
        <f t="shared" si="5"/>
        <v>1630</v>
      </c>
      <c r="G3" s="299">
        <f t="shared" si="6"/>
        <v>5.55</v>
      </c>
      <c r="H3" s="299">
        <f t="shared" si="7"/>
        <v>133.54</v>
      </c>
      <c r="I3" s="299">
        <f t="shared" si="8"/>
        <v>145.07</v>
      </c>
      <c r="J3" s="299">
        <f t="shared" si="9"/>
        <v>235.24</v>
      </c>
      <c r="K3" s="299">
        <f t="shared" si="10"/>
        <v>1339176</v>
      </c>
      <c r="L3" s="299">
        <f t="shared" si="11"/>
        <v>3140769.09</v>
      </c>
      <c r="M3" s="299">
        <f t="shared" si="12"/>
        <v>3008291.18</v>
      </c>
      <c r="N3" s="299">
        <f t="shared" si="13"/>
        <v>-81.760000000000005</v>
      </c>
      <c r="O3" s="359">
        <f t="shared" si="14"/>
        <v>0.42638473623032253</v>
      </c>
      <c r="P3" s="359" t="str" cm="1">
        <f t="array" ref="P3">_xlfn.IFNA(_xlfn.XLOOKUP(C3, C$1:C2, O$1:O2, "", 0, -1), "")</f>
        <v/>
      </c>
      <c r="Q3" s="381">
        <f t="shared" si="15"/>
        <v>-9.7999999999999997E-3</v>
      </c>
      <c r="R3" s="407" t="str">
        <f>IF(E3&lt;Dash!$AQ$5, C3, "")</f>
        <v/>
      </c>
      <c r="S3" s="388" cm="1">
        <f t="array" ref="S3">_xlfn.XLOOKUP(C3, R$1:R2, AB$1:AB2, 0, 0, -1)</f>
        <v>0</v>
      </c>
      <c r="T3" s="389">
        <f t="shared" si="16"/>
        <v>0</v>
      </c>
      <c r="U3" s="417" cm="1">
        <f t="array" ref="U3">_xlfn.IFS(
AND(T3&gt;12,O3&gt;=2.8,N3&gt;=120),1,
AND(O3&gt;=1.5,ABS(Q3)&lt;0.003),2,
AND(N3&gt;=60,K3&lt;L3,L3&lt;=M3),3,
AND(O3&gt;=2.8,N3&gt;=150),4,
AND(L3&lt;=1.05*M3,O3&lt;1),5,
AND(N3&gt;=40,K3&lt;L3,L3&lt;=M3),6,
AND(O3&gt;=2,L3&gt;M3,N3&gt;=80,N3&lt;150),7,
AND(L3&lt;=1.05*M3,O3&gt;=2,N3&gt;=60,Q3&gt;0),8,
AND(L3&gt;M3,O3&lt;1,P3&gt;=1.5,N3&gt;=30,Q3&gt;0),9,
AND(O3&gt;=1.5,L3&gt;M3,N3&gt;=40,N3&lt;140,Q3&gt;0),10,
TRUE,""
)</f>
        <v>5</v>
      </c>
      <c r="V3" s="299">
        <f t="shared" si="17"/>
        <v>0.57999999999999996</v>
      </c>
      <c r="W3" s="299">
        <f t="shared" si="18"/>
        <v>-0.88</v>
      </c>
      <c r="X3" s="299">
        <f t="shared" si="19"/>
        <v>20</v>
      </c>
      <c r="Y3" s="297">
        <v>46141</v>
      </c>
      <c r="Z3" s="298">
        <v>1630</v>
      </c>
      <c r="AA3" s="298" t="s">
        <v>145</v>
      </c>
      <c r="AB3" s="298">
        <v>134.72999999999999</v>
      </c>
      <c r="AC3" s="312">
        <v>-9.7999999999999997E-3</v>
      </c>
      <c r="AD3" s="298" t="s">
        <v>839</v>
      </c>
      <c r="AE3" s="298">
        <v>1</v>
      </c>
      <c r="AF3" s="298">
        <v>6.56</v>
      </c>
      <c r="AG3" s="369">
        <v>5.55</v>
      </c>
      <c r="AH3" s="298">
        <v>336.99</v>
      </c>
      <c r="AI3" s="298">
        <v>114.625</v>
      </c>
      <c r="AJ3" s="298">
        <v>133.54</v>
      </c>
      <c r="AK3" s="298">
        <v>145.07</v>
      </c>
      <c r="AL3" s="298">
        <v>235.24</v>
      </c>
      <c r="AM3" s="298">
        <v>-5</v>
      </c>
      <c r="AN3" s="298">
        <v>0.57999999999999996</v>
      </c>
      <c r="AO3" s="298">
        <v>-0.88</v>
      </c>
      <c r="AP3" s="313">
        <v>1339176</v>
      </c>
      <c r="AQ3" s="298">
        <v>-100866.15</v>
      </c>
      <c r="AR3" s="314">
        <v>3140769.09</v>
      </c>
      <c r="AS3" s="298">
        <v>3008291.18</v>
      </c>
      <c r="AT3" s="298">
        <v>-81.760000000000005</v>
      </c>
      <c r="AU3" s="298">
        <v>-8.34</v>
      </c>
      <c r="AV3" s="298">
        <v>2.84</v>
      </c>
      <c r="AW3" s="298">
        <v>-0.56999999999999995</v>
      </c>
      <c r="AX3" s="298">
        <v>211.62</v>
      </c>
      <c r="AY3" s="298">
        <v>115.13</v>
      </c>
      <c r="AZ3" s="298">
        <v>-115.13</v>
      </c>
      <c r="BA3" s="298">
        <v>-115.13</v>
      </c>
      <c r="BB3" s="298">
        <v>20</v>
      </c>
      <c r="BC3" s="298" t="s">
        <v>3476</v>
      </c>
    </row>
  </sheetData>
  <autoFilter ref="A1:AL1" xr:uid="{A85AA3CB-F369-420E-A915-B913E631DCA5}"/>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6046D-9E15-4075-84EA-A94ED2616EDC}">
  <sheetPr codeName="Sheet36"/>
  <dimension ref="A1:T3"/>
  <sheetViews>
    <sheetView workbookViewId="0">
      <pane xSplit="9" ySplit="1" topLeftCell="J5128" activePane="bottomRight" state="frozen"/>
      <selection pane="topRight" activeCell="K1" sqref="K1"/>
      <selection pane="bottomLeft" activeCell="A2" sqref="A2"/>
      <selection pane="bottomRight" activeCell="A5153" sqref="A2:XFD5153"/>
    </sheetView>
  </sheetViews>
  <sheetFormatPr defaultRowHeight="11.25" x14ac:dyDescent="0.2"/>
  <cols>
    <col min="1" max="6" width="9.140625" style="419"/>
    <col min="7" max="7" width="22.5703125" style="419" customWidth="1"/>
    <col min="8" max="8" width="9.140625" style="424"/>
    <col min="9" max="16384" width="9.140625" style="419"/>
  </cols>
  <sheetData>
    <row r="1" spans="1:20" x14ac:dyDescent="0.2">
      <c r="A1" s="421" t="s">
        <v>198</v>
      </c>
      <c r="B1" s="422" t="s">
        <v>1589</v>
      </c>
      <c r="C1" s="422" t="s">
        <v>1614</v>
      </c>
      <c r="D1" s="421" t="s">
        <v>309</v>
      </c>
      <c r="E1" s="423" t="s">
        <v>7</v>
      </c>
      <c r="F1" s="420" t="s">
        <v>307</v>
      </c>
      <c r="G1" s="427" t="s">
        <v>1055</v>
      </c>
      <c r="H1" s="424" t="s">
        <v>1439</v>
      </c>
      <c r="I1" s="419" t="s">
        <v>1440</v>
      </c>
      <c r="J1" s="419" t="s">
        <v>6</v>
      </c>
      <c r="K1" s="419" t="s">
        <v>842</v>
      </c>
      <c r="L1" s="419" t="s">
        <v>1055</v>
      </c>
      <c r="M1" s="419" t="s">
        <v>3320</v>
      </c>
      <c r="N1" s="419" t="s">
        <v>3321</v>
      </c>
      <c r="O1" s="419" t="s">
        <v>3322</v>
      </c>
      <c r="P1" s="419" t="s">
        <v>3323</v>
      </c>
      <c r="Q1" s="419" t="s">
        <v>3324</v>
      </c>
      <c r="R1" s="419" t="s">
        <v>3325</v>
      </c>
      <c r="S1" s="419" t="s">
        <v>764</v>
      </c>
      <c r="T1" s="419" t="s">
        <v>3326</v>
      </c>
    </row>
    <row r="2" spans="1:20" x14ac:dyDescent="0.2">
      <c r="A2" s="425" t="str">
        <f t="shared" ref="A2:A3" si="0">IF(J2="","",E2&amp;J2)</f>
        <v>46139ZM</v>
      </c>
      <c r="B2" s="425">
        <f t="shared" ref="B2:B3" si="1" xml:space="preserve"> E2 + TIME(LEFT(TEXT(F2,"0000"),2),RIGHT(TEXT(F2,"0000"),2),0)</f>
        <v>46139.6875</v>
      </c>
      <c r="C2" s="425" t="str">
        <f t="shared" ref="C2:C3" si="2">IF(ISNUMBER(SEARCH("[",J2)),LEFT(J2,FIND("[",J2)-1),J2)</f>
        <v>ZM</v>
      </c>
      <c r="D2" s="425" t="str">
        <f t="shared" ref="D2:D3" si="3">IF(J2="","",B2&amp;C2)</f>
        <v>46139.6875ZM</v>
      </c>
      <c r="E2" s="426">
        <f t="shared" ref="E2:E3" si="4">H2</f>
        <v>46139</v>
      </c>
      <c r="F2" s="425">
        <f t="shared" ref="F2:F3" si="5">I2</f>
        <v>1630</v>
      </c>
      <c r="G2" s="425">
        <f t="shared" ref="G2:G3" si="6">VALUE(SUBSTITUTE(SUBSTITUTE(L2," M",""),",",""))*1000000</f>
        <v>26765000000</v>
      </c>
      <c r="H2" s="424">
        <v>46139</v>
      </c>
      <c r="I2" s="419">
        <v>1630</v>
      </c>
      <c r="J2" s="419" t="s">
        <v>484</v>
      </c>
      <c r="K2" s="419">
        <v>1.5</v>
      </c>
      <c r="L2" s="419" t="s">
        <v>3473</v>
      </c>
      <c r="M2" s="419">
        <v>0.31119999999999998</v>
      </c>
      <c r="N2" s="419">
        <v>14.896000000000001</v>
      </c>
      <c r="O2" s="419">
        <v>2.7749999999999999</v>
      </c>
      <c r="P2" s="419">
        <v>20.274999999999999</v>
      </c>
      <c r="Q2" s="419">
        <v>6.18</v>
      </c>
      <c r="R2" s="419" t="s">
        <v>188</v>
      </c>
      <c r="S2" s="419" t="s">
        <v>839</v>
      </c>
      <c r="T2" s="419">
        <v>6.4</v>
      </c>
    </row>
    <row r="3" spans="1:20" x14ac:dyDescent="0.2">
      <c r="A3" s="425" t="str">
        <f t="shared" si="0"/>
        <v>46139ZS</v>
      </c>
      <c r="B3" s="425">
        <f t="shared" si="1"/>
        <v>46139.6875</v>
      </c>
      <c r="C3" s="425" t="str">
        <f t="shared" si="2"/>
        <v>ZS</v>
      </c>
      <c r="D3" s="425" t="str">
        <f t="shared" si="3"/>
        <v>46139.6875ZS</v>
      </c>
      <c r="E3" s="426">
        <f t="shared" si="4"/>
        <v>46139</v>
      </c>
      <c r="F3" s="425">
        <f t="shared" si="5"/>
        <v>1630</v>
      </c>
      <c r="G3" s="425">
        <f t="shared" si="6"/>
        <v>21564000000</v>
      </c>
      <c r="H3" s="424">
        <v>46139</v>
      </c>
      <c r="I3" s="419">
        <v>1630</v>
      </c>
      <c r="J3" s="419" t="s">
        <v>145</v>
      </c>
      <c r="K3" s="419">
        <v>1</v>
      </c>
      <c r="L3" s="419" t="s">
        <v>3474</v>
      </c>
      <c r="M3" s="419">
        <v>44.241</v>
      </c>
      <c r="N3" s="419">
        <v>-465.55</v>
      </c>
      <c r="O3" s="419">
        <v>14.625</v>
      </c>
      <c r="P3" s="419">
        <v>-3.5562999999999998</v>
      </c>
      <c r="Q3" s="419">
        <v>-0.43</v>
      </c>
      <c r="R3" s="419" t="s">
        <v>188</v>
      </c>
      <c r="S3" s="419" t="s">
        <v>839</v>
      </c>
      <c r="T3" s="419">
        <v>5.55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2C488-F686-4907-BD53-E6782DA4B8E0}">
  <sheetPr codeName="Sheet5"/>
  <dimension ref="A1:AC3"/>
  <sheetViews>
    <sheetView zoomScale="90" zoomScaleNormal="90" workbookViewId="0">
      <pane ySplit="1" topLeftCell="A2" activePane="bottomLeft" state="frozen"/>
      <selection pane="bottomLeft" activeCell="I3" sqref="I3"/>
    </sheetView>
  </sheetViews>
  <sheetFormatPr defaultRowHeight="12" x14ac:dyDescent="0.2"/>
  <cols>
    <col min="1" max="1" width="9.140625" style="156" customWidth="1"/>
    <col min="2" max="2" width="4" style="156" customWidth="1"/>
    <col min="3" max="3" width="7" style="156" customWidth="1"/>
    <col min="4" max="4" width="9.42578125" style="156" customWidth="1"/>
    <col min="5" max="5" width="2.85546875" style="156" customWidth="1"/>
    <col min="6" max="6" width="2.5703125" style="156" customWidth="1"/>
    <col min="7" max="7" width="10.5703125" style="333" customWidth="1"/>
    <col min="8" max="9" width="10.5703125" style="54" customWidth="1"/>
    <col min="10" max="10" width="8" style="156" customWidth="1"/>
    <col min="11" max="11" width="10.28515625" style="156" customWidth="1"/>
    <col min="12" max="18" width="8" style="156" customWidth="1"/>
    <col min="19" max="19" width="8" style="378" customWidth="1"/>
    <col min="20" max="20" width="8" style="54" customWidth="1"/>
    <col min="21" max="21" width="9" style="54" customWidth="1"/>
    <col min="22" max="22" width="35.140625" style="54" customWidth="1"/>
    <col min="23" max="23" width="9.42578125" style="54" customWidth="1"/>
    <col min="24" max="24" width="9.7109375" style="54" customWidth="1"/>
    <col min="25" max="25" width="9.85546875" style="54" customWidth="1"/>
    <col min="26" max="26" width="9.140625" style="54" customWidth="1"/>
    <col min="27" max="27" width="11.85546875" style="156" customWidth="1"/>
    <col min="28" max="28" width="10.7109375" style="54" bestFit="1" customWidth="1"/>
    <col min="29" max="16384" width="9.140625" style="54"/>
  </cols>
  <sheetData>
    <row r="1" spans="1:29" x14ac:dyDescent="0.2">
      <c r="A1" s="154" t="s">
        <v>238</v>
      </c>
      <c r="B1" s="154" t="s">
        <v>1476</v>
      </c>
      <c r="C1" s="154" t="s">
        <v>505</v>
      </c>
      <c r="D1" s="154" t="s">
        <v>7</v>
      </c>
      <c r="E1" s="154" t="s">
        <v>1465</v>
      </c>
      <c r="F1" s="154" t="s">
        <v>1807</v>
      </c>
      <c r="G1" s="331" t="s">
        <v>295</v>
      </c>
      <c r="H1" s="155" t="s">
        <v>30</v>
      </c>
      <c r="I1" s="155" t="s">
        <v>31</v>
      </c>
      <c r="J1" s="154" t="s">
        <v>51</v>
      </c>
      <c r="K1" s="154" t="s">
        <v>1958</v>
      </c>
      <c r="L1" s="154" t="s">
        <v>1957</v>
      </c>
      <c r="M1" s="154" t="s">
        <v>1881</v>
      </c>
      <c r="N1" s="154" t="s">
        <v>1825</v>
      </c>
      <c r="O1" s="154" t="s">
        <v>3348</v>
      </c>
      <c r="P1" s="154" t="s">
        <v>1826</v>
      </c>
      <c r="Q1" s="154" t="s">
        <v>3349</v>
      </c>
      <c r="R1" s="154" t="s">
        <v>2046</v>
      </c>
      <c r="S1" s="376" t="s">
        <v>1394</v>
      </c>
      <c r="T1" s="155" t="s">
        <v>1469</v>
      </c>
      <c r="U1" s="155" t="s">
        <v>28</v>
      </c>
      <c r="V1" s="155" t="s">
        <v>1056</v>
      </c>
      <c r="W1" s="155" t="s">
        <v>843</v>
      </c>
      <c r="X1" s="155" t="s">
        <v>31</v>
      </c>
      <c r="Y1" s="155" t="s">
        <v>30</v>
      </c>
      <c r="Z1" s="155" t="s">
        <v>295</v>
      </c>
      <c r="AA1" s="154" t="s">
        <v>1569</v>
      </c>
      <c r="AB1" s="156">
        <f ca="1">_xlfn.MAXIFS(D:D,D:D,"&lt;=" &amp; Dash!AB9,D:D,"&gt;=" &amp; Dash!AB10)</f>
        <v>46141</v>
      </c>
      <c r="AC1" s="54" t="s">
        <v>2045</v>
      </c>
    </row>
    <row r="2" spans="1:29" x14ac:dyDescent="0.2">
      <c r="A2" s="157" t="str">
        <f t="shared" ref="A2:A3" si="0">D2&amp;B2</f>
        <v>46141URA</v>
      </c>
      <c r="B2" s="158" t="str">
        <f>_xlfn.XLOOKUP(U2,RRT!A:A,RRT!B:B)</f>
        <v>URA</v>
      </c>
      <c r="C2" s="158" t="str">
        <f>_xlfn.XLOOKUP(U2,RRT!A:A,RRT!C:C)</f>
        <v>URA</v>
      </c>
      <c r="D2" s="157">
        <f t="shared" ref="D2:D3" si="1">AA2</f>
        <v>46141</v>
      </c>
      <c r="E2" s="158" t="str">
        <f t="shared" ref="E2:E3" ca="1" si="2">IF($AB$1=D2,"Y","")</f>
        <v>Y</v>
      </c>
      <c r="F2" s="280" t="str">
        <f>IF(D2=_xlfn.MAXIFS(D:D,C:C,C2),C2,"")</f>
        <v>URA</v>
      </c>
      <c r="G2" s="332">
        <f t="shared" ref="G2:G3" si="3">Z2</f>
        <v>0</v>
      </c>
      <c r="H2" s="158">
        <f t="shared" ref="H2:H3" si="4">X2</f>
        <v>0</v>
      </c>
      <c r="I2" s="158">
        <f t="shared" ref="I2:I3" si="5">Y2</f>
        <v>0</v>
      </c>
      <c r="J2" s="158">
        <f>_xlfn.XLOOKUP(W2,Parm!$BH:$BH,Parm!$BI:$BI)</f>
        <v>3</v>
      </c>
      <c r="K2" s="157">
        <f ca="1">IF(E2="","",IFERROR(_xlfn.MAXIFS(D$1:D1, B$1:B1, B2, D$1:D1, "&lt;"&amp;D2, D$1:D1, "&gt;"&amp;(D2-7),J$1:J1,"&lt;&gt;"&amp;J2), ""))</f>
        <v>0</v>
      </c>
      <c r="L2" s="158" t="str">
        <f ca="1">IF(OR(K2="",K2=0),"",_xlfn.XLOOKUP(K2&amp;B2,A:A,J:J))</f>
        <v/>
      </c>
      <c r="M2" s="158" t="str" cm="1">
        <f t="array" aca="1" ref="M2" ca="1">_xlfn.IFS(L2="","",J2&lt;&gt;L2,J2,TRUE,"")</f>
        <v/>
      </c>
      <c r="N2" s="158" t="str" cm="1">
        <f t="array" aca="1" ref="N2" ca="1">IF(F2="","",_xlfn.IFS(AND(J2&lt;=0,M2&lt;0),"SellAll",J2&lt;=-2,"SellAll",J2=-1,"SellWatch",J2=0,"Neutral",AND(J2&gt;1,OR(M2&gt;1,L2=0)),"BuySome",J2=3,"BuySome",J2=2,"BuySome",J2=1,"BuyWatch",TRUE,"Neutral"))</f>
        <v>BuySome</v>
      </c>
      <c r="O2" s="158">
        <f ca="1">_xlfn.XLOOKUP(N2,Parm!$AN$2:$AN$25,Parm!$AO$2:$AO$25,"")</f>
        <v>9</v>
      </c>
      <c r="P2" s="158" t="str" cm="1">
        <f t="array" aca="1" ref="P2" ca="1">IF(OR(F2="",M2=""),"",_xlfn.IFS(AND(_xlfn.NUMBERVALUE(J2)&lt;=0,_xlfn.NUMBERVALUE(M2)&lt;=0),"SellAll",AND(_xlfn.NUMBERVALUE(J2)&gt;0,_xlfn.NUMBERVALUE(M2)&lt;=0),"SellSome",AND(_xlfn.NUMBERVALUE(J2)&gt;0,_xlfn.NUMBERVALUE(M2)&gt;1),"BuyMore",AND(_xlfn.NUMBERVALUE(J2)&gt;0,_xlfn.NUMBERVALUE(M2)&gt;0),"BuySome",TRUE,""))</f>
        <v/>
      </c>
      <c r="Q2" s="158" t="str">
        <f ca="1">_xlfn.XLOOKUP(P2,Parm!$AN$2:$AN$25,Parm!$AO$2:$AO$25,"")</f>
        <v/>
      </c>
      <c r="R2" s="158" t="str">
        <f>_xlfn.XLOOKUP(U2,RRT!A:A,RRT!D:D)</f>
        <v>N</v>
      </c>
      <c r="S2" s="377" t="str">
        <f t="shared" ref="S2:S3" si="6">IF(H2=0,"",IF(R2="Y",(G2-I2)/(H2-I2),(G2-H2)/(I2-H2)))</f>
        <v/>
      </c>
      <c r="T2" s="158" t="str" cm="1">
        <f t="array" ref="T2">IF(ISNA(_xlfn.XLOOKUP(C2,MA!B:B,,MA!B:B)),C2,"")</f>
        <v/>
      </c>
      <c r="U2" s="54" t="s">
        <v>762</v>
      </c>
      <c r="V2" s="54" t="s">
        <v>835</v>
      </c>
      <c r="W2" s="54" t="s">
        <v>1116</v>
      </c>
      <c r="X2" s="54">
        <v>0</v>
      </c>
      <c r="Y2" s="54">
        <v>0</v>
      </c>
      <c r="Z2" s="54">
        <v>0</v>
      </c>
      <c r="AA2" s="156">
        <v>46141</v>
      </c>
    </row>
    <row r="3" spans="1:29" x14ac:dyDescent="0.2">
      <c r="A3" s="157" t="str">
        <f t="shared" si="0"/>
        <v>46141XLY</v>
      </c>
      <c r="B3" s="158" t="str">
        <f>_xlfn.XLOOKUP(U3,RRT!A:A,RRT!B:B)</f>
        <v>XLY</v>
      </c>
      <c r="C3" s="158" t="str">
        <f>_xlfn.XLOOKUP(U3,RRT!A:A,RRT!C:C)</f>
        <v>XLY</v>
      </c>
      <c r="D3" s="157">
        <f t="shared" si="1"/>
        <v>46141</v>
      </c>
      <c r="E3" s="158" t="str">
        <f t="shared" ca="1" si="2"/>
        <v>Y</v>
      </c>
      <c r="F3" s="280" t="str">
        <f>IF(D3=_xlfn.MAXIFS(D:D,C:C,C3),C3,"")</f>
        <v>XLY</v>
      </c>
      <c r="G3" s="332">
        <f t="shared" si="3"/>
        <v>0</v>
      </c>
      <c r="H3" s="158">
        <f t="shared" si="4"/>
        <v>0</v>
      </c>
      <c r="I3" s="158">
        <f t="shared" si="5"/>
        <v>0</v>
      </c>
      <c r="J3" s="158">
        <f>_xlfn.XLOOKUP(W3,Parm!$BH:$BH,Parm!$BI:$BI)</f>
        <v>3</v>
      </c>
      <c r="K3" s="157">
        <f ca="1">IF(E3="","",IFERROR(_xlfn.MAXIFS(D$1:D2, B$1:B2, B3, D$1:D2, "&lt;"&amp;D3, D$1:D2, "&gt;"&amp;(D3-7),J$1:J2,"&lt;&gt;"&amp;J3), ""))</f>
        <v>0</v>
      </c>
      <c r="L3" s="158" t="str">
        <f ca="1">IF(OR(K3="",K3=0),"",_xlfn.XLOOKUP(K3&amp;B3,A:A,J:J))</f>
        <v/>
      </c>
      <c r="M3" s="158" t="str" cm="1">
        <f t="array" aca="1" ref="M3" ca="1">_xlfn.IFS(L3="","",J3&lt;&gt;L3,J3,TRUE,"")</f>
        <v/>
      </c>
      <c r="N3" s="158" t="str" cm="1">
        <f t="array" aca="1" ref="N3" ca="1">IF(F3="","",_xlfn.IFS(AND(J3&lt;=0,M3&lt;0),"SellAll",J3&lt;=-2,"SellAll",J3=-1,"SellWatch",J3=0,"Neutral",AND(J3&gt;1,OR(M3&gt;1,L3=0)),"BuySome",J3=3,"BuySome",J3=2,"BuySome",J3=1,"BuyWatch",TRUE,"Neutral"))</f>
        <v>BuySome</v>
      </c>
      <c r="O3" s="158">
        <f ca="1">_xlfn.XLOOKUP(N3,Parm!$AN$2:$AN$25,Parm!$AO$2:$AO$25,"")</f>
        <v>9</v>
      </c>
      <c r="P3" s="158" t="str" cm="1">
        <f t="array" aca="1" ref="P3" ca="1">IF(OR(F3="",M3=""),"",_xlfn.IFS(AND(_xlfn.NUMBERVALUE(J3)&lt;=0,_xlfn.NUMBERVALUE(M3)&lt;=0),"SellAll",AND(_xlfn.NUMBERVALUE(J3)&gt;0,_xlfn.NUMBERVALUE(M3)&lt;=0),"SellSome",AND(_xlfn.NUMBERVALUE(J3)&gt;0,_xlfn.NUMBERVALUE(M3)&gt;1),"BuyMore",AND(_xlfn.NUMBERVALUE(J3)&gt;0,_xlfn.NUMBERVALUE(M3)&gt;0),"BuySome",TRUE,""))</f>
        <v/>
      </c>
      <c r="Q3" s="158" t="str">
        <f ca="1">_xlfn.XLOOKUP(P3,Parm!$AN$2:$AN$25,Parm!$AO$2:$AO$25,"")</f>
        <v/>
      </c>
      <c r="R3" s="158" t="str">
        <f>_xlfn.XLOOKUP(U3,RRT!A:A,RRT!D:D)</f>
        <v>N</v>
      </c>
      <c r="S3" s="377" t="str">
        <f t="shared" si="6"/>
        <v/>
      </c>
      <c r="T3" s="158" t="str" cm="1">
        <f t="array" ref="T3">IF(ISNA(_xlfn.XLOOKUP(C3,MA!B:B,,MA!B:B)),C3,"")</f>
        <v/>
      </c>
      <c r="U3" s="54" t="s">
        <v>102</v>
      </c>
      <c r="V3" s="54" t="s">
        <v>1554</v>
      </c>
      <c r="W3" s="54" t="s">
        <v>1116</v>
      </c>
      <c r="X3" s="54">
        <v>0</v>
      </c>
      <c r="Y3" s="54">
        <v>0</v>
      </c>
      <c r="Z3" s="54">
        <v>0</v>
      </c>
      <c r="AA3" s="156">
        <v>46141</v>
      </c>
    </row>
  </sheetData>
  <autoFilter ref="A1:AA1" xr:uid="{6D52C488-F686-4907-BD53-E6782DA4B8E0}"/>
  <customSheetViews>
    <customSheetView guid="{52D1722A-E00E-455D-B18E-AA205BA79E79}" scale="77" showAutoFilter="1">
      <pane ySplit="1" topLeftCell="A2" activePane="bottomLeft" state="frozen"/>
      <selection pane="bottomLeft" activeCell="G4" sqref="G4"/>
      <pageMargins left="0.7" right="0.7" top="0.75" bottom="0.75" header="0.3" footer="0.3"/>
      <autoFilter ref="A1:G530" xr:uid="{EE64D97A-BEF2-4D02-A366-82CEB3CCC5FC}"/>
    </customSheetView>
  </customSheetView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5764-A63F-4D99-BA02-2E0A8544CA1B}">
  <sheetPr codeName="Sheet6"/>
  <dimension ref="A1:Y4"/>
  <sheetViews>
    <sheetView tabSelected="1" zoomScale="80" zoomScaleNormal="80" workbookViewId="0">
      <pane xSplit="18" ySplit="1" topLeftCell="S2" activePane="bottomRight" state="frozen"/>
      <selection pane="topRight" activeCell="J1" sqref="J1"/>
      <selection pane="bottomLeft" activeCell="A2" sqref="A2"/>
      <selection pane="bottomRight" activeCell="A3" sqref="A3:XFD10"/>
    </sheetView>
  </sheetViews>
  <sheetFormatPr defaultRowHeight="15" x14ac:dyDescent="0.25"/>
  <cols>
    <col min="3" max="3" width="12.28515625" style="1" customWidth="1"/>
    <col min="5" max="5" width="17.140625" customWidth="1"/>
    <col min="6" max="6" width="11.5703125" style="1" bestFit="1" customWidth="1"/>
    <col min="11" max="11" width="13" bestFit="1" customWidth="1"/>
    <col min="12" max="12" width="6.42578125" customWidth="1"/>
    <col min="13" max="13" width="12.28515625" bestFit="1" customWidth="1"/>
    <col min="14" max="14" width="7.85546875" customWidth="1"/>
    <col min="19" max="19" width="12.7109375" style="1" customWidth="1"/>
    <col min="22" max="22" width="17.5703125" customWidth="1"/>
    <col min="23" max="23" width="9.7109375" bestFit="1" customWidth="1"/>
    <col min="24" max="24" width="9.7109375" customWidth="1"/>
    <col min="25" max="25" width="12.28515625" customWidth="1"/>
  </cols>
  <sheetData>
    <row r="1" spans="1:25" x14ac:dyDescent="0.25">
      <c r="A1" s="130" t="s">
        <v>238</v>
      </c>
      <c r="B1" s="130" t="s">
        <v>6</v>
      </c>
      <c r="C1" s="131" t="s">
        <v>7</v>
      </c>
      <c r="D1" s="130" t="s">
        <v>843</v>
      </c>
      <c r="E1" s="130" t="s">
        <v>1425</v>
      </c>
      <c r="F1" s="131" t="s">
        <v>1815</v>
      </c>
      <c r="G1" s="132" t="s">
        <v>1799</v>
      </c>
      <c r="H1" s="132" t="s">
        <v>1814</v>
      </c>
      <c r="I1" s="132" t="s">
        <v>51</v>
      </c>
      <c r="J1" s="132" t="s">
        <v>1881</v>
      </c>
      <c r="K1" s="132" t="s">
        <v>1930</v>
      </c>
      <c r="L1" s="132" t="s">
        <v>1931</v>
      </c>
      <c r="M1" s="132" t="s">
        <v>1932</v>
      </c>
      <c r="N1" s="132" t="s">
        <v>1933</v>
      </c>
      <c r="O1" s="128" t="s">
        <v>1791</v>
      </c>
      <c r="P1" s="128" t="s">
        <v>885</v>
      </c>
      <c r="Q1" s="128" t="s">
        <v>884</v>
      </c>
      <c r="R1" s="128" t="s">
        <v>886</v>
      </c>
      <c r="S1" s="16" t="s">
        <v>3479</v>
      </c>
      <c r="T1" s="10" t="s">
        <v>6</v>
      </c>
      <c r="U1" s="10" t="s">
        <v>843</v>
      </c>
      <c r="V1" s="10" t="s">
        <v>1425</v>
      </c>
      <c r="W1" s="1"/>
      <c r="X1" s="1"/>
      <c r="Y1" s="1">
        <f ca="1">TODAY()-45</f>
        <v>46102</v>
      </c>
    </row>
    <row r="2" spans="1:25" x14ac:dyDescent="0.25">
      <c r="A2" s="129" t="str">
        <f t="shared" ref="A2:A4" si="0">C2&amp;B2</f>
        <v>46141META</v>
      </c>
      <c r="B2" s="129" t="str">
        <f t="shared" ref="B2:B4" si="1">T2</f>
        <v>META</v>
      </c>
      <c r="C2" s="133">
        <f t="shared" ref="C2:C4" si="2">S2</f>
        <v>46141</v>
      </c>
      <c r="D2" s="129" t="str">
        <f t="shared" ref="D2:D4" si="3">U2</f>
        <v>BULLISH</v>
      </c>
      <c r="E2" s="129" t="str">
        <f t="shared" ref="E2:E4" si="4">V2</f>
        <v>long</v>
      </c>
      <c r="F2" s="133">
        <f>IFERROR(_xlfn.MAXIFS(C:C, B:B, B2, C:C, "&lt;"&amp;C2), "")</f>
        <v>0</v>
      </c>
      <c r="G2" s="129" t="str">
        <f>IF(F2&gt;0,_xlfn.XLOOKUP(F2&amp;B2,A:A,I:I),"")</f>
        <v/>
      </c>
      <c r="H2" s="129" t="str">
        <f ca="1">IF(C2&lt;$Y$1,"",IF(C2=_xlfn.MAXIFS(C:C,B:B,B2),B2,""))</f>
        <v>META</v>
      </c>
      <c r="I2" s="129">
        <f>_xlfn.XLOOKUP(E2,Parm!$BE:$BE,Parm!$BF:$BF)</f>
        <v>3</v>
      </c>
      <c r="J2" s="129">
        <f t="shared" ref="J2:J4" si="5">IF(G2&lt;&gt;"",I2-G2,0)</f>
        <v>0</v>
      </c>
      <c r="K2" s="129" t="str" cm="1">
        <f t="array" aca="1" ref="K2" ca="1">IF(H2="","",_xlfn.IFS(AND(I2&lt;=0,J2&lt;0),"SellAll",I2&lt;=-2,"SellAll",I2=-1,"SellWatch",C2&lt;Dash!$AH$3,"Neutral",I2=0,"Neutral",AND(I2&gt;1,OR(J2&gt;1,G2=0)),"BuySome",I2=3,"BuySome",I2=2,"BuySome",I2=1,"BuyWatch",TRUE,"Neutral"))</f>
        <v>BuySome</v>
      </c>
      <c r="L2" s="129">
        <f ca="1">_xlfn.XLOOKUP(K2,Parm!$AN$2:$AN$25,Parm!$AO$2:$AO$25,"")</f>
        <v>9</v>
      </c>
      <c r="M2" s="129" t="str" cm="1">
        <f t="array" aca="1" ref="M2" ca="1">IF(H2="","",_xlfn.IFS(AND(I2&lt;=0,J2&lt;0),"SellAll",AND(I2&gt;0,J2&lt;0),"SellSome",C2&lt;Dash!$AH$3,"",AND(I2&gt;0,J2&gt;1),"BuyMore",AND(I2&gt;0,J2&gt;0),"BuySome",TRUE,""))</f>
        <v/>
      </c>
      <c r="N2" s="129" t="str">
        <f ca="1">_xlfn.XLOOKUP(M2,Parm!$AN$2:$AN$25,Parm!$AO$2:$AO$25,"")</f>
        <v/>
      </c>
      <c r="O2" s="129" t="str" cm="1">
        <f t="array" aca="1" ref="O2" ca="1">_xlfn.IFS(I2&lt;=0,"",LEFT(B2,1)="$","",AND(ISNA(Q2),C2&gt;$Y$1),B2,TRUE,"")</f>
        <v>META</v>
      </c>
      <c r="P2" s="129" t="e">
        <f>_xlfn.XLOOKUP(B2,TL!C:C,TL!C:C)</f>
        <v>#N/A</v>
      </c>
      <c r="Q2" s="135" t="e">
        <f>_xlfn.XLOOKUP(B2,MA!B:B,MA!B:B)</f>
        <v>#N/A</v>
      </c>
      <c r="R2" s="135" t="e">
        <f>_xlfn.XLOOKUP(B2,Y!C:C,Y!C:C)</f>
        <v>#N/A</v>
      </c>
      <c r="S2" s="1">
        <v>46141</v>
      </c>
      <c r="T2" t="s">
        <v>2</v>
      </c>
      <c r="U2" t="s">
        <v>43</v>
      </c>
      <c r="V2" t="s">
        <v>1426</v>
      </c>
    </row>
    <row r="3" spans="1:25" x14ac:dyDescent="0.25">
      <c r="A3" s="129" t="str">
        <f t="shared" si="0"/>
        <v>46141ODFL</v>
      </c>
      <c r="B3" s="129" t="str">
        <f t="shared" si="1"/>
        <v>ODFL</v>
      </c>
      <c r="C3" s="133">
        <f t="shared" si="2"/>
        <v>46141</v>
      </c>
      <c r="D3" s="129" t="str">
        <f t="shared" si="3"/>
        <v>BEARISH</v>
      </c>
      <c r="E3" s="129" t="str">
        <f t="shared" si="4"/>
        <v>short</v>
      </c>
      <c r="F3" s="133">
        <f>IFERROR(_xlfn.MAXIFS(C:C, B:B, B3, C:C, "&lt;"&amp;C3), "")</f>
        <v>0</v>
      </c>
      <c r="G3" s="129" t="str">
        <f>IF(F3&gt;0,_xlfn.XLOOKUP(F3&amp;B3,A:A,I:I),"")</f>
        <v/>
      </c>
      <c r="H3" s="129" t="str">
        <f ca="1">IF(C3&lt;$Y$1,"",IF(C3=_xlfn.MAXIFS(C:C,B:B,B3),B3,""))</f>
        <v>ODFL</v>
      </c>
      <c r="I3" s="129">
        <f>_xlfn.XLOOKUP(E3,Parm!$BE:$BE,Parm!$BF:$BF)</f>
        <v>-3</v>
      </c>
      <c r="J3" s="129">
        <f t="shared" si="5"/>
        <v>0</v>
      </c>
      <c r="K3" s="129" t="str" cm="1">
        <f t="array" aca="1" ref="K3" ca="1">IF(H3="","",_xlfn.IFS(AND(I3&lt;=0,J3&lt;0),"SellAll",I3&lt;=-2,"SellAll",I3=-1,"SellWatch",C3&lt;Dash!$AH$3,"Neutral",I3=0,"Neutral",AND(I3&gt;1,OR(J3&gt;1,G3=0)),"BuySome",I3=3,"BuySome",I3=2,"BuySome",I3=1,"BuyWatch",TRUE,"Neutral"))</f>
        <v>SellAll</v>
      </c>
      <c r="L3" s="129">
        <f ca="1">_xlfn.XLOOKUP(K3,Parm!$AN$2:$AN$25,Parm!$AO$2:$AO$25,"")</f>
        <v>-10</v>
      </c>
      <c r="M3" s="129" t="str" cm="1">
        <f t="array" aca="1" ref="M3" ca="1">IF(H3="","",_xlfn.IFS(AND(I3&lt;=0,J3&lt;0),"SellAll",AND(I3&gt;0,J3&lt;0),"SellSome",C3&lt;Dash!$AH$3,"",AND(I3&gt;0,J3&gt;1),"BuyMore",AND(I3&gt;0,J3&gt;0),"BuySome",TRUE,""))</f>
        <v/>
      </c>
      <c r="N3" s="129" t="str">
        <f ca="1">_xlfn.XLOOKUP(M3,Parm!$AN$2:$AN$25,Parm!$AO$2:$AO$25,"")</f>
        <v/>
      </c>
      <c r="O3" s="129" t="str" cm="1">
        <f t="array" aca="1" ref="O3" ca="1">_xlfn.IFS(I3&lt;=0,"",LEFT(B3,1)="$","",AND(ISNA(Q3),C3&gt;$Y$1),B3,TRUE,"")</f>
        <v/>
      </c>
      <c r="P3" s="129" t="e">
        <f>_xlfn.XLOOKUP(B3,TL!C:C,TL!C:C)</f>
        <v>#N/A</v>
      </c>
      <c r="Q3" s="135" t="e">
        <f>_xlfn.XLOOKUP(B3,MA!B:B,MA!B:B)</f>
        <v>#N/A</v>
      </c>
      <c r="R3" s="135" t="e">
        <f>_xlfn.XLOOKUP(B3,Y!C:C,Y!C:C)</f>
        <v>#N/A</v>
      </c>
      <c r="S3" s="1">
        <v>46141</v>
      </c>
      <c r="T3" t="s">
        <v>3383</v>
      </c>
      <c r="U3" t="s">
        <v>42</v>
      </c>
      <c r="V3" t="s">
        <v>1427</v>
      </c>
    </row>
    <row r="4" spans="1:25" x14ac:dyDescent="0.25">
      <c r="A4" s="129" t="str">
        <f t="shared" si="0"/>
        <v>46141HUM</v>
      </c>
      <c r="B4" s="129" t="str">
        <f t="shared" si="1"/>
        <v>HUM</v>
      </c>
      <c r="C4" s="133">
        <f t="shared" si="2"/>
        <v>46141</v>
      </c>
      <c r="D4" s="129" t="str">
        <f t="shared" si="3"/>
        <v>NEUTRAL</v>
      </c>
      <c r="E4" s="129" t="str">
        <f t="shared" si="4"/>
        <v>neutral</v>
      </c>
      <c r="F4" s="133">
        <f>IFERROR(_xlfn.MAXIFS(C:C, B:B, B4, C:C, "&lt;"&amp;C4), "")</f>
        <v>0</v>
      </c>
      <c r="G4" s="129" t="str">
        <f>IF(F4&gt;0,_xlfn.XLOOKUP(F4&amp;B4,A:A,I:I),"")</f>
        <v/>
      </c>
      <c r="H4" s="129" t="str">
        <f ca="1">IF(C4&lt;$Y$1,"",IF(C4=_xlfn.MAXIFS(C:C,B:B,B4),B4,""))</f>
        <v>HUM</v>
      </c>
      <c r="I4" s="129">
        <f>_xlfn.XLOOKUP(E4,Parm!$BE:$BE,Parm!$BF:$BF)</f>
        <v>0</v>
      </c>
      <c r="J4" s="129">
        <f t="shared" si="5"/>
        <v>0</v>
      </c>
      <c r="K4" s="129" t="str" cm="1">
        <f t="array" aca="1" ref="K4" ca="1">IF(H4="","",_xlfn.IFS(AND(I4&lt;=0,J4&lt;0),"SellAll",I4&lt;=-2,"SellAll",I4=-1,"SellWatch",C4&lt;Dash!$AH$3,"Neutral",I4=0,"Neutral",AND(I4&gt;1,OR(J4&gt;1,G4=0)),"BuySome",I4=3,"BuySome",I4=2,"BuySome",I4=1,"BuyWatch",TRUE,"Neutral"))</f>
        <v>Neutral</v>
      </c>
      <c r="L4" s="129">
        <f ca="1">_xlfn.XLOOKUP(K4,Parm!$AN$2:$AN$25,Parm!$AO$2:$AO$25,"")</f>
        <v>0</v>
      </c>
      <c r="M4" s="129" t="str" cm="1">
        <f t="array" aca="1" ref="M4" ca="1">IF(H4="","",_xlfn.IFS(AND(I4&lt;=0,J4&lt;0),"SellAll",AND(I4&gt;0,J4&lt;0),"SellSome",C4&lt;Dash!$AH$3,"",AND(I4&gt;0,J4&gt;1),"BuyMore",AND(I4&gt;0,J4&gt;0),"BuySome",TRUE,""))</f>
        <v/>
      </c>
      <c r="N4" s="129" t="str">
        <f ca="1">_xlfn.XLOOKUP(M4,Parm!$AN$2:$AN$25,Parm!$AO$2:$AO$25,"")</f>
        <v/>
      </c>
      <c r="O4" s="129" t="str" cm="1">
        <f t="array" aca="1" ref="O4" ca="1">_xlfn.IFS(I4&lt;=0,"",LEFT(B4,1)="$","",AND(ISNA(Q4),C4&gt;$Y$1),B4,TRUE,"")</f>
        <v/>
      </c>
      <c r="P4" s="129" t="e">
        <f>_xlfn.XLOOKUP(B4,TL!C:C,TL!C:C)</f>
        <v>#N/A</v>
      </c>
      <c r="Q4" s="135" t="e">
        <f>_xlfn.XLOOKUP(B4,MA!B:B,MA!B:B)</f>
        <v>#N/A</v>
      </c>
      <c r="R4" s="135" t="e">
        <f>_xlfn.XLOOKUP(B4,Y!C:C,Y!C:C)</f>
        <v>#N/A</v>
      </c>
      <c r="S4" s="1">
        <v>46141</v>
      </c>
      <c r="T4" t="s">
        <v>623</v>
      </c>
      <c r="U4" t="s">
        <v>44</v>
      </c>
      <c r="V4" t="s">
        <v>1428</v>
      </c>
    </row>
  </sheetData>
  <autoFilter ref="A1:V1" xr:uid="{C64D5764-A63F-4D99-BA02-2E0A8544CA1B}"/>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A848-627B-4A21-B913-5C82C30B29A5}">
  <sheetPr codeName="Sheet7"/>
  <dimension ref="A1:AQ2"/>
  <sheetViews>
    <sheetView zoomScaleNormal="100" workbookViewId="0">
      <pane xSplit="24" ySplit="1" topLeftCell="Y2" activePane="bottomRight" state="frozen"/>
      <selection pane="topRight" activeCell="F1" sqref="F1"/>
      <selection pane="bottomLeft" activeCell="A2" sqref="A2"/>
      <selection pane="bottomRight" activeCell="G2" sqref="G2"/>
    </sheetView>
  </sheetViews>
  <sheetFormatPr defaultRowHeight="11.25" x14ac:dyDescent="0.2"/>
  <cols>
    <col min="1" max="1" width="9.7109375" style="61" customWidth="1"/>
    <col min="2" max="3" width="5.5703125" style="59" customWidth="1"/>
    <col min="4" max="4" width="9.140625" style="61" customWidth="1"/>
    <col min="5" max="5" width="6.140625" style="59" customWidth="1"/>
    <col min="6" max="6" width="6.5703125" style="343" bestFit="1" customWidth="1"/>
    <col min="7" max="7" width="9.7109375" style="188" customWidth="1"/>
    <col min="8" max="8" width="7.28515625" style="343" customWidth="1"/>
    <col min="9" max="9" width="9.7109375" style="343" customWidth="1"/>
    <col min="10" max="10" width="5.7109375" style="59" customWidth="1"/>
    <col min="11" max="11" width="5" style="59" customWidth="1"/>
    <col min="12" max="12" width="7.85546875" style="59" customWidth="1"/>
    <col min="13" max="13" width="8.42578125" style="343" customWidth="1"/>
    <col min="14" max="14" width="10.140625" style="343" customWidth="1"/>
    <col min="15" max="15" width="5.7109375" style="343" customWidth="1"/>
    <col min="16" max="16" width="6.5703125" style="343" customWidth="1"/>
    <col min="17" max="17" width="4.7109375" style="59" customWidth="1"/>
    <col min="18" max="18" width="7.7109375" style="343" customWidth="1"/>
    <col min="19" max="19" width="4.42578125" style="61" customWidth="1"/>
    <col min="20" max="20" width="5.28515625" style="59" customWidth="1"/>
    <col min="21" max="21" width="4.85546875" style="59" customWidth="1"/>
    <col min="22" max="22" width="5" style="59" customWidth="1"/>
    <col min="23" max="23" width="8.7109375" style="61" customWidth="1"/>
    <col min="24" max="24" width="9.5703125" style="59" customWidth="1"/>
    <col min="25" max="25" width="9.140625" style="59"/>
    <col min="26" max="26" width="6.28515625" style="59" customWidth="1"/>
    <col min="27" max="28" width="9.140625" style="59"/>
    <col min="29" max="29" width="7.42578125" style="59" customWidth="1"/>
    <col min="30" max="30" width="8.140625" style="59" customWidth="1"/>
    <col min="31" max="31" width="12.28515625" style="59" bestFit="1" customWidth="1"/>
    <col min="32" max="32" width="9.28515625" style="59" customWidth="1"/>
    <col min="33" max="33" width="7.5703125" style="59" customWidth="1"/>
    <col min="34" max="34" width="9" style="59" customWidth="1"/>
    <col min="35" max="35" width="7.85546875" style="59" customWidth="1"/>
    <col min="36" max="36" width="8.140625" style="59" customWidth="1"/>
    <col min="37" max="41" width="9.140625" style="59"/>
    <col min="42" max="43" width="9.7109375" style="59" bestFit="1" customWidth="1"/>
    <col min="44" max="16384" width="9.140625" style="59"/>
  </cols>
  <sheetData>
    <row r="1" spans="1:43" x14ac:dyDescent="0.2">
      <c r="A1" s="55" t="s">
        <v>238</v>
      </c>
      <c r="B1" s="56" t="s">
        <v>6</v>
      </c>
      <c r="C1" s="352" t="s">
        <v>1818</v>
      </c>
      <c r="D1" s="55" t="s">
        <v>7</v>
      </c>
      <c r="E1" s="151" t="s">
        <v>1623</v>
      </c>
      <c r="F1" s="341" t="s">
        <v>1480</v>
      </c>
      <c r="G1" s="143" t="s">
        <v>1964</v>
      </c>
      <c r="H1" s="344" t="s">
        <v>1966</v>
      </c>
      <c r="I1" s="348" t="s">
        <v>1965</v>
      </c>
      <c r="J1" s="340" t="s">
        <v>1967</v>
      </c>
      <c r="K1" s="340" t="s">
        <v>1963</v>
      </c>
      <c r="L1" s="349" t="s">
        <v>1640</v>
      </c>
      <c r="M1" s="348" t="s">
        <v>1969</v>
      </c>
      <c r="N1" s="348" t="s">
        <v>1970</v>
      </c>
      <c r="O1" s="348" t="s">
        <v>1968</v>
      </c>
      <c r="P1" s="348" t="s">
        <v>1973</v>
      </c>
      <c r="Q1" s="346" t="s">
        <v>1972</v>
      </c>
      <c r="R1" s="348" t="s">
        <v>1971</v>
      </c>
      <c r="S1" s="141" t="s">
        <v>1469</v>
      </c>
      <c r="T1" s="58" t="s">
        <v>886</v>
      </c>
      <c r="U1" s="119" t="s">
        <v>885</v>
      </c>
      <c r="V1" s="58" t="s">
        <v>884</v>
      </c>
      <c r="W1" s="137" t="s">
        <v>1439</v>
      </c>
      <c r="X1" s="57" t="s">
        <v>1210</v>
      </c>
      <c r="Y1" s="57" t="s">
        <v>1211</v>
      </c>
      <c r="Z1" s="57" t="s">
        <v>6</v>
      </c>
      <c r="AA1" s="57" t="s">
        <v>283</v>
      </c>
      <c r="AB1" s="347" t="s">
        <v>1086</v>
      </c>
      <c r="AC1" s="57" t="s">
        <v>295</v>
      </c>
      <c r="AD1" s="57" t="s">
        <v>1087</v>
      </c>
      <c r="AE1" s="57" t="s">
        <v>1088</v>
      </c>
      <c r="AF1" s="57" t="s">
        <v>1089</v>
      </c>
      <c r="AG1" s="57" t="s">
        <v>1090</v>
      </c>
      <c r="AH1" s="57" t="s">
        <v>1091</v>
      </c>
      <c r="AI1" s="57" t="s">
        <v>1092</v>
      </c>
      <c r="AJ1" s="57" t="s">
        <v>1093</v>
      </c>
      <c r="AK1" s="57" t="s">
        <v>1094</v>
      </c>
      <c r="AL1" s="57" t="s">
        <v>1095</v>
      </c>
      <c r="AM1" s="57" t="s">
        <v>131</v>
      </c>
      <c r="AO1" s="59" t="s">
        <v>507</v>
      </c>
      <c r="AP1" s="61">
        <f>Dash!$AB$2</f>
        <v>46142</v>
      </c>
      <c r="AQ1" s="61">
        <f>_xlfn.MAXIFS(D:D,D:D,"&lt;=" &amp; AP1)</f>
        <v>46126</v>
      </c>
    </row>
    <row r="2" spans="1:43" x14ac:dyDescent="0.2">
      <c r="A2" s="55" t="str">
        <f t="shared" ref="A2" si="0">D2&amp;Z2</f>
        <v>46126DOW</v>
      </c>
      <c r="B2" s="56" t="str">
        <f t="shared" ref="B2" si="1">Z2</f>
        <v>DOW</v>
      </c>
      <c r="C2" s="56" t="str">
        <f t="shared" ref="C2" si="2">IF(B2="SPAXX**","Y","")</f>
        <v/>
      </c>
      <c r="D2" s="55">
        <f t="shared" ref="D2" si="3">W2</f>
        <v>46126</v>
      </c>
      <c r="E2" s="56">
        <f t="shared" ref="E2" si="4">AC2</f>
        <v>39.159999999999997</v>
      </c>
      <c r="F2" s="342">
        <f t="shared" ref="F2" si="5">AB2</f>
        <v>150</v>
      </c>
      <c r="G2" s="56">
        <f t="shared" ref="G2" si="6">AE2</f>
        <v>5874</v>
      </c>
      <c r="H2" s="345" cm="1">
        <f t="array" ref="H2">_xlfn.XLOOKUP(1, (B$1:B1=B2)*(K$1:K1=K2), F$1:F1, 0, 0, -1)</f>
        <v>0</v>
      </c>
      <c r="I2" s="345" cm="1">
        <f t="array" ref="I2">_xlfn.XLOOKUP(1, (B$1:B1=B2)*(K$1:K1=K2), G$1:G1, 0, 0, -1)</f>
        <v>0</v>
      </c>
      <c r="J2" s="152">
        <f>IF(COUNTIFS(B$1:B1, B2, D$1:D1, _xlfn.MAXIFS(D$1:D1,D$1:D1,"&lt;"&amp;D2))&gt;0, 0, 1)</f>
        <v>1</v>
      </c>
      <c r="K2" s="152" cm="1">
        <f t="array" ref="K2">IF(J2=1, _xlfn.MAXIFS(K$1:K1,B$1:B1,B2)+1, _xlfn.XLOOKUP(B2, B$1:B1, K$1:K1, 0, 0, -1))</f>
        <v>1</v>
      </c>
      <c r="L2" s="345">
        <f t="shared" ref="L2" si="7">IF(I2="","",F2-H2)</f>
        <v>150</v>
      </c>
      <c r="M2" s="345">
        <f t="shared" ref="M2" si="8">IF(OR(H2=0, K2=""), 0, G2 - (I2/H2 * F2))</f>
        <v>0</v>
      </c>
      <c r="N2" s="345">
        <f>SUMIFS(M$1:M2, B$1:B2, B2, K$1:K2, K2)</f>
        <v>0</v>
      </c>
      <c r="O2" s="345" t="str">
        <f>IF(COUNTIFS(B:B, B2, D:D, _xlfn.MINIFS(D:D, D:D, "&gt;"&amp;D2))=0, IF(D2=MAX(D:D),"","Closed"), "")</f>
        <v/>
      </c>
      <c r="P2" s="345" t="str">
        <f t="shared" ref="P2" si="9">IF(OR(F2=0, O2="Closed"), N2, "")</f>
        <v/>
      </c>
      <c r="Q2" s="152" t="str">
        <f>IF(COUNTIFS(B3:B$94716, B2)=0, "Final", "")</f>
        <v>Final</v>
      </c>
      <c r="R2" s="345">
        <f>IF(Q2="Final", SUMIFS(M$1:M2, B$1:B2, B2), "")</f>
        <v>0</v>
      </c>
      <c r="S2" s="55" t="str">
        <f t="shared" ref="S2" si="10">IF(AND(ISNA(V2),O2="Final"),B2,"")</f>
        <v/>
      </c>
      <c r="T2" s="60" t="e">
        <f>IF(C2="Y","",_xlfn.XLOOKUP(Z2,Y!C:C,Y!C:C))</f>
        <v>#N/A</v>
      </c>
      <c r="U2" s="60" t="e">
        <f>IF(C2="Y","",_xlfn.XLOOKUP(Z2,TL!C:C,TL!C:C))</f>
        <v>#N/A</v>
      </c>
      <c r="V2" s="60" t="e">
        <f>IF(C2="Y","",_xlfn.XLOOKUP(Z2,MA!B:B,MA!B:B))</f>
        <v>#N/A</v>
      </c>
      <c r="W2" s="61">
        <v>46126</v>
      </c>
      <c r="X2" s="59">
        <v>249118149</v>
      </c>
      <c r="Y2" s="59" t="s">
        <v>1212</v>
      </c>
      <c r="Z2" s="59" t="s">
        <v>369</v>
      </c>
      <c r="AA2" s="59" t="s">
        <v>3439</v>
      </c>
      <c r="AB2" s="59">
        <v>150</v>
      </c>
      <c r="AC2" s="59">
        <v>39.159999999999997</v>
      </c>
      <c r="AD2" s="59">
        <v>-0.95</v>
      </c>
      <c r="AE2" s="59">
        <v>5874</v>
      </c>
      <c r="AF2" s="59">
        <v>-142.5</v>
      </c>
      <c r="AG2" s="59">
        <v>-2.3699999999999999E-2</v>
      </c>
      <c r="AH2" s="59">
        <v>52.01</v>
      </c>
      <c r="AI2" s="59">
        <v>8.8999999999999999E-3</v>
      </c>
      <c r="AJ2" s="59">
        <v>3.4099999999999998E-2</v>
      </c>
      <c r="AK2" s="59">
        <v>5821.99</v>
      </c>
      <c r="AL2" s="59">
        <v>38.81</v>
      </c>
      <c r="AM2" s="59" t="s">
        <v>153</v>
      </c>
    </row>
  </sheetData>
  <autoFilter ref="A1:AM1" xr:uid="{96A0A848-627B-4A21-B913-5C82C30B29A5}"/>
  <customSheetViews>
    <customSheetView guid="{52D1722A-E00E-455D-B18E-AA205BA79E79}" showAutoFilter="1">
      <pane xSplit="4" ySplit="1" topLeftCell="E2" activePane="bottomRight" state="frozen"/>
      <selection pane="bottomRight" activeCell="W2" sqref="W2"/>
      <pageMargins left="0.7" right="0.7" top="0.75" bottom="0.75" header="0.3" footer="0.3"/>
      <autoFilter ref="A1:W8" xr:uid="{9CDA7CAB-5115-46FB-A10D-1B2DFBD7CD3F}"/>
    </customSheetView>
  </customSheetView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CDD9-60FC-4C98-8127-66951C826902}">
  <sheetPr codeName="Sheet8"/>
  <dimension ref="A1:AN2"/>
  <sheetViews>
    <sheetView zoomScaleNormal="100" workbookViewId="0">
      <pane xSplit="25" ySplit="1" topLeftCell="Z2" activePane="bottomRight" state="frozen"/>
      <selection pane="topRight" activeCell="Z1" sqref="Z1"/>
      <selection pane="bottomLeft" activeCell="A2" sqref="A2"/>
      <selection pane="bottomRight" activeCell="A3" sqref="A3:XFD6"/>
    </sheetView>
  </sheetViews>
  <sheetFormatPr defaultRowHeight="11.25" x14ac:dyDescent="0.2"/>
  <cols>
    <col min="1" max="1" width="5.7109375" style="196" customWidth="1"/>
    <col min="2" max="2" width="6.28515625" style="196" customWidth="1"/>
    <col min="3" max="3" width="3.42578125" style="196" customWidth="1"/>
    <col min="4" max="4" width="5.85546875" style="198" customWidth="1"/>
    <col min="5" max="5" width="9.28515625" style="196" bestFit="1" customWidth="1"/>
    <col min="6" max="6" width="7.140625" style="196" customWidth="1"/>
    <col min="7" max="7" width="9.28515625" style="196" bestFit="1" customWidth="1"/>
    <col min="8" max="8" width="7.7109375" style="198" customWidth="1"/>
    <col min="9" max="9" width="8.7109375" style="198" customWidth="1"/>
    <col min="10" max="10" width="3.7109375" style="198" customWidth="1"/>
    <col min="11" max="11" width="3.28515625" style="198" customWidth="1"/>
    <col min="12" max="12" width="6.28515625" style="198" customWidth="1"/>
    <col min="13" max="13" width="6" style="198" customWidth="1"/>
    <col min="14" max="14" width="6.7109375" style="198" customWidth="1"/>
    <col min="15" max="15" width="4.5703125" style="198" customWidth="1"/>
    <col min="16" max="16" width="5.28515625" style="198" customWidth="1"/>
    <col min="17" max="18" width="7.7109375" style="198" customWidth="1"/>
    <col min="19" max="19" width="5.5703125" style="196" customWidth="1"/>
    <col min="20" max="20" width="5.140625" style="196" customWidth="1"/>
    <col min="21" max="21" width="5.85546875" style="196" customWidth="1"/>
    <col min="22" max="22" width="5" style="196" customWidth="1"/>
    <col min="23" max="23" width="5.5703125" style="196" customWidth="1"/>
    <col min="24" max="24" width="6.140625" style="196" customWidth="1"/>
    <col min="25" max="25" width="8.28515625" style="198" customWidth="1"/>
    <col min="26" max="26" width="5" style="196" customWidth="1"/>
    <col min="27" max="27" width="9.140625" style="196"/>
    <col min="28" max="31" width="9.28515625" style="196" bestFit="1" customWidth="1"/>
    <col min="32" max="32" width="14.7109375" style="196" customWidth="1"/>
    <col min="33" max="33" width="9.28515625" style="196" bestFit="1" customWidth="1"/>
    <col min="34" max="34" width="11" style="196" bestFit="1" customWidth="1"/>
    <col min="35" max="37" width="9.28515625" style="196" bestFit="1" customWidth="1"/>
    <col min="38" max="16384" width="9.140625" style="196"/>
  </cols>
  <sheetData>
    <row r="1" spans="1:40" x14ac:dyDescent="0.2">
      <c r="A1" s="191" t="s">
        <v>238</v>
      </c>
      <c r="B1" s="192" t="s">
        <v>6</v>
      </c>
      <c r="C1" s="350" t="s">
        <v>1818</v>
      </c>
      <c r="D1" s="191" t="s">
        <v>7</v>
      </c>
      <c r="E1" s="192" t="s">
        <v>1623</v>
      </c>
      <c r="F1" s="192" t="s">
        <v>1480</v>
      </c>
      <c r="G1" s="192" t="s">
        <v>1213</v>
      </c>
      <c r="H1" s="193" t="s">
        <v>1966</v>
      </c>
      <c r="I1" s="193" t="s">
        <v>1965</v>
      </c>
      <c r="J1" s="193" t="s">
        <v>1967</v>
      </c>
      <c r="K1" s="193" t="s">
        <v>1963</v>
      </c>
      <c r="L1" s="193" t="s">
        <v>1640</v>
      </c>
      <c r="M1" s="193" t="s">
        <v>1969</v>
      </c>
      <c r="N1" s="193" t="s">
        <v>1970</v>
      </c>
      <c r="O1" s="193" t="s">
        <v>1968</v>
      </c>
      <c r="P1" s="193" t="s">
        <v>1973</v>
      </c>
      <c r="Q1" s="193" t="s">
        <v>1972</v>
      </c>
      <c r="R1" s="193" t="s">
        <v>1971</v>
      </c>
      <c r="S1" s="282" t="s">
        <v>1816</v>
      </c>
      <c r="T1" s="191" t="s">
        <v>1469</v>
      </c>
      <c r="U1" s="194" t="s">
        <v>886</v>
      </c>
      <c r="V1" s="194" t="s">
        <v>885</v>
      </c>
      <c r="W1" s="194" t="s">
        <v>884</v>
      </c>
      <c r="X1" s="283" t="s">
        <v>1816</v>
      </c>
      <c r="Y1" s="441" t="s">
        <v>3479</v>
      </c>
      <c r="Z1" s="195" t="s">
        <v>6</v>
      </c>
      <c r="AA1" s="195" t="s">
        <v>283</v>
      </c>
      <c r="AB1" s="195" t="s">
        <v>1664</v>
      </c>
      <c r="AC1" s="195" t="s">
        <v>1059</v>
      </c>
      <c r="AD1" s="195" t="s">
        <v>1665</v>
      </c>
      <c r="AE1" s="195" t="s">
        <v>1666</v>
      </c>
      <c r="AF1" s="195" t="s">
        <v>1667</v>
      </c>
      <c r="AG1" s="195" t="s">
        <v>1668</v>
      </c>
      <c r="AH1" s="195" t="s">
        <v>1669</v>
      </c>
      <c r="AI1" s="195" t="s">
        <v>1670</v>
      </c>
      <c r="AJ1" s="195" t="s">
        <v>1671</v>
      </c>
      <c r="AK1" s="195" t="s">
        <v>1672</v>
      </c>
      <c r="AL1" s="195" t="s">
        <v>1673</v>
      </c>
      <c r="AM1" s="195" t="s">
        <v>1674</v>
      </c>
      <c r="AN1" s="195" t="s">
        <v>1675</v>
      </c>
    </row>
    <row r="2" spans="1:40" x14ac:dyDescent="0.2">
      <c r="A2" s="191" t="str">
        <f t="shared" ref="A2" si="0">D2&amp;B2</f>
        <v>46141XTL</v>
      </c>
      <c r="B2" s="192" t="str">
        <f t="shared" ref="B2" si="1">Z2</f>
        <v>XTL</v>
      </c>
      <c r="C2" s="191" t="str">
        <f t="shared" ref="C2" si="2">IF(OR(B2="--",B2="Cash &amp; Cash Investments",B2="SWPPX",B2="Account Total"),"Y","")</f>
        <v/>
      </c>
      <c r="D2" s="191">
        <f t="shared" ref="D2" si="3">Y2</f>
        <v>46141</v>
      </c>
      <c r="E2" s="192" t="e">
        <f t="shared" ref="E2" si="4">IF(U2="",0,AI2/AB2)</f>
        <v>#N/A</v>
      </c>
      <c r="F2" s="192">
        <f t="shared" ref="F2" si="5">IF(AB2="--",0,AB2)</f>
        <v>75</v>
      </c>
      <c r="G2" s="192">
        <f t="shared" ref="G2" si="6">AI2</f>
        <v>15868.13</v>
      </c>
      <c r="H2" s="345" cm="1">
        <f t="array" ref="H2">_xlfn.XLOOKUP(1, (B$1:B1=B2)*(K$1:K1=K2), F$1:F1, 0, 0, -1)</f>
        <v>0</v>
      </c>
      <c r="I2" s="345" cm="1">
        <f t="array" ref="I2">_xlfn.XLOOKUP(1, (B$1:B1=B2)*(K$1:K1=K2), G$1:G1, 0, 0, -1)</f>
        <v>0</v>
      </c>
      <c r="J2" s="152">
        <f>IF(COUNTIFS(B$1:B1, B2, D$1:D1, _xlfn.MAXIFS(D$1:D1,D$1:D1,"&lt;"&amp;D2))&gt;0, 0, 1)</f>
        <v>1</v>
      </c>
      <c r="K2" s="152" cm="1">
        <f t="array" ref="K2">IF(J2=1, _xlfn.MAXIFS(K$1:K1,B$1:B1,B2)+1, _xlfn.XLOOKUP(B2, B$1:B1, K$1:K1, 0, 0, -1))</f>
        <v>1</v>
      </c>
      <c r="L2" s="345">
        <f t="shared" ref="L2" si="7">IF(I2="","",F2-H2)</f>
        <v>75</v>
      </c>
      <c r="M2" s="345">
        <f t="shared" ref="M2" si="8">IF(OR(H2=0, K2=""), 0, G2 - (I2/H2 * F2))</f>
        <v>0</v>
      </c>
      <c r="N2" s="345">
        <f>SUMIFS(M$1:M2, B$1:B2, B2, K$1:K2, K2)</f>
        <v>0</v>
      </c>
      <c r="O2" s="345" t="str">
        <f>IF(COUNTIFS(B:B, B2, D:D, _xlfn.MINIFS(D:D, D:D, "&gt;"&amp;D2))=0, IF(D2=MAX(D:D),"","Closed"), "")</f>
        <v/>
      </c>
      <c r="P2" s="345" t="str">
        <f t="shared" ref="P2" si="9">IF(OR(F2=0, O2="Closed"), N2, "")</f>
        <v/>
      </c>
      <c r="Q2" s="152" t="str">
        <f>IF(COUNTIFS(B3:B$92426, B2)=0, "Final", "")</f>
        <v>Final</v>
      </c>
      <c r="R2" s="152">
        <f>IF(Q2="Final", SUMIFS(M$1:M2, B$1:B2, B2), "")</f>
        <v>0</v>
      </c>
      <c r="S2" s="281" t="str">
        <f t="shared" ref="S2" si="10">X2</f>
        <v>Rollover_IRA ...892</v>
      </c>
      <c r="T2" s="191" t="str">
        <f t="shared" ref="T2" si="11">IF(AND(Q2="Final",ISNA(W2)),B2,"")</f>
        <v>XTL</v>
      </c>
      <c r="U2" s="197" t="e">
        <f>IF(C2="Y","",_xlfn.XLOOKUP(Z2,Y!C:C,Y!C:C))</f>
        <v>#N/A</v>
      </c>
      <c r="V2" s="197" t="e">
        <f>IF(C2="Y","",_xlfn.XLOOKUP(Z2,TL!C:C,TL!C:C))</f>
        <v>#N/A</v>
      </c>
      <c r="W2" s="197" t="e">
        <f>IF(C2="Y","",_xlfn.XLOOKUP(Z2,MA!B:B,MA!B:B))</f>
        <v>#N/A</v>
      </c>
      <c r="X2" s="196" t="s">
        <v>1786</v>
      </c>
      <c r="Y2" s="198">
        <v>46141</v>
      </c>
      <c r="Z2" s="196" t="s">
        <v>3406</v>
      </c>
      <c r="AA2" s="196" t="s">
        <v>3468</v>
      </c>
      <c r="AB2" s="196">
        <v>75</v>
      </c>
      <c r="AC2" s="196">
        <v>214.3</v>
      </c>
      <c r="AD2" s="196">
        <v>3.8</v>
      </c>
      <c r="AE2" s="196">
        <v>1.8100000000000002E-2</v>
      </c>
      <c r="AF2" s="196">
        <v>16072.5</v>
      </c>
      <c r="AG2" s="196">
        <v>227.37</v>
      </c>
      <c r="AH2" s="196">
        <v>1.43E-2</v>
      </c>
      <c r="AI2" s="196">
        <v>15868.13</v>
      </c>
      <c r="AJ2" s="196">
        <v>204.37</v>
      </c>
      <c r="AK2" s="196">
        <v>1.29E-2</v>
      </c>
      <c r="AL2" s="196" t="s">
        <v>1676</v>
      </c>
      <c r="AM2" s="196" t="s">
        <v>1527</v>
      </c>
      <c r="AN2" s="196" t="s">
        <v>1677</v>
      </c>
    </row>
  </sheetData>
  <autoFilter ref="A1:AN1" xr:uid="{0E15CDD9-60FC-4C98-8127-66951C826902}"/>
  <phoneticPr fontId="90"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9909-201B-4222-957C-EB14F1356D20}">
  <sheetPr codeName="Sheet9"/>
  <dimension ref="A1:AB3"/>
  <sheetViews>
    <sheetView zoomScale="80" zoomScaleNormal="80" workbookViewId="0">
      <pane xSplit="18" ySplit="1" topLeftCell="S2" activePane="bottomRight" state="frozen"/>
      <selection pane="topRight" activeCell="S1" sqref="S1"/>
      <selection pane="bottomLeft" activeCell="A2" sqref="A2"/>
      <selection pane="bottomRight" activeCell="A2" sqref="A2:Y3"/>
    </sheetView>
  </sheetViews>
  <sheetFormatPr defaultRowHeight="15" x14ac:dyDescent="0.25"/>
  <cols>
    <col min="1" max="1" width="11.42578125" customWidth="1"/>
    <col min="2" max="2" width="7.28515625" customWidth="1"/>
    <col min="3" max="3" width="12.5703125" style="1" customWidth="1"/>
    <col min="7" max="11" width="9.140625" style="7"/>
    <col min="12" max="12" width="14.85546875" style="7" bestFit="1" customWidth="1"/>
    <col min="13" max="13" width="9.140625" style="7"/>
    <col min="14" max="14" width="12.5703125" style="1" customWidth="1"/>
    <col min="15" max="15" width="8.140625" style="7" customWidth="1"/>
    <col min="16" max="16" width="9.140625" style="7"/>
    <col min="18" max="18" width="13.85546875" style="1" customWidth="1"/>
    <col min="19" max="19" width="27.5703125" bestFit="1" customWidth="1"/>
    <col min="21" max="21" width="11.5703125" style="1" customWidth="1"/>
    <col min="25" max="25" width="23.140625" bestFit="1" customWidth="1"/>
    <col min="27" max="27" width="13.28515625" customWidth="1"/>
    <col min="28" max="28" width="16.28515625" customWidth="1"/>
  </cols>
  <sheetData>
    <row r="1" spans="1:28" x14ac:dyDescent="0.25">
      <c r="A1" s="2" t="s">
        <v>238</v>
      </c>
      <c r="B1" s="2" t="s">
        <v>6</v>
      </c>
      <c r="C1" s="19" t="s">
        <v>7</v>
      </c>
      <c r="D1" s="2" t="s">
        <v>843</v>
      </c>
      <c r="E1" s="2" t="s">
        <v>1394</v>
      </c>
      <c r="F1" s="2" t="s">
        <v>1395</v>
      </c>
      <c r="G1" s="39" t="s">
        <v>51</v>
      </c>
      <c r="H1" s="39" t="s">
        <v>1464</v>
      </c>
      <c r="I1" s="39" t="s">
        <v>1807</v>
      </c>
      <c r="J1" s="39" t="s">
        <v>1809</v>
      </c>
      <c r="K1" s="39" t="s">
        <v>1824</v>
      </c>
      <c r="L1" s="39" t="s">
        <v>1810</v>
      </c>
      <c r="M1" s="39" t="s">
        <v>1823</v>
      </c>
      <c r="N1" s="19" t="s">
        <v>3481</v>
      </c>
      <c r="O1" s="39" t="s">
        <v>1812</v>
      </c>
      <c r="P1" s="39" t="s">
        <v>1612</v>
      </c>
      <c r="Q1" s="2" t="s">
        <v>597</v>
      </c>
      <c r="R1" s="19" t="s">
        <v>3479</v>
      </c>
      <c r="S1" s="2" t="s">
        <v>764</v>
      </c>
      <c r="T1" s="2" t="s">
        <v>28</v>
      </c>
      <c r="U1" s="19" t="s">
        <v>1392</v>
      </c>
      <c r="V1" s="2" t="s">
        <v>1393</v>
      </c>
      <c r="W1" s="2" t="s">
        <v>1394</v>
      </c>
      <c r="X1" s="2" t="s">
        <v>1395</v>
      </c>
      <c r="Y1" s="2" t="s">
        <v>83</v>
      </c>
      <c r="AA1" s="2" t="s">
        <v>1832</v>
      </c>
      <c r="AB1" s="50">
        <f>Dash!AH4</f>
        <v>46111</v>
      </c>
    </row>
    <row r="2" spans="1:28" x14ac:dyDescent="0.25">
      <c r="A2" s="33" t="s">
        <v>3485</v>
      </c>
      <c r="B2" s="33">
        <v>0</v>
      </c>
      <c r="C2" s="50">
        <v>46019</v>
      </c>
      <c r="D2" s="50" t="s">
        <v>43</v>
      </c>
      <c r="E2" s="33">
        <v>0</v>
      </c>
      <c r="F2" s="33">
        <v>0</v>
      </c>
      <c r="G2" s="44">
        <v>3</v>
      </c>
      <c r="H2" s="44" t="s">
        <v>3486</v>
      </c>
      <c r="I2" s="44" t="s">
        <v>3486</v>
      </c>
      <c r="J2" s="44" t="s">
        <v>3486</v>
      </c>
      <c r="K2" s="44" t="s">
        <v>3486</v>
      </c>
      <c r="L2" s="44" t="s">
        <v>3486</v>
      </c>
      <c r="M2" s="44" t="s">
        <v>3486</v>
      </c>
      <c r="N2" s="50">
        <v>46019</v>
      </c>
      <c r="O2" s="44" t="s">
        <v>3486</v>
      </c>
      <c r="P2" s="44" t="s">
        <v>3486</v>
      </c>
      <c r="Q2" s="33" t="s">
        <v>3486</v>
      </c>
      <c r="R2" s="1">
        <v>46019</v>
      </c>
      <c r="S2" t="s">
        <v>43</v>
      </c>
    </row>
    <row r="3" spans="1:28" x14ac:dyDescent="0.25">
      <c r="A3" t="s">
        <v>3487</v>
      </c>
      <c r="B3" t="s">
        <v>837</v>
      </c>
      <c r="C3" s="1">
        <v>46019</v>
      </c>
      <c r="D3" t="s">
        <v>43</v>
      </c>
      <c r="E3">
        <v>20.32</v>
      </c>
      <c r="F3">
        <v>20.41</v>
      </c>
      <c r="G3" s="7">
        <v>3</v>
      </c>
      <c r="H3" s="7" t="s">
        <v>3486</v>
      </c>
      <c r="I3" s="7" t="s">
        <v>3486</v>
      </c>
      <c r="J3" s="7" t="s">
        <v>3486</v>
      </c>
      <c r="K3" s="7" t="s">
        <v>3486</v>
      </c>
      <c r="L3" s="7" t="s">
        <v>3486</v>
      </c>
      <c r="M3" s="7" t="s">
        <v>3486</v>
      </c>
      <c r="N3" s="1">
        <v>46019</v>
      </c>
      <c r="O3" s="7" t="s">
        <v>3486</v>
      </c>
      <c r="P3" s="7" t="s">
        <v>3486</v>
      </c>
      <c r="Q3" t="s">
        <v>3486</v>
      </c>
      <c r="R3" s="1">
        <v>46019</v>
      </c>
      <c r="S3" t="s">
        <v>3488</v>
      </c>
      <c r="T3" t="s">
        <v>837</v>
      </c>
      <c r="U3" s="1">
        <v>45224</v>
      </c>
      <c r="V3">
        <v>20.36</v>
      </c>
      <c r="W3">
        <v>20.32</v>
      </c>
      <c r="X3">
        <v>20.41</v>
      </c>
      <c r="Y3" t="s">
        <v>3489</v>
      </c>
    </row>
  </sheetData>
  <autoFilter ref="A1:Y1" xr:uid="{205D9909-201B-4222-957C-EB14F1356D20}"/>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5820-F1A9-48CF-8522-2559F05E7A9A}">
  <sheetPr codeName="Sheet10"/>
  <dimension ref="A1:O21"/>
  <sheetViews>
    <sheetView workbookViewId="0">
      <pane ySplit="1" topLeftCell="A2" activePane="bottomLeft" state="frozen"/>
      <selection pane="bottomLeft" activeCell="A3" sqref="A3:XFD13"/>
    </sheetView>
  </sheetViews>
  <sheetFormatPr defaultRowHeight="15" x14ac:dyDescent="0.25"/>
  <cols>
    <col min="1" max="1" width="6" bestFit="1" customWidth="1"/>
    <col min="4" max="4" width="3.7109375" customWidth="1"/>
    <col min="5" max="5" width="11.42578125" customWidth="1"/>
    <col min="6" max="6" width="5.5703125" style="7" bestFit="1" customWidth="1"/>
    <col min="7" max="7" width="5.5703125" style="7" customWidth="1"/>
    <col min="8" max="8" width="10.7109375" style="1" customWidth="1"/>
    <col min="15" max="15" width="10.7109375" style="1" bestFit="1" customWidth="1"/>
  </cols>
  <sheetData>
    <row r="1" spans="1:14" x14ac:dyDescent="0.25">
      <c r="A1" s="10" t="s">
        <v>7</v>
      </c>
      <c r="B1" s="10" t="s">
        <v>1811</v>
      </c>
      <c r="C1" s="10" t="s">
        <v>1870</v>
      </c>
      <c r="D1" s="10" t="s">
        <v>1900</v>
      </c>
      <c r="E1" s="10" t="s">
        <v>3481</v>
      </c>
      <c r="F1" s="43" t="s">
        <v>1900</v>
      </c>
      <c r="G1" s="43" t="s">
        <v>597</v>
      </c>
      <c r="H1" s="16" t="s">
        <v>3479</v>
      </c>
      <c r="I1" s="10" t="s">
        <v>254</v>
      </c>
      <c r="J1" s="10" t="s">
        <v>6</v>
      </c>
      <c r="K1" s="10" t="s">
        <v>843</v>
      </c>
      <c r="L1" s="10" t="s">
        <v>9</v>
      </c>
      <c r="N1" s="10" t="s">
        <v>1831</v>
      </c>
    </row>
    <row r="2" spans="1:14" x14ac:dyDescent="0.25">
      <c r="A2" s="33">
        <f>IF(H2="","",DATEVALUE(TEXT(H2,"mm/dd/yyyy")))</f>
        <v>45996</v>
      </c>
      <c r="B2" s="33" t="str">
        <f>IF(K2="Long",IF(L2="Long","BuySome","SellAll"),IF(L2="Short","SellAll","Neutral"))</f>
        <v>SellAll</v>
      </c>
      <c r="C2" s="33" t="str" cm="1">
        <f t="array" ref="C2">IF(ISNA(_xlfn.XLOOKUP(J2,#REF!,#REF!)),J2,"")</f>
        <v/>
      </c>
      <c r="D2" s="33">
        <f>_xlfn.IFNA(_xlfn.XLOOKUP(B2,Parm!$AN$2:$AN$25,Parm!$AO$2:$AO$25),"")</f>
        <v>-10</v>
      </c>
      <c r="E2" s="50">
        <f>H2</f>
        <v>45996</v>
      </c>
      <c r="F2" s="44">
        <f>IF(AND(K2="Long",L2="Neutral"),-3,_xlfn.XLOOKUP(L2,Parm!$BE$2:$BE$11,Parm!$BF$2:$BF$11))</f>
        <v>-3</v>
      </c>
      <c r="G2" s="44" t="str">
        <f>IF(OR(J2="Dummy",F2&lt;=0),"",IF(ISNA(_xlfn.XLOOKUP(C2,MA!B:B,MA!B:B)),C2,""))</f>
        <v/>
      </c>
      <c r="H2" s="1">
        <v>45996</v>
      </c>
      <c r="I2" t="s">
        <v>1947</v>
      </c>
      <c r="J2" t="s">
        <v>1924</v>
      </c>
      <c r="K2" t="s">
        <v>173</v>
      </c>
      <c r="L2" t="s">
        <v>1654</v>
      </c>
    </row>
    <row r="3" spans="1:14" x14ac:dyDescent="0.25">
      <c r="A3" s="33"/>
      <c r="B3" s="33"/>
      <c r="C3" s="33"/>
      <c r="D3" s="33"/>
      <c r="E3" s="50"/>
      <c r="F3" s="44"/>
      <c r="G3" s="44"/>
    </row>
    <row r="4" spans="1:14" x14ac:dyDescent="0.25">
      <c r="A4" s="33"/>
      <c r="B4" s="33"/>
      <c r="C4" s="33"/>
      <c r="D4" s="33"/>
      <c r="E4" s="50"/>
      <c r="F4" s="44"/>
      <c r="G4" s="44"/>
    </row>
    <row r="5" spans="1:14" x14ac:dyDescent="0.25">
      <c r="A5" s="33"/>
      <c r="B5" s="33"/>
      <c r="C5" s="33"/>
      <c r="D5" s="33"/>
      <c r="E5" s="50"/>
      <c r="F5" s="44"/>
      <c r="G5" s="44"/>
    </row>
    <row r="6" spans="1:14" x14ac:dyDescent="0.25">
      <c r="A6" s="33"/>
      <c r="B6" s="33"/>
      <c r="C6" s="33"/>
      <c r="D6" s="33"/>
      <c r="E6" s="50"/>
      <c r="F6" s="44"/>
      <c r="G6" s="44"/>
    </row>
    <row r="7" spans="1:14" x14ac:dyDescent="0.25">
      <c r="A7" s="33"/>
      <c r="B7" s="33"/>
      <c r="C7" s="33"/>
      <c r="D7" s="33"/>
      <c r="E7" s="50"/>
      <c r="F7" s="44"/>
      <c r="G7" s="44"/>
    </row>
    <row r="8" spans="1:14" x14ac:dyDescent="0.25">
      <c r="A8" s="33"/>
      <c r="B8" s="33"/>
      <c r="C8" s="33"/>
      <c r="D8" s="33"/>
      <c r="E8" s="50"/>
      <c r="F8" s="44"/>
      <c r="G8" s="44"/>
    </row>
    <row r="9" spans="1:14" x14ac:dyDescent="0.25">
      <c r="A9" s="33"/>
      <c r="B9" s="33"/>
      <c r="C9" s="33"/>
      <c r="D9" s="33"/>
      <c r="E9" s="50"/>
      <c r="F9" s="44"/>
      <c r="G9" s="44"/>
    </row>
    <row r="10" spans="1:14" x14ac:dyDescent="0.25">
      <c r="A10" s="33"/>
      <c r="B10" s="33"/>
      <c r="C10" s="33"/>
      <c r="D10" s="33"/>
      <c r="E10" s="50"/>
      <c r="F10" s="44"/>
      <c r="G10" s="44"/>
    </row>
    <row r="11" spans="1:14" x14ac:dyDescent="0.25">
      <c r="A11" s="33"/>
      <c r="B11" s="33"/>
      <c r="C11" s="33"/>
      <c r="D11" s="33"/>
      <c r="E11" s="50"/>
      <c r="F11" s="44"/>
      <c r="G11" s="44"/>
    </row>
    <row r="12" spans="1:14" x14ac:dyDescent="0.25">
      <c r="A12" s="33"/>
      <c r="B12" s="33"/>
      <c r="C12" s="33"/>
      <c r="D12" s="33"/>
      <c r="E12" s="50"/>
      <c r="F12" s="44"/>
      <c r="G12" s="44"/>
    </row>
    <row r="13" spans="1:14" x14ac:dyDescent="0.25">
      <c r="A13" s="33"/>
      <c r="B13" s="33"/>
      <c r="C13" s="33"/>
      <c r="D13" s="33"/>
      <c r="E13" s="50"/>
      <c r="F13" s="44"/>
      <c r="G13" s="44"/>
    </row>
    <row r="14" spans="1:14" x14ac:dyDescent="0.25">
      <c r="A14" s="33"/>
      <c r="B14" s="33"/>
      <c r="C14" s="33"/>
      <c r="D14" s="33"/>
      <c r="E14" s="50"/>
      <c r="F14" s="44"/>
      <c r="G14" s="44"/>
    </row>
    <row r="15" spans="1:14" x14ac:dyDescent="0.25">
      <c r="A15" s="33"/>
      <c r="B15" s="33"/>
      <c r="C15" s="33"/>
      <c r="D15" s="33"/>
      <c r="E15" s="50"/>
      <c r="F15" s="44"/>
      <c r="G15" s="44"/>
    </row>
    <row r="16" spans="1:14" x14ac:dyDescent="0.25">
      <c r="A16" s="33"/>
      <c r="B16" s="33"/>
      <c r="C16" s="33"/>
      <c r="D16" s="33"/>
      <c r="E16" s="50"/>
      <c r="F16" s="44"/>
      <c r="G16" s="44"/>
    </row>
    <row r="17" spans="1:7" x14ac:dyDescent="0.25">
      <c r="A17" s="33"/>
      <c r="B17" s="33"/>
      <c r="C17" s="33"/>
      <c r="D17" s="33"/>
      <c r="E17" s="50"/>
      <c r="F17" s="44"/>
      <c r="G17" s="44"/>
    </row>
    <row r="18" spans="1:7" x14ac:dyDescent="0.25">
      <c r="A18" s="33"/>
      <c r="B18" s="33"/>
      <c r="C18" s="33"/>
      <c r="D18" s="33"/>
      <c r="E18" s="50"/>
      <c r="F18" s="44"/>
      <c r="G18" s="44"/>
    </row>
    <row r="19" spans="1:7" x14ac:dyDescent="0.25">
      <c r="A19" s="33"/>
      <c r="B19" s="33"/>
      <c r="C19" s="33"/>
      <c r="D19" s="33"/>
      <c r="E19" s="50"/>
      <c r="F19" s="44"/>
      <c r="G19" s="44"/>
    </row>
    <row r="20" spans="1:7" x14ac:dyDescent="0.25">
      <c r="A20" s="33"/>
      <c r="B20" s="33"/>
      <c r="C20" s="33"/>
      <c r="D20" s="33"/>
      <c r="E20" s="50"/>
      <c r="F20" s="44"/>
      <c r="G20" s="44"/>
    </row>
    <row r="21" spans="1:7" x14ac:dyDescent="0.25">
      <c r="A21" s="33"/>
      <c r="B21" s="33"/>
      <c r="C21" s="33"/>
      <c r="D21" s="33"/>
      <c r="E21" s="50"/>
      <c r="F21" s="44"/>
      <c r="G21" s="44"/>
    </row>
  </sheetData>
  <autoFilter ref="A1:L1" xr:uid="{F81E5820-F1A9-48CF-8522-2559F05E7A9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1B15-8AD1-4A6A-8DFF-B942425842FE}">
  <sheetPr codeName="Sheet11"/>
  <dimension ref="A1:T2"/>
  <sheetViews>
    <sheetView zoomScaleNormal="100" workbookViewId="0">
      <pane xSplit="14" ySplit="1" topLeftCell="O2" activePane="bottomRight" state="frozen"/>
      <selection pane="topRight" activeCell="J1" sqref="J1"/>
      <selection pane="bottomLeft" activeCell="A2" sqref="A2"/>
      <selection pane="bottomRight" activeCell="A2" sqref="A2:XFD60"/>
    </sheetView>
  </sheetViews>
  <sheetFormatPr defaultRowHeight="12" x14ac:dyDescent="0.2"/>
  <cols>
    <col min="1" max="1" width="11.42578125" style="54" customWidth="1"/>
    <col min="2" max="2" width="7.28515625" style="54" customWidth="1"/>
    <col min="3" max="3" width="10.7109375" style="156" bestFit="1" customWidth="1"/>
    <col min="4" max="4" width="9.140625" style="54"/>
    <col min="5" max="5" width="6.5703125" style="292" customWidth="1"/>
    <col min="6" max="6" width="7.28515625" style="292" customWidth="1"/>
    <col min="7" max="7" width="7.42578125" style="292" customWidth="1"/>
    <col min="8" max="8" width="8.85546875" style="292" customWidth="1"/>
    <col min="9" max="9" width="8.42578125" style="292" customWidth="1"/>
    <col min="10" max="10" width="11.5703125" style="292" customWidth="1"/>
    <col min="11" max="11" width="7.42578125" style="292" customWidth="1"/>
    <col min="12" max="12" width="10.7109375" style="156" bestFit="1" customWidth="1"/>
    <col min="13" max="13" width="10.7109375" style="156" customWidth="1"/>
    <col min="14" max="14" width="9.140625" style="54"/>
    <col min="15" max="15" width="13.85546875" style="156" customWidth="1"/>
    <col min="16" max="18" width="9.140625" style="54"/>
    <col min="19" max="19" width="14.140625" style="54" customWidth="1"/>
    <col min="20" max="16384" width="9.140625" style="54"/>
  </cols>
  <sheetData>
    <row r="1" spans="1:20" x14ac:dyDescent="0.2">
      <c r="A1" s="266" t="s">
        <v>238</v>
      </c>
      <c r="B1" s="266" t="s">
        <v>6</v>
      </c>
      <c r="C1" s="290" t="s">
        <v>7</v>
      </c>
      <c r="D1" s="266" t="s">
        <v>843</v>
      </c>
      <c r="E1" s="291" t="s">
        <v>51</v>
      </c>
      <c r="F1" s="291" t="s">
        <v>1464</v>
      </c>
      <c r="G1" s="291" t="s">
        <v>1807</v>
      </c>
      <c r="H1" s="291" t="s">
        <v>1803</v>
      </c>
      <c r="I1" s="291" t="s">
        <v>1803</v>
      </c>
      <c r="J1" s="291" t="s">
        <v>1804</v>
      </c>
      <c r="K1" s="291" t="s">
        <v>1804</v>
      </c>
      <c r="L1" s="290" t="s">
        <v>3481</v>
      </c>
      <c r="M1" s="290" t="s">
        <v>1885</v>
      </c>
      <c r="N1" s="266" t="s">
        <v>1469</v>
      </c>
      <c r="O1" s="290" t="s">
        <v>3479</v>
      </c>
      <c r="P1" s="266" t="s">
        <v>843</v>
      </c>
      <c r="Q1" s="266" t="s">
        <v>28</v>
      </c>
      <c r="S1" s="158" t="s">
        <v>1832</v>
      </c>
      <c r="T1" s="157">
        <f>Dash!$AH$7</f>
        <v>46111</v>
      </c>
    </row>
    <row r="2" spans="1:20" x14ac:dyDescent="0.2">
      <c r="A2" s="158" t="str">
        <f t="shared" ref="A2" si="0">C2&amp;B2</f>
        <v>46139WING</v>
      </c>
      <c r="B2" s="158" t="str">
        <f t="shared" ref="B2" si="1">IF(Q2="","",Q2)</f>
        <v>WING</v>
      </c>
      <c r="C2" s="157">
        <f t="shared" ref="C2" si="2">O2</f>
        <v>46139</v>
      </c>
      <c r="D2" s="157" t="str">
        <f>IF(P2="Long","BULLISH",IF(P2="Short","BEARISH",#REF!))</f>
        <v>BEARISH</v>
      </c>
      <c r="E2" s="280">
        <f>_xlfn.XLOOKUP(D2,Parm!$BE:$BE,Parm!$BF:$BF)</f>
        <v>-3</v>
      </c>
      <c r="F2" s="280" t="str">
        <f>IF(MAX(C:C)=C2,"Y","")</f>
        <v>Y</v>
      </c>
      <c r="G2" s="280" t="str">
        <f>IF(C2=_xlfn.MAXIFS(C:C,B:B,B2),B2,"")</f>
        <v>WING</v>
      </c>
      <c r="H2" s="280" t="str">
        <f t="shared" ref="H2" si="3">IF(G2="","",IF(F2="Y",IF(E2&gt;0,"BuyMore","SellAll"),"Neutral"))</f>
        <v>SellAll</v>
      </c>
      <c r="I2" s="280">
        <f>_xlfn.XLOOKUP(H2,Parm!$AN$2:$AN$25,Parm!$AO$2:$AO$25,"")</f>
        <v>-10</v>
      </c>
      <c r="J2" s="280" t="str">
        <f t="shared" ref="J2" si="4">IF(G2="","",IF(F2="Y",IF(E2&gt;0,"","SellAll"),IF(E2&gt;0,"SellNeutral","")))</f>
        <v>SellAll</v>
      </c>
      <c r="K2" s="280">
        <f>_xlfn.XLOOKUP(J2,Parm!$AN$2:$AN$25,Parm!$AO$2:$AO$25,"")</f>
        <v>-10</v>
      </c>
      <c r="L2" s="157">
        <f t="shared" ref="L2" si="5">C2</f>
        <v>46139</v>
      </c>
      <c r="M2" s="157" t="str" cm="1">
        <f t="array" ref="M2">IF(F2="Y",IFERROR(INDEX(_xlfn._xlws.FILTER(IIchg!$B140:$B163, (IIchg!$J140:$J163=B2)), 1), ""),"")</f>
        <v/>
      </c>
      <c r="N2" s="158" t="str">
        <f>IF(OR(P2="Longs",P2="Shorts",P2="Stock"),"",IF(ISNA(_xlfn.XLOOKUP(B2,MA!B:B,MA!B:B)),B2,""))</f>
        <v>WING</v>
      </c>
      <c r="O2" s="156">
        <v>46139</v>
      </c>
      <c r="P2" s="54" t="s">
        <v>174</v>
      </c>
      <c r="Q2" s="54" t="s">
        <v>1700</v>
      </c>
    </row>
  </sheetData>
  <autoFilter ref="A1:Q1" xr:uid="{A0111B15-8AD1-4A6A-8DFF-B942425842FE}"/>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5B80-BC6B-444B-BCCA-9C3012752AE0}">
  <sheetPr codeName="Sheet37"/>
  <dimension ref="A1:N24"/>
  <sheetViews>
    <sheetView workbookViewId="0">
      <selection activeCell="H1" sqref="H1"/>
    </sheetView>
  </sheetViews>
  <sheetFormatPr defaultRowHeight="15" x14ac:dyDescent="0.25"/>
  <cols>
    <col min="1" max="1" width="10.7109375" style="1" bestFit="1" customWidth="1"/>
    <col min="8" max="8" width="10.7109375" style="1" bestFit="1" customWidth="1"/>
  </cols>
  <sheetData>
    <row r="1" spans="1:14" x14ac:dyDescent="0.25">
      <c r="A1" s="16" t="s">
        <v>7</v>
      </c>
      <c r="B1" s="10" t="s">
        <v>1811</v>
      </c>
      <c r="C1" s="10" t="s">
        <v>1870</v>
      </c>
      <c r="D1" s="10"/>
      <c r="E1" s="10" t="s">
        <v>843</v>
      </c>
      <c r="F1" s="10" t="s">
        <v>1791</v>
      </c>
      <c r="G1" s="10" t="s">
        <v>691</v>
      </c>
      <c r="H1" s="16" t="s">
        <v>3479</v>
      </c>
      <c r="I1" s="10" t="s">
        <v>254</v>
      </c>
      <c r="J1" s="10" t="s">
        <v>6</v>
      </c>
      <c r="K1" s="10" t="s">
        <v>843</v>
      </c>
      <c r="L1" s="10" t="s">
        <v>9</v>
      </c>
      <c r="N1" s="10" t="s">
        <v>1831</v>
      </c>
    </row>
    <row r="2" spans="1:14" x14ac:dyDescent="0.25">
      <c r="A2" s="50"/>
      <c r="B2" s="33"/>
      <c r="C2" s="33"/>
      <c r="D2" s="33"/>
      <c r="E2" s="33"/>
      <c r="F2" s="33"/>
      <c r="G2" s="33"/>
    </row>
    <row r="3" spans="1:14" x14ac:dyDescent="0.25">
      <c r="A3" s="50"/>
      <c r="B3" s="33"/>
      <c r="C3" s="33"/>
      <c r="D3" s="33"/>
      <c r="E3" s="33"/>
      <c r="F3" s="33"/>
      <c r="G3" s="33"/>
    </row>
    <row r="4" spans="1:14" x14ac:dyDescent="0.25">
      <c r="A4" s="50"/>
      <c r="B4" s="33"/>
      <c r="C4" s="33"/>
      <c r="D4" s="33"/>
      <c r="E4" s="33"/>
      <c r="F4" s="33"/>
      <c r="G4" s="33"/>
    </row>
    <row r="5" spans="1:14" x14ac:dyDescent="0.25">
      <c r="A5" s="50"/>
      <c r="B5" s="33"/>
      <c r="C5" s="33"/>
      <c r="D5" s="33"/>
      <c r="E5" s="33"/>
      <c r="F5" s="33"/>
      <c r="G5" s="33"/>
    </row>
    <row r="6" spans="1:14" x14ac:dyDescent="0.25">
      <c r="A6" s="50"/>
      <c r="B6" s="33"/>
      <c r="C6" s="33"/>
      <c r="D6" s="33"/>
      <c r="E6" s="33"/>
      <c r="F6" s="33"/>
      <c r="G6" s="33"/>
    </row>
    <row r="7" spans="1:14" x14ac:dyDescent="0.25">
      <c r="A7" s="50"/>
      <c r="B7" s="33"/>
      <c r="C7" s="33"/>
      <c r="D7" s="33"/>
      <c r="E7" s="33"/>
      <c r="F7" s="33"/>
      <c r="G7" s="33"/>
    </row>
    <row r="8" spans="1:14" x14ac:dyDescent="0.25">
      <c r="A8" s="50"/>
      <c r="B8" s="33"/>
      <c r="C8" s="33"/>
      <c r="D8" s="33"/>
      <c r="E8" s="33"/>
      <c r="F8" s="33"/>
      <c r="G8" s="33"/>
    </row>
    <row r="9" spans="1:14" x14ac:dyDescent="0.25">
      <c r="A9" s="50"/>
      <c r="B9" s="33"/>
      <c r="C9" s="33"/>
      <c r="D9" s="33"/>
      <c r="E9" s="33"/>
      <c r="F9" s="33"/>
      <c r="G9" s="33"/>
    </row>
    <row r="10" spans="1:14" x14ac:dyDescent="0.25">
      <c r="A10" s="50"/>
      <c r="B10" s="33"/>
      <c r="C10" s="33"/>
      <c r="D10" s="33"/>
      <c r="E10" s="33"/>
      <c r="F10" s="33"/>
      <c r="G10" s="33"/>
    </row>
    <row r="11" spans="1:14" x14ac:dyDescent="0.25">
      <c r="A11" s="50"/>
      <c r="B11" s="33"/>
      <c r="C11" s="33"/>
      <c r="D11" s="33"/>
      <c r="E11" s="33"/>
      <c r="F11" s="33"/>
      <c r="G11" s="33"/>
    </row>
    <row r="12" spans="1:14" x14ac:dyDescent="0.25">
      <c r="A12" s="50"/>
      <c r="B12" s="33"/>
      <c r="C12" s="33"/>
      <c r="D12" s="33"/>
      <c r="E12" s="33"/>
      <c r="F12" s="33"/>
      <c r="G12" s="33"/>
    </row>
    <row r="13" spans="1:14" x14ac:dyDescent="0.25">
      <c r="A13" s="50"/>
      <c r="B13" s="33"/>
      <c r="C13" s="33"/>
      <c r="D13" s="33"/>
      <c r="E13" s="33"/>
      <c r="F13" s="33"/>
      <c r="G13" s="33"/>
    </row>
    <row r="14" spans="1:14" x14ac:dyDescent="0.25">
      <c r="A14" s="50"/>
      <c r="B14" s="33"/>
      <c r="C14" s="33"/>
      <c r="D14" s="33"/>
      <c r="E14" s="33"/>
      <c r="F14" s="33"/>
      <c r="G14" s="33"/>
    </row>
    <row r="15" spans="1:14" x14ac:dyDescent="0.25">
      <c r="A15" s="50"/>
      <c r="B15" s="33"/>
      <c r="C15" s="33"/>
      <c r="D15" s="33"/>
      <c r="E15" s="33"/>
      <c r="F15" s="33"/>
      <c r="G15" s="33"/>
    </row>
    <row r="16" spans="1:14" x14ac:dyDescent="0.25">
      <c r="A16" s="50"/>
      <c r="B16" s="33"/>
      <c r="C16" s="33"/>
      <c r="D16" s="33"/>
      <c r="E16" s="33"/>
      <c r="F16" s="33"/>
      <c r="G16" s="33"/>
    </row>
    <row r="17" spans="1:7" x14ac:dyDescent="0.25">
      <c r="A17" s="50"/>
      <c r="B17" s="33"/>
      <c r="C17" s="33"/>
      <c r="D17" s="33"/>
      <c r="E17" s="33"/>
      <c r="F17" s="33"/>
      <c r="G17" s="33"/>
    </row>
    <row r="18" spans="1:7" x14ac:dyDescent="0.25">
      <c r="A18" s="50"/>
      <c r="B18" s="33"/>
      <c r="C18" s="33"/>
      <c r="D18" s="33"/>
      <c r="E18" s="33"/>
      <c r="F18" s="33"/>
      <c r="G18" s="33"/>
    </row>
    <row r="19" spans="1:7" x14ac:dyDescent="0.25">
      <c r="A19" s="50"/>
      <c r="B19" s="33"/>
      <c r="C19" s="33"/>
      <c r="D19" s="33"/>
      <c r="E19" s="33"/>
      <c r="F19" s="33"/>
      <c r="G19" s="33"/>
    </row>
    <row r="20" spans="1:7" x14ac:dyDescent="0.25">
      <c r="A20" s="50"/>
      <c r="B20" s="33"/>
      <c r="C20" s="33"/>
      <c r="D20" s="33"/>
      <c r="E20" s="33"/>
      <c r="F20" s="33"/>
      <c r="G20" s="33"/>
    </row>
    <row r="21" spans="1:7" x14ac:dyDescent="0.25">
      <c r="A21" s="50"/>
      <c r="B21" s="33"/>
      <c r="C21" s="33"/>
      <c r="D21" s="33"/>
      <c r="E21" s="33"/>
      <c r="F21" s="33"/>
      <c r="G21" s="33"/>
    </row>
    <row r="22" spans="1:7" x14ac:dyDescent="0.25">
      <c r="A22" s="50"/>
      <c r="B22" s="33"/>
      <c r="C22" s="33"/>
      <c r="D22" s="33"/>
      <c r="E22" s="33"/>
      <c r="F22" s="33"/>
      <c r="G22" s="33"/>
    </row>
    <row r="23" spans="1:7" x14ac:dyDescent="0.25">
      <c r="A23" s="50"/>
      <c r="B23" s="33"/>
      <c r="C23" s="33"/>
      <c r="D23" s="33"/>
      <c r="E23" s="33"/>
      <c r="F23" s="33"/>
      <c r="G23" s="33"/>
    </row>
    <row r="24" spans="1:7" x14ac:dyDescent="0.25">
      <c r="A24" s="50"/>
      <c r="B24" s="33"/>
      <c r="C24" s="33"/>
      <c r="D24" s="33"/>
      <c r="E24" s="33"/>
      <c r="F24" s="33"/>
      <c r="G24" s="3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6B4AA-2120-4C84-ADCC-C15F4E00C727}">
  <sheetPr codeName="Sheet12"/>
  <dimension ref="A1:I5"/>
  <sheetViews>
    <sheetView workbookViewId="0">
      <selection activeCell="G2" sqref="G2"/>
    </sheetView>
  </sheetViews>
  <sheetFormatPr defaultRowHeight="15" x14ac:dyDescent="0.25"/>
  <cols>
    <col min="1" max="1" width="11.7109375" style="1" customWidth="1"/>
    <col min="2" max="2" width="9.140625" style="7"/>
    <col min="6" max="6" width="11.85546875" style="1" bestFit="1" customWidth="1"/>
    <col min="7" max="7" width="17" customWidth="1"/>
    <col min="8" max="9" width="9.140625" style="11"/>
  </cols>
  <sheetData>
    <row r="1" spans="1:9" x14ac:dyDescent="0.25">
      <c r="A1" s="16" t="s">
        <v>7</v>
      </c>
      <c r="B1" s="43" t="s">
        <v>1070</v>
      </c>
      <c r="C1" s="10" t="s">
        <v>1124</v>
      </c>
      <c r="D1" s="10" t="s">
        <v>1122</v>
      </c>
      <c r="E1" s="10" t="s">
        <v>1123</v>
      </c>
      <c r="F1" s="16" t="s">
        <v>1125</v>
      </c>
      <c r="G1" s="10" t="s">
        <v>1126</v>
      </c>
      <c r="H1" s="40" t="s">
        <v>1127</v>
      </c>
      <c r="I1" s="40" t="s">
        <v>1128</v>
      </c>
    </row>
    <row r="2" spans="1:9" x14ac:dyDescent="0.25">
      <c r="A2" s="1">
        <v>46146</v>
      </c>
      <c r="B2">
        <v>28</v>
      </c>
      <c r="C2" t="s">
        <v>1560</v>
      </c>
      <c r="D2">
        <v>43</v>
      </c>
      <c r="F2" s="1" t="s">
        <v>3490</v>
      </c>
      <c r="G2" t="s">
        <v>100</v>
      </c>
      <c r="H2" s="11">
        <v>0.01</v>
      </c>
      <c r="I2" s="11">
        <v>0.04</v>
      </c>
    </row>
    <row r="3" spans="1:9" x14ac:dyDescent="0.25">
      <c r="B3"/>
    </row>
    <row r="4" spans="1:9" x14ac:dyDescent="0.25">
      <c r="B4"/>
    </row>
    <row r="5" spans="1:9" x14ac:dyDescent="0.25">
      <c r="B5"/>
    </row>
  </sheetData>
  <customSheetViews>
    <customSheetView guid="{52D1722A-E00E-455D-B18E-AA205BA79E79}">
      <selection activeCell="B26" sqref="B26"/>
      <pageMargins left="0.7" right="0.7" top="0.75" bottom="0.75" header="0.3" footer="0.3"/>
    </customSheetView>
  </customSheetViews>
  <conditionalFormatting sqref="A1">
    <cfRule type="duplicateValues" dxfId="52" priority="1"/>
  </conditionalFormatting>
  <conditionalFormatting sqref="B1:B1048576">
    <cfRule type="duplicateValues" dxfId="51" priority="2"/>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E58E5-6710-4598-BDDA-26AB51285093}">
  <sheetPr codeName="Sheet13"/>
  <dimension ref="A1:G3"/>
  <sheetViews>
    <sheetView workbookViewId="0">
      <selection activeCell="A2" sqref="A2"/>
    </sheetView>
  </sheetViews>
  <sheetFormatPr defaultRowHeight="15" x14ac:dyDescent="0.25"/>
  <cols>
    <col min="1" max="1" width="10.7109375" style="1" bestFit="1" customWidth="1"/>
  </cols>
  <sheetData>
    <row r="1" spans="1:7" x14ac:dyDescent="0.25">
      <c r="A1" s="16" t="s">
        <v>7</v>
      </c>
      <c r="B1" s="10" t="s">
        <v>1136</v>
      </c>
      <c r="C1" s="10" t="s">
        <v>1137</v>
      </c>
      <c r="D1" s="10" t="s">
        <v>1138</v>
      </c>
      <c r="E1" s="10" t="s">
        <v>1139</v>
      </c>
      <c r="F1" s="10" t="s">
        <v>1140</v>
      </c>
      <c r="G1" s="10" t="s">
        <v>1141</v>
      </c>
    </row>
    <row r="2" spans="1:7" x14ac:dyDescent="0.25">
      <c r="A2" s="1">
        <v>46146</v>
      </c>
      <c r="B2" t="s">
        <v>1136</v>
      </c>
      <c r="C2" s="28" t="s">
        <v>3491</v>
      </c>
      <c r="D2" s="28" t="s">
        <v>3492</v>
      </c>
      <c r="E2" s="28" t="s">
        <v>3493</v>
      </c>
      <c r="F2" s="28" t="s">
        <v>3494</v>
      </c>
      <c r="G2" s="28" t="s">
        <v>3495</v>
      </c>
    </row>
    <row r="3" spans="1:7" x14ac:dyDescent="0.25">
      <c r="A3" s="1">
        <v>46146</v>
      </c>
      <c r="B3" t="s">
        <v>1560</v>
      </c>
      <c r="C3">
        <v>28</v>
      </c>
      <c r="D3">
        <v>25</v>
      </c>
      <c r="E3">
        <v>26</v>
      </c>
      <c r="F3">
        <v>27</v>
      </c>
      <c r="G3">
        <v>27</v>
      </c>
    </row>
  </sheetData>
  <customSheetViews>
    <customSheetView guid="{52D1722A-E00E-455D-B18E-AA205BA79E79}">
      <selection activeCell="A31" sqref="A31"/>
      <pageMargins left="0.7" right="0.7" top="0.75" bottom="0.75" header="0.3" footer="0.3"/>
    </customSheetView>
  </customSheetViews>
  <conditionalFormatting sqref="C1:C1048576">
    <cfRule type="duplicateValues" dxfId="50" priority="5"/>
  </conditionalFormatting>
  <conditionalFormatting sqref="D1:D1048576">
    <cfRule type="duplicateValues" dxfId="49" priority="4"/>
  </conditionalFormatting>
  <conditionalFormatting sqref="E1:E1048576">
    <cfRule type="duplicateValues" dxfId="48" priority="3"/>
  </conditionalFormatting>
  <conditionalFormatting sqref="F1:F1048576">
    <cfRule type="duplicateValues" dxfId="47" priority="2"/>
  </conditionalFormatting>
  <conditionalFormatting sqref="G1:G1048576">
    <cfRule type="duplicateValues" dxfId="46" priority="1"/>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0D62-CC9B-4BA9-9B18-C5463F52D268}">
  <sheetPr codeName="Sheet14"/>
  <dimension ref="A1:G3"/>
  <sheetViews>
    <sheetView workbookViewId="0">
      <selection activeCell="G3" sqref="G3"/>
    </sheetView>
  </sheetViews>
  <sheetFormatPr defaultRowHeight="15" x14ac:dyDescent="0.25"/>
  <cols>
    <col min="1" max="1" width="10.7109375" style="1" bestFit="1" customWidth="1"/>
    <col min="2" max="2" width="9.140625" style="30"/>
  </cols>
  <sheetData>
    <row r="1" spans="1:7" x14ac:dyDescent="0.25">
      <c r="A1" s="16" t="s">
        <v>7</v>
      </c>
      <c r="B1" s="34" t="s">
        <v>1136</v>
      </c>
      <c r="C1" s="43" t="s">
        <v>1145</v>
      </c>
      <c r="D1" s="43" t="s">
        <v>1146</v>
      </c>
      <c r="E1" s="43" t="s">
        <v>1147</v>
      </c>
      <c r="F1" s="43" t="s">
        <v>1148</v>
      </c>
      <c r="G1" s="43" t="s">
        <v>1149</v>
      </c>
    </row>
    <row r="2" spans="1:7" x14ac:dyDescent="0.25">
      <c r="A2" s="1">
        <v>46146</v>
      </c>
      <c r="B2" s="30" t="s">
        <v>1136</v>
      </c>
      <c r="C2" s="7" t="s">
        <v>507</v>
      </c>
      <c r="D2" s="7" t="s">
        <v>1725</v>
      </c>
      <c r="E2" s="7" t="s">
        <v>1787</v>
      </c>
      <c r="F2" s="7" t="s">
        <v>1726</v>
      </c>
      <c r="G2" s="7" t="s">
        <v>1727</v>
      </c>
    </row>
    <row r="3" spans="1:7" x14ac:dyDescent="0.25">
      <c r="A3" s="1">
        <v>46146</v>
      </c>
      <c r="B3" s="30" t="s">
        <v>1560</v>
      </c>
      <c r="C3">
        <v>28</v>
      </c>
      <c r="D3">
        <v>25</v>
      </c>
      <c r="E3" s="7">
        <v>25</v>
      </c>
      <c r="F3" s="7">
        <v>17</v>
      </c>
    </row>
  </sheetData>
  <customSheetViews>
    <customSheetView guid="{52D1722A-E00E-455D-B18E-AA205BA79E79}" topLeftCell="A19">
      <selection activeCell="A31" sqref="A31"/>
      <pageMargins left="0.7" right="0.7" top="0.75" bottom="0.75" header="0.3" footer="0.3"/>
    </customSheetView>
  </customSheetViews>
  <conditionalFormatting sqref="C1:C1048576">
    <cfRule type="duplicateValues" dxfId="45" priority="1"/>
  </conditionalFormatting>
  <conditionalFormatting sqref="D1:D1048576">
    <cfRule type="duplicateValues" dxfId="44" priority="2"/>
  </conditionalFormatting>
  <conditionalFormatting sqref="E1:E1048576">
    <cfRule type="duplicateValues" dxfId="43" priority="3"/>
  </conditionalFormatting>
  <conditionalFormatting sqref="F1:F1048576">
    <cfRule type="duplicateValues" dxfId="42" priority="4"/>
  </conditionalFormatting>
  <conditionalFormatting sqref="G1:G1048576">
    <cfRule type="duplicateValues" dxfId="41" priority="5"/>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9F20-98EF-4E8A-80EC-78D006550145}">
  <sheetPr codeName="Sheet15"/>
  <dimension ref="A1:AG6"/>
  <sheetViews>
    <sheetView zoomScale="80" zoomScaleNormal="80" workbookViewId="0">
      <pane xSplit="18" ySplit="1" topLeftCell="V2" activePane="bottomRight" state="frozen"/>
      <selection pane="topRight" activeCell="O1" sqref="O1"/>
      <selection pane="bottomLeft" activeCell="A2" sqref="A2"/>
      <selection pane="bottomRight" activeCell="AF2" sqref="AF2"/>
    </sheetView>
  </sheetViews>
  <sheetFormatPr defaultRowHeight="15" x14ac:dyDescent="0.25"/>
  <cols>
    <col min="1" max="1" width="13.28515625" customWidth="1"/>
    <col min="2" max="2" width="12" customWidth="1"/>
    <col min="13" max="13" width="11.5703125" style="1" bestFit="1" customWidth="1"/>
    <col min="19" max="19" width="13.7109375" style="1" customWidth="1"/>
    <col min="22" max="22" width="13.7109375" style="1" customWidth="1"/>
    <col min="25" max="25" width="9.140625" style="9"/>
    <col min="26" max="26" width="21.42578125" bestFit="1" customWidth="1"/>
    <col min="27" max="27" width="17.7109375" bestFit="1" customWidth="1"/>
    <col min="28" max="29" width="12.5703125" style="30" customWidth="1"/>
    <col min="31" max="32" width="12.140625" customWidth="1"/>
    <col min="33" max="33" width="12.140625" style="1" customWidth="1"/>
    <col min="34" max="36" width="3" bestFit="1" customWidth="1"/>
    <col min="37" max="37" width="18.42578125" bestFit="1" customWidth="1"/>
    <col min="38" max="38" width="7.28515625" bestFit="1" customWidth="1"/>
    <col min="39" max="39" width="11.28515625" bestFit="1" customWidth="1"/>
    <col min="40" max="40" width="8.85546875" bestFit="1" customWidth="1"/>
    <col min="41" max="41" width="9.28515625" bestFit="1" customWidth="1"/>
    <col min="42" max="42" width="11.85546875" bestFit="1" customWidth="1"/>
    <col min="43" max="43" width="11.5703125" bestFit="1" customWidth="1"/>
    <col min="44" max="44" width="7.28515625" bestFit="1" customWidth="1"/>
    <col min="45" max="45" width="14.7109375" bestFit="1" customWidth="1"/>
    <col min="46" max="46" width="23.42578125" bestFit="1" customWidth="1"/>
    <col min="47" max="47" width="26.5703125" bestFit="1" customWidth="1"/>
    <col min="48" max="48" width="12.7109375" bestFit="1" customWidth="1"/>
    <col min="50" max="50" width="15.85546875" bestFit="1" customWidth="1"/>
    <col min="51" max="51" width="12" bestFit="1" customWidth="1"/>
    <col min="52" max="52" width="15.140625" bestFit="1" customWidth="1"/>
    <col min="53" max="53" width="12.140625" bestFit="1" customWidth="1"/>
    <col min="54" max="54" width="15.28515625" bestFit="1" customWidth="1"/>
    <col min="55" max="55" width="11.140625" bestFit="1" customWidth="1"/>
    <col min="56" max="56" width="14.28515625" bestFit="1" customWidth="1"/>
    <col min="57" max="57" width="7.42578125" bestFit="1" customWidth="1"/>
    <col min="59" max="59" width="10.42578125" bestFit="1" customWidth="1"/>
    <col min="60" max="60" width="8" bestFit="1" customWidth="1"/>
    <col min="61" max="61" width="11" bestFit="1" customWidth="1"/>
    <col min="63" max="63" width="12.140625" bestFit="1" customWidth="1"/>
    <col min="64" max="64" width="11.28515625" bestFit="1" customWidth="1"/>
  </cols>
  <sheetData>
    <row r="1" spans="1:33" x14ac:dyDescent="0.25">
      <c r="A1" s="2" t="s">
        <v>238</v>
      </c>
      <c r="B1" s="2" t="s">
        <v>7</v>
      </c>
      <c r="C1" s="2" t="s">
        <v>5</v>
      </c>
      <c r="D1" s="39" t="s">
        <v>1181</v>
      </c>
      <c r="E1" s="39" t="s">
        <v>1797</v>
      </c>
      <c r="F1" s="25" t="s">
        <v>255</v>
      </c>
      <c r="G1" s="25" t="s">
        <v>1195</v>
      </c>
      <c r="H1" s="2" t="s">
        <v>1070</v>
      </c>
      <c r="I1" s="39" t="s">
        <v>128</v>
      </c>
      <c r="J1" s="39" t="s">
        <v>1463</v>
      </c>
      <c r="K1" s="39" t="s">
        <v>1465</v>
      </c>
      <c r="L1" s="39" t="s">
        <v>1829</v>
      </c>
      <c r="M1" s="19" t="s">
        <v>1830</v>
      </c>
      <c r="N1" s="2" t="s">
        <v>3175</v>
      </c>
      <c r="O1" s="39" t="s">
        <v>1243</v>
      </c>
      <c r="P1" s="39" t="s">
        <v>597</v>
      </c>
      <c r="Q1" s="39" t="s">
        <v>284</v>
      </c>
      <c r="R1" s="39" t="s">
        <v>3352</v>
      </c>
      <c r="S1" s="19" t="s">
        <v>3479</v>
      </c>
      <c r="T1" s="2" t="s">
        <v>972</v>
      </c>
      <c r="U1" s="2" t="s">
        <v>1124</v>
      </c>
      <c r="V1" s="19" t="s">
        <v>1156</v>
      </c>
      <c r="W1" s="2" t="s">
        <v>1157</v>
      </c>
      <c r="X1" s="2" t="s">
        <v>1158</v>
      </c>
      <c r="Y1" s="25" t="s">
        <v>1159</v>
      </c>
      <c r="Z1" s="2" t="s">
        <v>1160</v>
      </c>
      <c r="AA1" s="2" t="s">
        <v>1161</v>
      </c>
      <c r="AB1" s="398" t="s">
        <v>1162</v>
      </c>
      <c r="AC1" s="398"/>
      <c r="AE1" t="s">
        <v>507</v>
      </c>
      <c r="AF1" s="1">
        <f>Dash!$AB$2</f>
        <v>46142</v>
      </c>
      <c r="AG1" s="1">
        <f t="shared" ref="AG1:AG6" si="0">_xlfn.MAXIFS(B:B,B:B,"&lt;=" &amp; AF1)</f>
        <v>46140</v>
      </c>
    </row>
    <row r="2" spans="1:33" x14ac:dyDescent="0.25">
      <c r="A2" s="27" t="str">
        <f t="shared" ref="A2" si="1">B2&amp;C2</f>
        <v>46140AS</v>
      </c>
      <c r="B2" s="29">
        <f t="shared" ref="B2" si="2">S2</f>
        <v>46140</v>
      </c>
      <c r="C2" s="27" t="str">
        <f t="shared" ref="C2" si="3">U2</f>
        <v>AS</v>
      </c>
      <c r="D2" s="42" t="str">
        <f t="shared" ref="D2" si="4">IF(E2="",H2,0)</f>
        <v>3</v>
      </c>
      <c r="E2" s="42" t="str">
        <f t="shared" ref="E2" si="5">IF(G2="KMSignal", 99, IF(G2="Bench", 50, ""))</f>
        <v/>
      </c>
      <c r="F2" s="46">
        <f t="shared" ref="F2" si="6">Y2</f>
        <v>0</v>
      </c>
      <c r="G2" s="46" t="str">
        <f t="shared" ref="G2" si="7">AB2</f>
        <v>3/9</v>
      </c>
      <c r="H2" s="27" t="str" cm="1">
        <f t="array" ref="H2:I2">IF(G2="KMSignal", 99, IF(G2="Bench", 50, _xlfn.TEXTSPLIT(G2,"/")))</f>
        <v>3</v>
      </c>
      <c r="I2" s="42" t="str">
        <v>9</v>
      </c>
      <c r="J2" s="42" cm="1">
        <f t="array" ref="J2">_xlfn.IFS(F2&gt;0.5,3,F2&gt;0.25,2,F2&gt;0,1,F2&lt;=0,-1)</f>
        <v>-1</v>
      </c>
      <c r="K2" s="42" t="str">
        <f>IF(B2=MAX(B:B),"Y","")</f>
        <v>Y</v>
      </c>
      <c r="L2" s="42" t="str">
        <f>IF(B2=_xlfn.MAXIFS(B:B,C:C,C2),C2,"")</f>
        <v>AS</v>
      </c>
      <c r="M2" s="29" t="str">
        <f t="shared" ref="M2" si="8">IF(AND(L2&lt;&gt;"",K2=""),B2,"")</f>
        <v/>
      </c>
      <c r="N2" s="27" t="str" cm="1">
        <f t="array" ref="N2">_xlfn.IFS(AND(ISNA(O2),K2="Y"),C2,TRUE,"")</f>
        <v>AS</v>
      </c>
      <c r="O2" s="42" t="e">
        <f>_xlfn.XLOOKUP(C2,TL!C:C,TL!C:C)</f>
        <v>#N/A</v>
      </c>
      <c r="P2" s="42" t="e">
        <f>_xlfn.XLOOKUP(C2,MA!B:B,MA!B:B)</f>
        <v>#N/A</v>
      </c>
      <c r="Q2" s="42" t="e">
        <f>_xlfn.XLOOKUP(C2,Y!C:C,Y!C:C)</f>
        <v>#N/A</v>
      </c>
      <c r="R2" s="42" t="str">
        <f>_xlfn.XLOOKUP(C2,sss!B:B,sss!B:B)</f>
        <v>AS</v>
      </c>
      <c r="S2" s="1">
        <v>46140</v>
      </c>
      <c r="T2">
        <v>0</v>
      </c>
      <c r="U2" t="s">
        <v>1962</v>
      </c>
      <c r="V2" s="1" t="s">
        <v>3475</v>
      </c>
      <c r="W2">
        <v>35.799999999999997</v>
      </c>
      <c r="X2">
        <v>35.799999999999997</v>
      </c>
      <c r="Y2" s="9">
        <v>0</v>
      </c>
      <c r="Z2" t="s">
        <v>103</v>
      </c>
      <c r="AA2" t="s">
        <v>1208</v>
      </c>
      <c r="AB2" s="30" t="s">
        <v>2076</v>
      </c>
      <c r="AE2" t="s">
        <v>1193</v>
      </c>
      <c r="AF2">
        <f>AF1-1</f>
        <v>46141</v>
      </c>
      <c r="AG2" s="1">
        <f t="shared" si="0"/>
        <v>46140</v>
      </c>
    </row>
    <row r="3" spans="1:33" x14ac:dyDescent="0.25">
      <c r="AE3" t="s">
        <v>1186</v>
      </c>
      <c r="AF3">
        <f>AF1-7</f>
        <v>46135</v>
      </c>
      <c r="AG3" s="1">
        <f t="shared" si="0"/>
        <v>0</v>
      </c>
    </row>
    <row r="4" spans="1:33" x14ac:dyDescent="0.25">
      <c r="AE4" t="s">
        <v>1890</v>
      </c>
      <c r="AF4">
        <f>AF1-7*3</f>
        <v>46121</v>
      </c>
      <c r="AG4" s="1">
        <f t="shared" si="0"/>
        <v>0</v>
      </c>
    </row>
    <row r="5" spans="1:33" x14ac:dyDescent="0.25">
      <c r="AE5" t="s">
        <v>1194</v>
      </c>
      <c r="AF5">
        <f>EDATE(AF1, -1)</f>
        <v>46111</v>
      </c>
      <c r="AG5" s="1">
        <f t="shared" si="0"/>
        <v>0</v>
      </c>
    </row>
    <row r="6" spans="1:33" x14ac:dyDescent="0.25">
      <c r="AE6" t="s">
        <v>3484</v>
      </c>
      <c r="AF6">
        <f>EDATE(AF1, -3)</f>
        <v>46052</v>
      </c>
      <c r="AG6" s="1">
        <f t="shared" si="0"/>
        <v>0</v>
      </c>
    </row>
  </sheetData>
  <autoFilter ref="A1:AB1" xr:uid="{321A9F20-98EF-4E8A-80EC-78D006550145}"/>
  <customSheetViews>
    <customSheetView guid="{52D1722A-E00E-455D-B18E-AA205BA79E79}">
      <selection activeCell="V1" sqref="V1"/>
      <pageMargins left="0.7" right="0.7" top="0.75" bottom="0.75" header="0.3" footer="0.3"/>
    </customSheetView>
  </customSheetView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1FFD7-C812-4152-9E53-38824D9D5309}">
  <sheetPr codeName="Sheet17"/>
  <dimension ref="A1:ET118"/>
  <sheetViews>
    <sheetView zoomScale="80" zoomScaleNormal="80" workbookViewId="0">
      <pane xSplit="14" ySplit="3" topLeftCell="BQ4" activePane="bottomRight" state="frozen"/>
      <selection pane="topRight" activeCell="O1" sqref="O1"/>
      <selection pane="bottomLeft" activeCell="A5" sqref="A5"/>
      <selection pane="bottomRight" activeCell="L2" sqref="L2"/>
    </sheetView>
  </sheetViews>
  <sheetFormatPr defaultRowHeight="11.25" x14ac:dyDescent="0.2"/>
  <cols>
    <col min="1" max="1" width="5.85546875" style="59" customWidth="1"/>
    <col min="2" max="2" width="15.85546875" style="59" customWidth="1"/>
    <col min="3" max="3" width="5.5703125" style="67" customWidth="1"/>
    <col min="4" max="4" width="6" style="67" customWidth="1"/>
    <col min="5" max="5" width="5" style="67" customWidth="1"/>
    <col min="6" max="6" width="4.7109375" style="59" customWidth="1"/>
    <col min="7" max="7" width="3.5703125" style="59" customWidth="1"/>
    <col min="8" max="8" width="12" style="59" bestFit="1" customWidth="1"/>
    <col min="9" max="10" width="5.42578125" style="59" customWidth="1"/>
    <col min="11" max="11" width="4" style="59" customWidth="1"/>
    <col min="12" max="12" width="19" style="59" customWidth="1"/>
    <col min="13" max="13" width="6.42578125" style="59" bestFit="1" customWidth="1"/>
    <col min="14" max="14" width="6.42578125" style="59" customWidth="1"/>
    <col min="15" max="15" width="8.7109375" style="74" customWidth="1"/>
    <col min="16" max="16" width="4.42578125" style="74" customWidth="1"/>
    <col min="17" max="17" width="8.7109375" style="74" customWidth="1"/>
    <col min="18" max="18" width="3.85546875" style="74" customWidth="1"/>
    <col min="19" max="19" width="8.7109375" style="74" customWidth="1"/>
    <col min="20" max="20" width="3.42578125" style="74" customWidth="1"/>
    <col min="21" max="21" width="8.7109375" style="74" customWidth="1"/>
    <col min="22" max="22" width="4" style="74" customWidth="1"/>
    <col min="23" max="23" width="8.7109375" style="74" customWidth="1"/>
    <col min="24" max="24" width="5.28515625" style="74" customWidth="1"/>
    <col min="25" max="25" width="8.7109375" style="74" customWidth="1"/>
    <col min="26" max="26" width="6" style="74" customWidth="1"/>
    <col min="27" max="27" width="8.7109375" style="74" customWidth="1"/>
    <col min="28" max="28" width="6" style="74" customWidth="1"/>
    <col min="29" max="29" width="8.7109375" style="74" customWidth="1"/>
    <col min="30" max="30" width="4.42578125" style="74" customWidth="1"/>
    <col min="31" max="31" width="8.7109375" style="74" customWidth="1"/>
    <col min="32" max="32" width="6" style="74" customWidth="1"/>
    <col min="33" max="33" width="8.7109375" style="74" customWidth="1"/>
    <col min="34" max="34" width="6" style="74" customWidth="1"/>
    <col min="35" max="35" width="8.7109375" style="74" customWidth="1"/>
    <col min="36" max="36" width="6" style="74" customWidth="1"/>
    <col min="37" max="37" width="8.7109375" style="74" customWidth="1"/>
    <col min="38" max="38" width="6" style="74" customWidth="1"/>
    <col min="39" max="39" width="8.7109375" style="74" customWidth="1"/>
    <col min="40" max="40" width="6" style="74" customWidth="1"/>
    <col min="41" max="41" width="8.7109375" style="74" customWidth="1"/>
    <col min="42" max="42" width="5.28515625" style="74" customWidth="1"/>
    <col min="43" max="43" width="8.7109375" style="74" customWidth="1"/>
    <col min="44" max="44" width="6" style="74" customWidth="1"/>
    <col min="45" max="45" width="8.7109375" style="74" customWidth="1"/>
    <col min="46" max="46" width="5.28515625" style="74" customWidth="1"/>
    <col min="47" max="47" width="8.7109375" style="74" customWidth="1"/>
    <col min="48" max="48" width="6" style="74" customWidth="1"/>
    <col min="49" max="49" width="8.85546875" style="74" customWidth="1"/>
    <col min="50" max="50" width="3" style="74" bestFit="1" customWidth="1"/>
    <col min="51" max="51" width="8.7109375" style="74" customWidth="1"/>
    <col min="52" max="52" width="4.42578125" style="74" customWidth="1"/>
    <col min="53" max="53" width="8.7109375" style="74" customWidth="1"/>
    <col min="54" max="54" width="6" style="74" customWidth="1"/>
    <col min="55" max="55" width="8.85546875" style="74" customWidth="1"/>
    <col min="56" max="56" width="6" style="74" customWidth="1"/>
    <col min="57" max="57" width="8.85546875" style="74" customWidth="1"/>
    <col min="58" max="58" width="5.140625" style="74" customWidth="1"/>
    <col min="59" max="59" width="8.85546875" style="74" customWidth="1"/>
    <col min="60" max="60" width="4" style="74" customWidth="1"/>
    <col min="61" max="61" width="8.85546875" style="74" customWidth="1"/>
    <col min="62" max="62" width="3" style="74" bestFit="1" customWidth="1"/>
    <col min="63" max="63" width="8.85546875" style="74" customWidth="1"/>
    <col min="64" max="64" width="3" style="74" bestFit="1" customWidth="1"/>
    <col min="65" max="65" width="8.85546875" style="74" customWidth="1"/>
    <col min="66" max="66" width="3" style="74" bestFit="1" customWidth="1"/>
    <col min="67" max="67" width="8.85546875" style="74" customWidth="1"/>
    <col min="68" max="68" width="6" style="74" customWidth="1"/>
    <col min="69" max="69" width="8.85546875" style="124" customWidth="1"/>
    <col min="70" max="70" width="3" style="74" bestFit="1" customWidth="1"/>
    <col min="71" max="71" width="8.85546875" style="74" customWidth="1"/>
    <col min="72" max="72" width="3" style="74" bestFit="1" customWidth="1"/>
    <col min="73" max="73" width="8.85546875" style="74" customWidth="1"/>
    <col min="74" max="74" width="3" style="74" bestFit="1" customWidth="1"/>
    <col min="75" max="75" width="9.5703125" style="74" customWidth="1"/>
    <col min="76" max="76" width="4.140625" style="74" customWidth="1"/>
    <col min="77" max="77" width="7.7109375" style="74" customWidth="1"/>
    <col min="78" max="78" width="3.28515625" style="74" customWidth="1"/>
    <col min="79" max="79" width="9.5703125" style="74" customWidth="1"/>
    <col min="80" max="80" width="4.140625" style="74" customWidth="1"/>
    <col min="81" max="81" width="9.5703125" style="74" customWidth="1"/>
    <col min="82" max="82" width="4.140625" style="74" customWidth="1"/>
    <col min="83" max="83" width="7.7109375" style="74" customWidth="1"/>
    <col min="84" max="84" width="3.28515625" style="74" customWidth="1"/>
    <col min="85" max="85" width="9.5703125" style="74" customWidth="1"/>
    <col min="86" max="86" width="4.140625" style="74" customWidth="1"/>
    <col min="87" max="87" width="7.7109375" style="74" customWidth="1"/>
    <col min="88" max="88" width="3.28515625" style="74" customWidth="1"/>
    <col min="89" max="89" width="7.7109375" style="74" customWidth="1"/>
    <col min="90" max="90" width="3.28515625" style="74" customWidth="1"/>
    <col min="91" max="91" width="8.7109375" style="74" customWidth="1"/>
    <col min="92" max="92" width="3.28515625" style="74" customWidth="1"/>
    <col min="93" max="93" width="8.42578125" style="74" customWidth="1"/>
    <col min="94" max="94" width="3.85546875" style="74" customWidth="1"/>
    <col min="95" max="95" width="8.7109375" style="74" customWidth="1"/>
    <col min="96" max="96" width="3.28515625" style="74" customWidth="1"/>
    <col min="97" max="97" width="8.42578125" style="74" customWidth="1"/>
    <col min="98" max="98" width="3.85546875" style="74" customWidth="1"/>
    <col min="99" max="99" width="8.42578125" style="74" customWidth="1"/>
    <col min="100" max="100" width="3.85546875" style="74" customWidth="1"/>
    <col min="101" max="101" width="7.42578125" style="59" customWidth="1"/>
    <col min="102" max="102" width="4.85546875" style="74" customWidth="1"/>
    <col min="103" max="103" width="8.5703125" style="74" customWidth="1"/>
    <col min="104" max="104" width="3" style="74" customWidth="1"/>
    <col min="105" max="105" width="10.42578125" style="74" customWidth="1"/>
    <col min="106" max="106" width="3.140625" style="74" customWidth="1"/>
    <col min="107" max="107" width="9" style="74" customWidth="1"/>
    <col min="108" max="108" width="4.7109375" style="74" customWidth="1"/>
    <col min="109" max="109" width="9.5703125" style="74" customWidth="1"/>
    <col min="110" max="110" width="4.140625" style="74" customWidth="1"/>
    <col min="111" max="111" width="9" style="74" customWidth="1"/>
    <col min="112" max="112" width="4.7109375" style="74" customWidth="1"/>
    <col min="113" max="113" width="9.5703125" style="74" customWidth="1"/>
    <col min="114" max="114" width="4.140625" style="74" customWidth="1"/>
    <col min="115" max="115" width="7.85546875" style="74" customWidth="1"/>
    <col min="116" max="116" width="3.42578125" style="74" customWidth="1"/>
    <col min="117" max="117" width="10.42578125" style="74" customWidth="1"/>
    <col min="118" max="118" width="3.140625" style="74" customWidth="1"/>
    <col min="119" max="119" width="10.42578125" style="74" customWidth="1"/>
    <col min="120" max="120" width="3.140625" style="74" customWidth="1"/>
    <col min="121" max="121" width="10.42578125" style="74" customWidth="1"/>
    <col min="122" max="122" width="3.140625" style="74" customWidth="1"/>
    <col min="123" max="123" width="6.140625" style="74" customWidth="1"/>
    <col min="124" max="124" width="3" style="74" customWidth="1"/>
    <col min="125" max="125" width="6.140625" style="74" customWidth="1"/>
    <col min="126" max="126" width="3" style="74" customWidth="1"/>
    <col min="127" max="127" width="6.140625" style="74" customWidth="1"/>
    <col min="128" max="128" width="3" style="74" customWidth="1"/>
    <col min="129" max="129" width="6.140625" style="74" customWidth="1"/>
    <col min="130" max="130" width="3" style="74" customWidth="1"/>
    <col min="131" max="131" width="6.140625" style="74" customWidth="1"/>
    <col min="132" max="132" width="3" style="74" customWidth="1"/>
    <col min="133" max="133" width="6.140625" style="74" customWidth="1"/>
    <col min="134" max="134" width="3" style="74" customWidth="1"/>
    <col min="135" max="135" width="6.140625" style="74" customWidth="1"/>
    <col min="136" max="136" width="3" style="74" customWidth="1"/>
    <col min="137" max="137" width="6.140625" style="74" customWidth="1"/>
    <col min="138" max="138" width="3" style="74" customWidth="1"/>
    <col min="139" max="139" width="6.140625" style="74" customWidth="1"/>
    <col min="140" max="140" width="3" style="74" customWidth="1"/>
    <col min="141" max="141" width="6.140625" style="74" customWidth="1"/>
    <col min="142" max="142" width="3" style="74" customWidth="1"/>
    <col min="143" max="143" width="6.140625" style="74" customWidth="1"/>
    <col min="144" max="144" width="3" style="74" customWidth="1"/>
    <col min="145" max="145" width="6.140625" style="74" customWidth="1"/>
    <col min="146" max="146" width="3" style="74" customWidth="1"/>
    <col min="147" max="148" width="1.42578125" style="112" customWidth="1"/>
    <col min="149" max="149" width="5.7109375" style="59" customWidth="1"/>
    <col min="150" max="16384" width="9.140625" style="59"/>
  </cols>
  <sheetData>
    <row r="1" spans="1:150" ht="67.5" x14ac:dyDescent="0.2">
      <c r="A1" s="102" t="s">
        <v>1299</v>
      </c>
      <c r="B1" s="62" t="s">
        <v>915</v>
      </c>
      <c r="C1" s="63" t="s">
        <v>918</v>
      </c>
      <c r="D1" s="63" t="s">
        <v>917</v>
      </c>
      <c r="E1" s="64" t="s">
        <v>919</v>
      </c>
      <c r="F1" s="64" t="s">
        <v>916</v>
      </c>
      <c r="G1" s="64" t="s">
        <v>920</v>
      </c>
      <c r="H1" s="65"/>
      <c r="I1" s="127" t="s">
        <v>494</v>
      </c>
      <c r="J1" s="127" t="s">
        <v>1359</v>
      </c>
      <c r="K1" s="57" t="s">
        <v>1044</v>
      </c>
      <c r="L1" s="90" t="s">
        <v>484</v>
      </c>
      <c r="M1" s="57" t="s">
        <v>5</v>
      </c>
      <c r="N1" s="114" t="s">
        <v>1205</v>
      </c>
      <c r="O1" s="120" t="s">
        <v>2114</v>
      </c>
      <c r="P1" s="77"/>
      <c r="Q1" s="256" t="s">
        <v>2115</v>
      </c>
      <c r="R1" s="77"/>
      <c r="S1" s="326" t="s">
        <v>2150</v>
      </c>
      <c r="T1" s="77"/>
      <c r="U1" s="256" t="s">
        <v>2116</v>
      </c>
      <c r="V1" s="77"/>
      <c r="W1" s="256" t="s">
        <v>2117</v>
      </c>
      <c r="X1" s="77"/>
      <c r="Y1" s="256" t="s">
        <v>2118</v>
      </c>
      <c r="Z1" s="77"/>
      <c r="AA1" s="261" t="s">
        <v>2119</v>
      </c>
      <c r="AB1" s="77"/>
      <c r="AC1" s="261" t="s">
        <v>2121</v>
      </c>
      <c r="AD1" s="77"/>
      <c r="AE1" s="271" t="s">
        <v>2122</v>
      </c>
      <c r="AF1" s="77"/>
      <c r="AG1" s="271" t="s">
        <v>2123</v>
      </c>
      <c r="AH1" s="77"/>
      <c r="AI1" s="271" t="s">
        <v>2135</v>
      </c>
      <c r="AJ1" s="77"/>
      <c r="AK1" s="271" t="s">
        <v>2136</v>
      </c>
      <c r="AL1" s="77"/>
      <c r="AM1" s="271" t="s">
        <v>2137</v>
      </c>
      <c r="AN1" s="77"/>
      <c r="AO1" s="256" t="s">
        <v>2124</v>
      </c>
      <c r="AP1" s="77"/>
      <c r="AQ1" s="326" t="s">
        <v>2151</v>
      </c>
      <c r="AR1" s="77"/>
      <c r="AS1" s="261" t="s">
        <v>2125</v>
      </c>
      <c r="AT1" s="77"/>
      <c r="AU1" s="261" t="s">
        <v>2126</v>
      </c>
      <c r="AV1" s="77"/>
      <c r="AW1" s="271" t="s">
        <v>2127</v>
      </c>
      <c r="AX1" s="77"/>
      <c r="AY1" s="256" t="s">
        <v>2138</v>
      </c>
      <c r="AZ1" s="77"/>
      <c r="BA1" s="256" t="s">
        <v>2139</v>
      </c>
      <c r="BB1" s="77"/>
      <c r="BC1" s="256" t="s">
        <v>2140</v>
      </c>
      <c r="BD1" s="77"/>
      <c r="BE1" s="256" t="s">
        <v>2141</v>
      </c>
      <c r="BF1" s="77"/>
      <c r="BG1" s="256" t="s">
        <v>2142</v>
      </c>
      <c r="BH1" s="77"/>
      <c r="BI1" s="256" t="s">
        <v>2143</v>
      </c>
      <c r="BJ1" s="77"/>
      <c r="BK1" s="326" t="s">
        <v>2152</v>
      </c>
      <c r="BL1" s="77"/>
      <c r="BM1" s="256" t="s">
        <v>2144</v>
      </c>
      <c r="BN1" s="77"/>
      <c r="BO1" s="256" t="s">
        <v>2145</v>
      </c>
      <c r="BP1" s="77"/>
      <c r="BQ1" s="327" t="s">
        <v>2153</v>
      </c>
      <c r="BR1" s="77"/>
      <c r="BS1" s="271" t="s">
        <v>2146</v>
      </c>
      <c r="BT1" s="77"/>
      <c r="BU1" s="257" t="s">
        <v>2128</v>
      </c>
      <c r="BV1" s="77"/>
      <c r="BW1" s="267" t="s">
        <v>2081</v>
      </c>
      <c r="BX1" s="66"/>
      <c r="BY1" s="267" t="s">
        <v>2087</v>
      </c>
      <c r="BZ1" s="66"/>
      <c r="CA1" s="104" t="s">
        <v>2082</v>
      </c>
      <c r="CB1" s="66"/>
      <c r="CC1" s="104" t="s">
        <v>2083</v>
      </c>
      <c r="CD1" s="66"/>
      <c r="CE1" s="144" t="s">
        <v>2084</v>
      </c>
      <c r="CF1" s="66"/>
      <c r="CG1" s="144" t="s">
        <v>2088</v>
      </c>
      <c r="CH1" s="66"/>
      <c r="CI1" s="144" t="s">
        <v>2089</v>
      </c>
      <c r="CJ1" s="66"/>
      <c r="CK1" s="263" t="s">
        <v>2090</v>
      </c>
      <c r="CL1" s="66"/>
      <c r="CM1" s="144" t="s">
        <v>2091</v>
      </c>
      <c r="CN1" s="66"/>
      <c r="CO1" s="144" t="s">
        <v>2092</v>
      </c>
      <c r="CP1" s="66"/>
      <c r="CQ1" s="104" t="s">
        <v>2093</v>
      </c>
      <c r="CR1" s="66"/>
      <c r="CS1" s="104" t="s">
        <v>2094</v>
      </c>
      <c r="CT1" s="66"/>
      <c r="CU1" s="117" t="s">
        <v>2095</v>
      </c>
      <c r="CV1" s="66"/>
      <c r="CW1" s="105" t="s">
        <v>2096</v>
      </c>
      <c r="CX1" s="66"/>
      <c r="CY1" s="104" t="s">
        <v>2097</v>
      </c>
      <c r="CZ1" s="66"/>
      <c r="DA1" s="259" t="s">
        <v>2098</v>
      </c>
      <c r="DB1" s="66"/>
      <c r="DC1" s="148" t="s">
        <v>2099</v>
      </c>
      <c r="DD1" s="66"/>
      <c r="DE1" s="148" t="s">
        <v>2100</v>
      </c>
      <c r="DF1" s="66"/>
      <c r="DG1" s="148" t="s">
        <v>2101</v>
      </c>
      <c r="DH1" s="66"/>
      <c r="DI1" s="263" t="s">
        <v>2102</v>
      </c>
      <c r="DJ1" s="66"/>
      <c r="DK1" s="144" t="s">
        <v>2110</v>
      </c>
      <c r="DL1" s="66"/>
      <c r="DM1" s="145" t="s">
        <v>2111</v>
      </c>
      <c r="DN1" s="66"/>
      <c r="DO1" s="145" t="s">
        <v>2112</v>
      </c>
      <c r="DP1" s="66"/>
      <c r="DQ1" s="259" t="s">
        <v>2113</v>
      </c>
      <c r="DR1" s="66"/>
      <c r="DS1" s="134" t="s">
        <v>2103</v>
      </c>
      <c r="DT1" s="66"/>
      <c r="DU1" s="328" t="s">
        <v>2154</v>
      </c>
      <c r="DV1" s="66"/>
      <c r="DW1" s="328" t="s">
        <v>2155</v>
      </c>
      <c r="DX1" s="66"/>
      <c r="DY1" s="328" t="s">
        <v>2156</v>
      </c>
      <c r="DZ1" s="66"/>
      <c r="EA1" s="328" t="s">
        <v>2157</v>
      </c>
      <c r="EB1" s="66"/>
      <c r="EC1" s="328" t="s">
        <v>2158</v>
      </c>
      <c r="ED1" s="66"/>
      <c r="EE1" s="328" t="s">
        <v>2159</v>
      </c>
      <c r="EF1" s="66"/>
      <c r="EG1" s="338" t="s">
        <v>2104</v>
      </c>
      <c r="EH1" s="276"/>
      <c r="EI1" s="277" t="s">
        <v>2104</v>
      </c>
      <c r="EJ1" s="276"/>
      <c r="EK1" s="277" t="s">
        <v>2104</v>
      </c>
      <c r="EL1" s="276"/>
      <c r="EM1" s="337" t="s">
        <v>2105</v>
      </c>
      <c r="EN1" s="276"/>
      <c r="EO1" s="337" t="s">
        <v>2106</v>
      </c>
      <c r="EP1" s="276"/>
      <c r="EQ1" s="109"/>
      <c r="ER1" s="110"/>
      <c r="ES1" s="114" t="s">
        <v>1205</v>
      </c>
      <c r="ET1" s="108"/>
    </row>
    <row r="2" spans="1:150" ht="13.5" customHeight="1" x14ac:dyDescent="0.2">
      <c r="H2" s="68"/>
      <c r="I2" s="59">
        <v>1</v>
      </c>
      <c r="J2" s="59">
        <v>1</v>
      </c>
      <c r="K2" s="59" t="s">
        <v>950</v>
      </c>
      <c r="M2" s="68"/>
      <c r="N2" s="113"/>
      <c r="O2" s="69" cm="1">
        <f t="array" ref="O2">SUMPRODUCT(--(O4:O118&lt;&gt;""),P4:P118)</f>
        <v>40</v>
      </c>
      <c r="P2" s="70"/>
      <c r="Q2" s="69" cm="1">
        <f t="array" ref="Q2">SUMPRODUCT(--(Q4:Q118&lt;&gt;""),R4:R118)</f>
        <v>60</v>
      </c>
      <c r="R2" s="70"/>
      <c r="S2" s="69" cm="1">
        <f t="array" ref="S2">SUMPRODUCT(--(S4:S118&lt;&gt;""),T4:T118)</f>
        <v>10</v>
      </c>
      <c r="T2" s="70"/>
      <c r="U2" s="69" cm="1">
        <f t="array" ref="U2">SUMPRODUCT(--(U4:U118&lt;&gt;""),V4:V118)</f>
        <v>40</v>
      </c>
      <c r="V2" s="70"/>
      <c r="W2" s="69" cm="1">
        <f t="array" ref="W2">SUMPRODUCT(--(W4:W118&lt;&gt;""),X4:X118)</f>
        <v>80</v>
      </c>
      <c r="X2" s="70"/>
      <c r="Y2" s="69" cm="1">
        <f t="array" ref="Y2">SUMPRODUCT(--(Y4:Y118&lt;&gt;""),Z4:Z118)</f>
        <v>40</v>
      </c>
      <c r="Z2" s="70"/>
      <c r="AA2" s="69" cm="1">
        <f t="array" ref="AA2">SUMPRODUCT(--(AA4:AA118&lt;&gt;""),AB4:AB118)</f>
        <v>50</v>
      </c>
      <c r="AB2" s="70"/>
      <c r="AC2" s="69" cm="1">
        <f t="array" ref="AC2">SUMPRODUCT(--(AC4:AC118&lt;&gt;""),AD4:AD118)</f>
        <v>70</v>
      </c>
      <c r="AD2" s="70"/>
      <c r="AE2" s="69" cm="1">
        <f t="array" ref="AE2">SUMPRODUCT(--(AE4:AE118&lt;&gt;""),AF4:AF118)</f>
        <v>60</v>
      </c>
      <c r="AF2" s="70"/>
      <c r="AG2" s="69" cm="1">
        <f t="array" ref="AG2">SUMPRODUCT(--(AG4:AG118&lt;&gt;""),AH4:AH118)</f>
        <v>50</v>
      </c>
      <c r="AH2" s="70"/>
      <c r="AI2" s="69" cm="1">
        <f t="array" ref="AI2">SUMPRODUCT(--(AI4:AI118&lt;&gt;""),AJ4:AJ118)</f>
        <v>60</v>
      </c>
      <c r="AJ2" s="70"/>
      <c r="AK2" s="69" cm="1">
        <f t="array" ref="AK2">SUMPRODUCT(--(AK4:AK118&lt;&gt;""),AL4:AL118)</f>
        <v>50</v>
      </c>
      <c r="AL2" s="70"/>
      <c r="AM2" s="69" cm="1">
        <f t="array" ref="AM2">SUMPRODUCT(--(AM4:AM118&lt;&gt;""),AN4:AN118)</f>
        <v>20</v>
      </c>
      <c r="AN2" s="70"/>
      <c r="AO2" s="69" cm="1">
        <f t="array" ref="AO2">SUMPRODUCT(--(AO4:AO118&lt;&gt;""),AP4:AP118)</f>
        <v>90</v>
      </c>
      <c r="AP2" s="70"/>
      <c r="AQ2" s="69" cm="1">
        <f t="array" ref="AQ2">SUMPRODUCT(--(AQ4:AQ118&lt;&gt;""),AR4:AR118)</f>
        <v>30</v>
      </c>
      <c r="AR2" s="70"/>
      <c r="AS2" s="69" cm="1">
        <f t="array" ref="AS2">SUMPRODUCT(--(AS4:AS118&lt;&gt;""),AT4:AT118)</f>
        <v>80</v>
      </c>
      <c r="AT2" s="70"/>
      <c r="AU2" s="69" cm="1">
        <f t="array" ref="AU2">SUMPRODUCT(--(AU4:AU118&lt;&gt;""),AV4:AV118)</f>
        <v>80</v>
      </c>
      <c r="AV2" s="70"/>
      <c r="AW2" s="69" cm="1">
        <f t="array" ref="AW2">SUMPRODUCT(--(AW4:AW118&lt;&gt;""),AX4:AX118)</f>
        <v>20</v>
      </c>
      <c r="AX2" s="70"/>
      <c r="AY2" s="69" cm="1">
        <f t="array" ref="AY2">SUMPRODUCT(--(AY4:AY118&lt;&gt;""),AZ4:AZ118)</f>
        <v>70</v>
      </c>
      <c r="AZ2" s="70"/>
      <c r="BA2" s="69" cm="1">
        <f t="array" ref="BA2">SUMPRODUCT(--(BA4:BA118&lt;&gt;""),BB4:BB118)</f>
        <v>50</v>
      </c>
      <c r="BB2" s="70"/>
      <c r="BC2" s="69" cm="1">
        <f t="array" ref="BC2">SUMPRODUCT(--(BC4:BC118&lt;&gt;""),BD4:BD118)</f>
        <v>80</v>
      </c>
      <c r="BD2" s="70"/>
      <c r="BE2" s="69" cm="1">
        <f t="array" ref="BE2">SUMPRODUCT(--(BE4:BE118&lt;&gt;""),BF4:BF118)</f>
        <v>70</v>
      </c>
      <c r="BF2" s="70"/>
      <c r="BG2" s="69" cm="1">
        <f t="array" ref="BG2">SUMPRODUCT(--(BG4:BG118&lt;&gt;""),BH4:BH118)</f>
        <v>50</v>
      </c>
      <c r="BH2" s="70"/>
      <c r="BI2" s="69" cm="1">
        <f t="array" ref="BI2">SUMPRODUCT(--(BI4:BI118&lt;&gt;""),BJ4:BJ118)</f>
        <v>60</v>
      </c>
      <c r="BJ2" s="70"/>
      <c r="BK2" s="69" cm="1">
        <f t="array" ref="BK2">SUMPRODUCT(--(BK4:BK118&lt;&gt;""),BL4:BL118)</f>
        <v>10</v>
      </c>
      <c r="BL2" s="70"/>
      <c r="BM2" s="69" cm="1">
        <f t="array" ref="BM2">SUMPRODUCT(--(BM4:BM118&lt;&gt;""),BN4:BN118)</f>
        <v>40</v>
      </c>
      <c r="BN2" s="70"/>
      <c r="BO2" s="69" cm="1">
        <f t="array" ref="BO2">SUMPRODUCT(--(BO4:BO118&lt;&gt;""),BP4:BP118)</f>
        <v>20</v>
      </c>
      <c r="BP2" s="70"/>
      <c r="BQ2" s="122" cm="1">
        <f t="array" ref="BQ2">SUMPRODUCT(--(BQ4:BQ118&lt;&gt;""),BR4:BR118)</f>
        <v>10</v>
      </c>
      <c r="BR2" s="70"/>
      <c r="BS2" s="69" cm="1">
        <f t="array" ref="BS2">SUMPRODUCT(--(BS4:BS118&lt;&gt;""),BT4:BT118)</f>
        <v>20</v>
      </c>
      <c r="BT2" s="70"/>
      <c r="BU2" s="69" cm="1">
        <f t="array" ref="BU2">SUMPRODUCT(--(BU4:BU118&lt;&gt;""),BV4:BV118)</f>
        <v>10</v>
      </c>
      <c r="BV2" s="70"/>
      <c r="BW2" s="69" cm="1">
        <f t="array" ref="BW2">SUMPRODUCT(--(BW4:BW118&lt;&gt;""),BX4:BX118)</f>
        <v>73</v>
      </c>
      <c r="BX2" s="70"/>
      <c r="BY2" s="69" cm="1">
        <f t="array" ref="BY2">SUMPRODUCT(--(BY4:BY118&lt;&gt;""),BZ4:BZ118)</f>
        <v>70</v>
      </c>
      <c r="BZ2" s="70"/>
      <c r="CA2" s="69" cm="1">
        <f t="array" ref="CA2">SUMPRODUCT(--(CA4:CA118&lt;&gt;""),CB4:CB118)</f>
        <v>74</v>
      </c>
      <c r="CB2" s="70"/>
      <c r="CC2" s="69" cm="1">
        <f t="array" ref="CC2">SUMPRODUCT(--(CC4:CC118&lt;&gt;""),CD4:CD118)</f>
        <v>74</v>
      </c>
      <c r="CD2" s="70"/>
      <c r="CE2" s="69" cm="1">
        <f t="array" ref="CE2">SUMPRODUCT(--(CE4:CE118&lt;&gt;""),CF4:CF118)</f>
        <v>91</v>
      </c>
      <c r="CF2" s="70"/>
      <c r="CG2" s="69" cm="1">
        <f t="array" ref="CG2">SUMPRODUCT(--(CG4:CG118&lt;&gt;""),CH4:CH118)</f>
        <v>50</v>
      </c>
      <c r="CH2" s="70"/>
      <c r="CI2" s="69" cm="1">
        <f t="array" ref="CI2">SUMPRODUCT(--(CI4:CI118&lt;&gt;""),CJ4:CJ118)</f>
        <v>60</v>
      </c>
      <c r="CJ2" s="70"/>
      <c r="CK2" s="69" cm="1">
        <f t="array" ref="CK2">SUMPRODUCT(--(CK4:CK118&lt;&gt;""),CL4:CL118)</f>
        <v>70</v>
      </c>
      <c r="CL2" s="70"/>
      <c r="CM2" s="69" cm="1">
        <f t="array" ref="CM2">SUMPRODUCT(--(CM4:CM118&lt;&gt;""),CN4:CN118)</f>
        <v>85</v>
      </c>
      <c r="CN2" s="70"/>
      <c r="CO2" s="69" cm="1">
        <f t="array" ref="CO2">SUMPRODUCT(--(CO4:CO118&lt;&gt;""),CP4:CP118)</f>
        <v>113</v>
      </c>
      <c r="CP2" s="70"/>
      <c r="CQ2" s="69" cm="1">
        <f t="array" ref="CQ2">SUMPRODUCT(--(CQ4:CQ118&lt;&gt;""),CR4:CR118)</f>
        <v>65</v>
      </c>
      <c r="CR2" s="70"/>
      <c r="CS2" s="69" cm="1">
        <f t="array" ref="CS2">SUMPRODUCT(--(CS4:CS118&lt;&gt;""),CT4:CT118)</f>
        <v>93</v>
      </c>
      <c r="CT2" s="70"/>
      <c r="CU2" s="69" cm="1">
        <f t="array" ref="CU2">SUMPRODUCT(--(CU4:CU118&lt;&gt;""),CV4:CV118)</f>
        <v>51</v>
      </c>
      <c r="CV2" s="70"/>
      <c r="CW2" s="69" cm="1">
        <f t="array" ref="CW2">SUMPRODUCT(--(CW4:CW118&lt;&gt;""),CX4:CX118)</f>
        <v>151</v>
      </c>
      <c r="CX2" s="70"/>
      <c r="CY2" s="69" cm="1">
        <f t="array" ref="CY2">SUMPRODUCT(--(CY4:CY118&lt;&gt;""),CZ4:CZ118)</f>
        <v>123</v>
      </c>
      <c r="CZ2" s="70"/>
      <c r="DA2" s="69" cm="1">
        <f t="array" ref="DA2">SUMPRODUCT(--(DA4:DA118&lt;&gt;""),DB4:DB118)</f>
        <v>82</v>
      </c>
      <c r="DB2" s="70"/>
      <c r="DC2" s="69" cm="1">
        <f t="array" ref="DC2">SUMPRODUCT(--(DC4:DC118&lt;&gt;""),DD4:DD118)</f>
        <v>84</v>
      </c>
      <c r="DD2" s="70"/>
      <c r="DE2" s="69" cm="1">
        <f t="array" ref="DE2">SUMPRODUCT(--(DE4:DE118&lt;&gt;""),DF4:DF118)</f>
        <v>74</v>
      </c>
      <c r="DF2" s="70"/>
      <c r="DG2" s="69" cm="1">
        <f t="array" ref="DG2">SUMPRODUCT(--(DG4:DG118&lt;&gt;""),DH4:DH118)</f>
        <v>94</v>
      </c>
      <c r="DH2" s="70"/>
      <c r="DI2" s="69" cm="1">
        <f t="array" ref="DI2">SUMPRODUCT(--(DI4:DI118&lt;&gt;""),DJ4:DJ118)</f>
        <v>54</v>
      </c>
      <c r="DJ2" s="70"/>
      <c r="DK2" s="69" cm="1">
        <f t="array" ref="DK2">SUMPRODUCT(--(DK4:DK118&lt;&gt;""),DL4:DL118)</f>
        <v>104</v>
      </c>
      <c r="DL2" s="70"/>
      <c r="DM2" s="69" cm="1">
        <f t="array" ref="DM2">SUMPRODUCT(--(DM4:DM118&lt;&gt;""),DN4:DN118)</f>
        <v>93</v>
      </c>
      <c r="DN2" s="70"/>
      <c r="DO2" s="69" cm="1">
        <f t="array" ref="DO2">SUMPRODUCT(--(DO4:DO118&lt;&gt;""),DP4:DP118)</f>
        <v>94</v>
      </c>
      <c r="DP2" s="70"/>
      <c r="DQ2" s="69" cm="1">
        <f t="array" ref="DQ2">SUMPRODUCT(--(DQ4:DQ118&lt;&gt;""),DR4:DR118)</f>
        <v>102</v>
      </c>
      <c r="DR2" s="70"/>
      <c r="DS2" s="69" cm="1">
        <f t="array" ref="DS2">SUMPRODUCT(--(DS4:DS118&lt;&gt;""),DT4:DT118)</f>
        <v>106</v>
      </c>
      <c r="DT2" s="70"/>
      <c r="DU2" s="69" cm="1">
        <f t="array" ref="DU2">SUMPRODUCT(--(DU4:DU118&lt;&gt;""),DV4:DV118)</f>
        <v>80</v>
      </c>
      <c r="DV2" s="70"/>
      <c r="DW2" s="69" cm="1">
        <f t="array" ref="DW2">SUMPRODUCT(--(DW4:DW118&lt;&gt;""),DX4:DX118)</f>
        <v>80</v>
      </c>
      <c r="DX2" s="70"/>
      <c r="DY2" s="69" cm="1">
        <f t="array" ref="DY2">SUMPRODUCT(--(DY4:DY118&lt;&gt;""),DZ4:DZ118)</f>
        <v>100</v>
      </c>
      <c r="DZ2" s="70"/>
      <c r="EA2" s="69" cm="1">
        <f t="array" ref="EA2">SUMPRODUCT(--(EA4:EA118&lt;&gt;""),EB4:EB118)</f>
        <v>50</v>
      </c>
      <c r="EB2" s="70"/>
      <c r="EC2" s="69" cm="1">
        <f t="array" ref="EC2">SUMPRODUCT(--(EC4:EC118&lt;&gt;""),ED4:ED118)</f>
        <v>75</v>
      </c>
      <c r="ED2" s="70"/>
      <c r="EE2" s="69" cm="1">
        <f t="array" ref="EE2">SUMPRODUCT(--(EE4:EE118&lt;&gt;""),EF4:EF118)</f>
        <v>50</v>
      </c>
      <c r="EF2" s="70"/>
      <c r="EG2" s="69" cm="1">
        <f t="array" ref="EG2">SUMPRODUCT(--(EG4:EG118&lt;&gt;""),EH4:EH118)</f>
        <v>20</v>
      </c>
      <c r="EH2" s="70"/>
      <c r="EI2" s="69" cm="1">
        <f t="array" ref="EI2">SUMPRODUCT(--(EI4:EI118&lt;&gt;""),EJ4:EJ118)</f>
        <v>20</v>
      </c>
      <c r="EJ2" s="70"/>
      <c r="EK2" s="69" cm="1">
        <f t="array" ref="EK2">SUMPRODUCT(--(EK4:EK118&lt;&gt;""),EL4:EL118)</f>
        <v>10</v>
      </c>
      <c r="EL2" s="70"/>
      <c r="EM2" s="69" cm="1">
        <f t="array" ref="EM2">SUMPRODUCT(--(EM4:EM118&lt;&gt;""),EN4:EN118)</f>
        <v>10</v>
      </c>
      <c r="EN2" s="70"/>
      <c r="EO2" s="69" cm="1">
        <f t="array" ref="EO2">SUMPRODUCT(--(EO4:EO118&lt;&gt;""),EP4:EP118)</f>
        <v>20</v>
      </c>
      <c r="EP2" s="70"/>
      <c r="EQ2" s="111"/>
      <c r="ER2" s="110"/>
      <c r="ES2" s="113">
        <f>SUM(ES4:ES118)*3</f>
        <v>84</v>
      </c>
    </row>
    <row r="3" spans="1:150" x14ac:dyDescent="0.2">
      <c r="H3" s="68"/>
      <c r="I3" s="59">
        <v>1</v>
      </c>
      <c r="J3" s="59">
        <v>1</v>
      </c>
      <c r="K3" s="71" t="s">
        <v>1043</v>
      </c>
      <c r="L3" s="71" t="str">
        <f>L1</f>
        <v>ZM</v>
      </c>
      <c r="M3" s="71">
        <f>MATCH(L3,MA!B:B,0)</f>
        <v>2</v>
      </c>
      <c r="N3" s="113">
        <f ca="1">SUM(N4:N118)</f>
        <v>52</v>
      </c>
      <c r="O3" s="72"/>
      <c r="P3" s="72" cm="1">
        <f t="array" aca="1" ref="P3" ca="1">Trig!O$2-SUMPRODUCT(--($M$4:$M$118&lt;=Trig!O$4:O$118), ((Trig!P$4:P$118)))</f>
        <v>20</v>
      </c>
      <c r="Q3" s="72"/>
      <c r="R3" s="72" cm="1">
        <f t="array" aca="1" ref="R3" ca="1">Trig!Q$2-SUMPRODUCT(--($M$4:$M$118&lt;=Trig!Q$4:Q$118), ((Trig!R$4:R$118)))</f>
        <v>40</v>
      </c>
      <c r="S3" s="72"/>
      <c r="T3" s="72" cm="1">
        <f t="array" aca="1" ref="T3" ca="1">Trig!S$2-SUMPRODUCT(--($M$4:$M$118&lt;=Trig!S$4:S$118), ((Trig!T$4:T$118)))</f>
        <v>10</v>
      </c>
      <c r="U3" s="72"/>
      <c r="V3" s="72" cm="1">
        <f t="array" aca="1" ref="V3" ca="1">Trig!U$2-SUMPRODUCT(--($M$4:$M$118&lt;=Trig!U$4:U$118), ((Trig!V$4:V$118)))</f>
        <v>30</v>
      </c>
      <c r="W3" s="72"/>
      <c r="X3" s="72" cm="1">
        <f t="array" aca="1" ref="X3" ca="1">Trig!W$2-SUMPRODUCT(--($M$4:$M$118&lt;=Trig!W$4:W$118), ((Trig!X$4:X$118)))</f>
        <v>40</v>
      </c>
      <c r="Y3" s="72"/>
      <c r="Z3" s="72" cm="1">
        <f t="array" aca="1" ref="Z3" ca="1">Trig!Y$2-SUMPRODUCT(--($M$4:$M$118&lt;=Trig!Y$4:Y$118), ((Trig!Z$4:Z$118)))</f>
        <v>20</v>
      </c>
      <c r="AA3" s="72"/>
      <c r="AB3" s="72" cm="1">
        <f t="array" aca="1" ref="AB3" ca="1">Trig!AA$2-SUMPRODUCT(--($M$4:$M$118&lt;=Trig!AA$4:AA$118), ((Trig!AB$4:AB$118)))</f>
        <v>20</v>
      </c>
      <c r="AC3" s="72"/>
      <c r="AD3" s="72" cm="1">
        <f t="array" aca="1" ref="AD3" ca="1">Trig!AC$2-SUMPRODUCT(--($M$4:$M$118&lt;=Trig!AC$4:AC$118), ((Trig!AD$4:AD$118)))</f>
        <v>50</v>
      </c>
      <c r="AE3" s="72"/>
      <c r="AF3" s="72" cm="1">
        <f t="array" aca="1" ref="AF3" ca="1">Trig!AE$2-SUMPRODUCT(--($M$4:$M$118&lt;=Trig!AE$4:AE$118), ((Trig!AF$4:AF$118)))</f>
        <v>40</v>
      </c>
      <c r="AG3" s="72"/>
      <c r="AH3" s="72" cm="1">
        <f t="array" aca="1" ref="AH3" ca="1">Trig!AG$2-SUMPRODUCT(--($M$4:$M$118&lt;=Trig!AG$4:AG$118), ((Trig!AH$4:AH$118)))</f>
        <v>30</v>
      </c>
      <c r="AI3" s="72"/>
      <c r="AJ3" s="72" cm="1">
        <f t="array" aca="1" ref="AJ3" ca="1">Trig!AI$2-SUMPRODUCT(--($M$4:$M$118&lt;=Trig!AI$4:AI$118), ((Trig!AJ$4:AJ$118)))</f>
        <v>50</v>
      </c>
      <c r="AK3" s="72"/>
      <c r="AL3" s="72" cm="1">
        <f t="array" aca="1" ref="AL3" ca="1">Trig!AK$2-SUMPRODUCT(--($M$4:$M$118&lt;=Trig!AK$4:AK$118), ((Trig!AL$4:AL$118)))</f>
        <v>40</v>
      </c>
      <c r="AM3" s="72"/>
      <c r="AN3" s="72" cm="1">
        <f t="array" aca="1" ref="AN3" ca="1">Trig!AM$2-SUMPRODUCT(--($M$4:$M$118&lt;=Trig!AM$4:AM$118), ((Trig!AN$4:AN$118)))</f>
        <v>10</v>
      </c>
      <c r="AO3" s="72"/>
      <c r="AP3" s="72" cm="1">
        <f t="array" aca="1" ref="AP3" ca="1">Trig!AO$2-SUMPRODUCT(--($M$4:$M$118&lt;=Trig!AO$4:AO$118), ((Trig!AP$4:AP$118)))</f>
        <v>50</v>
      </c>
      <c r="AQ3" s="72"/>
      <c r="AR3" s="72" cm="1">
        <f t="array" aca="1" ref="AR3" ca="1">Trig!AQ$2-SUMPRODUCT(--($M$4:$M$118&lt;=Trig!AQ$4:AQ$118), ((Trig!AR$4:AR$118)))</f>
        <v>0</v>
      </c>
      <c r="AS3" s="72"/>
      <c r="AT3" s="72" cm="1">
        <f t="array" aca="1" ref="AT3" ca="1">Trig!AS$2-SUMPRODUCT(--($M$4:$M$118&lt;=Trig!AS$4:AS$118), ((Trig!AT$4:AT$118)))</f>
        <v>50</v>
      </c>
      <c r="AU3" s="72"/>
      <c r="AV3" s="72" cm="1">
        <f t="array" aca="1" ref="AV3" ca="1">Trig!AU$2-SUMPRODUCT(--($M$4:$M$118&lt;=Trig!AU$4:AU$118), ((Trig!AV$4:AV$118)))</f>
        <v>60</v>
      </c>
      <c r="AW3" s="72"/>
      <c r="AX3" s="72" cm="1">
        <f t="array" aca="1" ref="AX3" ca="1">Trig!AW$2-SUMPRODUCT(--($M$4:$M$118&lt;=Trig!AW$4:AW$118), ((Trig!AX$4:AX$118)))</f>
        <v>0</v>
      </c>
      <c r="AY3" s="72"/>
      <c r="AZ3" s="72" cm="1">
        <f t="array" aca="1" ref="AZ3" ca="1">Trig!AY$2-SUMPRODUCT(--($M$4:$M$118&lt;=Trig!AY$4:AY$118), ((Trig!AZ$4:AZ$118)))</f>
        <v>40</v>
      </c>
      <c r="BA3" s="72"/>
      <c r="BB3" s="72" cm="1">
        <f t="array" aca="1" ref="BB3" ca="1">Trig!BA$2-SUMPRODUCT(--($M$4:$M$118&lt;=Trig!BA$4:BA$118), ((Trig!BB$4:BB$118)))</f>
        <v>30</v>
      </c>
      <c r="BC3" s="72"/>
      <c r="BD3" s="72" cm="1">
        <f t="array" aca="1" ref="BD3" ca="1">Trig!BC$2-SUMPRODUCT(--($M$4:$M$118&lt;=Trig!BC$4:BC$118), ((Trig!BD$4:BD$118)))</f>
        <v>50</v>
      </c>
      <c r="BE3" s="72"/>
      <c r="BF3" s="72" cm="1">
        <f t="array" aca="1" ref="BF3" ca="1">Trig!BE$2-SUMPRODUCT(--($M$4:$M$118&lt;=Trig!BE$4:BE$118), ((Trig!BF$4:BF$118)))</f>
        <v>50</v>
      </c>
      <c r="BG3" s="72"/>
      <c r="BH3" s="72" cm="1">
        <f t="array" aca="1" ref="BH3" ca="1">Trig!BG$2-SUMPRODUCT(--($M$4:$M$118&lt;=Trig!BG$4:BG$118), ((Trig!BH$4:BH$118)))</f>
        <v>30</v>
      </c>
      <c r="BI3" s="72"/>
      <c r="BJ3" s="72" cm="1">
        <f t="array" aca="1" ref="BJ3" ca="1">Trig!BI$2-SUMPRODUCT(--($M$4:$M$118&lt;=Trig!BI$4:BI$118), ((Trig!BJ$4:BJ$118)))</f>
        <v>50</v>
      </c>
      <c r="BK3" s="72"/>
      <c r="BL3" s="72" cm="1">
        <f t="array" aca="1" ref="BL3" ca="1">Trig!BK$2-SUMPRODUCT(--($M$4:$M$118&lt;=Trig!BK$4:BK$118), ((Trig!BL$4:BL$118)))</f>
        <v>10</v>
      </c>
      <c r="BM3" s="72"/>
      <c r="BN3" s="72" cm="1">
        <f t="array" aca="1" ref="BN3" ca="1">Trig!BM$2-SUMPRODUCT(--($M$4:$M$118&lt;=Trig!BM$4:BM$118), ((Trig!BN$4:BN$118)))</f>
        <v>30</v>
      </c>
      <c r="BO3" s="72"/>
      <c r="BP3" s="72" cm="1">
        <f t="array" aca="1" ref="BP3" ca="1">Trig!BO$2-SUMPRODUCT(--($M$4:$M$118&lt;=Trig!BO$4:BO$118), ((Trig!BP$4:BP$118)))</f>
        <v>10</v>
      </c>
      <c r="BQ3" s="123"/>
      <c r="BR3" s="72" cm="1">
        <f t="array" aca="1" ref="BR3" ca="1">Trig!BQ$2-SUMPRODUCT(--($M$4:$M$118&lt;=Trig!BQ$4:BQ$118), ((Trig!BR$4:BR$118)))</f>
        <v>10</v>
      </c>
      <c r="BS3" s="72"/>
      <c r="BT3" s="72" cm="1">
        <f t="array" aca="1" ref="BT3" ca="1">Trig!BS$2-SUMPRODUCT(--($M$4:$M$118&lt;=Trig!BS$4:BS$118), ((Trig!BT$4:BT$118)))</f>
        <v>10</v>
      </c>
      <c r="BU3" s="72"/>
      <c r="BV3" s="72" cm="1">
        <f t="array" aca="1" ref="BV3" ca="1">Trig!BU$2-SUMPRODUCT(--($M$4:$M$118&lt;=Trig!BU$4:BU$118), ((Trig!BV$4:BV$118)))</f>
        <v>10</v>
      </c>
      <c r="BW3" s="72"/>
      <c r="BX3" s="72" cm="1">
        <f t="array" aca="1" ref="BX3" ca="1">Trig!BW$2-SUMPRODUCT(--($M$4:$M$118&gt;=Trig!BW$4:BW$118), ((Trig!BX$4:BX$118)))</f>
        <v>31</v>
      </c>
      <c r="BY3" s="72"/>
      <c r="BZ3" s="72" cm="1">
        <f t="array" aca="1" ref="BZ3" ca="1">Trig!BY$2-SUMPRODUCT(--($M$4:$M$118&gt;=Trig!BY$4:BY$118), ((Trig!BZ$4:BZ$118)))</f>
        <v>30</v>
      </c>
      <c r="CA3" s="72"/>
      <c r="CB3" s="72" cm="1">
        <f t="array" aca="1" ref="CB3" ca="1">Trig!CA$2-SUMPRODUCT(--($M$4:$M$118&gt;=Trig!CA$4:CA$118), ((Trig!CB$4:CB$118)))</f>
        <v>41</v>
      </c>
      <c r="CC3" s="72"/>
      <c r="CD3" s="72" cm="1">
        <f t="array" aca="1" ref="CD3" ca="1">Trig!CC$2-SUMPRODUCT(--($M$4:$M$118&gt;=Trig!CC$4:CC$118), ((Trig!CD$4:CD$118)))</f>
        <v>31</v>
      </c>
      <c r="CE3" s="72"/>
      <c r="CF3" s="72" cm="1">
        <f t="array" aca="1" ref="CF3" ca="1">Trig!CE$2-SUMPRODUCT(--($M$4:$M$118&gt;=Trig!CE$4:CE$118), ((Trig!CF$4:CF$118)))</f>
        <v>41</v>
      </c>
      <c r="CG3" s="72"/>
      <c r="CH3" s="72" cm="1">
        <f t="array" aca="1" ref="CH3" ca="1">Trig!CG$2-SUMPRODUCT(--($M$4:$M$118&gt;=Trig!CG$4:CG$118), ((Trig!CH$4:CH$118)))</f>
        <v>30</v>
      </c>
      <c r="CI3" s="72"/>
      <c r="CJ3" s="72" cm="1">
        <f t="array" aca="1" ref="CJ3" ca="1">Trig!CI$2-SUMPRODUCT(--($M$4:$M$118&gt;=Trig!CI$4:CI$118), ((Trig!CJ$4:CJ$118)))</f>
        <v>30</v>
      </c>
      <c r="CK3" s="72"/>
      <c r="CL3" s="72" cm="1">
        <f t="array" aca="1" ref="CL3" ca="1">Trig!CK$2-SUMPRODUCT(--($M$4:$M$118&gt;=Trig!CK$4:CK$118), ((Trig!CL$4:CL$118)))</f>
        <v>30</v>
      </c>
      <c r="CM3" s="72"/>
      <c r="CN3" s="72" cm="1">
        <f t="array" aca="1" ref="CN3" ca="1">Trig!CM$2-SUMPRODUCT(--($M$4:$M$118&gt;=Trig!CM$4:CM$118), ((Trig!CN$4:CN$118)))</f>
        <v>41</v>
      </c>
      <c r="CO3" s="72"/>
      <c r="CP3" s="72" cm="1">
        <f t="array" aca="1" ref="CP3" ca="1">Trig!CO$2-SUMPRODUCT(--($M$4:$M$118&gt;=Trig!CO$4:CO$118), ((Trig!CP$4:CP$118)))</f>
        <v>21</v>
      </c>
      <c r="CQ3" s="72"/>
      <c r="CR3" s="72" cm="1">
        <f t="array" aca="1" ref="CR3" ca="1">Trig!CQ$2-SUMPRODUCT(--($M$4:$M$118&gt;=Trig!CQ$4:CQ$118), ((Trig!CR$4:CR$118)))</f>
        <v>31</v>
      </c>
      <c r="CS3" s="72"/>
      <c r="CT3" s="72" cm="1">
        <f t="array" aca="1" ref="CT3" ca="1">Trig!CS$2-SUMPRODUCT(--($M$4:$M$118&gt;=Trig!CS$4:CS$118), ((Trig!CT$4:CT$118)))</f>
        <v>11</v>
      </c>
      <c r="CU3" s="72"/>
      <c r="CV3" s="72" cm="1">
        <f t="array" aca="1" ref="CV3" ca="1">Trig!CU$2-SUMPRODUCT(--($M$4:$M$118&gt;=Trig!CU$4:CU$118), ((Trig!CV$4:CV$118)))</f>
        <v>21</v>
      </c>
      <c r="CW3" s="73"/>
      <c r="CX3" s="72" cm="1">
        <f t="array" aca="1" ref="CX3" ca="1">Trig!CW$2-SUMPRODUCT(--($M$4:$M$118&gt;=Trig!CW$4:CW$118), ((Trig!CX$4:CX$118)))</f>
        <v>51</v>
      </c>
      <c r="CY3" s="72"/>
      <c r="CZ3" s="72" cm="1">
        <f t="array" aca="1" ref="CZ3" ca="1">Trig!CY$2-SUMPRODUCT(--($M$4:$M$118&gt;=Trig!CY$4:CY$118), ((Trig!CZ$4:CZ$118)))</f>
        <v>41</v>
      </c>
      <c r="DA3" s="72"/>
      <c r="DB3" s="72" cm="1">
        <f t="array" aca="1" ref="DB3" ca="1">Trig!DA$2-SUMPRODUCT(--($M$4:$M$118&gt;=Trig!DA$4:DA$118), ((Trig!DB$4:DB$118)))</f>
        <v>21</v>
      </c>
      <c r="DC3" s="72"/>
      <c r="DD3" s="72" cm="1">
        <f t="array" aca="1" ref="DD3" ca="1">Trig!DC$2-SUMPRODUCT(--($M$4:$M$118&gt;=Trig!DC$4:DC$118), ((Trig!DD$4:DD$118)))</f>
        <v>31</v>
      </c>
      <c r="DE3" s="72"/>
      <c r="DF3" s="72" cm="1">
        <f t="array" aca="1" ref="DF3" ca="1">Trig!DE$2-SUMPRODUCT(--($M$4:$M$118&gt;=Trig!DE$4:DE$118), ((Trig!DF$4:DF$118)))</f>
        <v>31</v>
      </c>
      <c r="DG3" s="72"/>
      <c r="DH3" s="72" cm="1">
        <f t="array" aca="1" ref="DH3" ca="1">Trig!DG$2-SUMPRODUCT(--($M$4:$M$118&gt;=Trig!DG$4:DG$118), ((Trig!DH$4:DH$118)))</f>
        <v>21</v>
      </c>
      <c r="DI3" s="72"/>
      <c r="DJ3" s="72" cm="1">
        <f t="array" aca="1" ref="DJ3" ca="1">Trig!DI$2-SUMPRODUCT(--($M$4:$M$118&gt;=Trig!DI$4:DI$118), ((Trig!DJ$4:DJ$118)))</f>
        <v>31</v>
      </c>
      <c r="DK3" s="72"/>
      <c r="DL3" s="72" cm="1">
        <f t="array" aca="1" ref="DL3" ca="1">Trig!DK$2-SUMPRODUCT(--($M$4:$M$118&gt;=Trig!DK$4:DK$118), ((Trig!DL$4:DL$118)))</f>
        <v>51</v>
      </c>
      <c r="DM3" s="72"/>
      <c r="DN3" s="72" cm="1">
        <f t="array" aca="1" ref="DN3" ca="1">Trig!DM$2-SUMPRODUCT(--($M$4:$M$118&gt;=Trig!DM$4:DM$118), ((Trig!DN$4:DN$118)))</f>
        <v>51</v>
      </c>
      <c r="DO3" s="72"/>
      <c r="DP3" s="72" cm="1">
        <f t="array" aca="1" ref="DP3" ca="1">Trig!DO$2-SUMPRODUCT(--($M$4:$M$118&gt;=Trig!DO$4:DO$118), ((Trig!DP$4:DP$118)))</f>
        <v>41</v>
      </c>
      <c r="DQ3" s="72"/>
      <c r="DR3" s="72" cm="1">
        <f t="array" aca="1" ref="DR3" ca="1">Trig!DQ$2-SUMPRODUCT(--($M$4:$M$118&gt;=Trig!DQ$4:DQ$118), ((Trig!DR$4:DR$118)))</f>
        <v>42</v>
      </c>
      <c r="DS3" s="73"/>
      <c r="DT3" s="72" cm="1">
        <f t="array" aca="1" ref="DT3" ca="1">Trig!DS$2-SUMPRODUCT(--($M$4:$M$118&gt;=Trig!DS$4:DS$118), ((Trig!DT$4:DT$118)))</f>
        <v>41</v>
      </c>
      <c r="DU3" s="73"/>
      <c r="DV3" s="72" cm="1">
        <f t="array" aca="1" ref="DV3" ca="1">Trig!DU$2-SUMPRODUCT(--($M$4:$M$118&gt;=Trig!DU$4:DU$118), ((Trig!DV$4:DV$118)))</f>
        <v>30</v>
      </c>
      <c r="DW3" s="73"/>
      <c r="DX3" s="72" cm="1">
        <f t="array" aca="1" ref="DX3" ca="1">Trig!DW$2-SUMPRODUCT(--($M$4:$M$118&gt;=Trig!DW$4:DW$118), ((Trig!DX$4:DX$118)))</f>
        <v>30</v>
      </c>
      <c r="DY3" s="73"/>
      <c r="DZ3" s="72" cm="1">
        <f t="array" aca="1" ref="DZ3" ca="1">Trig!DY$2-SUMPRODUCT(--($M$4:$M$118&gt;=Trig!DY$4:DY$118), ((Trig!DZ$4:DZ$118)))</f>
        <v>70</v>
      </c>
      <c r="EA3" s="73"/>
      <c r="EB3" s="72" cm="1">
        <f t="array" aca="1" ref="EB3" ca="1">Trig!EA$2-SUMPRODUCT(--($M$4:$M$118&gt;=Trig!EA$4:EA$118), ((Trig!EB$4:EB$118)))</f>
        <v>20</v>
      </c>
      <c r="EC3" s="73"/>
      <c r="ED3" s="72" cm="1">
        <f t="array" aca="1" ref="ED3" ca="1">Trig!EC$2-SUMPRODUCT(--($M$4:$M$118&gt;=Trig!EC$4:EC$118), ((Trig!ED$4:ED$118)))</f>
        <v>42</v>
      </c>
      <c r="EE3" s="73"/>
      <c r="EF3" s="72" cm="1">
        <f t="array" aca="1" ref="EF3" ca="1">Trig!EE$2-SUMPRODUCT(--($M$4:$M$118&gt;=Trig!EE$4:EE$118), ((Trig!EF$4:EF$118)))</f>
        <v>10</v>
      </c>
      <c r="EG3" s="73"/>
      <c r="EH3" s="72" cm="1">
        <f t="array" aca="1" ref="EH3" ca="1">Trig!EG$2-SUMPRODUCT(--($M$4:$M$118&gt;=Trig!EG$4:EG$118), ((Trig!EH$4:EH$118)))</f>
        <v>0</v>
      </c>
      <c r="EI3" s="73"/>
      <c r="EJ3" s="72" cm="1">
        <f t="array" aca="1" ref="EJ3" ca="1">Trig!EI$2-SUMPRODUCT(--($M$4:$M$118&gt;=Trig!EI$4:EI$118), ((Trig!EJ$4:EJ$118)))</f>
        <v>0</v>
      </c>
      <c r="EK3" s="73"/>
      <c r="EL3" s="72" cm="1">
        <f t="array" aca="1" ref="EL3" ca="1">Trig!EK$2-SUMPRODUCT(--($M$4:$M$118&gt;=Trig!EK$4:EK$118), ((Trig!EL$4:EL$118)))</f>
        <v>0</v>
      </c>
      <c r="EM3" s="73"/>
      <c r="EN3" s="72" cm="1">
        <f t="array" aca="1" ref="EN3" ca="1">Trig!EM$2-SUMPRODUCT(--($M$4:$M$118&gt;=Trig!EM$4:EM$118), ((Trig!EN$4:EN$118)))</f>
        <v>10</v>
      </c>
      <c r="EO3" s="73"/>
      <c r="EP3" s="72" cm="1">
        <f t="array" aca="1" ref="EP3" ca="1">Trig!EO$2-SUMPRODUCT(--($M$4:$M$118&gt;=Trig!EO$4:EO$118), ((Trig!EP$4:EP$118)))</f>
        <v>10</v>
      </c>
      <c r="EQ3" s="110"/>
      <c r="ER3" s="110"/>
      <c r="ES3" s="113" cm="1">
        <f t="array" aca="1" ref="ES3" ca="1">SUMPRODUCT(--($M$4:$M$118&gt;=0), $M$4:$M$118, ((Trig!ES$4:ES$118)))</f>
        <v>52</v>
      </c>
    </row>
    <row r="4" spans="1:150" x14ac:dyDescent="0.2">
      <c r="H4" s="68"/>
      <c r="K4" s="59" t="s">
        <v>597</v>
      </c>
      <c r="L4" s="59" t="s">
        <v>933</v>
      </c>
      <c r="M4" s="71" cm="1">
        <f t="array" aca="1" ref="M4:M118" ca="1">TRANSPOSE(INDIRECT("MA!JR" &amp; M3 &amp; ":OB" &amp; M3))</f>
        <v>-1</v>
      </c>
      <c r="N4" s="113"/>
      <c r="ES4" s="113"/>
    </row>
    <row r="5" spans="1:150" x14ac:dyDescent="0.2">
      <c r="H5" s="68"/>
      <c r="I5" s="59" cm="1">
        <f t="array" ref="I5">IF( SUM(--NOT(ISBLANK(BW5:EP5) ) ),1, "" )</f>
        <v>1</v>
      </c>
      <c r="J5" s="59" cm="1">
        <f t="array" ref="J5">IF( SUM(--NOT(ISBLANK(O5:BV5) ) ),1, "" )</f>
        <v>1</v>
      </c>
      <c r="K5" s="59" t="s">
        <v>597</v>
      </c>
      <c r="L5" s="59" t="s">
        <v>952</v>
      </c>
      <c r="M5" s="71">
        <f ca="1"/>
        <v>2</v>
      </c>
      <c r="N5" s="113">
        <f t="shared" ref="N5:N22" ca="1" si="0">IF(ES5="", "", IF(M5&gt;0,M5*ES5,0))</f>
        <v>2</v>
      </c>
      <c r="O5" s="74">
        <v>-1</v>
      </c>
      <c r="P5" s="74">
        <v>10</v>
      </c>
      <c r="Q5" s="74">
        <v>-1</v>
      </c>
      <c r="R5" s="74">
        <v>10</v>
      </c>
      <c r="U5" s="74">
        <v>-1</v>
      </c>
      <c r="V5" s="74">
        <v>10</v>
      </c>
      <c r="AO5" s="74">
        <v>0</v>
      </c>
      <c r="AP5" s="74">
        <v>10</v>
      </c>
      <c r="BC5" s="74">
        <v>-1</v>
      </c>
      <c r="BD5" s="74">
        <v>10</v>
      </c>
      <c r="BG5" s="74">
        <v>-1</v>
      </c>
      <c r="BH5" s="74">
        <v>10</v>
      </c>
      <c r="BI5" s="74">
        <v>-1</v>
      </c>
      <c r="BJ5" s="74">
        <v>10</v>
      </c>
      <c r="CM5" s="59">
        <v>1</v>
      </c>
      <c r="CN5" s="74">
        <v>10</v>
      </c>
      <c r="CO5" s="59">
        <v>1</v>
      </c>
      <c r="CP5" s="74">
        <v>10</v>
      </c>
      <c r="CQ5" s="59">
        <v>1</v>
      </c>
      <c r="CR5" s="74">
        <v>10</v>
      </c>
      <c r="CS5" s="74">
        <v>1</v>
      </c>
      <c r="CT5" s="74">
        <v>10</v>
      </c>
      <c r="CU5" s="74">
        <v>1</v>
      </c>
      <c r="CV5" s="74">
        <v>10</v>
      </c>
      <c r="CW5" s="59">
        <v>1</v>
      </c>
      <c r="CX5" s="74">
        <v>10</v>
      </c>
      <c r="CY5" s="74">
        <v>1</v>
      </c>
      <c r="CZ5" s="74">
        <v>10</v>
      </c>
      <c r="DK5" s="74">
        <v>1</v>
      </c>
      <c r="DL5" s="74">
        <v>10</v>
      </c>
      <c r="DS5" s="74">
        <v>1</v>
      </c>
      <c r="DT5" s="74">
        <v>10</v>
      </c>
      <c r="EE5" s="74">
        <v>1</v>
      </c>
      <c r="EF5" s="74">
        <v>10</v>
      </c>
      <c r="ES5" s="113">
        <v>1</v>
      </c>
    </row>
    <row r="6" spans="1:150" x14ac:dyDescent="0.2">
      <c r="H6" s="68"/>
      <c r="I6" s="59" t="str" cm="1">
        <f t="array" ref="I6">IF( SUM(--NOT(ISBLANK(BW6:EP6) ) ),1, "" )</f>
        <v/>
      </c>
      <c r="J6" s="59" cm="1">
        <f t="array" ref="J6">IF( SUM(--NOT(ISBLANK(O6:BV6) ) ),1, "" )</f>
        <v>1</v>
      </c>
      <c r="K6" s="59" t="s">
        <v>597</v>
      </c>
      <c r="L6" s="59" t="s">
        <v>930</v>
      </c>
      <c r="M6" s="71">
        <f ca="1"/>
        <v>-1</v>
      </c>
      <c r="N6" s="113">
        <f t="shared" ca="1" si="0"/>
        <v>0</v>
      </c>
      <c r="O6" s="74">
        <v>-1</v>
      </c>
      <c r="P6" s="74">
        <v>10</v>
      </c>
      <c r="Q6" s="74">
        <v>-1</v>
      </c>
      <c r="R6" s="74">
        <v>10</v>
      </c>
      <c r="U6" s="74">
        <v>-1</v>
      </c>
      <c r="V6" s="74">
        <v>10</v>
      </c>
      <c r="BG6" s="74">
        <v>-1</v>
      </c>
      <c r="BH6" s="74">
        <v>10</v>
      </c>
      <c r="BI6" s="74">
        <v>-1</v>
      </c>
      <c r="BJ6" s="74">
        <v>10</v>
      </c>
      <c r="ES6" s="113">
        <v>1</v>
      </c>
    </row>
    <row r="7" spans="1:150" x14ac:dyDescent="0.2">
      <c r="H7" s="68"/>
      <c r="I7" s="59" cm="1">
        <f t="array" ref="I7">IF( SUM(--NOT(ISBLANK(BW7:EP7) ) ),1, "" )</f>
        <v>1</v>
      </c>
      <c r="J7" s="59" t="str" cm="1">
        <f t="array" ref="J7">IF( SUM(--NOT(ISBLANK(O7:BV7) ) ),1, "" )</f>
        <v/>
      </c>
      <c r="K7" s="59" t="s">
        <v>597</v>
      </c>
      <c r="L7" s="59" t="s">
        <v>966</v>
      </c>
      <c r="M7" s="71">
        <f ca="1"/>
        <v>1</v>
      </c>
      <c r="N7" s="113">
        <f t="shared" ca="1" si="0"/>
        <v>1</v>
      </c>
      <c r="CW7" s="59">
        <v>1</v>
      </c>
      <c r="CX7" s="74">
        <v>10</v>
      </c>
      <c r="DK7" s="74">
        <v>1</v>
      </c>
      <c r="DL7" s="74">
        <v>10</v>
      </c>
      <c r="DS7" s="74">
        <v>1</v>
      </c>
      <c r="DT7" s="74">
        <v>10</v>
      </c>
      <c r="EA7" s="74">
        <v>0</v>
      </c>
      <c r="EB7" s="74">
        <v>10</v>
      </c>
      <c r="ES7" s="113">
        <v>1</v>
      </c>
    </row>
    <row r="8" spans="1:150" x14ac:dyDescent="0.2">
      <c r="A8" s="103" t="s">
        <v>1301</v>
      </c>
      <c r="F8" s="67"/>
      <c r="G8" s="67"/>
      <c r="H8" s="75" cm="1">
        <f t="array" aca="1" ref="H8" ca="1">IF(AND(A8="",B8=""),"",INDIRECT(ADDRESS($M$3,MATCH(IF(A8="",B8,A8),MA!$A$1:$NP$1,0),1,1,"MA")))</f>
        <v>1</v>
      </c>
      <c r="I8" s="59" t="str" cm="1">
        <f t="array" ref="I8">IF( SUM(--NOT(ISBLANK(BW8:EP8) ) ),1, "" )</f>
        <v/>
      </c>
      <c r="J8" s="59" cm="1">
        <f t="array" ref="J8">IF( SUM(--NOT(ISBLANK(O8:BV8) ) ),1, "" )</f>
        <v>1</v>
      </c>
      <c r="K8" s="103" t="s">
        <v>597</v>
      </c>
      <c r="L8" s="103" t="s">
        <v>1302</v>
      </c>
      <c r="M8" s="71">
        <f ca="1"/>
        <v>-1</v>
      </c>
      <c r="N8" s="113">
        <f t="shared" ca="1" si="0"/>
        <v>0</v>
      </c>
      <c r="AE8" s="74">
        <v>-1</v>
      </c>
      <c r="AF8" s="74">
        <v>10</v>
      </c>
      <c r="AG8" s="74">
        <v>-1</v>
      </c>
      <c r="AH8" s="74">
        <v>10</v>
      </c>
      <c r="AI8" s="74">
        <v>-1</v>
      </c>
      <c r="AJ8" s="74">
        <v>10</v>
      </c>
      <c r="AK8" s="74">
        <v>-1</v>
      </c>
      <c r="AL8" s="74">
        <v>10</v>
      </c>
      <c r="AM8" s="74">
        <v>-1</v>
      </c>
      <c r="AN8" s="74">
        <v>10</v>
      </c>
      <c r="AQ8" s="74">
        <v>-1</v>
      </c>
      <c r="AR8" s="74">
        <v>10</v>
      </c>
      <c r="DS8" s="59"/>
      <c r="DU8" s="59"/>
      <c r="DW8" s="59"/>
      <c r="DY8" s="59"/>
      <c r="EA8" s="59"/>
      <c r="EC8" s="59"/>
      <c r="EE8" s="59"/>
      <c r="EG8" s="59"/>
      <c r="EI8" s="59"/>
      <c r="EK8" s="59"/>
      <c r="EM8" s="59"/>
      <c r="EO8" s="59"/>
      <c r="ES8" s="113">
        <v>1</v>
      </c>
    </row>
    <row r="9" spans="1:150" x14ac:dyDescent="0.2">
      <c r="B9" s="116" t="s">
        <v>1332</v>
      </c>
      <c r="C9" s="67">
        <v>4</v>
      </c>
      <c r="D9" s="67">
        <v>7</v>
      </c>
      <c r="E9" s="67">
        <v>1</v>
      </c>
      <c r="F9" s="67">
        <v>2</v>
      </c>
      <c r="G9" s="67">
        <v>3</v>
      </c>
      <c r="H9" s="75" cm="1">
        <f t="array" aca="1" ref="H9" ca="1">IF(AND(A9="",B9=""),"",INDIRECT(ADDRESS($M$3,MATCH(IF(A9="",B9,A9),MA!$A$1:$NP$1,0),1,1,"MA")))</f>
        <v>13</v>
      </c>
      <c r="I9" s="59" t="str" cm="1">
        <f t="array" ref="I9">IF( SUM(--NOT(ISBLANK(BW9:EP9) ) ),1, "" )</f>
        <v/>
      </c>
      <c r="J9" s="59" t="str" cm="1">
        <f t="array" ref="J9">IF( SUM(--NOT(ISBLANK(O9:BV9) ) ),1, "" )</f>
        <v/>
      </c>
      <c r="K9" s="103" t="s">
        <v>597</v>
      </c>
      <c r="L9" s="108" t="s">
        <v>1331</v>
      </c>
      <c r="M9" s="71">
        <f ca="1"/>
        <v>1</v>
      </c>
      <c r="N9" s="113" t="str">
        <f t="shared" si="0"/>
        <v/>
      </c>
      <c r="DS9" s="59"/>
      <c r="DU9" s="59"/>
      <c r="DW9" s="59"/>
      <c r="DY9" s="59"/>
      <c r="EA9" s="59"/>
      <c r="EC9" s="59"/>
      <c r="EE9" s="59"/>
      <c r="EG9" s="59"/>
      <c r="EI9" s="59"/>
      <c r="EK9" s="59"/>
      <c r="EM9" s="59"/>
      <c r="EO9" s="59"/>
      <c r="ES9" s="113"/>
    </row>
    <row r="10" spans="1:150" x14ac:dyDescent="0.2">
      <c r="A10" s="59" t="s">
        <v>1332</v>
      </c>
      <c r="B10" s="116" t="s">
        <v>1335</v>
      </c>
      <c r="C10" s="67">
        <v>2</v>
      </c>
      <c r="D10" s="67">
        <v>5</v>
      </c>
      <c r="E10" s="67">
        <v>1</v>
      </c>
      <c r="F10" s="67">
        <v>2</v>
      </c>
      <c r="G10" s="67">
        <v>3</v>
      </c>
      <c r="H10" s="75" cm="1">
        <f t="array" aca="1" ref="H10" ca="1">IF(AND(A10="",B10=""),"",INDIRECT(ADDRESS($M$3,MATCH(IF(A10="",B10,A10),MA!$A$1:$NP$1,0),1,1,"MA")))</f>
        <v>13</v>
      </c>
      <c r="I10" s="59" t="str" cm="1">
        <f t="array" ref="I10">IF( SUM(--NOT(ISBLANK(BW10:EP10) ) ),1, "" )</f>
        <v/>
      </c>
      <c r="J10" s="59" cm="1">
        <f t="array" ref="J10">IF( SUM(--NOT(ISBLANK(O10:BV10) ) ),1, "" )</f>
        <v>1</v>
      </c>
      <c r="K10" s="103" t="s">
        <v>597</v>
      </c>
      <c r="L10" s="116" t="s">
        <v>1336</v>
      </c>
      <c r="M10" s="71">
        <f ca="1"/>
        <v>1</v>
      </c>
      <c r="N10" s="113" t="str">
        <f t="shared" si="0"/>
        <v/>
      </c>
      <c r="AQ10" s="74">
        <v>1</v>
      </c>
      <c r="AR10" s="74">
        <v>10</v>
      </c>
      <c r="DS10" s="59"/>
      <c r="DU10" s="59"/>
      <c r="DW10" s="59"/>
      <c r="DY10" s="59"/>
      <c r="EA10" s="59"/>
      <c r="EC10" s="59"/>
      <c r="EE10" s="59"/>
      <c r="EG10" s="59"/>
      <c r="EI10" s="59"/>
      <c r="EK10" s="59"/>
      <c r="EM10" s="59"/>
      <c r="EO10" s="59"/>
      <c r="ES10" s="113"/>
    </row>
    <row r="11" spans="1:150" x14ac:dyDescent="0.2">
      <c r="H11" s="68"/>
      <c r="I11" s="59" cm="1">
        <f t="array" ref="I11">IF( SUM(--NOT(ISBLANK(BW11:EP11) ) ),1, "" )</f>
        <v>1</v>
      </c>
      <c r="J11" s="59" cm="1">
        <f t="array" ref="J11">IF( SUM(--NOT(ISBLANK(O11:BV11) ) ),1, "" )</f>
        <v>1</v>
      </c>
      <c r="K11" s="59" t="s">
        <v>597</v>
      </c>
      <c r="L11" s="59" t="s">
        <v>1253</v>
      </c>
      <c r="M11" s="71">
        <f ca="1"/>
        <v>1</v>
      </c>
      <c r="N11" s="113" t="str">
        <f t="shared" si="0"/>
        <v/>
      </c>
      <c r="U11" s="74">
        <v>-1</v>
      </c>
      <c r="V11" s="74">
        <v>10</v>
      </c>
      <c r="BG11" s="74">
        <v>-1</v>
      </c>
      <c r="BH11" s="74">
        <v>10</v>
      </c>
      <c r="CW11" s="74"/>
      <c r="DA11" s="74">
        <v>1</v>
      </c>
      <c r="DB11" s="74">
        <v>10</v>
      </c>
      <c r="ES11" s="113"/>
    </row>
    <row r="12" spans="1:150" x14ac:dyDescent="0.2">
      <c r="B12" s="59" t="s">
        <v>1073</v>
      </c>
      <c r="C12" s="67">
        <v>1</v>
      </c>
      <c r="D12" s="67">
        <v>5</v>
      </c>
      <c r="E12" s="67">
        <v>1</v>
      </c>
      <c r="F12" s="67">
        <v>2</v>
      </c>
      <c r="G12" s="67">
        <v>3</v>
      </c>
      <c r="H12" s="75" cm="1">
        <f t="array" aca="1" ref="H12" ca="1">IF(AND(A12="",B12=""),"",INDIRECT(ADDRESS($M$3,MATCH(IF(A12="",B12,A12),MA!$A$1:$NP$1,0),1,1,"MA")))</f>
        <v>4.3379629629629646</v>
      </c>
      <c r="I12" s="59" cm="1">
        <f t="array" ref="I12">IF( SUM(--NOT(ISBLANK(BW12:EP12) ) ),1, "" )</f>
        <v>1</v>
      </c>
      <c r="J12" s="59" cm="1">
        <f t="array" ref="J12">IF( SUM(--NOT(ISBLANK(O12:BV12) ) ),1, "" )</f>
        <v>1</v>
      </c>
      <c r="K12" s="59" t="s">
        <v>597</v>
      </c>
      <c r="L12" s="59" t="s">
        <v>908</v>
      </c>
      <c r="M12" s="71">
        <f ca="1"/>
        <v>1</v>
      </c>
      <c r="N12" s="113">
        <f t="shared" ca="1" si="0"/>
        <v>1</v>
      </c>
      <c r="O12" s="74">
        <v>-1</v>
      </c>
      <c r="P12" s="74">
        <v>10</v>
      </c>
      <c r="Q12" s="74">
        <v>-2</v>
      </c>
      <c r="R12" s="74">
        <v>10</v>
      </c>
      <c r="W12" s="74">
        <v>-2</v>
      </c>
      <c r="X12" s="74">
        <v>10</v>
      </c>
      <c r="Y12" s="74">
        <v>0</v>
      </c>
      <c r="Z12" s="74">
        <v>10</v>
      </c>
      <c r="AA12" s="74">
        <v>0</v>
      </c>
      <c r="AB12" s="74">
        <v>10</v>
      </c>
      <c r="AS12" s="74">
        <v>-1</v>
      </c>
      <c r="AT12" s="74">
        <v>10</v>
      </c>
      <c r="BW12" s="74">
        <v>0</v>
      </c>
      <c r="BX12" s="74">
        <v>10</v>
      </c>
      <c r="BY12" s="74">
        <v>0</v>
      </c>
      <c r="BZ12" s="74">
        <v>10</v>
      </c>
      <c r="CA12" s="74">
        <v>0</v>
      </c>
      <c r="CB12" s="74">
        <v>10</v>
      </c>
      <c r="CC12" s="74">
        <v>0</v>
      </c>
      <c r="CD12" s="74">
        <v>10</v>
      </c>
      <c r="CE12" s="74">
        <v>0</v>
      </c>
      <c r="CF12" s="74">
        <v>10</v>
      </c>
      <c r="CI12" s="74">
        <v>0</v>
      </c>
      <c r="CJ12" s="74">
        <v>10</v>
      </c>
      <c r="CK12" s="74">
        <v>-1</v>
      </c>
      <c r="CL12" s="74">
        <v>10</v>
      </c>
      <c r="CM12" s="74">
        <v>0</v>
      </c>
      <c r="CN12" s="74">
        <v>10</v>
      </c>
      <c r="CO12" s="74">
        <v>0</v>
      </c>
      <c r="CP12" s="74">
        <v>10</v>
      </c>
      <c r="CW12" s="74">
        <v>2</v>
      </c>
      <c r="CX12" s="74">
        <v>10</v>
      </c>
      <c r="CY12" s="74">
        <v>2</v>
      </c>
      <c r="CZ12" s="74">
        <v>10</v>
      </c>
      <c r="DU12" s="74">
        <v>0</v>
      </c>
      <c r="DV12" s="74">
        <v>10</v>
      </c>
      <c r="DW12" s="74">
        <v>0</v>
      </c>
      <c r="DX12" s="74">
        <v>10</v>
      </c>
      <c r="DY12" s="74">
        <v>-1</v>
      </c>
      <c r="DZ12" s="74">
        <v>10</v>
      </c>
      <c r="EA12" s="74">
        <v>-1</v>
      </c>
      <c r="EB12" s="74">
        <v>10</v>
      </c>
      <c r="EC12" s="74">
        <v>-1</v>
      </c>
      <c r="ED12" s="74">
        <v>10</v>
      </c>
      <c r="EE12" s="74">
        <v>0</v>
      </c>
      <c r="EF12" s="74">
        <v>10</v>
      </c>
      <c r="EO12" s="74">
        <v>0</v>
      </c>
      <c r="EP12" s="74">
        <v>10</v>
      </c>
      <c r="ES12" s="113">
        <v>1</v>
      </c>
    </row>
    <row r="13" spans="1:150" x14ac:dyDescent="0.2">
      <c r="H13" s="75" t="str" cm="1">
        <f t="array" aca="1" ref="H13" ca="1">IF(AND(A13="",B13=""),"",INDIRECT(ADDRESS($M$3,MATCH(IF(A13="",B13,A13),MA!$A$1:$NP$1,0),1,1,"MA")))</f>
        <v/>
      </c>
      <c r="I13" s="59" cm="1">
        <f t="array" ref="I13">IF( SUM(--NOT(ISBLANK(BW13:EP13) ) ),1, "" )</f>
        <v>1</v>
      </c>
      <c r="J13" s="59" cm="1">
        <f t="array" ref="J13">IF( SUM(--NOT(ISBLANK(O13:BV13) ) ),1, "" )</f>
        <v>1</v>
      </c>
      <c r="K13" s="59" t="s">
        <v>597</v>
      </c>
      <c r="L13" s="59" t="s">
        <v>1079</v>
      </c>
      <c r="M13" s="71">
        <f ca="1"/>
        <v>3</v>
      </c>
      <c r="N13" s="113" t="str">
        <f t="shared" si="0"/>
        <v/>
      </c>
      <c r="AU13" s="74">
        <v>0</v>
      </c>
      <c r="AV13" s="74">
        <v>10</v>
      </c>
      <c r="BA13" s="74">
        <v>0</v>
      </c>
      <c r="BB13" s="74">
        <v>10</v>
      </c>
      <c r="CK13" s="74">
        <v>1</v>
      </c>
      <c r="CL13" s="74">
        <v>10</v>
      </c>
      <c r="DA13" s="74">
        <v>-1</v>
      </c>
      <c r="DB13" s="74">
        <v>10</v>
      </c>
      <c r="DC13" s="74">
        <v>0</v>
      </c>
      <c r="DD13" s="74">
        <v>10</v>
      </c>
      <c r="DE13" s="74">
        <v>0</v>
      </c>
      <c r="DF13" s="74">
        <v>10</v>
      </c>
      <c r="DG13" s="74">
        <v>0</v>
      </c>
      <c r="DH13" s="74">
        <v>10</v>
      </c>
      <c r="DI13" s="74">
        <v>0</v>
      </c>
      <c r="DJ13" s="74">
        <v>10</v>
      </c>
      <c r="DO13" s="74">
        <v>-1</v>
      </c>
      <c r="DP13" s="74">
        <v>10</v>
      </c>
      <c r="ES13" s="113"/>
    </row>
    <row r="14" spans="1:150" x14ac:dyDescent="0.2">
      <c r="H14" s="75" t="str" cm="1">
        <f t="array" aca="1" ref="H14" ca="1">IF(AND(A14="",B14=""),"",INDIRECT(ADDRESS($M$3,MATCH(IF(A14="",B14,A14),MA!$A$1:$NP$1,0),1,1,"MA")))</f>
        <v/>
      </c>
      <c r="I14" s="59" cm="1">
        <f t="array" ref="I14">IF( SUM(--NOT(ISBLANK(BW14:EP14) ) ),1, "" )</f>
        <v>1</v>
      </c>
      <c r="J14" s="59" cm="1">
        <f t="array" ref="J14">IF( SUM(--NOT(ISBLANK(O14:BV14) ) ),1, "" )</f>
        <v>1</v>
      </c>
      <c r="K14" s="59" t="s">
        <v>597</v>
      </c>
      <c r="L14" s="59" t="s">
        <v>1254</v>
      </c>
      <c r="M14" s="71">
        <f ca="1"/>
        <v>-3</v>
      </c>
      <c r="N14" s="113" t="str">
        <f t="shared" si="0"/>
        <v/>
      </c>
      <c r="O14" s="74">
        <v>-1</v>
      </c>
      <c r="P14" s="74">
        <v>10</v>
      </c>
      <c r="CW14" s="74"/>
      <c r="DQ14" s="74">
        <v>1</v>
      </c>
      <c r="DR14" s="74">
        <v>10</v>
      </c>
      <c r="ES14" s="113"/>
    </row>
    <row r="15" spans="1:150" x14ac:dyDescent="0.2">
      <c r="B15" s="59" t="s">
        <v>1074</v>
      </c>
      <c r="C15" s="67">
        <v>3</v>
      </c>
      <c r="D15" s="67">
        <v>12</v>
      </c>
      <c r="E15" s="67">
        <v>1</v>
      </c>
      <c r="F15" s="67">
        <v>2</v>
      </c>
      <c r="G15" s="67">
        <v>3</v>
      </c>
      <c r="H15" s="75" cm="1">
        <f t="array" aca="1" ref="H15" ca="1">IF(AND(A14="",B15=""),"",INDIRECT(ADDRESS($M$3,MATCH(IF(A14="",B15,A14),MA!$A$1:$NP$1,0),1,1,"MA")))</f>
        <v>1.9837962962962978</v>
      </c>
      <c r="I15" s="59" cm="1">
        <f t="array" ref="I15">IF( SUM(--NOT(ISBLANK(BW15:EP15) ) ),1, "" )</f>
        <v>1</v>
      </c>
      <c r="J15" s="59" cm="1">
        <f t="array" ref="J15">IF( SUM(--NOT(ISBLANK(O15:BV15) ) ),1, "" )</f>
        <v>1</v>
      </c>
      <c r="K15" s="59" t="s">
        <v>597</v>
      </c>
      <c r="L15" s="59" t="s">
        <v>907</v>
      </c>
      <c r="M15" s="71">
        <f ca="1"/>
        <v>-3</v>
      </c>
      <c r="N15" s="113">
        <f t="shared" ca="1" si="0"/>
        <v>0</v>
      </c>
      <c r="W15" s="74">
        <v>-1</v>
      </c>
      <c r="X15" s="74">
        <v>10</v>
      </c>
      <c r="AA15" s="74">
        <v>0</v>
      </c>
      <c r="AB15" s="74">
        <v>10</v>
      </c>
      <c r="BW15" s="74">
        <v>2</v>
      </c>
      <c r="BX15" s="74">
        <v>10</v>
      </c>
      <c r="BY15" s="74">
        <v>2</v>
      </c>
      <c r="BZ15" s="74">
        <v>10</v>
      </c>
      <c r="CA15" s="74">
        <v>2</v>
      </c>
      <c r="CB15" s="74">
        <v>10</v>
      </c>
      <c r="CC15" s="74">
        <v>2</v>
      </c>
      <c r="CD15" s="74">
        <v>10</v>
      </c>
      <c r="CE15" s="74">
        <v>2</v>
      </c>
      <c r="CF15" s="74">
        <v>10</v>
      </c>
      <c r="CG15" s="74">
        <v>2</v>
      </c>
      <c r="CH15" s="74">
        <v>10</v>
      </c>
      <c r="CI15" s="74">
        <v>2</v>
      </c>
      <c r="CJ15" s="74">
        <v>10</v>
      </c>
      <c r="CK15" s="74">
        <v>2</v>
      </c>
      <c r="CL15" s="74">
        <v>10</v>
      </c>
      <c r="CM15" s="74">
        <v>3</v>
      </c>
      <c r="CN15" s="74">
        <v>10</v>
      </c>
      <c r="CO15" s="74">
        <v>3</v>
      </c>
      <c r="CP15" s="74">
        <v>10</v>
      </c>
      <c r="CU15" s="74">
        <v>2</v>
      </c>
      <c r="CV15" s="74">
        <v>10</v>
      </c>
      <c r="CW15" s="74">
        <v>3</v>
      </c>
      <c r="CX15" s="74">
        <v>10</v>
      </c>
      <c r="CY15" s="74">
        <v>1</v>
      </c>
      <c r="CZ15" s="74">
        <v>10</v>
      </c>
      <c r="DC15" s="74">
        <v>2</v>
      </c>
      <c r="DD15" s="74">
        <v>10</v>
      </c>
      <c r="DE15" s="74">
        <v>2</v>
      </c>
      <c r="DF15" s="74">
        <v>10</v>
      </c>
      <c r="DG15" s="74">
        <v>2</v>
      </c>
      <c r="DH15" s="74">
        <v>10</v>
      </c>
      <c r="DI15" s="74">
        <v>2</v>
      </c>
      <c r="DJ15" s="74">
        <v>10</v>
      </c>
      <c r="DU15" s="74">
        <v>2</v>
      </c>
      <c r="DV15" s="74">
        <v>10</v>
      </c>
      <c r="DW15" s="74">
        <v>2</v>
      </c>
      <c r="DX15" s="74">
        <v>10</v>
      </c>
      <c r="DY15" s="74">
        <v>2</v>
      </c>
      <c r="DZ15" s="74">
        <v>10</v>
      </c>
      <c r="EA15" s="74">
        <v>2</v>
      </c>
      <c r="EB15" s="74">
        <v>10</v>
      </c>
      <c r="EC15" s="74">
        <v>2</v>
      </c>
      <c r="ED15" s="74">
        <v>10</v>
      </c>
      <c r="EE15" s="74">
        <v>2</v>
      </c>
      <c r="EF15" s="74">
        <v>10</v>
      </c>
      <c r="EO15" s="74">
        <v>1</v>
      </c>
      <c r="EP15" s="74">
        <v>10</v>
      </c>
      <c r="ES15" s="113">
        <v>1</v>
      </c>
    </row>
    <row r="16" spans="1:150" x14ac:dyDescent="0.2">
      <c r="F16" s="67"/>
      <c r="G16" s="67"/>
      <c r="H16" s="75" t="str" cm="1">
        <f t="array" aca="1" ref="H16" ca="1">IF(AND(A16="",B16=""),"",INDIRECT(ADDRESS($M$3,MATCH(IF(A16="",B16,A16),MA!$A$1:$NP$1,0),1,1,"MA")))</f>
        <v/>
      </c>
      <c r="I16" s="59" cm="1">
        <f t="array" ref="I16">IF( SUM(--NOT(ISBLANK(BW16:EP16) ) ),1, "" )</f>
        <v>1</v>
      </c>
      <c r="J16" s="59" cm="1">
        <f t="array" ref="J16">IF( SUM(--NOT(ISBLANK(O16:BV16) ) ),1, "" )</f>
        <v>1</v>
      </c>
      <c r="K16" s="59" t="s">
        <v>597</v>
      </c>
      <c r="L16" s="59" t="s">
        <v>1080</v>
      </c>
      <c r="M16" s="71">
        <f ca="1"/>
        <v>1</v>
      </c>
      <c r="N16" s="113" t="str">
        <f t="shared" si="0"/>
        <v/>
      </c>
      <c r="AS16" s="74">
        <v>-1</v>
      </c>
      <c r="AT16" s="74">
        <v>10</v>
      </c>
      <c r="CW16" s="74"/>
      <c r="DO16" s="74">
        <v>0</v>
      </c>
      <c r="DP16" s="74">
        <v>10</v>
      </c>
      <c r="ES16" s="113"/>
    </row>
    <row r="17" spans="1:149" x14ac:dyDescent="0.2">
      <c r="F17" s="67"/>
      <c r="G17" s="67"/>
      <c r="H17" s="75" t="str" cm="1">
        <f t="array" aca="1" ref="H17" ca="1">IF(AND(A17="",B17=""),"",INDIRECT(ADDRESS($M$3,MATCH(IF(A17="",B17,A17),MA!$A$1:$NP$1,0),1,1,"MA")))</f>
        <v/>
      </c>
      <c r="I17" s="59" t="str" cm="1">
        <f t="array" ref="I17">IF( SUM(--NOT(ISBLANK(BW17:EP17) ) ),1, "" )</f>
        <v/>
      </c>
      <c r="J17" s="59" t="str" cm="1">
        <f t="array" ref="J17">IF( SUM(--NOT(ISBLANK(O17:BV17) ) ),1, "" )</f>
        <v/>
      </c>
      <c r="K17" s="59" t="s">
        <v>597</v>
      </c>
      <c r="L17" s="59" t="s">
        <v>963</v>
      </c>
      <c r="M17" s="71">
        <f ca="1"/>
        <v>1</v>
      </c>
      <c r="N17" s="113" t="str">
        <f t="shared" si="0"/>
        <v/>
      </c>
      <c r="CW17" s="74"/>
      <c r="ES17" s="113"/>
    </row>
    <row r="18" spans="1:149" x14ac:dyDescent="0.2">
      <c r="F18" s="67"/>
      <c r="G18" s="67"/>
      <c r="H18" s="75" t="str" cm="1">
        <f t="array" aca="1" ref="H18" ca="1">IF(AND(A18="",B18=""),"",INDIRECT(ADDRESS($M$3,MATCH(IF(A18="",B18,A18),MA!$A$1:$NP$1,0),1,1,"MA")))</f>
        <v/>
      </c>
      <c r="I18" s="59" t="str" cm="1">
        <f t="array" ref="I18">IF( SUM(--NOT(ISBLANK(BW18:EP18) ) ),1, "" )</f>
        <v/>
      </c>
      <c r="J18" s="59" cm="1">
        <f t="array" ref="J18">IF( SUM(--NOT(ISBLANK(O18:BV18) ) ),1, "" )</f>
        <v>1</v>
      </c>
      <c r="K18" s="59" t="s">
        <v>597</v>
      </c>
      <c r="L18" s="59" t="s">
        <v>1046</v>
      </c>
      <c r="M18" s="71">
        <f ca="1"/>
        <v>1</v>
      </c>
      <c r="N18" s="113" t="str">
        <f t="shared" si="0"/>
        <v/>
      </c>
      <c r="U18" s="74">
        <v>-1</v>
      </c>
      <c r="V18" s="74">
        <v>10</v>
      </c>
      <c r="CW18" s="74"/>
      <c r="ES18" s="113"/>
    </row>
    <row r="19" spans="1:149" x14ac:dyDescent="0.2">
      <c r="F19" s="67"/>
      <c r="G19" s="67"/>
      <c r="H19" s="75" t="str" cm="1">
        <f t="array" aca="1" ref="H19" ca="1">IF(AND(A19="",B19=""),"",INDIRECT(ADDRESS($M$3,MATCH(IF(A19="",B19,A19),MA!$A$1:$NP$1,0),1,1,"MA")))</f>
        <v/>
      </c>
      <c r="I19" s="59" cm="1">
        <f t="array" ref="I19">IF( SUM(--NOT(ISBLANK(BW19:EP19) ) ),1, "" )</f>
        <v>1</v>
      </c>
      <c r="J19" s="59" cm="1">
        <f t="array" ref="J19">IF( SUM(--NOT(ISBLANK(O19:BV19) ) ),1, "" )</f>
        <v>1</v>
      </c>
      <c r="K19" s="59" t="s">
        <v>597</v>
      </c>
      <c r="L19" s="101" t="s">
        <v>1298</v>
      </c>
      <c r="M19" s="71">
        <f ca="1"/>
        <v>-1</v>
      </c>
      <c r="N19" s="113" t="str">
        <f t="shared" si="0"/>
        <v/>
      </c>
      <c r="BG19" s="74">
        <v>-1</v>
      </c>
      <c r="BH19" s="74">
        <v>10</v>
      </c>
      <c r="CW19" s="74"/>
      <c r="DM19" s="74">
        <v>0</v>
      </c>
      <c r="DN19" s="74">
        <v>10</v>
      </c>
      <c r="ES19" s="113"/>
    </row>
    <row r="20" spans="1:149" x14ac:dyDescent="0.2">
      <c r="B20" s="59" t="s">
        <v>1072</v>
      </c>
      <c r="C20" s="67">
        <v>3</v>
      </c>
      <c r="D20" s="67">
        <v>12</v>
      </c>
      <c r="E20" s="67">
        <v>1</v>
      </c>
      <c r="F20" s="67">
        <v>2</v>
      </c>
      <c r="G20" s="67">
        <v>3</v>
      </c>
      <c r="H20" s="75" cm="1">
        <f t="array" aca="1" ref="H20" ca="1">IF(AND(A20="",B20=""),"",INDIRECT(ADDRESS($M$3,MATCH(IF(A20="",B20,A20),MA!$A$1:$NP$1,0),1,1,"MA")))</f>
        <v>-2.354166666666667</v>
      </c>
      <c r="I20" s="59" t="str" cm="1">
        <f t="array" ref="I20">IF( SUM(--NOT(ISBLANK(BW20:EP20) ) ),1, "" )</f>
        <v/>
      </c>
      <c r="J20" s="59" t="str" cm="1">
        <f t="array" ref="J20">IF( SUM(--NOT(ISBLANK(O20:BV20) ) ),1, "" )</f>
        <v/>
      </c>
      <c r="K20" s="59" t="s">
        <v>597</v>
      </c>
      <c r="L20" s="59" t="s">
        <v>1071</v>
      </c>
      <c r="M20" s="71">
        <f ca="1"/>
        <v>0</v>
      </c>
      <c r="N20" s="113" t="str">
        <f t="shared" si="0"/>
        <v/>
      </c>
      <c r="CW20" s="74"/>
      <c r="ES20" s="113"/>
    </row>
    <row r="21" spans="1:149" x14ac:dyDescent="0.2">
      <c r="A21" s="254" t="s">
        <v>895</v>
      </c>
      <c r="B21" s="254" t="s">
        <v>913</v>
      </c>
      <c r="C21" s="67">
        <v>60</v>
      </c>
      <c r="D21" s="67">
        <v>75</v>
      </c>
      <c r="E21" s="67">
        <v>3</v>
      </c>
      <c r="F21" s="67">
        <v>2</v>
      </c>
      <c r="G21" s="67">
        <v>1</v>
      </c>
      <c r="H21" s="75" t="str" cm="1">
        <f t="array" aca="1" ref="H21" ca="1">IF(AND(A21="",B21=""),"",INDIRECT(ADDRESS($M$3,MATCH(IF(A21="",B21,A21),MA!$A$1:$NP$1,0),1,1,"MA")))</f>
        <v/>
      </c>
      <c r="I21" s="59" cm="1">
        <f t="array" ref="I21">IF( SUM(--NOT(ISBLANK(BW21:EP21) ) ),1, "" )</f>
        <v>1</v>
      </c>
      <c r="J21" s="59" t="str" cm="1">
        <f t="array" ref="J21">IF( SUM(--NOT(ISBLANK(O21:BV21) ) ),1, "" )</f>
        <v/>
      </c>
      <c r="K21" s="59" t="s">
        <v>597</v>
      </c>
      <c r="L21" s="254" t="s">
        <v>913</v>
      </c>
      <c r="M21" s="71">
        <f ca="1"/>
        <v>1</v>
      </c>
      <c r="N21" s="113">
        <f t="shared" ca="1" si="0"/>
        <v>1</v>
      </c>
      <c r="CW21" s="74"/>
      <c r="DA21" s="74">
        <v>3</v>
      </c>
      <c r="DB21" s="74">
        <v>10</v>
      </c>
      <c r="DK21" s="74">
        <v>3</v>
      </c>
      <c r="DL21" s="74">
        <v>10</v>
      </c>
      <c r="DM21" s="74">
        <v>3</v>
      </c>
      <c r="DN21" s="74">
        <v>10</v>
      </c>
      <c r="DO21" s="74">
        <v>3</v>
      </c>
      <c r="DP21" s="74">
        <v>10</v>
      </c>
      <c r="DQ21" s="74">
        <v>3</v>
      </c>
      <c r="DR21" s="74">
        <v>1</v>
      </c>
      <c r="DS21" s="74">
        <v>3</v>
      </c>
      <c r="DT21" s="74">
        <v>10</v>
      </c>
      <c r="EC21" s="74">
        <v>3</v>
      </c>
      <c r="ED21" s="74">
        <v>10</v>
      </c>
      <c r="ES21" s="113">
        <v>1</v>
      </c>
    </row>
    <row r="22" spans="1:149" s="67" customFormat="1" x14ac:dyDescent="0.2">
      <c r="A22" s="59" t="s">
        <v>895</v>
      </c>
      <c r="B22" s="59" t="s">
        <v>993</v>
      </c>
      <c r="C22" s="67">
        <v>35</v>
      </c>
      <c r="D22" s="67">
        <v>75</v>
      </c>
      <c r="E22" s="67">
        <v>3</v>
      </c>
      <c r="F22" s="67">
        <v>2</v>
      </c>
      <c r="G22" s="67">
        <v>1</v>
      </c>
      <c r="H22" s="75" t="str" cm="1">
        <f t="array" aca="1" ref="H22" ca="1">IF(AND(A22="",B22=""),"",INDIRECT(ADDRESS($M$3,MATCH(IF(A22="",B22,A22),MA!$A$1:$NP$1,0),1,1,"MA")))</f>
        <v/>
      </c>
      <c r="I22" s="59" cm="1">
        <f t="array" ref="I22">IF( SUM(--NOT(ISBLANK(BW22:EP22) ) ),1, "" )</f>
        <v>1</v>
      </c>
      <c r="J22" s="59" cm="1">
        <f t="array" ref="J22">IF( SUM(--NOT(ISBLANK(O22:BV22) ) ),1, "" )</f>
        <v>1</v>
      </c>
      <c r="K22" s="59" t="s">
        <v>597</v>
      </c>
      <c r="L22" s="59" t="s">
        <v>993</v>
      </c>
      <c r="M22" s="71">
        <f ca="1"/>
        <v>1</v>
      </c>
      <c r="N22" s="113" t="str">
        <f t="shared" si="0"/>
        <v/>
      </c>
      <c r="O22" s="74"/>
      <c r="P22" s="74"/>
      <c r="Q22" s="74"/>
      <c r="R22" s="74"/>
      <c r="S22" s="74"/>
      <c r="T22" s="74"/>
      <c r="U22" s="74"/>
      <c r="V22" s="74"/>
      <c r="W22" s="74">
        <v>2</v>
      </c>
      <c r="X22" s="74">
        <v>10</v>
      </c>
      <c r="Y22" s="74"/>
      <c r="Z22" s="74"/>
      <c r="AA22" s="74">
        <v>2</v>
      </c>
      <c r="AB22" s="74">
        <v>10</v>
      </c>
      <c r="AC22" s="74"/>
      <c r="AD22" s="74"/>
      <c r="AE22" s="74"/>
      <c r="AF22" s="74"/>
      <c r="AG22" s="74"/>
      <c r="AH22" s="74"/>
      <c r="AI22" s="74"/>
      <c r="AJ22" s="74"/>
      <c r="AK22" s="74"/>
      <c r="AL22" s="74"/>
      <c r="AM22" s="74"/>
      <c r="AN22" s="74"/>
      <c r="AO22" s="74">
        <v>2</v>
      </c>
      <c r="AP22" s="74">
        <v>10</v>
      </c>
      <c r="AQ22" s="74"/>
      <c r="AR22" s="74"/>
      <c r="AS22" s="74">
        <v>2</v>
      </c>
      <c r="AT22" s="74">
        <v>10</v>
      </c>
      <c r="AU22" s="74"/>
      <c r="AV22" s="74"/>
      <c r="AW22" s="74"/>
      <c r="AX22" s="74"/>
      <c r="AY22" s="74">
        <v>1</v>
      </c>
      <c r="AZ22" s="74">
        <v>10</v>
      </c>
      <c r="BA22" s="74"/>
      <c r="BB22" s="74"/>
      <c r="BC22" s="74"/>
      <c r="BD22" s="74"/>
      <c r="BE22" s="74"/>
      <c r="BF22" s="74"/>
      <c r="BG22" s="74"/>
      <c r="BH22" s="74"/>
      <c r="BI22" s="74"/>
      <c r="BJ22" s="74"/>
      <c r="BK22" s="74"/>
      <c r="BL22" s="74"/>
      <c r="BM22" s="74"/>
      <c r="BN22" s="74"/>
      <c r="BO22" s="74"/>
      <c r="BP22" s="74"/>
      <c r="BQ22" s="124"/>
      <c r="BR22" s="74"/>
      <c r="BS22" s="74"/>
      <c r="BT22" s="74"/>
      <c r="BU22" s="74"/>
      <c r="BV22" s="74"/>
      <c r="BW22" s="74"/>
      <c r="BX22" s="74"/>
      <c r="BY22" s="74">
        <v>3</v>
      </c>
      <c r="BZ22" s="74">
        <v>10</v>
      </c>
      <c r="CA22" s="74"/>
      <c r="CB22" s="74"/>
      <c r="CC22" s="74"/>
      <c r="CD22" s="74"/>
      <c r="CE22" s="74">
        <v>3</v>
      </c>
      <c r="CF22" s="74">
        <v>10</v>
      </c>
      <c r="CG22" s="74">
        <v>3</v>
      </c>
      <c r="CH22" s="74">
        <v>10</v>
      </c>
      <c r="CI22" s="74">
        <v>3</v>
      </c>
      <c r="CJ22" s="74">
        <v>10</v>
      </c>
      <c r="CK22" s="74">
        <v>3</v>
      </c>
      <c r="CL22" s="74">
        <v>10</v>
      </c>
      <c r="CM22" s="74"/>
      <c r="CN22" s="74"/>
      <c r="CO22" s="74"/>
      <c r="CP22" s="74"/>
      <c r="CQ22" s="74"/>
      <c r="CR22" s="74"/>
      <c r="CS22" s="74"/>
      <c r="CT22" s="74"/>
      <c r="CU22" s="74"/>
      <c r="CV22" s="74"/>
      <c r="CW22" s="74"/>
      <c r="CX22" s="74"/>
      <c r="CY22" s="74"/>
      <c r="CZ22" s="74"/>
      <c r="DA22" s="74"/>
      <c r="DB22" s="74"/>
      <c r="DC22" s="74"/>
      <c r="DD22" s="74"/>
      <c r="DE22" s="74"/>
      <c r="DF22" s="74"/>
      <c r="DG22" s="74"/>
      <c r="DH22" s="74"/>
      <c r="DI22" s="264"/>
      <c r="DJ22" s="74"/>
      <c r="DK22" s="74"/>
      <c r="DL22" s="74"/>
      <c r="DM22" s="74"/>
      <c r="DN22" s="74"/>
      <c r="DO22" s="74"/>
      <c r="DP22" s="74"/>
      <c r="DQ22" s="74"/>
      <c r="DR22" s="74"/>
      <c r="DS22" s="74"/>
      <c r="DT22" s="74"/>
      <c r="DU22" s="74">
        <v>3</v>
      </c>
      <c r="DV22" s="74">
        <v>10</v>
      </c>
      <c r="DW22" s="74"/>
      <c r="DX22" s="74"/>
      <c r="DY22" s="74"/>
      <c r="DZ22" s="74"/>
      <c r="EA22" s="74"/>
      <c r="EB22" s="74"/>
      <c r="EC22" s="74"/>
      <c r="ED22" s="74"/>
      <c r="EE22" s="74"/>
      <c r="EF22" s="74"/>
      <c r="EG22" s="74"/>
      <c r="EH22" s="74"/>
      <c r="EI22" s="74"/>
      <c r="EJ22" s="74"/>
      <c r="EK22" s="74"/>
      <c r="EL22" s="74"/>
      <c r="EM22" s="74"/>
      <c r="EN22" s="74"/>
      <c r="EO22" s="74"/>
      <c r="EP22" s="74"/>
      <c r="EQ22" s="112"/>
      <c r="ER22" s="112"/>
      <c r="ES22" s="115"/>
    </row>
    <row r="23" spans="1:149" s="67" customFormat="1" x14ac:dyDescent="0.2">
      <c r="A23" s="330" t="s">
        <v>895</v>
      </c>
      <c r="B23" s="330" t="s">
        <v>1956</v>
      </c>
      <c r="C23" s="67">
        <v>25</v>
      </c>
      <c r="D23" s="67">
        <v>75</v>
      </c>
      <c r="E23" s="67">
        <v>3</v>
      </c>
      <c r="F23" s="67">
        <v>2</v>
      </c>
      <c r="G23" s="67">
        <v>1</v>
      </c>
      <c r="H23" s="75" t="str" cm="1">
        <f t="array" aca="1" ref="H23" ca="1">IF(AND(A23="",B23=""),"",INDIRECT(ADDRESS($M$3,MATCH(IF(A23="",B23,A23),MA!$A$1:$NP$1,0),1,1,"MA")))</f>
        <v/>
      </c>
      <c r="I23" s="59"/>
      <c r="J23" s="59"/>
      <c r="K23" s="330" t="s">
        <v>597</v>
      </c>
      <c r="L23" s="330" t="s">
        <v>1956</v>
      </c>
      <c r="M23" s="71">
        <f ca="1"/>
        <v>1</v>
      </c>
      <c r="N23" s="113"/>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124"/>
      <c r="BR23" s="74"/>
      <c r="BS23" s="74"/>
      <c r="BT23" s="74"/>
      <c r="BU23" s="74"/>
      <c r="BV23" s="74"/>
      <c r="BW23" s="74"/>
      <c r="BX23" s="74"/>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26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v>3</v>
      </c>
      <c r="EN23" s="74">
        <v>10</v>
      </c>
      <c r="EO23" s="74"/>
      <c r="EP23" s="74"/>
      <c r="EQ23" s="112"/>
      <c r="ER23" s="112"/>
      <c r="ES23" s="115"/>
    </row>
    <row r="24" spans="1:149" s="67" customFormat="1" x14ac:dyDescent="0.2">
      <c r="A24" s="59" t="s">
        <v>895</v>
      </c>
      <c r="B24" s="262" t="s">
        <v>1733</v>
      </c>
      <c r="C24" s="67">
        <v>50</v>
      </c>
      <c r="D24" s="67">
        <v>75</v>
      </c>
      <c r="E24" s="67">
        <v>3</v>
      </c>
      <c r="F24" s="67">
        <v>2</v>
      </c>
      <c r="G24" s="67">
        <v>1</v>
      </c>
      <c r="H24" s="75" t="str" cm="1">
        <f t="array" aca="1" ref="H24" ca="1">IF(AND(A24="",B24=""),"",INDIRECT(ADDRESS($M$3,MATCH(IF(A24="",B24,A24),MA!$A$1:$NP$1,0),1,1,"MA")))</f>
        <v/>
      </c>
      <c r="I24" s="59" cm="1">
        <f t="array" ref="I24">IF( SUM(--NOT(ISBLANK(BW24:EP24) ) ),1, "" )</f>
        <v>1</v>
      </c>
      <c r="J24" s="59" t="str" cm="1">
        <f t="array" ref="J24">IF( SUM(--NOT(ISBLANK(O24:BV24) ) ),1, "" )</f>
        <v/>
      </c>
      <c r="K24" s="59" t="s">
        <v>597</v>
      </c>
      <c r="L24" s="262" t="s">
        <v>1733</v>
      </c>
      <c r="M24" s="71">
        <f ca="1"/>
        <v>1</v>
      </c>
      <c r="N24" s="113"/>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12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264">
        <v>3</v>
      </c>
      <c r="DJ24" s="74">
        <v>10</v>
      </c>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112"/>
      <c r="ER24" s="112"/>
      <c r="ES24" s="115"/>
    </row>
    <row r="25" spans="1:149" x14ac:dyDescent="0.2">
      <c r="A25" s="59" t="s">
        <v>895</v>
      </c>
      <c r="B25" s="59" t="s">
        <v>995</v>
      </c>
      <c r="C25" s="67">
        <v>50</v>
      </c>
      <c r="D25" s="67">
        <v>83</v>
      </c>
      <c r="E25" s="67">
        <v>1</v>
      </c>
      <c r="F25" s="67">
        <v>2</v>
      </c>
      <c r="G25" s="67">
        <v>3</v>
      </c>
      <c r="H25" s="75" t="str" cm="1">
        <f t="array" aca="1" ref="H25" ca="1">IF(AND(A25="",B25=""),"",INDIRECT(ADDRESS($M$3,MATCH(IF(A25="",B25,A25),MA!$A$1:$NP$1,0),1,1,"MA")))</f>
        <v/>
      </c>
      <c r="I25" s="59" cm="1">
        <f t="array" ref="I25">IF( SUM(--NOT(ISBLANK(BW25:EP25) ) ),1, "" )</f>
        <v>1</v>
      </c>
      <c r="J25" s="59" t="str" cm="1">
        <f t="array" ref="J25">IF( SUM(--NOT(ISBLANK(O25:BV25) ) ),1, "" )</f>
        <v/>
      </c>
      <c r="K25" s="59" t="s">
        <v>597</v>
      </c>
      <c r="L25" s="59" t="s">
        <v>995</v>
      </c>
      <c r="M25" s="71">
        <f ca="1"/>
        <v>1</v>
      </c>
      <c r="N25" s="113" t="str">
        <f t="shared" ref="N25:N65" si="1">IF(ES25="", "", IF(M25&gt;0,M25*ES25,0))</f>
        <v/>
      </c>
      <c r="CW25" s="74">
        <v>2</v>
      </c>
      <c r="CX25" s="74">
        <v>10</v>
      </c>
      <c r="CY25" s="74">
        <v>2</v>
      </c>
      <c r="CZ25" s="74">
        <v>10</v>
      </c>
      <c r="ES25" s="113"/>
    </row>
    <row r="26" spans="1:149" x14ac:dyDescent="0.2">
      <c r="A26" s="59" t="s">
        <v>895</v>
      </c>
      <c r="B26" s="59" t="s">
        <v>962</v>
      </c>
      <c r="C26" s="67">
        <v>55</v>
      </c>
      <c r="D26" s="67">
        <v>80</v>
      </c>
      <c r="E26" s="67">
        <v>-1</v>
      </c>
      <c r="F26" s="67">
        <v>-2</v>
      </c>
      <c r="G26" s="67">
        <v>-3</v>
      </c>
      <c r="H26" s="75" t="str" cm="1">
        <f t="array" aca="1" ref="H26" ca="1">IF(AND(A26="",B26=""),"",INDIRECT(ADDRESS($M$3,MATCH(IF(A26="",B26,A26),MA!$A$1:$NP$1,0),1,1,"MA")))</f>
        <v/>
      </c>
      <c r="I26" s="59" cm="1">
        <f t="array" ref="I26">IF( SUM(--NOT(ISBLANK(BW26:EP26) ) ),1, "" )</f>
        <v>1</v>
      </c>
      <c r="J26" s="59" t="str" cm="1">
        <f t="array" ref="J26">IF( SUM(--NOT(ISBLANK(O26:BV26) ) ),1, "" )</f>
        <v/>
      </c>
      <c r="K26" s="59" t="s">
        <v>597</v>
      </c>
      <c r="L26" s="59" t="s">
        <v>962</v>
      </c>
      <c r="M26" s="71">
        <f ca="1"/>
        <v>1</v>
      </c>
      <c r="N26" s="113" t="str">
        <f t="shared" si="1"/>
        <v/>
      </c>
      <c r="DC26" s="74">
        <v>-1</v>
      </c>
      <c r="DD26" s="74">
        <v>10</v>
      </c>
      <c r="DE26" s="74">
        <v>-1</v>
      </c>
      <c r="DF26" s="74">
        <v>10</v>
      </c>
      <c r="DG26" s="74">
        <v>-1</v>
      </c>
      <c r="DH26" s="74">
        <v>10</v>
      </c>
      <c r="ES26" s="113"/>
    </row>
    <row r="27" spans="1:149" x14ac:dyDescent="0.2">
      <c r="A27" s="59" t="s">
        <v>895</v>
      </c>
      <c r="B27" s="59" t="s">
        <v>1255</v>
      </c>
      <c r="C27" s="67">
        <v>45</v>
      </c>
      <c r="D27" s="67">
        <v>83</v>
      </c>
      <c r="E27" s="67">
        <v>-1</v>
      </c>
      <c r="F27" s="67">
        <v>-2</v>
      </c>
      <c r="G27" s="67">
        <v>-3</v>
      </c>
      <c r="H27" s="75" t="str" cm="1">
        <f t="array" aca="1" ref="H27" ca="1">IF(AND(A27="",B27=""),"",INDIRECT(ADDRESS($M$3,MATCH(IF(A27="",B27,A27),MA!$A$1:$NP$1,0),1,1,"MA")))</f>
        <v/>
      </c>
      <c r="I27" s="59" cm="1">
        <f t="array" ref="I27">IF( SUM(--NOT(ISBLANK(BW27:EP27) ) ),1, "" )</f>
        <v>1</v>
      </c>
      <c r="J27" s="59" cm="1">
        <f t="array" ref="J27">IF( SUM(--NOT(ISBLANK(O27:BV27) ) ),1, "" )</f>
        <v>1</v>
      </c>
      <c r="K27" s="59" t="s">
        <v>597</v>
      </c>
      <c r="L27" s="59" t="s">
        <v>1255</v>
      </c>
      <c r="M27" s="71">
        <f ca="1"/>
        <v>-3</v>
      </c>
      <c r="N27" s="113" t="str">
        <f t="shared" si="1"/>
        <v/>
      </c>
      <c r="Y27" s="74">
        <v>-3</v>
      </c>
      <c r="Z27" s="74">
        <v>10</v>
      </c>
      <c r="AC27" s="74">
        <v>-3</v>
      </c>
      <c r="AD27" s="74">
        <v>10</v>
      </c>
      <c r="AU27" s="74">
        <v>-3</v>
      </c>
      <c r="AV27" s="74">
        <v>10</v>
      </c>
      <c r="BA27" s="74">
        <v>-3</v>
      </c>
      <c r="BB27" s="74">
        <v>10</v>
      </c>
      <c r="BC27" s="74">
        <v>-2</v>
      </c>
      <c r="BD27" s="74">
        <v>10</v>
      </c>
      <c r="BE27" s="74">
        <v>-3</v>
      </c>
      <c r="BF27" s="74">
        <v>10</v>
      </c>
      <c r="BO27" s="74">
        <v>-3</v>
      </c>
      <c r="BP27" s="74">
        <v>10</v>
      </c>
      <c r="BW27" s="74">
        <v>-1</v>
      </c>
      <c r="BX27" s="74">
        <v>10</v>
      </c>
      <c r="CA27" s="74">
        <v>-1</v>
      </c>
      <c r="CB27" s="74">
        <v>10</v>
      </c>
      <c r="CC27" s="74">
        <v>-1</v>
      </c>
      <c r="CD27" s="74">
        <v>10</v>
      </c>
      <c r="ES27" s="113"/>
    </row>
    <row r="28" spans="1:149" x14ac:dyDescent="0.2">
      <c r="F28" s="67"/>
      <c r="G28" s="67"/>
      <c r="H28" s="75" t="str" cm="1">
        <f t="array" aca="1" ref="H28" ca="1">IF(AND(A28="",B28=""),"",INDIRECT(ADDRESS($M$3,MATCH(IF(A28="",B28,A28),MA!$A$1:$NP$1,0),1,1,"MA")))</f>
        <v/>
      </c>
      <c r="I28" s="59" t="str" cm="1">
        <f t="array" ref="I28">IF( SUM(--NOT(ISBLANK(BW28:EP28) ) ),1, "" )</f>
        <v/>
      </c>
      <c r="J28" s="59" t="str" cm="1">
        <f t="array" ref="J28">IF( SUM(--NOT(ISBLANK(O28:BV28) ) ),1, "" )</f>
        <v/>
      </c>
      <c r="K28" s="59" t="s">
        <v>597</v>
      </c>
      <c r="L28" s="59" t="s">
        <v>971</v>
      </c>
      <c r="M28" s="71">
        <f ca="1"/>
        <v>1</v>
      </c>
      <c r="N28" s="113" t="str">
        <f t="shared" si="1"/>
        <v/>
      </c>
      <c r="DS28" s="59"/>
      <c r="DU28" s="59"/>
      <c r="DW28" s="59"/>
      <c r="DY28" s="59"/>
      <c r="EA28" s="59"/>
      <c r="EC28" s="59"/>
      <c r="EE28" s="59"/>
      <c r="EG28" s="59"/>
      <c r="EI28" s="59"/>
      <c r="EK28" s="59"/>
      <c r="EM28" s="59"/>
      <c r="EO28" s="59"/>
      <c r="ES28" s="113"/>
    </row>
    <row r="29" spans="1:149" s="67" customFormat="1" x14ac:dyDescent="0.2">
      <c r="A29" s="59"/>
      <c r="B29" s="251" t="s">
        <v>1630</v>
      </c>
      <c r="C29" s="67">
        <v>0</v>
      </c>
      <c r="D29" s="67">
        <v>2</v>
      </c>
      <c r="E29" s="67">
        <v>1</v>
      </c>
      <c r="F29" s="67">
        <v>2</v>
      </c>
      <c r="G29" s="67">
        <v>3</v>
      </c>
      <c r="H29" s="75" cm="1">
        <f t="array" aca="1" ref="H29" ca="1">IF(AND(A29="",B29=""),"",INDIRECT(ADDRESS($M$3,MATCH(IF(A29="",B29,A29),MA!$A$1:$NP$1,0),1,1,"MA")))</f>
        <v>-22.340277777777779</v>
      </c>
      <c r="I29" s="59" t="str" cm="1">
        <f t="array" ref="I29">IF( SUM(--NOT(ISBLANK(BW29:EP29) ) ),1, "" )</f>
        <v/>
      </c>
      <c r="J29" s="59" cm="1">
        <f t="array" ref="J29">IF( SUM(--NOT(ISBLANK(O29:BV29) ) ),1, "" )</f>
        <v>1</v>
      </c>
      <c r="K29" s="59" t="s">
        <v>597</v>
      </c>
      <c r="L29" s="404" t="s">
        <v>3177</v>
      </c>
      <c r="M29" s="71">
        <f ca="1"/>
        <v>-2</v>
      </c>
      <c r="N29" s="113" t="str">
        <f t="shared" si="1"/>
        <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v>1</v>
      </c>
      <c r="AX29" s="74">
        <v>10</v>
      </c>
      <c r="AY29" s="74"/>
      <c r="AZ29" s="74"/>
      <c r="BA29" s="74"/>
      <c r="BB29" s="74"/>
      <c r="BC29" s="74"/>
      <c r="BD29" s="74"/>
      <c r="BE29" s="74"/>
      <c r="BF29" s="74"/>
      <c r="BG29" s="74"/>
      <c r="BH29" s="74"/>
      <c r="BI29" s="74"/>
      <c r="BJ29" s="74"/>
      <c r="BK29" s="74"/>
      <c r="BL29" s="74"/>
      <c r="BM29" s="74"/>
      <c r="BN29" s="74"/>
      <c r="BO29" s="74"/>
      <c r="BP29" s="74"/>
      <c r="BQ29" s="124"/>
      <c r="BR29" s="74"/>
      <c r="BS29" s="74">
        <v>1</v>
      </c>
      <c r="BT29" s="74">
        <v>10</v>
      </c>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59"/>
      <c r="CX29" s="74"/>
      <c r="CY29" s="74"/>
      <c r="CZ29" s="74"/>
      <c r="DA29" s="74"/>
      <c r="DB29" s="74"/>
      <c r="DC29" s="74"/>
      <c r="DD29" s="74"/>
      <c r="DE29" s="74"/>
      <c r="DF29" s="74"/>
      <c r="DG29" s="74"/>
      <c r="DH29" s="74"/>
      <c r="DI29" s="74"/>
      <c r="DJ29" s="74"/>
      <c r="DK29" s="74"/>
      <c r="DL29" s="74"/>
      <c r="DM29" s="74"/>
      <c r="DN29" s="74"/>
      <c r="DO29" s="74"/>
      <c r="DP29" s="74"/>
      <c r="DQ29" s="74"/>
      <c r="DR29" s="74"/>
      <c r="DS29" s="59"/>
      <c r="DT29" s="74"/>
      <c r="DU29" s="59"/>
      <c r="DV29" s="74"/>
      <c r="DW29" s="59"/>
      <c r="DX29" s="74"/>
      <c r="DY29" s="59"/>
      <c r="DZ29" s="74"/>
      <c r="EA29" s="59"/>
      <c r="EB29" s="74"/>
      <c r="EC29" s="59"/>
      <c r="ED29" s="74"/>
      <c r="EE29" s="59"/>
      <c r="EF29" s="74"/>
      <c r="EG29" s="59"/>
      <c r="EH29" s="74"/>
      <c r="EI29" s="59"/>
      <c r="EJ29" s="74"/>
      <c r="EK29" s="59"/>
      <c r="EL29" s="74"/>
      <c r="EM29" s="59"/>
      <c r="EN29" s="74"/>
      <c r="EO29" s="59"/>
      <c r="EP29" s="74"/>
      <c r="EQ29" s="112"/>
      <c r="ER29" s="112"/>
      <c r="ES29" s="113"/>
    </row>
    <row r="30" spans="1:149" x14ac:dyDescent="0.2">
      <c r="B30" s="404" t="s">
        <v>3179</v>
      </c>
      <c r="C30" s="67">
        <v>0</v>
      </c>
      <c r="D30" s="67">
        <v>2</v>
      </c>
      <c r="E30" s="67">
        <v>3</v>
      </c>
      <c r="F30" s="67">
        <v>2</v>
      </c>
      <c r="G30" s="67">
        <v>1</v>
      </c>
      <c r="H30" s="75" cm="1">
        <f t="array" aca="1" ref="H30" ca="1">IF(AND(A30="",B30=""),"",INDIRECT(ADDRESS($M$3,MATCH(IF(A30="",B30,A30),MA!$A$1:$NP$1,0),1,1,"MA")))</f>
        <v>21.069444444444443</v>
      </c>
      <c r="I30" s="59" cm="1">
        <f t="array" ref="I30">IF( SUM(--NOT(ISBLANK(BW30:EP30) ) ),1, "" )</f>
        <v>1</v>
      </c>
      <c r="J30" s="59" t="str" cm="1">
        <f t="array" ref="J30">IF( SUM(--NOT(ISBLANK(O30:BV30) ) ),1, "" )</f>
        <v/>
      </c>
      <c r="K30" s="59" t="s">
        <v>597</v>
      </c>
      <c r="L30" s="404" t="s">
        <v>3178</v>
      </c>
      <c r="M30" s="71">
        <f ca="1"/>
        <v>1</v>
      </c>
      <c r="N30" s="113" t="str">
        <f t="shared" si="1"/>
        <v/>
      </c>
      <c r="DS30" s="59"/>
      <c r="DU30" s="59"/>
      <c r="DW30" s="59"/>
      <c r="DY30" s="59"/>
      <c r="EA30" s="59">
        <v>3</v>
      </c>
      <c r="EB30" s="74">
        <v>10</v>
      </c>
      <c r="EC30" s="59"/>
      <c r="EE30" s="59"/>
      <c r="EG30" s="59"/>
      <c r="EI30" s="59"/>
      <c r="EK30" s="59"/>
      <c r="EM30" s="59"/>
      <c r="EO30" s="59"/>
      <c r="ES30" s="113"/>
    </row>
    <row r="31" spans="1:149" s="67" customFormat="1" x14ac:dyDescent="0.2">
      <c r="A31" s="59"/>
      <c r="B31" s="252"/>
      <c r="H31" s="75" t="str" cm="1">
        <f t="array" aca="1" ref="H31" ca="1">IF(AND(A31="",B31=""),"",INDIRECT(ADDRESS($M$3,MATCH(IF(A31="",B31,A31),MA!$A$1:$NP$1,0),1,1,"MA")))</f>
        <v/>
      </c>
      <c r="I31" s="59" t="str" cm="1">
        <f t="array" ref="I31">IF( SUM(--NOT(ISBLANK(BW31:EP31) ) ),1, "" )</f>
        <v/>
      </c>
      <c r="J31" s="59" cm="1">
        <f t="array" ref="J31">IF( SUM(--NOT(ISBLANK(O31:BV31) ) ),1, "" )</f>
        <v>1</v>
      </c>
      <c r="K31" s="59" t="s">
        <v>597</v>
      </c>
      <c r="L31" s="260" t="s">
        <v>1732</v>
      </c>
      <c r="M31" s="71">
        <f ca="1"/>
        <v>-3</v>
      </c>
      <c r="N31" s="113" t="str">
        <f t="shared" si="1"/>
        <v/>
      </c>
      <c r="O31" s="74"/>
      <c r="P31" s="74"/>
      <c r="Q31" s="74"/>
      <c r="R31" s="74"/>
      <c r="S31" s="74"/>
      <c r="T31" s="74"/>
      <c r="U31" s="74"/>
      <c r="V31" s="74"/>
      <c r="W31" s="74"/>
      <c r="X31" s="74"/>
      <c r="Y31" s="74"/>
      <c r="Z31" s="74"/>
      <c r="AA31" s="74">
        <v>-1</v>
      </c>
      <c r="AB31" s="74">
        <v>10</v>
      </c>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12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59"/>
      <c r="CX31" s="74"/>
      <c r="CY31" s="74"/>
      <c r="CZ31" s="74"/>
      <c r="DA31" s="74"/>
      <c r="DB31" s="74"/>
      <c r="DC31" s="74"/>
      <c r="DD31" s="74"/>
      <c r="DE31" s="74"/>
      <c r="DF31" s="74"/>
      <c r="DG31" s="74"/>
      <c r="DH31" s="74"/>
      <c r="DI31" s="74"/>
      <c r="DJ31" s="74"/>
      <c r="DK31" s="74"/>
      <c r="DL31" s="74"/>
      <c r="DM31" s="74"/>
      <c r="DN31" s="74"/>
      <c r="DO31" s="74"/>
      <c r="DP31" s="74"/>
      <c r="DQ31" s="74"/>
      <c r="DR31" s="74"/>
      <c r="DS31" s="59"/>
      <c r="DT31" s="74"/>
      <c r="DU31" s="59"/>
      <c r="DV31" s="74"/>
      <c r="DW31" s="59"/>
      <c r="DX31" s="74"/>
      <c r="DY31" s="59"/>
      <c r="DZ31" s="74"/>
      <c r="EA31" s="59"/>
      <c r="EB31" s="74"/>
      <c r="EC31" s="59"/>
      <c r="ED31" s="74"/>
      <c r="EE31" s="59"/>
      <c r="EF31" s="74"/>
      <c r="EG31" s="59"/>
      <c r="EH31" s="74"/>
      <c r="EI31" s="59"/>
      <c r="EJ31" s="74"/>
      <c r="EK31" s="59"/>
      <c r="EL31" s="74"/>
      <c r="EM31" s="59"/>
      <c r="EN31" s="74"/>
      <c r="EO31" s="59"/>
      <c r="EP31" s="74"/>
      <c r="EQ31" s="112"/>
      <c r="ER31" s="112"/>
      <c r="ES31" s="113"/>
    </row>
    <row r="32" spans="1:149" x14ac:dyDescent="0.2">
      <c r="B32" s="252"/>
      <c r="F32" s="67"/>
      <c r="G32" s="67"/>
      <c r="H32" s="75" t="str" cm="1">
        <f t="array" aca="1" ref="H32" ca="1">IF(AND(A32="",B32=""),"",INDIRECT(ADDRESS($M$3,MATCH(IF(A32="",B32,A32),MA!$A$1:$NP$1,0),1,1,"MA")))</f>
        <v/>
      </c>
      <c r="I32" s="59" cm="1">
        <f t="array" ref="I32">IF( SUM(--NOT(ISBLANK(BW32:EP32) ) ),1, "" )</f>
        <v>1</v>
      </c>
      <c r="J32" s="59" cm="1">
        <f t="array" ref="J32">IF( SUM(--NOT(ISBLANK(O32:BV32) ) ),1, "" )</f>
        <v>1</v>
      </c>
      <c r="K32" s="59" t="s">
        <v>597</v>
      </c>
      <c r="L32" s="269" t="s">
        <v>1764</v>
      </c>
      <c r="M32" s="71">
        <f ca="1"/>
        <v>1</v>
      </c>
      <c r="N32" s="113" t="str">
        <f t="shared" si="1"/>
        <v/>
      </c>
      <c r="BA32" s="74">
        <v>0</v>
      </c>
      <c r="BB32" s="74">
        <v>10</v>
      </c>
      <c r="BW32" s="74">
        <v>1</v>
      </c>
      <c r="BX32" s="74">
        <v>10</v>
      </c>
      <c r="BY32" s="74">
        <v>1</v>
      </c>
      <c r="BZ32" s="74">
        <v>10</v>
      </c>
      <c r="DS32" s="59"/>
      <c r="DU32" s="59">
        <v>1</v>
      </c>
      <c r="DV32" s="74">
        <v>10</v>
      </c>
      <c r="DW32" s="59">
        <v>1</v>
      </c>
      <c r="DX32" s="74">
        <v>10</v>
      </c>
      <c r="DY32" s="59"/>
      <c r="EA32" s="59"/>
      <c r="EC32" s="59"/>
      <c r="EE32" s="59">
        <v>1</v>
      </c>
      <c r="EF32" s="74">
        <v>10</v>
      </c>
      <c r="EG32" s="59"/>
      <c r="EI32" s="59"/>
      <c r="EK32" s="59"/>
      <c r="EM32" s="59"/>
      <c r="EO32" s="59"/>
      <c r="ES32" s="113"/>
    </row>
    <row r="33" spans="1:149" x14ac:dyDescent="0.2">
      <c r="A33" s="59" t="s">
        <v>3180</v>
      </c>
      <c r="B33" s="405" t="s">
        <v>3184</v>
      </c>
      <c r="C33" s="67">
        <v>-0.25</v>
      </c>
      <c r="D33" s="67">
        <v>1</v>
      </c>
      <c r="E33" s="67">
        <v>-1</v>
      </c>
      <c r="F33" s="67">
        <v>0</v>
      </c>
      <c r="G33" s="67">
        <v>1</v>
      </c>
      <c r="H33" s="75" cm="1">
        <f t="array" aca="1" ref="H33" ca="1">IF(AND(A33="",B33=""),"",INDIRECT(ADDRESS($M$3,MATCH(IF(A33="",B33,A33),MA!$A$1:$NP$1,0),1,1,"MA")))</f>
        <v>22.340277777777779</v>
      </c>
      <c r="I33" s="59" t="str" cm="1">
        <f t="array" ref="I33">IF( SUM(--NOT(ISBLANK(BW33:EP33) ) ),1, "" )</f>
        <v/>
      </c>
      <c r="J33" s="59" t="str" cm="1">
        <f t="array" ref="J33">IF( SUM(--NOT(ISBLANK(O33:BV33) ) ),1, "" )</f>
        <v/>
      </c>
      <c r="K33" s="59" t="s">
        <v>597</v>
      </c>
      <c r="L33" s="405" t="s">
        <v>3184</v>
      </c>
      <c r="M33" s="71">
        <f ca="1"/>
        <v>2</v>
      </c>
      <c r="N33" s="113"/>
      <c r="DS33" s="59"/>
      <c r="DU33" s="59"/>
      <c r="DW33" s="59"/>
      <c r="DY33" s="59"/>
      <c r="EA33" s="59"/>
      <c r="EC33" s="59"/>
      <c r="EE33" s="59"/>
      <c r="EG33" s="59"/>
      <c r="EI33" s="59"/>
      <c r="EK33" s="59"/>
      <c r="EM33" s="59"/>
      <c r="EO33" s="59"/>
      <c r="ES33" s="113"/>
    </row>
    <row r="34" spans="1:149" x14ac:dyDescent="0.2">
      <c r="A34" s="405" t="s">
        <v>3181</v>
      </c>
      <c r="B34" s="405" t="s">
        <v>3185</v>
      </c>
      <c r="C34" s="67">
        <v>-0.25</v>
      </c>
      <c r="D34" s="67">
        <v>0.25</v>
      </c>
      <c r="E34" s="67">
        <v>-1</v>
      </c>
      <c r="F34" s="67">
        <v>0</v>
      </c>
      <c r="G34" s="67">
        <v>1</v>
      </c>
      <c r="H34" s="75" cm="1">
        <f t="array" aca="1" ref="H34" ca="1">IF(AND(A34="",B34=""),"",INDIRECT(ADDRESS($M$3,MATCH(IF(A34="",B34,A34),MA!$A$1:$NP$1,0),1,1,"MA")))</f>
        <v>22.166666666666668</v>
      </c>
      <c r="I34" s="59" t="str" cm="1">
        <f t="array" ref="I34">IF( SUM(--NOT(ISBLANK(BW34:EP34) ) ),1, "" )</f>
        <v/>
      </c>
      <c r="J34" s="59" t="str" cm="1">
        <f t="array" ref="J34">IF( SUM(--NOT(ISBLANK(O34:BV34) ) ),1, "" )</f>
        <v/>
      </c>
      <c r="K34" s="59" t="s">
        <v>597</v>
      </c>
      <c r="L34" s="405" t="s">
        <v>3185</v>
      </c>
      <c r="M34" s="71">
        <f ca="1"/>
        <v>2</v>
      </c>
      <c r="N34" s="113"/>
      <c r="DS34" s="59"/>
      <c r="DU34" s="59"/>
      <c r="DW34" s="59"/>
      <c r="DY34" s="59"/>
      <c r="EA34" s="59"/>
      <c r="EC34" s="59"/>
      <c r="EE34" s="59"/>
      <c r="EG34" s="59"/>
      <c r="EI34" s="59"/>
      <c r="EK34" s="59"/>
      <c r="EM34" s="59"/>
      <c r="EO34" s="59"/>
      <c r="ES34" s="113"/>
    </row>
    <row r="35" spans="1:149" x14ac:dyDescent="0.2">
      <c r="A35" s="405" t="s">
        <v>3182</v>
      </c>
      <c r="B35" s="405" t="s">
        <v>3186</v>
      </c>
      <c r="C35" s="67">
        <v>-0.25</v>
      </c>
      <c r="D35" s="67">
        <v>1</v>
      </c>
      <c r="E35" s="67">
        <v>-1</v>
      </c>
      <c r="F35" s="67">
        <v>0</v>
      </c>
      <c r="G35" s="67">
        <v>1</v>
      </c>
      <c r="H35" s="75" cm="1">
        <f t="array" aca="1" ref="H35" ca="1">IF(AND(A35="",B35=""),"",INDIRECT(ADDRESS($M$3,MATCH(IF(A35="",B35,A35),MA!$A$1:$NP$1,0),1,1,"MA")))</f>
        <v>21.069444444444443</v>
      </c>
      <c r="I35" s="59" t="str" cm="1">
        <f t="array" ref="I35">IF( SUM(--NOT(ISBLANK(BW35:EP35) ) ),1, "" )</f>
        <v/>
      </c>
      <c r="J35" s="59" t="str" cm="1">
        <f t="array" ref="J35">IF( SUM(--NOT(ISBLANK(O35:BV35) ) ),1, "" )</f>
        <v/>
      </c>
      <c r="K35" s="59" t="s">
        <v>597</v>
      </c>
      <c r="L35" s="405" t="s">
        <v>3186</v>
      </c>
      <c r="M35" s="71">
        <f ca="1"/>
        <v>-2</v>
      </c>
      <c r="N35" s="113"/>
      <c r="DS35" s="59"/>
      <c r="DU35" s="59"/>
      <c r="DW35" s="59"/>
      <c r="DY35" s="59"/>
      <c r="EA35" s="59"/>
      <c r="EC35" s="59"/>
      <c r="EE35" s="59"/>
      <c r="EG35" s="59"/>
      <c r="EI35" s="59"/>
      <c r="EK35" s="59"/>
      <c r="EM35" s="59"/>
      <c r="EO35" s="59"/>
      <c r="ES35" s="113"/>
    </row>
    <row r="36" spans="1:149" x14ac:dyDescent="0.2">
      <c r="A36" s="351" t="s">
        <v>201</v>
      </c>
      <c r="B36" s="339" t="s">
        <v>1961</v>
      </c>
      <c r="C36" s="67">
        <v>0.12</v>
      </c>
      <c r="D36" s="67">
        <v>0.4</v>
      </c>
      <c r="E36" s="67">
        <v>2</v>
      </c>
      <c r="F36" s="67">
        <v>3</v>
      </c>
      <c r="G36" s="67">
        <v>1</v>
      </c>
      <c r="H36" s="75" t="e" cm="1">
        <f t="array" aca="1" ref="H36" ca="1">IF(AND(A36="",B36=""),"",INDIRECT(ADDRESS($M$3,MATCH(IF(A36="",B36,A36),MA!$A$1:$NP$1,0),1,1,"MA")))</f>
        <v>#N/A</v>
      </c>
      <c r="I36" s="59" t="str" cm="1">
        <f t="array" ref="I36">IF( SUM(--NOT(ISBLANK(BW36:EP36) ) ),1, "" )</f>
        <v/>
      </c>
      <c r="J36" s="59" t="str" cm="1">
        <f t="array" ref="J36">IF( SUM(--NOT(ISBLANK(O36:BV36) ) ),1, "" )</f>
        <v/>
      </c>
      <c r="K36" s="59" t="s">
        <v>597</v>
      </c>
      <c r="L36" s="339" t="s">
        <v>1961</v>
      </c>
      <c r="M36" s="71">
        <f ca="1"/>
        <v>3</v>
      </c>
      <c r="N36" s="113"/>
      <c r="BW36" s="67"/>
      <c r="BX36" s="67"/>
      <c r="BY36" s="67"/>
      <c r="BZ36" s="67"/>
      <c r="CA36" s="67"/>
      <c r="CB36" s="67"/>
      <c r="CC36" s="67"/>
      <c r="CD36" s="67"/>
      <c r="CE36" s="67"/>
      <c r="CF36" s="67"/>
      <c r="CG36" s="67"/>
      <c r="CH36" s="67"/>
      <c r="CI36" s="67"/>
      <c r="CJ36" s="67"/>
      <c r="CK36" s="67"/>
      <c r="CL36" s="67"/>
      <c r="CO36" s="67"/>
      <c r="CP36" s="67"/>
      <c r="CS36" s="67"/>
      <c r="CT36" s="67"/>
      <c r="CU36" s="67"/>
      <c r="CV36" s="67"/>
      <c r="CW36" s="67"/>
      <c r="CX36" s="67"/>
      <c r="DC36" s="67"/>
      <c r="DD36" s="67"/>
      <c r="DE36" s="67"/>
      <c r="DF36" s="67"/>
      <c r="DG36" s="67"/>
      <c r="DH36" s="67"/>
      <c r="DI36" s="67"/>
      <c r="DJ36" s="67"/>
      <c r="DS36" s="59"/>
      <c r="DU36" s="59"/>
      <c r="DW36" s="59"/>
      <c r="DY36" s="59"/>
      <c r="EA36" s="59"/>
      <c r="EC36" s="59"/>
      <c r="EE36" s="59"/>
      <c r="EG36" s="59"/>
      <c r="EI36" s="59"/>
      <c r="EK36" s="59"/>
      <c r="EM36" s="59"/>
      <c r="EO36" s="59"/>
      <c r="ES36" s="113"/>
    </row>
    <row r="37" spans="1:149" x14ac:dyDescent="0.2">
      <c r="A37" s="351" t="s">
        <v>196</v>
      </c>
      <c r="B37" s="339" t="s">
        <v>1960</v>
      </c>
      <c r="C37" s="67">
        <v>0.2</v>
      </c>
      <c r="D37" s="67">
        <v>0.4</v>
      </c>
      <c r="E37" s="67">
        <v>3</v>
      </c>
      <c r="F37" s="67">
        <v>2</v>
      </c>
      <c r="G37" s="67">
        <v>1</v>
      </c>
      <c r="H37" s="75" cm="1">
        <f t="array" aca="1" ref="H37" ca="1">IF(AND(A37="",B37=""),"",INDIRECT(ADDRESS($M$3,MATCH(IF(A37="",B37,A37),MA!$A$1:$NP$1,0),1,1,"MA")))</f>
        <v>0.59</v>
      </c>
      <c r="I37" s="59" t="str" cm="1">
        <f t="array" ref="I37">IF( SUM(--NOT(ISBLANK(BW37:EP37) ) ),1, "" )</f>
        <v/>
      </c>
      <c r="J37" s="59" t="str" cm="1">
        <f t="array" ref="J37">IF( SUM(--NOT(ISBLANK(O37:BV37) ) ),1, "" )</f>
        <v/>
      </c>
      <c r="K37" s="59" t="s">
        <v>597</v>
      </c>
      <c r="L37" s="339" t="s">
        <v>1960</v>
      </c>
      <c r="M37" s="71">
        <f ca="1"/>
        <v>3</v>
      </c>
      <c r="N37" s="113"/>
      <c r="BW37" s="67"/>
      <c r="BX37" s="67"/>
      <c r="BY37" s="67"/>
      <c r="BZ37" s="67"/>
      <c r="CA37" s="67"/>
      <c r="CB37" s="67"/>
      <c r="CC37" s="67"/>
      <c r="CD37" s="67"/>
      <c r="CE37" s="67"/>
      <c r="CF37" s="67"/>
      <c r="CG37" s="67"/>
      <c r="CH37" s="67"/>
      <c r="CI37" s="67"/>
      <c r="CJ37" s="67"/>
      <c r="CK37" s="67"/>
      <c r="CL37" s="67"/>
      <c r="CO37" s="67"/>
      <c r="CP37" s="67"/>
      <c r="CS37" s="67"/>
      <c r="CT37" s="67"/>
      <c r="CU37" s="67"/>
      <c r="CV37" s="67"/>
      <c r="CW37" s="67"/>
      <c r="CX37" s="67"/>
      <c r="DC37" s="67"/>
      <c r="DD37" s="67"/>
      <c r="DE37" s="67"/>
      <c r="DF37" s="67"/>
      <c r="DG37" s="67"/>
      <c r="DH37" s="67"/>
      <c r="DI37" s="67"/>
      <c r="DJ37" s="67"/>
      <c r="DS37" s="59"/>
      <c r="DU37" s="59"/>
      <c r="DW37" s="59"/>
      <c r="DY37" s="59"/>
      <c r="EA37" s="59"/>
      <c r="EC37" s="59"/>
      <c r="EE37" s="59"/>
      <c r="EG37" s="59"/>
      <c r="EI37" s="59"/>
      <c r="EK37" s="59"/>
      <c r="EM37" s="59"/>
      <c r="EO37" s="59"/>
      <c r="ES37" s="113"/>
    </row>
    <row r="38" spans="1:149" x14ac:dyDescent="0.2">
      <c r="A38" s="279" t="s">
        <v>1780</v>
      </c>
      <c r="B38" s="279" t="s">
        <v>1780</v>
      </c>
      <c r="C38" s="67">
        <v>25</v>
      </c>
      <c r="D38" s="67">
        <v>70</v>
      </c>
      <c r="E38" s="67">
        <v>3</v>
      </c>
      <c r="F38" s="67">
        <v>2</v>
      </c>
      <c r="G38" s="67">
        <v>1</v>
      </c>
      <c r="H38" s="75" cm="1">
        <f t="array" aca="1" ref="H38" ca="1">IF(AND(A38="",B38=""),"",INDIRECT(ADDRESS($M$3,MATCH(IF(A38="",B38,A38),MA!$A$1:$NP$1,0),1,1,"MA")))</f>
        <v>96.4</v>
      </c>
      <c r="I38" s="59" cm="1">
        <f t="array" ref="I38">IF( SUM(--NOT(ISBLANK(BW38:EP38) ) ),1, "" )</f>
        <v>1</v>
      </c>
      <c r="J38" s="59" t="str" cm="1">
        <f t="array" ref="J38">IF( SUM(--NOT(ISBLANK(O38:BV38) ) ),1, "" )</f>
        <v/>
      </c>
      <c r="K38" s="59" t="s">
        <v>597</v>
      </c>
      <c r="L38" s="279" t="s">
        <v>1780</v>
      </c>
      <c r="M38" s="71">
        <f ca="1"/>
        <v>-3</v>
      </c>
      <c r="N38" s="113">
        <f t="shared" ref="N38:N43" ca="1" si="2">IF(ES38="", "", IF(M38&gt;0,M38*ES38,0))</f>
        <v>0</v>
      </c>
      <c r="DY38" s="74">
        <v>3</v>
      </c>
      <c r="DZ38" s="74">
        <v>10</v>
      </c>
      <c r="EC38" s="74">
        <v>2</v>
      </c>
      <c r="ED38" s="74">
        <v>1</v>
      </c>
      <c r="ES38" s="113">
        <v>1</v>
      </c>
    </row>
    <row r="39" spans="1:149" x14ac:dyDescent="0.2">
      <c r="A39" s="279" t="s">
        <v>1780</v>
      </c>
      <c r="B39" s="279" t="s">
        <v>1782</v>
      </c>
      <c r="C39" s="67">
        <v>35</v>
      </c>
      <c r="D39" s="67">
        <v>90</v>
      </c>
      <c r="E39" s="67">
        <v>-1</v>
      </c>
      <c r="F39" s="67">
        <v>-2</v>
      </c>
      <c r="G39" s="67">
        <v>-3</v>
      </c>
      <c r="H39" s="75" cm="1">
        <f t="array" aca="1" ref="H39" ca="1">IF(AND(A39="",B39=""),"",INDIRECT(ADDRESS($M$3,MATCH(IF(A39="",B39,A39),MA!$A$1:$NP$1,0),1,1,"MA")))</f>
        <v>96.4</v>
      </c>
      <c r="I39" s="59" cm="1">
        <f t="array" ref="I39">IF( SUM(--NOT(ISBLANK(BW39:EP39) ) ),1, "" )</f>
        <v>1</v>
      </c>
      <c r="J39" s="59" cm="1">
        <f t="array" ref="J39">IF( SUM(--NOT(ISBLANK(O39:BV39) ) ),1, "" )</f>
        <v>1</v>
      </c>
      <c r="K39" s="59" t="s">
        <v>597</v>
      </c>
      <c r="L39" s="279" t="s">
        <v>1782</v>
      </c>
      <c r="M39" s="71">
        <f ca="1"/>
        <v>1</v>
      </c>
      <c r="N39" s="113" t="str">
        <f t="shared" si="2"/>
        <v/>
      </c>
      <c r="AC39" s="74">
        <v>-3</v>
      </c>
      <c r="AD39" s="74">
        <v>10</v>
      </c>
      <c r="AE39" s="74">
        <v>-3</v>
      </c>
      <c r="AF39" s="74">
        <v>10</v>
      </c>
      <c r="AG39" s="74">
        <v>-3</v>
      </c>
      <c r="AH39" s="74">
        <v>10</v>
      </c>
      <c r="AI39" s="74">
        <v>-3</v>
      </c>
      <c r="AJ39" s="74">
        <v>10</v>
      </c>
      <c r="AK39" s="74">
        <v>-3</v>
      </c>
      <c r="AL39" s="74">
        <v>10</v>
      </c>
      <c r="AU39" s="74">
        <v>-3</v>
      </c>
      <c r="AV39" s="74">
        <v>10</v>
      </c>
      <c r="AY39" s="74">
        <v>-2</v>
      </c>
      <c r="AZ39" s="74">
        <v>10</v>
      </c>
      <c r="BE39" s="74">
        <v>-3</v>
      </c>
      <c r="BF39" s="74">
        <v>10</v>
      </c>
      <c r="BW39" s="67"/>
      <c r="BX39" s="67"/>
      <c r="BY39" s="67"/>
      <c r="BZ39" s="67"/>
      <c r="CA39" s="67"/>
      <c r="CB39" s="67"/>
      <c r="CC39" s="67"/>
      <c r="CD39" s="67"/>
      <c r="CE39" s="67"/>
      <c r="CF39" s="67"/>
      <c r="CG39" s="67"/>
      <c r="CH39" s="67"/>
      <c r="CI39" s="67"/>
      <c r="CJ39" s="67"/>
      <c r="CK39" s="67"/>
      <c r="CL39" s="67"/>
      <c r="CO39" s="67"/>
      <c r="CP39" s="67"/>
      <c r="CS39" s="67"/>
      <c r="CT39" s="67"/>
      <c r="CU39" s="67"/>
      <c r="CV39" s="67"/>
      <c r="CW39" s="67"/>
      <c r="CX39" s="67"/>
      <c r="DC39" s="67"/>
      <c r="DD39" s="67"/>
      <c r="DE39" s="67"/>
      <c r="DF39" s="67"/>
      <c r="DG39" s="67"/>
      <c r="DH39" s="67"/>
      <c r="DI39" s="67"/>
      <c r="DJ39" s="67"/>
      <c r="DS39" s="59"/>
      <c r="DU39" s="59">
        <v>-1</v>
      </c>
      <c r="DV39" s="74">
        <v>10</v>
      </c>
      <c r="DW39" s="59">
        <v>-1</v>
      </c>
      <c r="DX39" s="74">
        <v>10</v>
      </c>
      <c r="DY39" s="59"/>
      <c r="EA39" s="59"/>
      <c r="EC39" s="59"/>
      <c r="EE39" s="59"/>
      <c r="EG39" s="59"/>
      <c r="EI39" s="59"/>
      <c r="EK39" s="59"/>
      <c r="EM39" s="59"/>
      <c r="EO39" s="59"/>
      <c r="ES39" s="113"/>
    </row>
    <row r="40" spans="1:149" x14ac:dyDescent="0.2">
      <c r="A40" s="372" t="s">
        <v>2026</v>
      </c>
      <c r="B40" s="372" t="s">
        <v>2026</v>
      </c>
      <c r="C40" s="67">
        <v>25</v>
      </c>
      <c r="D40" s="67">
        <v>70</v>
      </c>
      <c r="E40" s="67">
        <v>3</v>
      </c>
      <c r="F40" s="67">
        <v>2</v>
      </c>
      <c r="G40" s="67">
        <v>1</v>
      </c>
      <c r="H40" s="75" cm="1">
        <f t="array" aca="1" ref="H40" ca="1">IF(AND(A40="",B40=""),"",INDIRECT(ADDRESS($M$3,MATCH(IF(A40="",B40,A40),MA!$A$1:$NP$1,0),1,1,"MA")))</f>
        <v>74.099999999999994</v>
      </c>
      <c r="I40" s="59" cm="1">
        <f t="array" ref="I40">IF( SUM(--NOT(ISBLANK(BW40:EP40) ) ),1, "" )</f>
        <v>1</v>
      </c>
      <c r="J40" s="59" t="str" cm="1">
        <f t="array" ref="J40">IF( SUM(--NOT(ISBLANK(O40:BV40) ) ),1, "" )</f>
        <v/>
      </c>
      <c r="K40" s="59" t="s">
        <v>597</v>
      </c>
      <c r="L40" s="59" t="s">
        <v>2026</v>
      </c>
      <c r="M40" s="71">
        <f ca="1"/>
        <v>2</v>
      </c>
      <c r="N40" s="113">
        <f t="shared" ca="1" si="2"/>
        <v>2</v>
      </c>
      <c r="DY40" s="74">
        <v>3</v>
      </c>
      <c r="DZ40" s="74">
        <v>10</v>
      </c>
      <c r="EC40" s="74">
        <v>2</v>
      </c>
      <c r="ED40" s="74">
        <v>1</v>
      </c>
      <c r="ES40" s="113">
        <v>1</v>
      </c>
    </row>
    <row r="41" spans="1:149" x14ac:dyDescent="0.2">
      <c r="A41" s="372" t="s">
        <v>2026</v>
      </c>
      <c r="B41" s="372" t="s">
        <v>2027</v>
      </c>
      <c r="C41" s="67">
        <v>35</v>
      </c>
      <c r="D41" s="67">
        <v>90</v>
      </c>
      <c r="E41" s="67">
        <v>-1</v>
      </c>
      <c r="F41" s="67">
        <v>-2</v>
      </c>
      <c r="G41" s="67">
        <v>-3</v>
      </c>
      <c r="H41" s="75" cm="1">
        <f t="array" aca="1" ref="H41" ca="1">IF(AND(A41="",B41=""),"",INDIRECT(ADDRESS($M$3,MATCH(IF(A41="",B41,A41),MA!$A$1:$NP$1,0),1,1,"MA")))</f>
        <v>74.099999999999994</v>
      </c>
      <c r="I41" s="59" cm="1">
        <f t="array" ref="I41">IF( SUM(--NOT(ISBLANK(BW41:EP41) ) ),1, "" )</f>
        <v>1</v>
      </c>
      <c r="J41" s="59" cm="1">
        <f t="array" ref="J41">IF( SUM(--NOT(ISBLANK(O41:BV41) ) ),1, "" )</f>
        <v>1</v>
      </c>
      <c r="K41" s="59" t="s">
        <v>597</v>
      </c>
      <c r="L41" s="59" t="s">
        <v>2027</v>
      </c>
      <c r="M41" s="71">
        <f ca="1"/>
        <v>1</v>
      </c>
      <c r="N41" s="113" t="str">
        <f t="shared" si="2"/>
        <v/>
      </c>
      <c r="AC41" s="74">
        <v>-3</v>
      </c>
      <c r="AD41" s="74">
        <v>10</v>
      </c>
      <c r="AE41" s="74">
        <v>-3</v>
      </c>
      <c r="AF41" s="74">
        <v>10</v>
      </c>
      <c r="AG41" s="74">
        <v>-3</v>
      </c>
      <c r="AH41" s="74">
        <v>10</v>
      </c>
      <c r="AI41" s="74">
        <v>-3</v>
      </c>
      <c r="AJ41" s="74">
        <v>10</v>
      </c>
      <c r="AK41" s="74">
        <v>-3</v>
      </c>
      <c r="AL41" s="74">
        <v>10</v>
      </c>
      <c r="AU41" s="74">
        <v>-3</v>
      </c>
      <c r="AV41" s="74">
        <v>10</v>
      </c>
      <c r="AY41" s="74">
        <v>-2</v>
      </c>
      <c r="AZ41" s="74">
        <v>10</v>
      </c>
      <c r="BE41" s="74">
        <v>-3</v>
      </c>
      <c r="BF41" s="74">
        <v>10</v>
      </c>
      <c r="BW41" s="67"/>
      <c r="BX41" s="67"/>
      <c r="BY41" s="67"/>
      <c r="BZ41" s="67"/>
      <c r="CA41" s="67"/>
      <c r="CB41" s="67"/>
      <c r="CC41" s="67"/>
      <c r="CD41" s="67"/>
      <c r="CE41" s="67"/>
      <c r="CF41" s="67"/>
      <c r="CG41" s="67"/>
      <c r="CH41" s="67"/>
      <c r="CI41" s="67"/>
      <c r="CJ41" s="67"/>
      <c r="CK41" s="67"/>
      <c r="CL41" s="67"/>
      <c r="CO41" s="67"/>
      <c r="CP41" s="67"/>
      <c r="CS41" s="67"/>
      <c r="CT41" s="67"/>
      <c r="CU41" s="67"/>
      <c r="CV41" s="67"/>
      <c r="CW41" s="67"/>
      <c r="CX41" s="67"/>
      <c r="DC41" s="67"/>
      <c r="DD41" s="67"/>
      <c r="DE41" s="67"/>
      <c r="DF41" s="67"/>
      <c r="DG41" s="67"/>
      <c r="DH41" s="67"/>
      <c r="DI41" s="67"/>
      <c r="DJ41" s="67"/>
      <c r="DS41" s="59"/>
      <c r="DU41" s="59">
        <v>-1</v>
      </c>
      <c r="DV41" s="74">
        <v>10</v>
      </c>
      <c r="DW41" s="59">
        <v>-1</v>
      </c>
      <c r="DX41" s="74">
        <v>10</v>
      </c>
      <c r="DY41" s="59"/>
      <c r="EA41" s="59"/>
      <c r="EC41" s="59"/>
      <c r="EE41" s="59"/>
      <c r="EG41" s="59"/>
      <c r="EI41" s="59"/>
      <c r="EK41" s="59"/>
      <c r="EM41" s="59"/>
      <c r="EO41" s="59"/>
      <c r="ES41" s="113"/>
    </row>
    <row r="42" spans="1:149" x14ac:dyDescent="0.2">
      <c r="B42" s="339" t="s">
        <v>896</v>
      </c>
      <c r="C42" s="67">
        <v>100</v>
      </c>
      <c r="D42" s="67">
        <v>125</v>
      </c>
      <c r="E42" s="67">
        <v>3</v>
      </c>
      <c r="F42" s="67">
        <v>2</v>
      </c>
      <c r="G42" s="67">
        <v>1</v>
      </c>
      <c r="H42" s="75" cm="1">
        <f t="array" aca="1" ref="H42" ca="1">IF(AND(A42="",B42=""),"",INDIRECT(ADDRESS($M$3,MATCH(IF(A42="",B42,A42),MA!$A$1:$NP$1,0),1,1,"MA")))</f>
        <v>128.26086956521738</v>
      </c>
      <c r="I42" s="59" cm="1">
        <f t="array" ref="I42">IF( SUM(--NOT(ISBLANK(BW42:EP42) ) ),1, "" )</f>
        <v>1</v>
      </c>
      <c r="J42" s="59" t="str" cm="1">
        <f t="array" ref="J42">IF( SUM(--NOT(ISBLANK(O42:BV42) ) ),1, "" )</f>
        <v/>
      </c>
      <c r="K42" s="59" t="s">
        <v>597</v>
      </c>
      <c r="L42" s="339" t="s">
        <v>1959</v>
      </c>
      <c r="M42" s="71">
        <f ca="1"/>
        <v>2</v>
      </c>
      <c r="N42" s="113">
        <f t="shared" ca="1" si="2"/>
        <v>2</v>
      </c>
      <c r="BW42" s="74">
        <v>3</v>
      </c>
      <c r="BX42" s="74">
        <v>1</v>
      </c>
      <c r="CA42" s="74">
        <v>3</v>
      </c>
      <c r="CB42" s="74">
        <v>1</v>
      </c>
      <c r="CC42" s="74">
        <v>3</v>
      </c>
      <c r="CD42" s="74">
        <v>1</v>
      </c>
      <c r="CE42" s="74">
        <v>3</v>
      </c>
      <c r="CF42" s="74">
        <v>1</v>
      </c>
      <c r="CM42" s="74">
        <v>3</v>
      </c>
      <c r="CN42" s="74">
        <v>1</v>
      </c>
      <c r="CO42" s="74">
        <v>3</v>
      </c>
      <c r="CP42" s="74">
        <v>1</v>
      </c>
      <c r="CQ42" s="74">
        <v>3</v>
      </c>
      <c r="CR42" s="74">
        <v>1</v>
      </c>
      <c r="CS42" s="74">
        <v>3</v>
      </c>
      <c r="CT42" s="74">
        <v>1</v>
      </c>
      <c r="CU42" s="74">
        <v>3</v>
      </c>
      <c r="CV42" s="74">
        <v>1</v>
      </c>
      <c r="CW42" s="74">
        <v>3</v>
      </c>
      <c r="CX42" s="74">
        <v>1</v>
      </c>
      <c r="CY42" s="74">
        <v>3</v>
      </c>
      <c r="CZ42" s="74">
        <v>1</v>
      </c>
      <c r="DA42" s="74">
        <v>3</v>
      </c>
      <c r="DB42" s="74">
        <v>1</v>
      </c>
      <c r="DC42" s="74">
        <v>3</v>
      </c>
      <c r="DD42" s="74">
        <v>1</v>
      </c>
      <c r="DE42" s="74">
        <v>3</v>
      </c>
      <c r="DF42" s="74">
        <v>1</v>
      </c>
      <c r="DG42" s="74">
        <v>3</v>
      </c>
      <c r="DH42" s="74">
        <v>1</v>
      </c>
      <c r="DI42" s="74">
        <v>3</v>
      </c>
      <c r="DJ42" s="74">
        <v>1</v>
      </c>
      <c r="DK42" s="74">
        <v>3</v>
      </c>
      <c r="DL42" s="74">
        <v>1</v>
      </c>
      <c r="DM42" s="74">
        <v>3</v>
      </c>
      <c r="DN42" s="74">
        <v>1</v>
      </c>
      <c r="DO42" s="74">
        <v>3</v>
      </c>
      <c r="DP42" s="74">
        <v>1</v>
      </c>
      <c r="DQ42" s="74">
        <v>3</v>
      </c>
      <c r="DR42" s="74">
        <v>1</v>
      </c>
      <c r="DS42" s="74">
        <v>3</v>
      </c>
      <c r="DT42" s="74">
        <v>1</v>
      </c>
      <c r="DW42" s="74">
        <v>3</v>
      </c>
      <c r="DX42" s="74">
        <v>10</v>
      </c>
      <c r="DY42" s="74">
        <v>3</v>
      </c>
      <c r="DZ42" s="74">
        <v>10</v>
      </c>
      <c r="EC42" s="74">
        <v>3</v>
      </c>
      <c r="ED42" s="74">
        <v>1</v>
      </c>
      <c r="EI42" s="74">
        <v>2</v>
      </c>
      <c r="EJ42" s="74">
        <v>10</v>
      </c>
      <c r="ES42" s="113">
        <v>1</v>
      </c>
    </row>
    <row r="43" spans="1:149" x14ac:dyDescent="0.2">
      <c r="A43" s="353" t="s">
        <v>896</v>
      </c>
      <c r="B43" s="353" t="s">
        <v>1974</v>
      </c>
      <c r="C43" s="67">
        <v>100</v>
      </c>
      <c r="D43" s="67">
        <v>125</v>
      </c>
      <c r="E43" s="67">
        <v>-1</v>
      </c>
      <c r="F43" s="67">
        <v>-2</v>
      </c>
      <c r="G43" s="67">
        <v>-3</v>
      </c>
      <c r="H43" s="75" cm="1">
        <f t="array" aca="1" ref="H43" ca="1">IF(AND(A43="",B43=""),"",INDIRECT(ADDRESS($M$3,MATCH(IF(A43="",B43,A43),MA!$A$1:$NP$1,0),1,1,"MA")))</f>
        <v>128.26086956521738</v>
      </c>
      <c r="I43" s="59" t="str" cm="1">
        <f t="array" ref="I43">IF( SUM(--NOT(ISBLANK(BW43:EP43) ) ),1, "" )</f>
        <v/>
      </c>
      <c r="J43" s="59" cm="1">
        <f t="array" ref="J43">IF( SUM(--NOT(ISBLANK(O43:BV43) ) ),1, "" )</f>
        <v>1</v>
      </c>
      <c r="K43" s="59" t="s">
        <v>597</v>
      </c>
      <c r="L43" s="353" t="s">
        <v>1975</v>
      </c>
      <c r="M43" s="71">
        <f ca="1"/>
        <v>3</v>
      </c>
      <c r="N43" s="113">
        <f t="shared" ca="1" si="2"/>
        <v>3</v>
      </c>
      <c r="AC43" s="74">
        <v>-2</v>
      </c>
      <c r="AD43" s="74">
        <v>10</v>
      </c>
      <c r="AE43" s="74">
        <v>-2</v>
      </c>
      <c r="AF43" s="74">
        <v>10</v>
      </c>
      <c r="AI43" s="74">
        <v>-2</v>
      </c>
      <c r="AJ43" s="74">
        <v>10</v>
      </c>
      <c r="AU43" s="74">
        <v>-2</v>
      </c>
      <c r="AV43" s="74">
        <v>10</v>
      </c>
      <c r="CW43" s="74"/>
      <c r="ES43" s="113">
        <v>1</v>
      </c>
    </row>
    <row r="44" spans="1:149" x14ac:dyDescent="0.2">
      <c r="A44" s="279"/>
      <c r="B44" s="279"/>
      <c r="F44" s="67"/>
      <c r="G44" s="67"/>
      <c r="H44" s="75"/>
      <c r="K44" s="59" t="s">
        <v>597</v>
      </c>
      <c r="L44" s="279" t="s">
        <v>1783</v>
      </c>
      <c r="M44" s="71">
        <f ca="1"/>
        <v>2</v>
      </c>
      <c r="N44" s="113"/>
      <c r="BW44" s="67">
        <v>0</v>
      </c>
      <c r="BX44" s="67">
        <v>1</v>
      </c>
      <c r="BY44" s="67"/>
      <c r="BZ44" s="67"/>
      <c r="CA44" s="67">
        <v>0</v>
      </c>
      <c r="CB44" s="67">
        <v>1</v>
      </c>
      <c r="CC44" s="67">
        <v>0</v>
      </c>
      <c r="CD44" s="67">
        <v>1</v>
      </c>
      <c r="CE44" s="67">
        <v>0</v>
      </c>
      <c r="CF44" s="67">
        <v>10</v>
      </c>
      <c r="CG44" s="67"/>
      <c r="CH44" s="67"/>
      <c r="CI44" s="67"/>
      <c r="CJ44" s="67"/>
      <c r="CK44" s="67"/>
      <c r="CL44" s="67"/>
      <c r="CM44" s="74">
        <v>0</v>
      </c>
      <c r="CN44" s="74">
        <v>1</v>
      </c>
      <c r="CO44" s="67">
        <v>0</v>
      </c>
      <c r="CP44" s="67">
        <v>1</v>
      </c>
      <c r="CQ44" s="74">
        <v>0</v>
      </c>
      <c r="CR44" s="74">
        <v>1</v>
      </c>
      <c r="CS44" s="67">
        <v>0</v>
      </c>
      <c r="CT44" s="67">
        <v>1</v>
      </c>
      <c r="CU44" s="67">
        <v>0</v>
      </c>
      <c r="CV44" s="67">
        <v>10</v>
      </c>
      <c r="CW44" s="67">
        <v>0</v>
      </c>
      <c r="CX44" s="67">
        <v>10</v>
      </c>
      <c r="CY44" s="74">
        <v>0</v>
      </c>
      <c r="CZ44" s="74">
        <v>1</v>
      </c>
      <c r="DA44" s="74">
        <v>0</v>
      </c>
      <c r="DB44" s="74">
        <v>10</v>
      </c>
      <c r="DC44" s="67">
        <v>0</v>
      </c>
      <c r="DD44" s="67">
        <v>1</v>
      </c>
      <c r="DE44" s="67">
        <v>0</v>
      </c>
      <c r="DF44" s="67">
        <v>1</v>
      </c>
      <c r="DG44" s="67">
        <v>0</v>
      </c>
      <c r="DH44" s="67">
        <v>1</v>
      </c>
      <c r="DI44" s="67">
        <v>0</v>
      </c>
      <c r="DJ44" s="67">
        <v>1</v>
      </c>
      <c r="DK44" s="74">
        <v>0</v>
      </c>
      <c r="DL44" s="74">
        <v>1</v>
      </c>
      <c r="DM44" s="74">
        <v>0</v>
      </c>
      <c r="DN44" s="74">
        <v>1</v>
      </c>
      <c r="DO44" s="74">
        <v>0</v>
      </c>
      <c r="DP44" s="74">
        <v>1</v>
      </c>
      <c r="DQ44" s="74">
        <v>0</v>
      </c>
      <c r="DR44" s="74">
        <v>10</v>
      </c>
      <c r="DS44" s="59">
        <v>0</v>
      </c>
      <c r="DT44" s="74">
        <v>1</v>
      </c>
      <c r="DU44" s="59"/>
      <c r="DW44" s="59"/>
      <c r="DY44" s="59"/>
      <c r="EA44" s="59"/>
      <c r="EC44" s="59"/>
      <c r="EE44" s="59"/>
      <c r="EG44" s="59"/>
      <c r="EI44" s="59">
        <v>0</v>
      </c>
      <c r="EJ44" s="74">
        <v>10</v>
      </c>
      <c r="EK44" s="59"/>
      <c r="EM44" s="59"/>
      <c r="EO44" s="59"/>
      <c r="ES44" s="113"/>
    </row>
    <row r="45" spans="1:149" x14ac:dyDescent="0.2">
      <c r="B45" s="59" t="s">
        <v>181</v>
      </c>
      <c r="C45" s="67">
        <v>45</v>
      </c>
      <c r="D45" s="67">
        <v>70</v>
      </c>
      <c r="E45" s="67">
        <v>3</v>
      </c>
      <c r="F45" s="67">
        <v>2</v>
      </c>
      <c r="G45" s="67">
        <v>1</v>
      </c>
      <c r="H45" s="75" cm="1">
        <f t="array" aca="1" ref="H45" ca="1">IF(AND(A45="",B45=""),"",INDIRECT(ADDRESS($M$3,MATCH(IF(A45="",B45,A45),MA!$A$1:$NP$1,0),1,1,"MA")))</f>
        <v>69.17</v>
      </c>
      <c r="I45" s="59" cm="1">
        <f t="array" ref="I45">IF( SUM(--NOT(ISBLANK(BW45:EP45) ) ),1, "" )</f>
        <v>1</v>
      </c>
      <c r="J45" s="59" cm="1">
        <f t="array" ref="J45">IF( SUM(--NOT(ISBLANK(O45:BV45) ) ),1, "" )</f>
        <v>1</v>
      </c>
      <c r="K45" s="59" t="s">
        <v>597</v>
      </c>
      <c r="L45" s="59" t="s">
        <v>921</v>
      </c>
      <c r="M45" s="71">
        <f ca="1"/>
        <v>2</v>
      </c>
      <c r="N45" s="113">
        <f t="shared" ca="1" si="1"/>
        <v>2</v>
      </c>
      <c r="BM45" s="74">
        <v>1</v>
      </c>
      <c r="BN45" s="74">
        <v>10</v>
      </c>
      <c r="BW45" s="74">
        <v>2</v>
      </c>
      <c r="BX45" s="74">
        <v>1</v>
      </c>
      <c r="BY45" s="74">
        <v>2</v>
      </c>
      <c r="BZ45" s="74">
        <v>10</v>
      </c>
      <c r="CA45" s="74">
        <v>2</v>
      </c>
      <c r="CB45" s="74">
        <v>1</v>
      </c>
      <c r="CC45" s="74">
        <v>2</v>
      </c>
      <c r="CD45" s="74">
        <v>1</v>
      </c>
      <c r="CE45" s="74">
        <v>2</v>
      </c>
      <c r="CF45" s="74">
        <v>10</v>
      </c>
      <c r="CI45" s="74">
        <v>2</v>
      </c>
      <c r="CJ45" s="74">
        <v>10</v>
      </c>
      <c r="CK45" s="74">
        <v>2</v>
      </c>
      <c r="CL45" s="74">
        <v>10</v>
      </c>
      <c r="CW45" s="74"/>
      <c r="DC45" s="74">
        <v>2</v>
      </c>
      <c r="DD45" s="74">
        <v>1</v>
      </c>
      <c r="DE45" s="74">
        <v>2</v>
      </c>
      <c r="DF45" s="74">
        <v>1</v>
      </c>
      <c r="DG45" s="74">
        <v>2</v>
      </c>
      <c r="DH45" s="74">
        <v>1</v>
      </c>
      <c r="DI45" s="74">
        <v>2</v>
      </c>
      <c r="DJ45" s="74">
        <v>1</v>
      </c>
      <c r="DS45" s="74">
        <v>2</v>
      </c>
      <c r="DT45" s="74">
        <v>10</v>
      </c>
      <c r="EC45" s="74">
        <v>2</v>
      </c>
      <c r="ED45" s="74">
        <v>1</v>
      </c>
      <c r="EG45" s="74">
        <v>2</v>
      </c>
      <c r="EH45" s="74">
        <v>10</v>
      </c>
      <c r="EK45" s="74">
        <v>2</v>
      </c>
      <c r="EL45" s="74">
        <v>10</v>
      </c>
      <c r="ES45" s="113">
        <v>1</v>
      </c>
    </row>
    <row r="46" spans="1:149" x14ac:dyDescent="0.2">
      <c r="A46" s="101" t="s">
        <v>181</v>
      </c>
      <c r="B46" s="59" t="s">
        <v>1047</v>
      </c>
      <c r="C46" s="67">
        <v>65</v>
      </c>
      <c r="D46" s="67">
        <v>80</v>
      </c>
      <c r="E46" s="67">
        <v>1</v>
      </c>
      <c r="F46" s="67">
        <v>2</v>
      </c>
      <c r="G46" s="67">
        <v>3</v>
      </c>
      <c r="H46" s="75" cm="1">
        <f t="array" aca="1" ref="H46" ca="1">IF(AND(A46="",B46=""),"",INDIRECT(ADDRESS($M$3,MATCH(IF(A46="",B46,A46),MA!$A$1:$NP$1,0),1,1,"MA")))</f>
        <v>69.17</v>
      </c>
      <c r="I46" s="59" t="str" cm="1">
        <f t="array" ref="I46">IF( SUM(--NOT(ISBLANK(BW46:EP46) ) ),1, "" )</f>
        <v/>
      </c>
      <c r="J46" s="59" t="str" cm="1">
        <f t="array" ref="J46">IF( SUM(--NOT(ISBLANK(O46:BV46) ) ),1, "" )</f>
        <v/>
      </c>
      <c r="K46" s="59" t="s">
        <v>597</v>
      </c>
      <c r="L46" s="59" t="s">
        <v>1047</v>
      </c>
      <c r="M46" s="71">
        <f ca="1"/>
        <v>2</v>
      </c>
      <c r="N46" s="113" t="str">
        <f t="shared" si="1"/>
        <v/>
      </c>
      <c r="CW46" s="74"/>
      <c r="ES46" s="113"/>
    </row>
    <row r="47" spans="1:149" x14ac:dyDescent="0.2">
      <c r="A47" s="101" t="s">
        <v>181</v>
      </c>
      <c r="B47" s="59" t="s">
        <v>922</v>
      </c>
      <c r="C47" s="67">
        <v>60</v>
      </c>
      <c r="D47" s="67">
        <v>75</v>
      </c>
      <c r="E47" s="67">
        <v>-1</v>
      </c>
      <c r="F47" s="67">
        <v>-2</v>
      </c>
      <c r="G47" s="67">
        <v>-3</v>
      </c>
      <c r="H47" s="75" cm="1">
        <f t="array" aca="1" ref="H47" ca="1">IF(AND(A47="",B47=""),"",INDIRECT(ADDRESS($M$3,MATCH(IF(A47="",B47,A47),MA!$A$1:$NP$1,0),1,1,"MA")))</f>
        <v>69.17</v>
      </c>
      <c r="I47" s="59" cm="1">
        <f t="array" ref="I47">IF( SUM(--NOT(ISBLANK(BW47:EP47) ) ),1, "" )</f>
        <v>1</v>
      </c>
      <c r="J47" s="59" cm="1">
        <f t="array" ref="J47">IF( SUM(--NOT(ISBLANK(O47:BV47) ) ),1, "" )</f>
        <v>1</v>
      </c>
      <c r="K47" s="59" t="s">
        <v>597</v>
      </c>
      <c r="L47" s="59" t="s">
        <v>922</v>
      </c>
      <c r="M47" s="71">
        <f ca="1"/>
        <v>-2</v>
      </c>
      <c r="N47" s="113" t="str">
        <f t="shared" si="1"/>
        <v/>
      </c>
      <c r="AC47" s="74">
        <v>-3</v>
      </c>
      <c r="AD47" s="74">
        <v>10</v>
      </c>
      <c r="AE47" s="74">
        <v>-3</v>
      </c>
      <c r="AF47" s="74">
        <v>10</v>
      </c>
      <c r="AG47" s="74">
        <v>-3</v>
      </c>
      <c r="AH47" s="74">
        <v>10</v>
      </c>
      <c r="AI47" s="74">
        <v>-3</v>
      </c>
      <c r="AJ47" s="74">
        <v>10</v>
      </c>
      <c r="AK47" s="74">
        <v>-3</v>
      </c>
      <c r="AL47" s="74">
        <v>10</v>
      </c>
      <c r="AM47" s="74">
        <v>-3</v>
      </c>
      <c r="AN47" s="74">
        <v>10</v>
      </c>
      <c r="AU47" s="74">
        <v>-3</v>
      </c>
      <c r="AV47" s="74">
        <v>10</v>
      </c>
      <c r="AY47" s="74">
        <v>-3</v>
      </c>
      <c r="AZ47" s="74">
        <v>10</v>
      </c>
      <c r="BE47" s="74">
        <v>-3</v>
      </c>
      <c r="BF47" s="74">
        <v>10</v>
      </c>
      <c r="CM47" s="74">
        <v>-2</v>
      </c>
      <c r="CN47" s="74">
        <v>10</v>
      </c>
      <c r="CO47" s="74">
        <v>-2</v>
      </c>
      <c r="CP47" s="74">
        <v>10</v>
      </c>
      <c r="CQ47" s="74">
        <v>-2</v>
      </c>
      <c r="CR47" s="74">
        <v>10</v>
      </c>
      <c r="CS47" s="74">
        <v>-2</v>
      </c>
      <c r="CT47" s="74">
        <v>10</v>
      </c>
      <c r="CW47" s="59">
        <v>-2</v>
      </c>
      <c r="CX47" s="74">
        <v>10</v>
      </c>
      <c r="CY47" s="74">
        <v>-2</v>
      </c>
      <c r="CZ47" s="74">
        <v>10</v>
      </c>
      <c r="DA47" s="74">
        <v>-2</v>
      </c>
      <c r="DB47" s="74">
        <v>10</v>
      </c>
      <c r="DK47" s="74">
        <v>-2</v>
      </c>
      <c r="DL47" s="74">
        <v>1</v>
      </c>
      <c r="DM47" s="74">
        <v>-2</v>
      </c>
      <c r="DN47" s="74">
        <v>10</v>
      </c>
      <c r="DO47" s="74">
        <v>-2</v>
      </c>
      <c r="DP47" s="74">
        <v>1</v>
      </c>
      <c r="DQ47" s="74">
        <v>-2</v>
      </c>
      <c r="DR47" s="74">
        <v>10</v>
      </c>
      <c r="DS47" s="59"/>
      <c r="DU47" s="59">
        <v>-1</v>
      </c>
      <c r="DV47" s="74">
        <v>10</v>
      </c>
      <c r="DW47" s="59">
        <v>-1</v>
      </c>
      <c r="DX47" s="74">
        <v>10</v>
      </c>
      <c r="DY47" s="74">
        <v>-1</v>
      </c>
      <c r="DZ47" s="74">
        <v>10</v>
      </c>
      <c r="EA47" s="59"/>
      <c r="EC47" s="59"/>
      <c r="EE47" s="59"/>
      <c r="EG47" s="59"/>
      <c r="EI47" s="59"/>
      <c r="EK47" s="59"/>
      <c r="EM47" s="59"/>
      <c r="EO47" s="59"/>
      <c r="ES47" s="113"/>
    </row>
    <row r="48" spans="1:149" x14ac:dyDescent="0.2">
      <c r="B48" s="59" t="s">
        <v>1011</v>
      </c>
      <c r="C48" s="67">
        <v>3</v>
      </c>
      <c r="D48" s="67">
        <v>5</v>
      </c>
      <c r="E48" s="67">
        <v>1</v>
      </c>
      <c r="F48" s="67">
        <v>2</v>
      </c>
      <c r="G48" s="67">
        <v>3</v>
      </c>
      <c r="H48" s="75" cm="1">
        <f t="array" aca="1" ref="H48" ca="1">IF(AND(A48="",B48=""),"",INDIRECT(ADDRESS($M$3,MATCH(IF(A48="",B48,A48),MA!$A$1:$NP$1,0),1,1,"MA")))</f>
        <v>5.6388888888888884</v>
      </c>
      <c r="I48" s="59" cm="1">
        <f t="array" ref="I48">IF( SUM(--NOT(ISBLANK(BW48:EP48) ) ),1, "" )</f>
        <v>1</v>
      </c>
      <c r="J48" s="59" t="str" cm="1">
        <f t="array" ref="J48">IF( SUM(--NOT(ISBLANK(O48:BV48) ) ),1, "" )</f>
        <v/>
      </c>
      <c r="K48" s="59" t="s">
        <v>597</v>
      </c>
      <c r="L48" s="59" t="s">
        <v>905</v>
      </c>
      <c r="M48" s="71">
        <f ca="1"/>
        <v>3</v>
      </c>
      <c r="N48" s="113">
        <f t="shared" ca="1" si="1"/>
        <v>3</v>
      </c>
      <c r="CM48" s="74">
        <v>3</v>
      </c>
      <c r="CN48" s="74">
        <v>1</v>
      </c>
      <c r="CO48" s="74">
        <v>3</v>
      </c>
      <c r="CP48" s="74">
        <v>10</v>
      </c>
      <c r="CQ48" s="74">
        <v>3</v>
      </c>
      <c r="CR48" s="74">
        <v>1</v>
      </c>
      <c r="CS48" s="74">
        <v>3</v>
      </c>
      <c r="CT48" s="74">
        <v>10</v>
      </c>
      <c r="CW48" s="59">
        <v>3</v>
      </c>
      <c r="CX48" s="74">
        <v>10</v>
      </c>
      <c r="CY48" s="74">
        <v>3</v>
      </c>
      <c r="CZ48" s="74">
        <v>10</v>
      </c>
      <c r="DS48" s="59"/>
      <c r="DU48" s="59"/>
      <c r="DW48" s="59"/>
      <c r="DY48" s="59"/>
      <c r="EA48" s="59"/>
      <c r="EC48" s="59"/>
      <c r="EE48" s="59"/>
      <c r="EG48" s="59"/>
      <c r="EI48" s="59"/>
      <c r="EK48" s="59"/>
      <c r="EM48" s="59"/>
      <c r="EO48" s="59"/>
      <c r="ES48" s="113">
        <v>1</v>
      </c>
    </row>
    <row r="49" spans="1:149" x14ac:dyDescent="0.2">
      <c r="B49" s="59" t="s">
        <v>1007</v>
      </c>
      <c r="C49" s="67">
        <v>20</v>
      </c>
      <c r="D49" s="67">
        <v>35</v>
      </c>
      <c r="E49" s="67">
        <v>1</v>
      </c>
      <c r="F49" s="67">
        <v>2</v>
      </c>
      <c r="G49" s="67">
        <v>3</v>
      </c>
      <c r="H49" s="75" cm="1">
        <f t="array" aca="1" ref="H49" ca="1">IF(AND(A49="",B49=""),"",INDIRECT(ADDRESS($M$3,MATCH(IF(A49="",B49,A49),MA!$A$1:$NP$1,0),1,1,"MA")))</f>
        <v>40.000000000000568</v>
      </c>
      <c r="I49" s="59" t="str" cm="1">
        <f t="array" ref="I49">IF( SUM(--NOT(ISBLANK(BW49:EP49) ) ),1, "" )</f>
        <v/>
      </c>
      <c r="J49" s="59" t="str" cm="1">
        <f t="array" ref="J49">IF( SUM(--NOT(ISBLANK(O49:BV49) ) ),1, "" )</f>
        <v/>
      </c>
      <c r="K49" s="59" t="s">
        <v>597</v>
      </c>
      <c r="L49" s="59" t="s">
        <v>1019</v>
      </c>
      <c r="M49" s="71">
        <f ca="1"/>
        <v>1</v>
      </c>
      <c r="N49" s="113" t="str">
        <f t="shared" si="1"/>
        <v/>
      </c>
      <c r="DS49" s="59"/>
      <c r="DU49" s="59"/>
      <c r="DW49" s="59"/>
      <c r="DY49" s="59"/>
      <c r="EA49" s="59"/>
      <c r="EC49" s="59"/>
      <c r="EE49" s="59"/>
      <c r="EG49" s="59"/>
      <c r="EI49" s="59"/>
      <c r="EK49" s="59"/>
      <c r="EM49" s="59"/>
      <c r="EO49" s="59"/>
      <c r="ES49" s="113"/>
    </row>
    <row r="50" spans="1:149" x14ac:dyDescent="0.2">
      <c r="B50" s="59" t="s">
        <v>1012</v>
      </c>
      <c r="C50" s="67">
        <v>2</v>
      </c>
      <c r="D50" s="67">
        <v>5</v>
      </c>
      <c r="E50" s="67">
        <v>3</v>
      </c>
      <c r="F50" s="67">
        <v>2</v>
      </c>
      <c r="G50" s="67">
        <v>1</v>
      </c>
      <c r="H50" s="75" cm="1">
        <f t="array" aca="1" ref="H50" ca="1">IF(AND(A50="",B50=""),"",INDIRECT(ADDRESS($M$3,MATCH(IF(A50="",B50,A50),MA!$A$1:$NP$1,0),1,1,"MA")))</f>
        <v>-0.41203703703703726</v>
      </c>
      <c r="I50" s="59" t="str" cm="1">
        <f t="array" ref="I50">IF( SUM(--NOT(ISBLANK(BW50:EP50) ) ),1, "" )</f>
        <v/>
      </c>
      <c r="J50" s="59" cm="1">
        <f t="array" ref="J50">IF( SUM(--NOT(ISBLANK(O50:BV50) ) ),1, "" )</f>
        <v>1</v>
      </c>
      <c r="K50" s="59" t="s">
        <v>597</v>
      </c>
      <c r="L50" s="59" t="s">
        <v>906</v>
      </c>
      <c r="M50" s="71">
        <f ca="1"/>
        <v>-1</v>
      </c>
      <c r="N50" s="113" t="str">
        <f t="shared" si="1"/>
        <v/>
      </c>
      <c r="BM50" s="74">
        <v>-3</v>
      </c>
      <c r="BN50" s="74">
        <v>10</v>
      </c>
      <c r="DS50" s="59"/>
      <c r="DU50" s="59"/>
      <c r="DW50" s="59"/>
      <c r="DY50" s="59"/>
      <c r="EA50" s="59"/>
      <c r="EC50" s="59"/>
      <c r="EE50" s="59"/>
      <c r="EG50" s="59"/>
      <c r="EI50" s="59"/>
      <c r="EK50" s="59"/>
      <c r="EM50" s="59"/>
      <c r="EO50" s="59"/>
      <c r="ES50" s="113"/>
    </row>
    <row r="51" spans="1:149" x14ac:dyDescent="0.2">
      <c r="B51" s="59" t="s">
        <v>1008</v>
      </c>
      <c r="C51" s="67">
        <v>6</v>
      </c>
      <c r="D51" s="67">
        <v>15</v>
      </c>
      <c r="E51" s="67">
        <v>3</v>
      </c>
      <c r="F51" s="67">
        <v>2</v>
      </c>
      <c r="G51" s="67">
        <v>1</v>
      </c>
      <c r="H51" s="75" cm="1">
        <f t="array" aca="1" ref="H51" ca="1">IF(AND(A51="",B51=""),"",INDIRECT(ADDRESS($M$3,MATCH(IF(A51="",B51,A51),MA!$A$1:$NP$1,0),1,1,"MA")))</f>
        <v>54.000000000000625</v>
      </c>
      <c r="I51" s="59" t="str" cm="1">
        <f t="array" ref="I51">IF( SUM(--NOT(ISBLANK(BW51:EP51) ) ),1, "" )</f>
        <v/>
      </c>
      <c r="J51" s="59" cm="1">
        <f t="array" ref="J51">IF( SUM(--NOT(ISBLANK(O51:BV51) ) ),1, "" )</f>
        <v>1</v>
      </c>
      <c r="K51" s="59" t="s">
        <v>597</v>
      </c>
      <c r="L51" s="59" t="s">
        <v>1020</v>
      </c>
      <c r="M51" s="71">
        <f ca="1"/>
        <v>-2</v>
      </c>
      <c r="N51" s="113" t="str">
        <f t="shared" si="1"/>
        <v/>
      </c>
      <c r="BM51" s="74">
        <v>2</v>
      </c>
      <c r="BN51" s="74">
        <v>10</v>
      </c>
      <c r="DS51" s="59"/>
      <c r="DU51" s="59"/>
      <c r="DW51" s="59"/>
      <c r="DY51" s="59"/>
      <c r="EA51" s="59"/>
      <c r="EC51" s="59"/>
      <c r="EE51" s="59"/>
      <c r="EG51" s="59"/>
      <c r="EI51" s="59"/>
      <c r="EK51" s="59"/>
      <c r="EM51" s="59"/>
      <c r="EO51" s="59"/>
      <c r="ES51" s="113"/>
    </row>
    <row r="52" spans="1:149" x14ac:dyDescent="0.2">
      <c r="F52" s="67"/>
      <c r="G52" s="67"/>
      <c r="H52" s="75" t="str" cm="1">
        <f t="array" aca="1" ref="H52" ca="1">IF(AND(A52="",B52=""),"",INDIRECT(ADDRESS($M$3,MATCH(IF(A52="",B52,A52),MA!$A$1:$NP$1,0),1,1,"MA")))</f>
        <v/>
      </c>
      <c r="I52" s="59" t="str" cm="1">
        <f t="array" ref="I52">IF( SUM(--NOT(ISBLANK(BW52:EP52) ) ),1, "" )</f>
        <v/>
      </c>
      <c r="J52" s="59" t="str" cm="1">
        <f t="array" ref="J52">IF( SUM(--NOT(ISBLANK(O52:BV52) ) ),1, "" )</f>
        <v/>
      </c>
      <c r="K52" s="59" t="s">
        <v>597</v>
      </c>
      <c r="L52" s="59" t="s">
        <v>1023</v>
      </c>
      <c r="M52" s="71">
        <f ca="1"/>
        <v>-1</v>
      </c>
      <c r="N52" s="113" t="str">
        <f t="shared" si="1"/>
        <v/>
      </c>
      <c r="DS52" s="59"/>
      <c r="DU52" s="59"/>
      <c r="DW52" s="59"/>
      <c r="DY52" s="59"/>
      <c r="EA52" s="59"/>
      <c r="EC52" s="59"/>
      <c r="EE52" s="59"/>
      <c r="EG52" s="59"/>
      <c r="EI52" s="59"/>
      <c r="EK52" s="59"/>
      <c r="EM52" s="59"/>
      <c r="EO52" s="59"/>
      <c r="ES52" s="113"/>
    </row>
    <row r="53" spans="1:149" x14ac:dyDescent="0.2">
      <c r="B53" s="59" t="s">
        <v>859</v>
      </c>
      <c r="C53" s="67">
        <v>4</v>
      </c>
      <c r="D53" s="67">
        <v>12</v>
      </c>
      <c r="E53" s="67">
        <v>1</v>
      </c>
      <c r="F53" s="67">
        <v>2</v>
      </c>
      <c r="G53" s="67">
        <v>3</v>
      </c>
      <c r="H53" s="75" cm="1">
        <f t="array" aca="1" ref="H53" ca="1">IF(AND(A53="",B53=""),"",INDIRECT(ADDRESS($M$3,MATCH(IF(A53="",B53,A53),MA!$A$1:$NP$1,0),1,1,"MA")))</f>
        <v>1.9837962962962978</v>
      </c>
      <c r="I53" s="59" t="str" cm="1">
        <f t="array" ref="I53">IF( SUM(--NOT(ISBLANK(BW53:EP53) ) ),1, "" )</f>
        <v/>
      </c>
      <c r="J53" s="59" t="str" cm="1">
        <f t="array" ref="J53">IF( SUM(--NOT(ISBLANK(O53:BV53) ) ),1, "" )</f>
        <v/>
      </c>
      <c r="K53" s="59" t="s">
        <v>597</v>
      </c>
      <c r="L53" s="59" t="s">
        <v>1263</v>
      </c>
      <c r="M53" s="71">
        <f ca="1"/>
        <v>1</v>
      </c>
      <c r="N53" s="113">
        <f t="shared" ca="1" si="1"/>
        <v>1</v>
      </c>
      <c r="DS53" s="59"/>
      <c r="DU53" s="59"/>
      <c r="DW53" s="59"/>
      <c r="DY53" s="59"/>
      <c r="EA53" s="59"/>
      <c r="EC53" s="59"/>
      <c r="EE53" s="59"/>
      <c r="EG53" s="59"/>
      <c r="EI53" s="59"/>
      <c r="EK53" s="59"/>
      <c r="EM53" s="59"/>
      <c r="EO53" s="59"/>
      <c r="ES53" s="113">
        <v>1</v>
      </c>
    </row>
    <row r="54" spans="1:149" x14ac:dyDescent="0.2">
      <c r="B54" s="59" t="s">
        <v>1276</v>
      </c>
      <c r="C54" s="67">
        <v>3</v>
      </c>
      <c r="D54" s="67">
        <v>8</v>
      </c>
      <c r="E54" s="67">
        <v>1</v>
      </c>
      <c r="F54" s="67">
        <v>2</v>
      </c>
      <c r="G54" s="67">
        <v>3</v>
      </c>
      <c r="H54" s="75" cm="1">
        <f t="array" aca="1" ref="H54" ca="1">IF(AND(A54="",B54=""),"",INDIRECT(ADDRESS($M$3,MATCH(IF(A54="",B54,A54),MA!$A$1:$NP$1,0),1,1,"MA")))</f>
        <v>6.5413833333333349</v>
      </c>
      <c r="I54" s="59" t="str" cm="1">
        <f t="array" ref="I54">IF( SUM(--NOT(ISBLANK(BW54:EP54) ) ),1, "" )</f>
        <v/>
      </c>
      <c r="J54" s="59" t="str" cm="1">
        <f t="array" ref="J54">IF( SUM(--NOT(ISBLANK(O54:BV54) ) ),1, "" )</f>
        <v/>
      </c>
      <c r="K54" s="59" t="s">
        <v>597</v>
      </c>
      <c r="L54" s="59" t="s">
        <v>1277</v>
      </c>
      <c r="M54" s="71">
        <f ca="1"/>
        <v>3</v>
      </c>
      <c r="N54" s="113">
        <f t="shared" ca="1" si="1"/>
        <v>3</v>
      </c>
      <c r="DS54" s="59"/>
      <c r="DU54" s="59"/>
      <c r="DW54" s="59"/>
      <c r="DY54" s="59"/>
      <c r="EA54" s="59"/>
      <c r="EC54" s="59"/>
      <c r="EE54" s="59"/>
      <c r="EG54" s="59"/>
      <c r="EI54" s="59"/>
      <c r="EK54" s="59"/>
      <c r="EM54" s="59"/>
      <c r="EO54" s="59"/>
      <c r="ES54" s="113">
        <v>1</v>
      </c>
    </row>
    <row r="55" spans="1:149" x14ac:dyDescent="0.2">
      <c r="B55" s="59" t="s">
        <v>858</v>
      </c>
      <c r="C55" s="67">
        <v>2</v>
      </c>
      <c r="D55" s="67">
        <v>3</v>
      </c>
      <c r="E55" s="67">
        <v>1</v>
      </c>
      <c r="F55" s="67">
        <v>2</v>
      </c>
      <c r="G55" s="67">
        <v>3</v>
      </c>
      <c r="H55" s="75" cm="1">
        <f t="array" aca="1" ref="H55" ca="1">IF(AND(A55="",B55=""),"",INDIRECT(ADDRESS($M$3,MATCH(IF(A55="",B55,A55),MA!$A$1:$NP$1,0),1,1,"MA")))</f>
        <v>4.3379629629629646</v>
      </c>
      <c r="I55" s="59" t="str" cm="1">
        <f t="array" ref="I55">IF( SUM(--NOT(ISBLANK(BW55:EP55) ) ),1, "" )</f>
        <v/>
      </c>
      <c r="J55" s="59" cm="1">
        <f t="array" ref="J55">IF( SUM(--NOT(ISBLANK(O55:BV55) ) ),1, "" )</f>
        <v>1</v>
      </c>
      <c r="K55" s="59" t="s">
        <v>597</v>
      </c>
      <c r="L55" s="59" t="s">
        <v>1267</v>
      </c>
      <c r="M55" s="71">
        <f ca="1"/>
        <v>1</v>
      </c>
      <c r="N55" s="113">
        <f t="shared" ca="1" si="1"/>
        <v>1</v>
      </c>
      <c r="BI55" s="74">
        <v>-2</v>
      </c>
      <c r="BJ55" s="74">
        <v>10</v>
      </c>
      <c r="DS55" s="59"/>
      <c r="DU55" s="59"/>
      <c r="DW55" s="59"/>
      <c r="DY55" s="59"/>
      <c r="EA55" s="59"/>
      <c r="EC55" s="59"/>
      <c r="EE55" s="59"/>
      <c r="EG55" s="59"/>
      <c r="EI55" s="59"/>
      <c r="EK55" s="59"/>
      <c r="EM55" s="59"/>
      <c r="EO55" s="59"/>
      <c r="ES55" s="113">
        <v>1</v>
      </c>
    </row>
    <row r="56" spans="1:149" x14ac:dyDescent="0.2">
      <c r="B56" s="59" t="s">
        <v>857</v>
      </c>
      <c r="C56" s="67">
        <v>1</v>
      </c>
      <c r="D56" s="67">
        <v>2</v>
      </c>
      <c r="E56" s="67">
        <v>1</v>
      </c>
      <c r="F56" s="67">
        <v>2</v>
      </c>
      <c r="G56" s="67">
        <v>3</v>
      </c>
      <c r="H56" s="75" cm="1">
        <f t="array" aca="1" ref="H56" ca="1">IF(AND(A56="",B56=""),"",INDIRECT(ADDRESS($M$3,MATCH(IF(A56="",B56,A56),MA!$A$1:$NP$1,0),1,1,"MA")))</f>
        <v>1.6758000000000002</v>
      </c>
      <c r="I56" s="59" cm="1">
        <f t="array" ref="I56">IF( SUM(--NOT(ISBLANK(BW56:EP56) ) ),1, "" )</f>
        <v>1</v>
      </c>
      <c r="J56" s="59" t="str" cm="1">
        <f t="array" ref="J56">IF( SUM(--NOT(ISBLANK(O56:BV56) ) ),1, "" )</f>
        <v/>
      </c>
      <c r="K56" s="59" t="s">
        <v>597</v>
      </c>
      <c r="L56" s="59" t="s">
        <v>1268</v>
      </c>
      <c r="M56" s="71">
        <f ca="1"/>
        <v>-3</v>
      </c>
      <c r="N56" s="113">
        <f t="shared" ca="1" si="1"/>
        <v>0</v>
      </c>
      <c r="DO56" s="74">
        <v>3</v>
      </c>
      <c r="DP56" s="74">
        <v>10</v>
      </c>
      <c r="DQ56" s="74">
        <v>3</v>
      </c>
      <c r="DR56" s="74">
        <v>10</v>
      </c>
      <c r="DS56" s="59"/>
      <c r="DU56" s="59"/>
      <c r="DW56" s="59"/>
      <c r="DY56" s="59"/>
      <c r="EA56" s="59"/>
      <c r="EC56" s="59"/>
      <c r="EE56" s="59"/>
      <c r="EG56" s="59"/>
      <c r="EI56" s="59"/>
      <c r="EK56" s="59"/>
      <c r="EM56" s="59"/>
      <c r="EO56" s="59"/>
      <c r="ES56" s="113">
        <v>1</v>
      </c>
    </row>
    <row r="57" spans="1:149" x14ac:dyDescent="0.2">
      <c r="A57" s="101" t="s">
        <v>948</v>
      </c>
      <c r="B57" s="59" t="s">
        <v>948</v>
      </c>
      <c r="C57" s="67">
        <v>0.5</v>
      </c>
      <c r="D57" s="67">
        <v>1</v>
      </c>
      <c r="E57" s="67">
        <v>1</v>
      </c>
      <c r="F57" s="67">
        <v>2</v>
      </c>
      <c r="G57" s="67">
        <v>3</v>
      </c>
      <c r="H57" s="75" cm="1">
        <f t="array" aca="1" ref="H57" ca="1">IF(AND(A57="",B57=""),"",INDIRECT(ADDRESS($M$3,MATCH(IF(A57="",B57,A57),MA!$A$1:$NP$1,0),1,1,"MA")))</f>
        <v>0.89775000000000005</v>
      </c>
      <c r="I57" s="59" cm="1">
        <f t="array" ref="I57">IF( SUM(--NOT(ISBLANK(BW57:EP57) ) ),1, "" )</f>
        <v>1</v>
      </c>
      <c r="J57" s="59" cm="1">
        <f t="array" ref="J57">IF( SUM(--NOT(ISBLANK(O57:BV57) ) ),1, "" )</f>
        <v>1</v>
      </c>
      <c r="K57" s="59" t="s">
        <v>597</v>
      </c>
      <c r="L57" s="59" t="s">
        <v>1266</v>
      </c>
      <c r="M57" s="71">
        <f ca="1"/>
        <v>3</v>
      </c>
      <c r="N57" s="113">
        <f t="shared" ca="1" si="1"/>
        <v>3</v>
      </c>
      <c r="Q57" s="74">
        <v>-2</v>
      </c>
      <c r="R57" s="74">
        <v>10</v>
      </c>
      <c r="W57" s="74">
        <v>1</v>
      </c>
      <c r="X57" s="74">
        <v>10</v>
      </c>
      <c r="AO57" s="74">
        <v>1</v>
      </c>
      <c r="AP57" s="74">
        <v>10</v>
      </c>
      <c r="AS57" s="74">
        <v>1</v>
      </c>
      <c r="AT57" s="74">
        <v>10</v>
      </c>
      <c r="BC57" s="74">
        <v>-1</v>
      </c>
      <c r="BD57" s="74">
        <v>10</v>
      </c>
      <c r="BI57" s="74">
        <v>-2</v>
      </c>
      <c r="BJ57" s="74">
        <v>10</v>
      </c>
      <c r="CC57" s="74">
        <v>2</v>
      </c>
      <c r="CD57" s="74">
        <v>10</v>
      </c>
      <c r="DC57" s="74">
        <v>2</v>
      </c>
      <c r="DD57" s="74">
        <v>10</v>
      </c>
      <c r="DG57" s="74">
        <v>2</v>
      </c>
      <c r="DH57" s="74">
        <v>10</v>
      </c>
      <c r="DM57" s="74">
        <v>2</v>
      </c>
      <c r="DN57" s="74">
        <v>10</v>
      </c>
      <c r="DO57" s="74">
        <v>2</v>
      </c>
      <c r="DP57" s="74">
        <v>10</v>
      </c>
      <c r="DQ57" s="74">
        <v>2</v>
      </c>
      <c r="DR57" s="74">
        <v>10</v>
      </c>
      <c r="DS57" s="59">
        <v>1</v>
      </c>
      <c r="DT57" s="74">
        <v>10</v>
      </c>
      <c r="DU57" s="59"/>
      <c r="DW57" s="59"/>
      <c r="DY57" s="59"/>
      <c r="EA57" s="59"/>
      <c r="EC57" s="59"/>
      <c r="EE57" s="59"/>
      <c r="EG57" s="59"/>
      <c r="EI57" s="59"/>
      <c r="EK57" s="59"/>
      <c r="EM57" s="59"/>
      <c r="EO57" s="59"/>
      <c r="ES57" s="113">
        <v>1</v>
      </c>
    </row>
    <row r="58" spans="1:149" x14ac:dyDescent="0.2">
      <c r="A58" s="258" t="s">
        <v>1294</v>
      </c>
      <c r="B58" s="98" t="s">
        <v>1294</v>
      </c>
      <c r="C58" s="67">
        <v>1</v>
      </c>
      <c r="D58" s="67">
        <v>2</v>
      </c>
      <c r="E58" s="67">
        <v>1</v>
      </c>
      <c r="F58" s="67">
        <v>2</v>
      </c>
      <c r="G58" s="67">
        <v>3</v>
      </c>
      <c r="H58" s="75" cm="1">
        <f t="array" aca="1" ref="H58" ca="1">IF(AND(A58="",B58=""),"",INDIRECT(ADDRESS($M$3,MATCH(IF(A58="",B58,A58),MA!$A$1:$NP$1,0),1,1,"MA")))</f>
        <v>1.0694444444444444</v>
      </c>
      <c r="I58" s="59" cm="1">
        <f t="array" ref="I58">IF( SUM(--NOT(ISBLANK(BW58:EP58) ) ),1, "" )</f>
        <v>1</v>
      </c>
      <c r="J58" s="59" cm="1">
        <f t="array" ref="J58">IF( SUM(--NOT(ISBLANK(O58:BV58) ) ),1, "" )</f>
        <v>1</v>
      </c>
      <c r="K58" s="59" t="s">
        <v>597</v>
      </c>
      <c r="L58" s="98" t="s">
        <v>1293</v>
      </c>
      <c r="M58" s="71">
        <f ca="1"/>
        <v>1</v>
      </c>
      <c r="N58" s="113">
        <f t="shared" ca="1" si="1"/>
        <v>1</v>
      </c>
      <c r="W58" s="74">
        <v>-1</v>
      </c>
      <c r="X58" s="74">
        <v>10</v>
      </c>
      <c r="AO58" s="74">
        <v>-1</v>
      </c>
      <c r="AP58" s="74">
        <v>10</v>
      </c>
      <c r="AS58" s="74">
        <v>-1</v>
      </c>
      <c r="AT58" s="74">
        <v>10</v>
      </c>
      <c r="BC58" s="74">
        <v>-1</v>
      </c>
      <c r="BD58" s="74">
        <v>10</v>
      </c>
      <c r="BG58" s="74">
        <v>0</v>
      </c>
      <c r="BH58" s="74">
        <v>10</v>
      </c>
      <c r="BW58" s="74">
        <v>0</v>
      </c>
      <c r="BX58" s="74">
        <v>10</v>
      </c>
      <c r="CA58" s="74">
        <v>0</v>
      </c>
      <c r="CB58" s="74">
        <v>10</v>
      </c>
      <c r="CC58" s="74">
        <v>0</v>
      </c>
      <c r="CD58" s="74">
        <v>10</v>
      </c>
      <c r="DA58" s="74">
        <v>1</v>
      </c>
      <c r="DB58" s="74">
        <v>10</v>
      </c>
      <c r="DC58" s="74">
        <v>0</v>
      </c>
      <c r="DD58" s="74">
        <v>10</v>
      </c>
      <c r="DE58" s="74">
        <v>0</v>
      </c>
      <c r="DF58" s="74">
        <v>10</v>
      </c>
      <c r="DG58" s="74">
        <v>0</v>
      </c>
      <c r="DH58" s="74">
        <v>10</v>
      </c>
      <c r="DM58" s="74">
        <v>1</v>
      </c>
      <c r="DN58" s="74">
        <v>1</v>
      </c>
      <c r="DO58" s="74">
        <v>1</v>
      </c>
      <c r="DP58" s="74">
        <v>10</v>
      </c>
      <c r="DQ58" s="74">
        <v>1</v>
      </c>
      <c r="DR58" s="74">
        <v>10</v>
      </c>
      <c r="DS58" s="59"/>
      <c r="DU58" s="59"/>
      <c r="DW58" s="59"/>
      <c r="DY58" s="59"/>
      <c r="EA58" s="59"/>
      <c r="EC58" s="59">
        <v>0</v>
      </c>
      <c r="ED58" s="74">
        <v>10</v>
      </c>
      <c r="EE58" s="59"/>
      <c r="EG58" s="59"/>
      <c r="EI58" s="59"/>
      <c r="EK58" s="59"/>
      <c r="EM58" s="59"/>
      <c r="EO58" s="59"/>
      <c r="ES58" s="113">
        <v>1</v>
      </c>
    </row>
    <row r="59" spans="1:149" x14ac:dyDescent="0.2">
      <c r="B59" s="118"/>
      <c r="F59" s="67"/>
      <c r="G59" s="67"/>
      <c r="H59" s="75"/>
      <c r="I59" s="59" t="str" cm="1">
        <f t="array" ref="I59">IF( SUM(--NOT(ISBLANK(BW59:EP59) ) ),1, "" )</f>
        <v/>
      </c>
      <c r="J59" s="59" cm="1">
        <f t="array" ref="J59">IF( SUM(--NOT(ISBLANK(O59:BV59) ) ),1, "" )</f>
        <v>1</v>
      </c>
      <c r="K59" s="59" t="s">
        <v>597</v>
      </c>
      <c r="L59" s="118" t="s">
        <v>1340</v>
      </c>
      <c r="M59" s="71">
        <f ca="1"/>
        <v>3</v>
      </c>
      <c r="N59" s="113">
        <f t="shared" ca="1" si="1"/>
        <v>3</v>
      </c>
      <c r="Y59" s="74">
        <v>-1</v>
      </c>
      <c r="Z59" s="74">
        <v>10</v>
      </c>
      <c r="AA59" s="74">
        <v>-1</v>
      </c>
      <c r="AB59" s="74">
        <v>10</v>
      </c>
      <c r="AO59" s="74">
        <v>0</v>
      </c>
      <c r="AP59" s="74">
        <v>10</v>
      </c>
      <c r="AU59" s="74">
        <v>-1</v>
      </c>
      <c r="AV59" s="74">
        <v>10</v>
      </c>
      <c r="BA59" s="74">
        <v>-1</v>
      </c>
      <c r="BB59" s="74">
        <v>10</v>
      </c>
      <c r="BM59" s="74">
        <v>-1</v>
      </c>
      <c r="BN59" s="74">
        <v>10</v>
      </c>
      <c r="DS59" s="59"/>
      <c r="DU59" s="59"/>
      <c r="DW59" s="59"/>
      <c r="DY59" s="59"/>
      <c r="EA59" s="59"/>
      <c r="EC59" s="59"/>
      <c r="EE59" s="59"/>
      <c r="EG59" s="59"/>
      <c r="EI59" s="59"/>
      <c r="EK59" s="59"/>
      <c r="EM59" s="59"/>
      <c r="EO59" s="59"/>
      <c r="ES59" s="113">
        <v>1</v>
      </c>
    </row>
    <row r="60" spans="1:149" x14ac:dyDescent="0.2">
      <c r="A60" s="101" t="s">
        <v>948</v>
      </c>
      <c r="B60" s="59" t="s">
        <v>1013</v>
      </c>
      <c r="C60" s="67">
        <v>5</v>
      </c>
      <c r="D60" s="67">
        <v>7</v>
      </c>
      <c r="E60" s="67">
        <v>3</v>
      </c>
      <c r="F60" s="67">
        <v>2</v>
      </c>
      <c r="G60" s="67">
        <v>1</v>
      </c>
      <c r="H60" s="75" cm="1">
        <f t="array" aca="1" ref="H60" ca="1">IF(AND(A60="",B60=""),"",INDIRECT(ADDRESS($M$3,MATCH(IF(A60="",B60,A60),MA!$A$1:$NP$1,0),1,1,"MA")))</f>
        <v>0.89775000000000005</v>
      </c>
      <c r="I60" s="59" cm="1">
        <f t="array" ref="I60">IF( SUM(--NOT(ISBLANK(BW60:EP60) ) ),1, "" )</f>
        <v>1</v>
      </c>
      <c r="J60" s="59" t="str" cm="1">
        <f t="array" ref="J60">IF( SUM(--NOT(ISBLANK(O60:BV60) ) ),1, "" )</f>
        <v/>
      </c>
      <c r="K60" s="59" t="s">
        <v>597</v>
      </c>
      <c r="L60" s="59" t="s">
        <v>1014</v>
      </c>
      <c r="M60" s="71">
        <f ca="1"/>
        <v>1</v>
      </c>
      <c r="N60" s="113">
        <f t="shared" ca="1" si="1"/>
        <v>1</v>
      </c>
      <c r="BW60" s="74">
        <v>3</v>
      </c>
      <c r="BX60" s="74">
        <v>10</v>
      </c>
      <c r="BY60" s="74">
        <v>3</v>
      </c>
      <c r="BZ60" s="74">
        <v>10</v>
      </c>
      <c r="CA60" s="74">
        <v>3</v>
      </c>
      <c r="CB60" s="74">
        <v>10</v>
      </c>
      <c r="CC60" s="74">
        <v>3</v>
      </c>
      <c r="CD60" s="74">
        <v>10</v>
      </c>
      <c r="CE60" s="74">
        <v>3</v>
      </c>
      <c r="CF60" s="74">
        <v>10</v>
      </c>
      <c r="CG60" s="74">
        <v>3</v>
      </c>
      <c r="CH60" s="74">
        <v>10</v>
      </c>
      <c r="CI60" s="74">
        <v>3</v>
      </c>
      <c r="CJ60" s="74">
        <v>10</v>
      </c>
      <c r="CK60" s="74">
        <v>3</v>
      </c>
      <c r="CL60" s="74">
        <v>10</v>
      </c>
      <c r="CM60" s="74">
        <v>3</v>
      </c>
      <c r="CN60" s="74">
        <v>10</v>
      </c>
      <c r="CO60" s="74">
        <v>3</v>
      </c>
      <c r="CP60" s="74">
        <v>10</v>
      </c>
      <c r="CQ60" s="74">
        <v>3</v>
      </c>
      <c r="CR60" s="74">
        <v>10</v>
      </c>
      <c r="CS60" s="74">
        <v>3</v>
      </c>
      <c r="CT60" s="74">
        <v>10</v>
      </c>
      <c r="CU60" s="74">
        <v>3</v>
      </c>
      <c r="CV60" s="74">
        <v>10</v>
      </c>
      <c r="CW60" s="74">
        <v>3</v>
      </c>
      <c r="CX60" s="74">
        <v>10</v>
      </c>
      <c r="CY60" s="74">
        <v>3</v>
      </c>
      <c r="CZ60" s="74">
        <v>10</v>
      </c>
      <c r="DA60" s="74">
        <v>3</v>
      </c>
      <c r="DB60" s="74">
        <v>10</v>
      </c>
      <c r="DC60" s="74">
        <v>3</v>
      </c>
      <c r="DD60" s="74">
        <v>10</v>
      </c>
      <c r="DE60" s="74">
        <v>3</v>
      </c>
      <c r="DF60" s="74">
        <v>10</v>
      </c>
      <c r="DG60" s="74">
        <v>3</v>
      </c>
      <c r="DH60" s="74">
        <v>10</v>
      </c>
      <c r="DI60" s="74">
        <v>3</v>
      </c>
      <c r="DJ60" s="74">
        <v>10</v>
      </c>
      <c r="DK60" s="74">
        <v>3</v>
      </c>
      <c r="DL60" s="74">
        <v>10</v>
      </c>
      <c r="DM60" s="74">
        <v>3</v>
      </c>
      <c r="DN60" s="74">
        <v>10</v>
      </c>
      <c r="DO60" s="74">
        <v>3</v>
      </c>
      <c r="DP60" s="74">
        <v>10</v>
      </c>
      <c r="DQ60" s="74">
        <v>3</v>
      </c>
      <c r="DR60" s="74">
        <v>10</v>
      </c>
      <c r="DS60" s="59">
        <v>3</v>
      </c>
      <c r="DT60" s="74">
        <v>10</v>
      </c>
      <c r="DU60" s="59"/>
      <c r="DW60" s="59"/>
      <c r="DY60" s="59">
        <v>3</v>
      </c>
      <c r="DZ60" s="74">
        <v>10</v>
      </c>
      <c r="EA60" s="59"/>
      <c r="EC60" s="59">
        <v>3</v>
      </c>
      <c r="ED60" s="74">
        <v>10</v>
      </c>
      <c r="EE60" s="59"/>
      <c r="EG60" s="59"/>
      <c r="EI60" s="59"/>
      <c r="EK60" s="59"/>
      <c r="EM60" s="59"/>
      <c r="EO60" s="59"/>
      <c r="ES60" s="113">
        <v>1</v>
      </c>
    </row>
    <row r="61" spans="1:149" x14ac:dyDescent="0.2">
      <c r="F61" s="67"/>
      <c r="G61" s="67"/>
      <c r="H61" s="75" t="str" cm="1">
        <f t="array" aca="1" ref="H61" ca="1">IF(AND(A61="",B61=""),"",INDIRECT(ADDRESS($M$3,MATCH(IF(A61="",B61,A61),MA!$A$1:$NP$1,0),1,1,"MA")))</f>
        <v/>
      </c>
      <c r="I61" s="59" cm="1">
        <f t="array" ref="I61">IF( SUM(--NOT(ISBLANK(BW61:EP61) ) ),1, "" )</f>
        <v>1</v>
      </c>
      <c r="J61" s="59" t="str" cm="1">
        <f t="array" ref="J61">IF( SUM(--NOT(ISBLANK(O61:BV61) ) ),1, "" )</f>
        <v/>
      </c>
      <c r="K61" s="59" t="s">
        <v>597</v>
      </c>
      <c r="L61" s="59" t="s">
        <v>1269</v>
      </c>
      <c r="M61" s="71">
        <f ca="1"/>
        <v>3</v>
      </c>
      <c r="N61" s="113" t="str">
        <f t="shared" si="1"/>
        <v/>
      </c>
      <c r="CW61" s="74">
        <v>2</v>
      </c>
      <c r="CX61" s="74">
        <v>10</v>
      </c>
      <c r="CY61" s="74">
        <v>3</v>
      </c>
      <c r="CZ61" s="74">
        <v>10</v>
      </c>
      <c r="DS61" s="59"/>
      <c r="DU61" s="59"/>
      <c r="DW61" s="59"/>
      <c r="DY61" s="59"/>
      <c r="EA61" s="59"/>
      <c r="EC61" s="59"/>
      <c r="EE61" s="59"/>
      <c r="EG61" s="59"/>
      <c r="EI61" s="59"/>
      <c r="EK61" s="59"/>
      <c r="EM61" s="59"/>
      <c r="EO61" s="59"/>
      <c r="ES61" s="113"/>
    </row>
    <row r="62" spans="1:149" x14ac:dyDescent="0.2">
      <c r="F62" s="67"/>
      <c r="G62" s="67"/>
      <c r="H62" s="75" t="str" cm="1">
        <f t="array" aca="1" ref="H62" ca="1">IF(AND(A62="",B62=""),"",INDIRECT(ADDRESS($M$3,MATCH(IF(A62="",B62,A62),MA!$A$1:$NP$1,0),1,1,"MA")))</f>
        <v/>
      </c>
      <c r="I62" s="59" t="str" cm="1">
        <f t="array" ref="I62">IF( SUM(--NOT(ISBLANK(BW62:EP62) ) ),1, "" )</f>
        <v/>
      </c>
      <c r="J62" s="59" t="str" cm="1">
        <f t="array" ref="J62">IF( SUM(--NOT(ISBLANK(O62:BV62) ) ),1, "" )</f>
        <v/>
      </c>
      <c r="K62" s="59" t="s">
        <v>597</v>
      </c>
      <c r="L62" s="59" t="s">
        <v>1270</v>
      </c>
      <c r="M62" s="71">
        <f ca="1"/>
        <v>-3</v>
      </c>
      <c r="N62" s="113" t="str">
        <f t="shared" si="1"/>
        <v/>
      </c>
      <c r="DS62" s="59"/>
      <c r="DU62" s="59"/>
      <c r="DW62" s="59"/>
      <c r="DY62" s="59"/>
      <c r="EA62" s="59"/>
      <c r="EC62" s="59"/>
      <c r="EE62" s="59"/>
      <c r="EG62" s="59"/>
      <c r="EI62" s="59"/>
      <c r="EK62" s="59"/>
      <c r="EM62" s="59"/>
      <c r="EO62" s="59"/>
      <c r="ES62" s="113"/>
    </row>
    <row r="63" spans="1:149" x14ac:dyDescent="0.2">
      <c r="F63" s="67"/>
      <c r="G63" s="67"/>
      <c r="H63" s="75" t="str" cm="1">
        <f t="array" aca="1" ref="H63" ca="1">IF(AND(A63="",B63=""),"",INDIRECT(ADDRESS($M$3,MATCH(IF(A63="",B63,A63),MA!$A$1:$NP$1,0),1,1,"MA")))</f>
        <v/>
      </c>
      <c r="I63" s="59" t="str" cm="1">
        <f t="array" ref="I63">IF( SUM(--NOT(ISBLANK(BW63:EP63) ) ),1, "" )</f>
        <v/>
      </c>
      <c r="J63" s="59" t="str" cm="1">
        <f t="array" ref="J63">IF( SUM(--NOT(ISBLANK(O63:BV63) ) ),1, "" )</f>
        <v/>
      </c>
      <c r="K63" s="59" t="s">
        <v>597</v>
      </c>
      <c r="L63" s="59" t="s">
        <v>1028</v>
      </c>
      <c r="M63" s="71">
        <f ca="1"/>
        <v>1</v>
      </c>
      <c r="N63" s="113" t="str">
        <f t="shared" si="1"/>
        <v/>
      </c>
      <c r="ES63" s="113"/>
    </row>
    <row r="64" spans="1:149" x14ac:dyDescent="0.2">
      <c r="B64" s="101" t="s">
        <v>946</v>
      </c>
      <c r="C64" s="67">
        <v>2</v>
      </c>
      <c r="D64" s="67">
        <v>8</v>
      </c>
      <c r="E64" s="67">
        <v>1</v>
      </c>
      <c r="F64" s="67">
        <v>2</v>
      </c>
      <c r="G64" s="67">
        <v>3</v>
      </c>
      <c r="H64" s="75" cm="1">
        <f t="array" aca="1" ref="H64" ca="1">IF(AND(A64="",B64=""),"",INDIRECT(ADDRESS($M$3,MATCH(IF(A64="",B64,A64),MA!$A$1:$NP$1,0),1,1,"MA")))</f>
        <v>-0.1736111111111111</v>
      </c>
      <c r="I64" s="59" cm="1">
        <f t="array" ref="I64">IF( SUM(--NOT(ISBLANK(BW64:EP64) ) ),1, "" )</f>
        <v>1</v>
      </c>
      <c r="J64" s="59" t="str" cm="1">
        <f t="array" ref="J64">IF( SUM(--NOT(ISBLANK(O64:BV64) ) ),1, "" )</f>
        <v/>
      </c>
      <c r="K64" s="59" t="s">
        <v>597</v>
      </c>
      <c r="L64" s="59" t="s">
        <v>947</v>
      </c>
      <c r="M64" s="71">
        <f ca="1"/>
        <v>3</v>
      </c>
      <c r="N64" s="113">
        <f t="shared" ca="1" si="1"/>
        <v>3</v>
      </c>
      <c r="CO64" s="74">
        <v>3</v>
      </c>
      <c r="CP64" s="74">
        <v>10</v>
      </c>
      <c r="CS64" s="74">
        <v>3</v>
      </c>
      <c r="CT64" s="74">
        <v>10</v>
      </c>
      <c r="DG64" s="74">
        <v>2</v>
      </c>
      <c r="DH64" s="74">
        <v>10</v>
      </c>
      <c r="DK64" s="74">
        <v>2</v>
      </c>
      <c r="DL64" s="74">
        <v>10</v>
      </c>
      <c r="DS64" s="59"/>
      <c r="DU64" s="59"/>
      <c r="DW64" s="59"/>
      <c r="DY64" s="59"/>
      <c r="EA64" s="59"/>
      <c r="EC64" s="59"/>
      <c r="EE64" s="59"/>
      <c r="EG64" s="59"/>
      <c r="EI64" s="59"/>
      <c r="EK64" s="59"/>
      <c r="EM64" s="59"/>
      <c r="EO64" s="59"/>
      <c r="ES64" s="113">
        <v>1</v>
      </c>
    </row>
    <row r="65" spans="1:149" x14ac:dyDescent="0.2">
      <c r="B65" s="142" t="s">
        <v>1015</v>
      </c>
      <c r="C65" s="67">
        <v>4</v>
      </c>
      <c r="D65" s="67">
        <v>9</v>
      </c>
      <c r="E65" s="67">
        <v>1</v>
      </c>
      <c r="F65" s="67">
        <v>2</v>
      </c>
      <c r="G65" s="67">
        <v>3</v>
      </c>
      <c r="H65" s="75" cm="1">
        <f t="array" aca="1" ref="H65" ca="1">IF(AND(A65="",B65=""),"",INDIRECT(ADDRESS($M$3,MATCH(IF(A65="",B65,A65),MA!$A$1:$NP$1,0),1,1,"MA")))</f>
        <v>1</v>
      </c>
      <c r="I65" s="59" cm="1">
        <f t="array" ref="I65">IF( SUM(--NOT(ISBLANK(BW65:EP65) ) ),1, "" )</f>
        <v>1</v>
      </c>
      <c r="J65" s="59" cm="1">
        <f t="array" ref="J65">IF( SUM(--NOT(ISBLANK(O65:BV65) ) ),1, "" )</f>
        <v>1</v>
      </c>
      <c r="K65" s="59" t="s">
        <v>597</v>
      </c>
      <c r="L65" s="142" t="s">
        <v>1016</v>
      </c>
      <c r="M65" s="71">
        <f ca="1"/>
        <v>3</v>
      </c>
      <c r="N65" s="113" t="str">
        <f t="shared" si="1"/>
        <v/>
      </c>
      <c r="BC65" s="74">
        <v>1</v>
      </c>
      <c r="BD65" s="74">
        <v>10</v>
      </c>
      <c r="CO65" s="74">
        <v>3</v>
      </c>
      <c r="CP65" s="74">
        <v>10</v>
      </c>
      <c r="CS65" s="74">
        <v>3</v>
      </c>
      <c r="CT65" s="74">
        <v>10</v>
      </c>
      <c r="DG65" s="74">
        <v>2</v>
      </c>
      <c r="DH65" s="74">
        <v>10</v>
      </c>
      <c r="DK65" s="74">
        <v>2</v>
      </c>
      <c r="DL65" s="74">
        <v>10</v>
      </c>
      <c r="DS65" s="59"/>
      <c r="DU65" s="59"/>
      <c r="DW65" s="59"/>
      <c r="DY65" s="59"/>
      <c r="EA65" s="59"/>
      <c r="EC65" s="59"/>
      <c r="EE65" s="59"/>
      <c r="EG65" s="59"/>
      <c r="EI65" s="59"/>
      <c r="EK65" s="59"/>
      <c r="EM65" s="59"/>
      <c r="EO65" s="59"/>
      <c r="ES65" s="113"/>
    </row>
    <row r="66" spans="1:149" x14ac:dyDescent="0.2">
      <c r="B66" s="59" t="s">
        <v>999</v>
      </c>
      <c r="C66" s="67">
        <v>3</v>
      </c>
      <c r="D66" s="67">
        <v>6</v>
      </c>
      <c r="E66" s="67">
        <v>1</v>
      </c>
      <c r="F66" s="67">
        <v>2</v>
      </c>
      <c r="G66" s="67">
        <v>3</v>
      </c>
      <c r="H66" s="75" cm="1">
        <f t="array" aca="1" ref="H66" ca="1">IF(AND(A66="",B66=""),"",INDIRECT(ADDRESS($M$3,MATCH(IF(A66="",B66,A66),MA!$A$1:$NP$1,0),1,1,"MA")))</f>
        <v>8</v>
      </c>
      <c r="I66" s="59" cm="1">
        <f t="array" ref="I66">IF( SUM(--NOT(ISBLANK(BW66:EP66) ) ),1, "" )</f>
        <v>1</v>
      </c>
      <c r="J66" s="59" cm="1">
        <f t="array" ref="J66">IF( SUM(--NOT(ISBLANK(O66:BV66) ) ),1, "" )</f>
        <v>1</v>
      </c>
      <c r="K66" s="59" t="s">
        <v>597</v>
      </c>
      <c r="L66" s="59" t="s">
        <v>998</v>
      </c>
      <c r="M66" s="71">
        <f ca="1"/>
        <v>2</v>
      </c>
      <c r="N66" s="113">
        <f t="shared" ref="N66:N96" ca="1" si="3">IF(ES66="", "", IF(M66&gt;0,M66*ES66,0))</f>
        <v>2</v>
      </c>
      <c r="Q66" s="74">
        <v>-3</v>
      </c>
      <c r="R66" s="74">
        <v>10</v>
      </c>
      <c r="BI66" s="74">
        <v>-2</v>
      </c>
      <c r="BJ66" s="74">
        <v>10</v>
      </c>
      <c r="CM66" s="74">
        <v>3</v>
      </c>
      <c r="CN66" s="74">
        <v>10</v>
      </c>
      <c r="CQ66" s="74">
        <v>3</v>
      </c>
      <c r="CR66" s="74">
        <v>10</v>
      </c>
      <c r="DS66" s="59"/>
      <c r="DU66" s="59"/>
      <c r="DW66" s="59"/>
      <c r="DY66" s="59"/>
      <c r="EA66" s="59"/>
      <c r="EC66" s="59"/>
      <c r="EE66" s="59"/>
      <c r="EG66" s="59"/>
      <c r="EI66" s="59"/>
      <c r="EK66" s="59"/>
      <c r="EM66" s="59"/>
      <c r="EO66" s="59"/>
      <c r="ES66" s="113">
        <v>1</v>
      </c>
    </row>
    <row r="67" spans="1:149" x14ac:dyDescent="0.2">
      <c r="B67" s="126" t="s">
        <v>1353</v>
      </c>
      <c r="C67" s="67">
        <v>3</v>
      </c>
      <c r="D67" s="67">
        <v>6</v>
      </c>
      <c r="E67" s="67">
        <v>3</v>
      </c>
      <c r="F67" s="67">
        <v>2</v>
      </c>
      <c r="G67" s="67">
        <v>1</v>
      </c>
      <c r="H67" s="75" cm="1">
        <f t="array" aca="1" ref="H67" ca="1">IF(AND(A67="",B67=""),"",INDIRECT(ADDRESS($M$3,MATCH(IF(A67="",B67,A67),MA!$A$1:$NP$1,0),1,1,"MA")))</f>
        <v>1</v>
      </c>
      <c r="I67" s="59" cm="1">
        <f t="array" ref="I67">IF( SUM(--NOT(ISBLANK(BW67:EP67) ) ),1, "" )</f>
        <v>1</v>
      </c>
      <c r="J67" s="59" t="str" cm="1">
        <f t="array" ref="J67">IF( SUM(--NOT(ISBLANK(O67:BV67) ) ),1, "" )</f>
        <v/>
      </c>
      <c r="K67" s="59" t="s">
        <v>597</v>
      </c>
      <c r="L67" s="126" t="s">
        <v>1354</v>
      </c>
      <c r="M67" s="71">
        <f ca="1"/>
        <v>2</v>
      </c>
      <c r="N67" s="113">
        <f t="shared" ca="1" si="3"/>
        <v>2</v>
      </c>
      <c r="CO67" s="74">
        <v>-2</v>
      </c>
      <c r="CP67" s="74">
        <v>10</v>
      </c>
      <c r="CS67" s="74">
        <v>-2</v>
      </c>
      <c r="CT67" s="74">
        <v>10</v>
      </c>
      <c r="CY67" s="74">
        <v>-2</v>
      </c>
      <c r="CZ67" s="74">
        <v>10</v>
      </c>
      <c r="DS67" s="59"/>
      <c r="DU67" s="59"/>
      <c r="DW67" s="59"/>
      <c r="DY67" s="59"/>
      <c r="EA67" s="59"/>
      <c r="EC67" s="59"/>
      <c r="EE67" s="59"/>
      <c r="EG67" s="59"/>
      <c r="EI67" s="59"/>
      <c r="EK67" s="59"/>
      <c r="EM67" s="59"/>
      <c r="EO67" s="59"/>
      <c r="ES67" s="113">
        <v>1</v>
      </c>
    </row>
    <row r="68" spans="1:149" x14ac:dyDescent="0.2">
      <c r="A68" s="59" t="s">
        <v>999</v>
      </c>
      <c r="B68" s="59" t="s">
        <v>1258</v>
      </c>
      <c r="C68" s="67">
        <v>4</v>
      </c>
      <c r="D68" s="67">
        <v>6</v>
      </c>
      <c r="E68" s="67">
        <v>-1</v>
      </c>
      <c r="F68" s="67">
        <v>-2</v>
      </c>
      <c r="G68" s="67">
        <v>-3</v>
      </c>
      <c r="H68" s="75" cm="1">
        <f t="array" aca="1" ref="H68" ca="1">IF(AND(A68="",B68=""),"",INDIRECT(ADDRESS($M$3,MATCH(IF(A68="",B68,A68),MA!$A$1:$NP$1,0),1,1,"MA")))</f>
        <v>8</v>
      </c>
      <c r="I68" s="59" cm="1">
        <f t="array" ref="I68">IF( SUM(--NOT(ISBLANK(BW68:EP68) ) ),1, "" )</f>
        <v>1</v>
      </c>
      <c r="J68" s="59" cm="1">
        <f t="array" ref="J68">IF( SUM(--NOT(ISBLANK(O68:BV68) ) ),1, "" )</f>
        <v>1</v>
      </c>
      <c r="K68" s="59" t="s">
        <v>597</v>
      </c>
      <c r="L68" s="99" t="s">
        <v>1258</v>
      </c>
      <c r="M68" s="71">
        <f ca="1"/>
        <v>-3</v>
      </c>
      <c r="N68" s="113" t="str">
        <f t="shared" si="3"/>
        <v/>
      </c>
      <c r="W68" s="74">
        <v>0</v>
      </c>
      <c r="X68" s="74">
        <v>10</v>
      </c>
      <c r="AO68" s="74">
        <v>0</v>
      </c>
      <c r="AP68" s="74">
        <v>10</v>
      </c>
      <c r="AS68" s="74">
        <v>0</v>
      </c>
      <c r="AT68" s="74">
        <v>10</v>
      </c>
      <c r="BC68" s="74">
        <v>0</v>
      </c>
      <c r="BD68" s="74">
        <v>10</v>
      </c>
      <c r="DK68" s="74">
        <v>3</v>
      </c>
      <c r="DL68" s="74">
        <v>10</v>
      </c>
      <c r="DS68" s="59"/>
      <c r="DU68" s="59"/>
      <c r="DW68" s="59"/>
      <c r="DY68" s="59"/>
      <c r="EA68" s="59"/>
      <c r="EC68" s="59"/>
      <c r="EE68" s="59"/>
      <c r="EG68" s="59"/>
      <c r="EI68" s="59"/>
      <c r="EK68" s="59"/>
      <c r="EM68" s="59"/>
      <c r="EO68" s="59"/>
      <c r="ES68" s="113"/>
    </row>
    <row r="69" spans="1:149" x14ac:dyDescent="0.2">
      <c r="B69" s="59" t="s">
        <v>1000</v>
      </c>
      <c r="C69" s="88">
        <v>4</v>
      </c>
      <c r="D69" s="88">
        <v>10</v>
      </c>
      <c r="E69" s="88">
        <v>3</v>
      </c>
      <c r="F69" s="88">
        <v>2</v>
      </c>
      <c r="G69" s="88">
        <v>1</v>
      </c>
      <c r="H69" s="75" cm="1">
        <f t="array" aca="1" ref="H69" ca="1">IF(AND(A69="",B69=""),"",INDIRECT(ADDRESS($M$3,MATCH(IF(A69="",B69,A69),MA!$A$1:$NP$1,0),1,1,"MA")))</f>
        <v>1</v>
      </c>
      <c r="I69" s="59" cm="1">
        <f t="array" ref="I69">IF( SUM(--NOT(ISBLANK(BW69:EP69) ) ),1, "" )</f>
        <v>1</v>
      </c>
      <c r="J69" s="59" t="str" cm="1">
        <f t="array" ref="J69">IF( SUM(--NOT(ISBLANK(O69:BV69) ) ),1, "" )</f>
        <v/>
      </c>
      <c r="K69" s="59" t="s">
        <v>597</v>
      </c>
      <c r="L69" s="59" t="s">
        <v>1001</v>
      </c>
      <c r="M69" s="71">
        <f ca="1"/>
        <v>-2</v>
      </c>
      <c r="N69" s="113" t="str">
        <f t="shared" si="3"/>
        <v/>
      </c>
      <c r="CM69" s="74">
        <v>3</v>
      </c>
      <c r="CN69" s="74">
        <v>10</v>
      </c>
      <c r="CQ69" s="74">
        <v>3</v>
      </c>
      <c r="CR69" s="74">
        <v>10</v>
      </c>
      <c r="DK69" s="74">
        <v>2</v>
      </c>
      <c r="DL69" s="74">
        <v>10</v>
      </c>
      <c r="DS69" s="59"/>
      <c r="DU69" s="59"/>
      <c r="DW69" s="59"/>
      <c r="DY69" s="59"/>
      <c r="EA69" s="59"/>
      <c r="EC69" s="59"/>
      <c r="EE69" s="59"/>
      <c r="EG69" s="59"/>
      <c r="EI69" s="59"/>
      <c r="EK69" s="59"/>
      <c r="EM69" s="59"/>
      <c r="EO69" s="59"/>
      <c r="ES69" s="113"/>
    </row>
    <row r="70" spans="1:149" x14ac:dyDescent="0.2">
      <c r="A70" s="59" t="s">
        <v>1000</v>
      </c>
      <c r="B70" s="59" t="s">
        <v>1256</v>
      </c>
      <c r="C70" s="88">
        <v>4</v>
      </c>
      <c r="D70" s="88">
        <v>8</v>
      </c>
      <c r="E70" s="88">
        <v>1</v>
      </c>
      <c r="F70" s="88">
        <v>2</v>
      </c>
      <c r="G70" s="88">
        <v>3</v>
      </c>
      <c r="H70" s="75" cm="1">
        <f t="array" aca="1" ref="H70" ca="1">IF(AND(A70="",B70=""),"",INDIRECT(ADDRESS($M$3,MATCH(IF(A70="",B70,A70),MA!$A$1:$NP$1,0),1,1,"MA")))</f>
        <v>1</v>
      </c>
      <c r="I70" s="59" t="str" cm="1">
        <f t="array" ref="I70">IF( SUM(--NOT(ISBLANK(BW70:EP70) ) ),1, "" )</f>
        <v/>
      </c>
      <c r="J70" s="59" cm="1">
        <f t="array" ref="J70">IF( SUM(--NOT(ISBLANK(O70:BV70) ) ),1, "" )</f>
        <v>1</v>
      </c>
      <c r="K70" s="59" t="s">
        <v>597</v>
      </c>
      <c r="L70" s="59" t="s">
        <v>1002</v>
      </c>
      <c r="M70" s="71">
        <f ca="1"/>
        <v>-3</v>
      </c>
      <c r="N70" s="113" t="str">
        <f t="shared" si="3"/>
        <v/>
      </c>
      <c r="Q70" s="74">
        <v>1</v>
      </c>
      <c r="R70" s="74">
        <v>10</v>
      </c>
      <c r="DS70" s="59"/>
      <c r="DU70" s="59"/>
      <c r="DW70" s="59"/>
      <c r="DY70" s="59"/>
      <c r="EA70" s="59"/>
      <c r="EC70" s="59"/>
      <c r="EE70" s="59"/>
      <c r="EG70" s="59"/>
      <c r="EI70" s="59"/>
      <c r="EK70" s="59"/>
      <c r="EM70" s="59"/>
      <c r="EO70" s="59"/>
      <c r="ES70" s="113"/>
    </row>
    <row r="71" spans="1:149" x14ac:dyDescent="0.2">
      <c r="A71" s="59" t="s">
        <v>1000</v>
      </c>
      <c r="B71" s="59" t="s">
        <v>1259</v>
      </c>
      <c r="C71" s="88">
        <v>2</v>
      </c>
      <c r="D71" s="88">
        <v>4</v>
      </c>
      <c r="E71" s="88">
        <v>3</v>
      </c>
      <c r="F71" s="88">
        <v>2</v>
      </c>
      <c r="G71" s="88">
        <v>1</v>
      </c>
      <c r="H71" s="75" cm="1">
        <f t="array" aca="1" ref="H71" ca="1">IF(AND(A71="",B71=""),"",INDIRECT(ADDRESS($M$3,MATCH(IF(A71="",B71,A71),MA!$A$1:$NP$1,0),1,1,"MA")))</f>
        <v>1</v>
      </c>
      <c r="I71" s="59" t="str" cm="1">
        <f t="array" ref="I71">IF( SUM(--NOT(ISBLANK(BW71:EP71) ) ),1, "" )</f>
        <v/>
      </c>
      <c r="J71" s="59" cm="1">
        <f t="array" ref="J71">IF( SUM(--NOT(ISBLANK(O71:BV71) ) ),1, "" )</f>
        <v>1</v>
      </c>
      <c r="K71" s="59" t="s">
        <v>597</v>
      </c>
      <c r="L71" s="59" t="s">
        <v>1256</v>
      </c>
      <c r="M71" s="71">
        <f ca="1"/>
        <v>1</v>
      </c>
      <c r="N71" s="113" t="str">
        <f t="shared" si="3"/>
        <v/>
      </c>
      <c r="AO71" s="74">
        <v>2</v>
      </c>
      <c r="AP71" s="74">
        <v>10</v>
      </c>
      <c r="BC71" s="74">
        <v>1</v>
      </c>
      <c r="BD71" s="74">
        <v>10</v>
      </c>
      <c r="DS71" s="59"/>
      <c r="DU71" s="59"/>
      <c r="DW71" s="59"/>
      <c r="DY71" s="59"/>
      <c r="EA71" s="59"/>
      <c r="EC71" s="59"/>
      <c r="EE71" s="59"/>
      <c r="EG71" s="59"/>
      <c r="EI71" s="59"/>
      <c r="EK71" s="59"/>
      <c r="EM71" s="59"/>
      <c r="EO71" s="59"/>
      <c r="ES71" s="113"/>
    </row>
    <row r="72" spans="1:149" x14ac:dyDescent="0.2">
      <c r="A72" s="59" t="s">
        <v>1000</v>
      </c>
      <c r="B72" s="59" t="s">
        <v>1260</v>
      </c>
      <c r="C72" s="88">
        <v>2</v>
      </c>
      <c r="D72" s="88">
        <v>4</v>
      </c>
      <c r="E72" s="88">
        <v>1</v>
      </c>
      <c r="F72" s="88">
        <v>2</v>
      </c>
      <c r="G72" s="88">
        <v>3</v>
      </c>
      <c r="H72" s="75" cm="1">
        <f t="array" aca="1" ref="H72" ca="1">IF(AND(A72="",B72=""),"",INDIRECT(ADDRESS($M$3,MATCH(IF(A72="",B72,A72),MA!$A$1:$NP$1,0),1,1,"MA")))</f>
        <v>1</v>
      </c>
      <c r="I72" s="59" t="str" cm="1">
        <f t="array" ref="I72">IF( SUM(--NOT(ISBLANK(BW72:EP72) ) ),1, "" )</f>
        <v/>
      </c>
      <c r="J72" s="59" cm="1">
        <f t="array" ref="J72">IF( SUM(--NOT(ISBLANK(O72:BV72) ) ),1, "" )</f>
        <v>1</v>
      </c>
      <c r="K72" s="59" t="s">
        <v>597</v>
      </c>
      <c r="L72" s="59" t="s">
        <v>1257</v>
      </c>
      <c r="M72" s="71">
        <f ca="1"/>
        <v>3</v>
      </c>
      <c r="N72" s="113" t="str">
        <f t="shared" si="3"/>
        <v/>
      </c>
      <c r="W72" s="74">
        <v>2</v>
      </c>
      <c r="X72" s="74">
        <v>10</v>
      </c>
      <c r="AO72" s="74">
        <v>2</v>
      </c>
      <c r="AP72" s="74">
        <v>10</v>
      </c>
      <c r="AS72" s="74">
        <v>2</v>
      </c>
      <c r="AT72" s="74">
        <v>10</v>
      </c>
      <c r="BI72" s="74">
        <v>1</v>
      </c>
      <c r="BJ72" s="74">
        <v>10</v>
      </c>
      <c r="DS72" s="59"/>
      <c r="DU72" s="59"/>
      <c r="DW72" s="59"/>
      <c r="DY72" s="59"/>
      <c r="EA72" s="59"/>
      <c r="EC72" s="59"/>
      <c r="EE72" s="59"/>
      <c r="EG72" s="59"/>
      <c r="EI72" s="59"/>
      <c r="EK72" s="59"/>
      <c r="EM72" s="59"/>
      <c r="EO72" s="59"/>
      <c r="ES72" s="113"/>
    </row>
    <row r="73" spans="1:149" x14ac:dyDescent="0.2">
      <c r="F73" s="67"/>
      <c r="G73" s="67"/>
      <c r="H73" s="75" t="str" cm="1">
        <f t="array" aca="1" ref="H73" ca="1">IF(AND(A73="",B73=""),"",INDIRECT(ADDRESS($M$3,MATCH(IF(A73="",B73,A73),MA!$A$1:$NP$1,0),1,1,"MA")))</f>
        <v/>
      </c>
      <c r="I73" s="59" t="str" cm="1">
        <f t="array" ref="I73">IF( SUM(--NOT(ISBLANK(BW73:EP73) ) ),1, "" )</f>
        <v/>
      </c>
      <c r="J73" s="59" t="str" cm="1">
        <f t="array" ref="J73">IF( SUM(--NOT(ISBLANK(O73:BV73) ) ),1, "" )</f>
        <v/>
      </c>
      <c r="K73" s="59" t="s">
        <v>597</v>
      </c>
      <c r="L73" s="59" t="s">
        <v>994</v>
      </c>
      <c r="M73" s="71">
        <f ca="1"/>
        <v>0</v>
      </c>
      <c r="N73" s="113" t="str">
        <f t="shared" si="3"/>
        <v/>
      </c>
      <c r="DS73" s="59"/>
      <c r="DU73" s="59"/>
      <c r="DW73" s="59"/>
      <c r="DY73" s="59"/>
      <c r="EA73" s="59"/>
      <c r="EC73" s="59"/>
      <c r="EE73" s="59"/>
      <c r="EG73" s="59"/>
      <c r="EI73" s="59"/>
      <c r="EK73" s="59"/>
      <c r="EM73" s="59"/>
      <c r="EO73" s="59"/>
      <c r="ES73" s="113"/>
    </row>
    <row r="74" spans="1:149" x14ac:dyDescent="0.2">
      <c r="F74" s="67"/>
      <c r="G74" s="67"/>
      <c r="H74" s="75" t="str" cm="1">
        <f t="array" aca="1" ref="H74" ca="1">IF(AND(A74="",B74=""),"",INDIRECT(ADDRESS($M$3,MATCH(IF(A74="",B74,A74),MA!$A$1:$NP$1,0),1,1,"MA")))</f>
        <v/>
      </c>
      <c r="I74" s="59" t="str" cm="1">
        <f t="array" ref="I74">IF( SUM(--NOT(ISBLANK(BW74:EP74) ) ),1, "" )</f>
        <v/>
      </c>
      <c r="J74" s="59" t="str" cm="1">
        <f t="array" ref="J74">IF( SUM(--NOT(ISBLANK(O74:BV74) ) ),1, "" )</f>
        <v/>
      </c>
      <c r="K74" s="59" t="s">
        <v>597</v>
      </c>
      <c r="L74" s="59" t="s">
        <v>996</v>
      </c>
      <c r="M74" s="71">
        <f ca="1"/>
        <v>0</v>
      </c>
      <c r="N74" s="113" t="str">
        <f t="shared" si="3"/>
        <v/>
      </c>
      <c r="DS74" s="59"/>
      <c r="DU74" s="59"/>
      <c r="DW74" s="59"/>
      <c r="DY74" s="59"/>
      <c r="EA74" s="59"/>
      <c r="EC74" s="59"/>
      <c r="EE74" s="59"/>
      <c r="EG74" s="59"/>
      <c r="EI74" s="59"/>
      <c r="EK74" s="59"/>
      <c r="EM74" s="59"/>
      <c r="EO74" s="59"/>
      <c r="ES74" s="113"/>
    </row>
    <row r="75" spans="1:149" x14ac:dyDescent="0.2">
      <c r="B75" s="59" t="s">
        <v>1279</v>
      </c>
      <c r="C75" s="67">
        <v>10</v>
      </c>
      <c r="D75" s="67">
        <v>30</v>
      </c>
      <c r="E75" s="67">
        <v>1</v>
      </c>
      <c r="F75" s="67">
        <v>2</v>
      </c>
      <c r="G75" s="67">
        <v>3</v>
      </c>
      <c r="H75" s="75" cm="1">
        <f t="array" aca="1" ref="H75" ca="1">IF(AND(A75="",B75=""),"",INDIRECT(ADDRESS($M$3,MATCH(IF(A75="",B75,A75),MA!$A$1:$NP$1,0),1,1,"MA")))</f>
        <v>6</v>
      </c>
      <c r="I75" s="59" t="str" cm="1">
        <f t="array" ref="I75">IF( SUM(--NOT(ISBLANK(BW75:EP75) ) ),1, "" )</f>
        <v/>
      </c>
      <c r="J75" s="59" t="str" cm="1">
        <f t="array" ref="J75">IF( SUM(--NOT(ISBLANK(O75:BV75) ) ),1, "" )</f>
        <v/>
      </c>
      <c r="K75" s="59" t="s">
        <v>597</v>
      </c>
      <c r="L75" s="59" t="s">
        <v>1279</v>
      </c>
      <c r="M75" s="71">
        <f ca="1"/>
        <v>2</v>
      </c>
      <c r="N75" s="113" t="str">
        <f t="shared" si="3"/>
        <v/>
      </c>
      <c r="DS75" s="59"/>
      <c r="DU75" s="59"/>
      <c r="DW75" s="59"/>
      <c r="DY75" s="59"/>
      <c r="EA75" s="59"/>
      <c r="EC75" s="59"/>
      <c r="EE75" s="59"/>
      <c r="EG75" s="59"/>
      <c r="EI75" s="59"/>
      <c r="EK75" s="59"/>
      <c r="EM75" s="59"/>
      <c r="EO75" s="59"/>
      <c r="ES75" s="113"/>
    </row>
    <row r="76" spans="1:149" x14ac:dyDescent="0.2">
      <c r="B76" s="59" t="s">
        <v>1280</v>
      </c>
      <c r="C76" s="67">
        <v>5</v>
      </c>
      <c r="D76" s="67">
        <v>10</v>
      </c>
      <c r="E76" s="67">
        <v>1</v>
      </c>
      <c r="F76" s="67">
        <v>2</v>
      </c>
      <c r="G76" s="67">
        <v>3</v>
      </c>
      <c r="H76" s="75" cm="1">
        <f t="array" aca="1" ref="H76" ca="1">IF(AND(A76="",B76=""),"",INDIRECT(ADDRESS($M$3,MATCH(IF(A76="",B76,A76),MA!$A$1:$NP$1,0),1,1,"MA")))</f>
        <v>13.999999999999968</v>
      </c>
      <c r="I76" s="59" t="str" cm="1">
        <f t="array" ref="I76">IF( SUM(--NOT(ISBLANK(BW76:EP76) ) ),1, "" )</f>
        <v/>
      </c>
      <c r="J76" s="59" t="str" cm="1">
        <f t="array" ref="J76">IF( SUM(--NOT(ISBLANK(O76:BV76) ) ),1, "" )</f>
        <v/>
      </c>
      <c r="K76" s="59" t="s">
        <v>597</v>
      </c>
      <c r="L76" s="59" t="s">
        <v>1280</v>
      </c>
      <c r="M76" s="71">
        <f ca="1"/>
        <v>3</v>
      </c>
      <c r="N76" s="113" t="str">
        <f t="shared" si="3"/>
        <v/>
      </c>
      <c r="DS76" s="59"/>
      <c r="DU76" s="59"/>
      <c r="DW76" s="59"/>
      <c r="DY76" s="59"/>
      <c r="EA76" s="59"/>
      <c r="EC76" s="59"/>
      <c r="EE76" s="59"/>
      <c r="EG76" s="59"/>
      <c r="EI76" s="59"/>
      <c r="EK76" s="59"/>
      <c r="EM76" s="59"/>
      <c r="EO76" s="59"/>
      <c r="ES76" s="113"/>
    </row>
    <row r="77" spans="1:149" x14ac:dyDescent="0.2">
      <c r="B77" s="59" t="s">
        <v>927</v>
      </c>
      <c r="C77" s="67">
        <v>0.2</v>
      </c>
      <c r="D77" s="67">
        <v>0.9</v>
      </c>
      <c r="E77" s="67">
        <v>1</v>
      </c>
      <c r="F77" s="67">
        <v>2</v>
      </c>
      <c r="G77" s="67">
        <v>3</v>
      </c>
      <c r="H77" s="75" cm="1">
        <f t="array" aca="1" ref="H77" ca="1">IF(AND(A77="",B77=""),"",INDIRECT(ADDRESS($M$3,MATCH(IF(A77="",B77,A77),MA!$A$1:$NP$1,0),1,1,"MA")))</f>
        <v>1</v>
      </c>
      <c r="I77" s="59" t="str" cm="1">
        <f t="array" ref="I77">IF( SUM(--NOT(ISBLANK(BW77:EP77) ) ),1, "" )</f>
        <v/>
      </c>
      <c r="J77" s="59" t="str" cm="1">
        <f t="array" ref="J77">IF( SUM(--NOT(ISBLANK(O77:BV77) ) ),1, "" )</f>
        <v/>
      </c>
      <c r="K77" s="67" t="s">
        <v>597</v>
      </c>
      <c r="L77" s="67" t="s">
        <v>1251</v>
      </c>
      <c r="M77" s="75">
        <f ca="1"/>
        <v>3</v>
      </c>
      <c r="N77" s="113" t="str">
        <f t="shared" si="3"/>
        <v/>
      </c>
      <c r="DS77" s="59"/>
      <c r="DU77" s="59"/>
      <c r="DW77" s="59"/>
      <c r="DY77" s="59"/>
      <c r="EA77" s="59"/>
      <c r="EC77" s="59"/>
      <c r="EE77" s="59"/>
      <c r="EG77" s="59"/>
      <c r="EI77" s="59"/>
      <c r="EK77" s="59"/>
      <c r="EM77" s="59"/>
      <c r="EO77" s="59"/>
      <c r="ES77" s="113"/>
    </row>
    <row r="78" spans="1:149" x14ac:dyDescent="0.2">
      <c r="B78" s="59" t="s">
        <v>925</v>
      </c>
      <c r="C78" s="67">
        <v>0.2</v>
      </c>
      <c r="D78" s="67">
        <v>0.9</v>
      </c>
      <c r="E78" s="67">
        <v>1</v>
      </c>
      <c r="F78" s="67">
        <v>2</v>
      </c>
      <c r="G78" s="67">
        <v>3</v>
      </c>
      <c r="H78" s="75" cm="1">
        <f t="array" aca="1" ref="H78" ca="1">IF(AND(A78="",B78=""),"",INDIRECT(ADDRESS($M$3,MATCH(IF(A78="",B78,A78),MA!$A$1:$NP$1,0),1,1,"MA")))</f>
        <v>0.81</v>
      </c>
      <c r="I78" s="59" t="str" cm="1">
        <f t="array" ref="I78">IF( SUM(--NOT(ISBLANK(BW78:EP78) ) ),1, "" )</f>
        <v/>
      </c>
      <c r="J78" s="59" t="str" cm="1">
        <f t="array" ref="J78">IF( SUM(--NOT(ISBLANK(O78:BV78) ) ),1, "" )</f>
        <v/>
      </c>
      <c r="K78" s="59" t="s">
        <v>597</v>
      </c>
      <c r="L78" s="59" t="s">
        <v>1252</v>
      </c>
      <c r="M78" s="71">
        <f ca="1"/>
        <v>3</v>
      </c>
      <c r="N78" s="113" t="str">
        <f t="shared" si="3"/>
        <v/>
      </c>
      <c r="DS78" s="59"/>
      <c r="DU78" s="59"/>
      <c r="DW78" s="59"/>
      <c r="DY78" s="59"/>
      <c r="EA78" s="59"/>
      <c r="EC78" s="59"/>
      <c r="EE78" s="59"/>
      <c r="EG78" s="59"/>
      <c r="EI78" s="59"/>
      <c r="EK78" s="59"/>
      <c r="EM78" s="59"/>
      <c r="EO78" s="59"/>
      <c r="ES78" s="113"/>
    </row>
    <row r="79" spans="1:149" x14ac:dyDescent="0.2">
      <c r="F79" s="67"/>
      <c r="G79" s="67"/>
      <c r="H79" s="75" t="str" cm="1">
        <f t="array" aca="1" ref="H79" ca="1">IF(AND(A79="",B79=""),"",INDIRECT(ADDRESS($M$3,MATCH(IF(A79="",B79,A79),MA!$A$1:$NP$1,0),1,1,"MA")))</f>
        <v/>
      </c>
      <c r="I79" s="59" t="str" cm="1">
        <f t="array" ref="I79">IF( SUM(--NOT(ISBLANK(BW79:EP79) ) ),1, "" )</f>
        <v/>
      </c>
      <c r="J79" s="59" t="str" cm="1">
        <f t="array" ref="J79">IF( SUM(--NOT(ISBLANK(O79:BV79) ) ),1, "" )</f>
        <v/>
      </c>
      <c r="K79" s="59" t="s">
        <v>597</v>
      </c>
      <c r="L79" s="59" t="s">
        <v>944</v>
      </c>
      <c r="M79" s="71">
        <f ca="1"/>
        <v>-3</v>
      </c>
      <c r="N79" s="113" t="str">
        <f t="shared" si="3"/>
        <v/>
      </c>
      <c r="DS79" s="67"/>
      <c r="DU79" s="67"/>
      <c r="DW79" s="67"/>
      <c r="DY79" s="67"/>
      <c r="EA79" s="67"/>
      <c r="EC79" s="67"/>
      <c r="EE79" s="67"/>
      <c r="EG79" s="67"/>
      <c r="EI79" s="67"/>
      <c r="EK79" s="67"/>
      <c r="EM79" s="67"/>
      <c r="EO79" s="67"/>
      <c r="ES79" s="113"/>
    </row>
    <row r="80" spans="1:149" x14ac:dyDescent="0.2">
      <c r="A80" s="59" t="s">
        <v>927</v>
      </c>
      <c r="B80" s="59" t="s">
        <v>929</v>
      </c>
      <c r="C80" s="67">
        <v>0.5</v>
      </c>
      <c r="D80" s="67">
        <v>0.98</v>
      </c>
      <c r="E80" s="67">
        <v>-1</v>
      </c>
      <c r="F80" s="67">
        <v>-2</v>
      </c>
      <c r="G80" s="67">
        <v>-3</v>
      </c>
      <c r="H80" s="75" cm="1">
        <f t="array" aca="1" ref="H80" ca="1">IF(AND(A80="",B80=""),"",INDIRECT(ADDRESS($M$3,MATCH(IF(A80="",B80,A80),MA!$A$1:$NP$1,0),1,1,"MA")))</f>
        <v>1</v>
      </c>
      <c r="I80" s="59" cm="1">
        <f t="array" ref="I80">IF( SUM(--NOT(ISBLANK(BW80:EP80) ) ),1, "" )</f>
        <v>1</v>
      </c>
      <c r="J80" s="59" cm="1">
        <f t="array" ref="J80">IF( SUM(--NOT(ISBLANK(O80:BV80) ) ),1, "" )</f>
        <v>1</v>
      </c>
      <c r="K80" s="59" t="s">
        <v>597</v>
      </c>
      <c r="L80" s="59" t="s">
        <v>929</v>
      </c>
      <c r="M80" s="71">
        <f ca="1"/>
        <v>-3</v>
      </c>
      <c r="N80" s="113" t="str">
        <f t="shared" si="3"/>
        <v/>
      </c>
      <c r="AC80" s="74">
        <v>-3</v>
      </c>
      <c r="AD80" s="74">
        <v>10</v>
      </c>
      <c r="AY80" s="74">
        <v>-3</v>
      </c>
      <c r="AZ80" s="74">
        <v>10</v>
      </c>
      <c r="BE80" s="74">
        <v>-3</v>
      </c>
      <c r="BF80" s="74">
        <v>10</v>
      </c>
      <c r="CE80" s="74">
        <v>-2</v>
      </c>
      <c r="CF80" s="74">
        <v>10</v>
      </c>
      <c r="DM80" s="74">
        <v>-2</v>
      </c>
      <c r="DN80" s="74">
        <v>10</v>
      </c>
      <c r="DS80" s="59">
        <v>-2</v>
      </c>
      <c r="DT80" s="74">
        <v>10</v>
      </c>
      <c r="DU80" s="59"/>
      <c r="DW80" s="59"/>
      <c r="DY80" s="59"/>
      <c r="EA80" s="59"/>
      <c r="EC80" s="59"/>
      <c r="EE80" s="59"/>
      <c r="EG80" s="59"/>
      <c r="EI80" s="59"/>
      <c r="EK80" s="59"/>
      <c r="EM80" s="59"/>
      <c r="EO80" s="59"/>
      <c r="ES80" s="113"/>
    </row>
    <row r="81" spans="1:149" x14ac:dyDescent="0.2">
      <c r="A81" s="59" t="s">
        <v>925</v>
      </c>
      <c r="B81" s="59" t="s">
        <v>928</v>
      </c>
      <c r="C81" s="67">
        <v>0.5</v>
      </c>
      <c r="D81" s="67">
        <v>0.98</v>
      </c>
      <c r="E81" s="67">
        <v>-1</v>
      </c>
      <c r="F81" s="67">
        <v>-2</v>
      </c>
      <c r="G81" s="67">
        <v>-3</v>
      </c>
      <c r="H81" s="75" cm="1">
        <f t="array" aca="1" ref="H81" ca="1">IF(AND(A81="",B81=""),"",INDIRECT(ADDRESS($M$3,MATCH(IF(A81="",B81,A81),MA!$A$1:$NP$1,0),1,1,"MA")))</f>
        <v>0.81</v>
      </c>
      <c r="I81" s="59" cm="1">
        <f t="array" ref="I81">IF( SUM(--NOT(ISBLANK(BW81:EP81) ) ),1, "" )</f>
        <v>1</v>
      </c>
      <c r="J81" s="59" cm="1">
        <f t="array" ref="J81">IF( SUM(--NOT(ISBLANK(O81:BV81) ) ),1, "" )</f>
        <v>1</v>
      </c>
      <c r="K81" s="59" t="s">
        <v>597</v>
      </c>
      <c r="L81" s="59" t="s">
        <v>928</v>
      </c>
      <c r="M81" s="71">
        <f ca="1"/>
        <v>0</v>
      </c>
      <c r="N81" s="113" t="str">
        <f t="shared" si="3"/>
        <v/>
      </c>
      <c r="AC81" s="74">
        <v>-3</v>
      </c>
      <c r="AD81" s="74">
        <v>10</v>
      </c>
      <c r="AY81" s="74">
        <v>-3</v>
      </c>
      <c r="AZ81" s="74">
        <v>10</v>
      </c>
      <c r="BE81" s="74">
        <v>-3</v>
      </c>
      <c r="BF81" s="74">
        <v>10</v>
      </c>
      <c r="CA81" s="74">
        <v>-2</v>
      </c>
      <c r="CB81" s="74">
        <v>1</v>
      </c>
      <c r="CC81" s="74">
        <v>-2</v>
      </c>
      <c r="CD81" s="74">
        <v>1</v>
      </c>
      <c r="CE81" s="74">
        <v>-2</v>
      </c>
      <c r="CF81" s="74">
        <v>10</v>
      </c>
      <c r="CM81" s="74">
        <v>-2</v>
      </c>
      <c r="CN81" s="74">
        <v>1</v>
      </c>
      <c r="CO81" s="74">
        <v>-2</v>
      </c>
      <c r="CP81" s="74">
        <v>1</v>
      </c>
      <c r="CQ81" s="74">
        <v>-2</v>
      </c>
      <c r="CR81" s="74">
        <v>1</v>
      </c>
      <c r="CS81" s="74">
        <v>-2</v>
      </c>
      <c r="CT81" s="74">
        <v>1</v>
      </c>
      <c r="CW81" s="59">
        <v>-2</v>
      </c>
      <c r="CX81" s="74">
        <v>10</v>
      </c>
      <c r="CY81" s="74">
        <v>-2</v>
      </c>
      <c r="CZ81" s="74">
        <v>1</v>
      </c>
      <c r="DA81" s="74">
        <v>-2</v>
      </c>
      <c r="DB81" s="74">
        <v>1</v>
      </c>
      <c r="DC81" s="74">
        <v>-2</v>
      </c>
      <c r="DD81" s="74">
        <v>1</v>
      </c>
      <c r="DE81" s="74">
        <v>-2</v>
      </c>
      <c r="DF81" s="74">
        <v>1</v>
      </c>
      <c r="DG81" s="74">
        <v>-2</v>
      </c>
      <c r="DH81" s="74">
        <v>1</v>
      </c>
      <c r="DI81" s="74">
        <v>-2</v>
      </c>
      <c r="DJ81" s="74">
        <v>1</v>
      </c>
      <c r="DK81" s="74">
        <v>-2</v>
      </c>
      <c r="DL81" s="74">
        <v>1</v>
      </c>
      <c r="DM81" s="74">
        <v>-2</v>
      </c>
      <c r="DN81" s="74">
        <v>10</v>
      </c>
      <c r="DO81" s="74">
        <v>-2</v>
      </c>
      <c r="DP81" s="74">
        <v>1</v>
      </c>
      <c r="DQ81" s="74">
        <v>-2</v>
      </c>
      <c r="DR81" s="74">
        <v>10</v>
      </c>
      <c r="DS81" s="59">
        <v>-2</v>
      </c>
      <c r="DT81" s="74">
        <v>10</v>
      </c>
      <c r="DU81" s="59"/>
      <c r="DW81" s="59"/>
      <c r="DY81" s="59">
        <v>-1</v>
      </c>
      <c r="DZ81" s="74">
        <v>10</v>
      </c>
      <c r="EA81" s="59"/>
      <c r="EC81" s="59">
        <v>-2</v>
      </c>
      <c r="ED81" s="74">
        <v>1</v>
      </c>
      <c r="EE81" s="59"/>
      <c r="EG81" s="59"/>
      <c r="EI81" s="59"/>
      <c r="EK81" s="59"/>
      <c r="EM81" s="59"/>
      <c r="EO81" s="59"/>
      <c r="ES81" s="113"/>
    </row>
    <row r="82" spans="1:149" x14ac:dyDescent="0.2">
      <c r="F82" s="67"/>
      <c r="G82" s="67"/>
      <c r="H82" s="75" t="str" cm="1">
        <f t="array" aca="1" ref="H82" ca="1">IF(AND(A82="",B82=""),"",INDIRECT(ADDRESS($M$3,MATCH(IF(A82="",B82,A82),MA!$A$1:$NP$1,0),1,1,"MA")))</f>
        <v/>
      </c>
      <c r="I82" s="59" t="str" cm="1">
        <f t="array" ref="I82">IF( SUM(--NOT(ISBLANK(BW82:EP82) ) ),1, "" )</f>
        <v/>
      </c>
      <c r="J82" s="59" t="str" cm="1">
        <f t="array" ref="J82">IF( SUM(--NOT(ISBLANK(O82:BV82) ) ),1, "" )</f>
        <v/>
      </c>
      <c r="K82" s="59" t="s">
        <v>597</v>
      </c>
      <c r="L82" s="59" t="s">
        <v>943</v>
      </c>
      <c r="M82" s="71">
        <f ca="1"/>
        <v>0</v>
      </c>
      <c r="N82" s="113" t="str">
        <f t="shared" si="3"/>
        <v/>
      </c>
      <c r="DS82" s="59"/>
      <c r="DU82" s="59"/>
      <c r="DW82" s="59"/>
      <c r="DY82" s="59"/>
      <c r="EA82" s="59"/>
      <c r="EC82" s="59"/>
      <c r="EE82" s="59"/>
      <c r="EG82" s="59"/>
      <c r="EI82" s="59"/>
      <c r="EK82" s="59"/>
      <c r="EM82" s="59"/>
      <c r="EO82" s="59"/>
      <c r="ES82" s="113"/>
    </row>
    <row r="83" spans="1:149" x14ac:dyDescent="0.2">
      <c r="A83" s="372" t="s">
        <v>2007</v>
      </c>
      <c r="B83" s="278" t="s">
        <v>1291</v>
      </c>
      <c r="C83" s="67">
        <v>1</v>
      </c>
      <c r="D83" s="67">
        <v>3</v>
      </c>
      <c r="E83" s="67">
        <v>1</v>
      </c>
      <c r="F83" s="67">
        <v>2</v>
      </c>
      <c r="G83" s="67">
        <v>3</v>
      </c>
      <c r="H83" s="75" cm="1">
        <f t="array" aca="1" ref="H83" ca="1">IF(AND(A83="",B83=""),"",INDIRECT(ADDRESS($M$3,MATCH(IF(A83="",B83,A83),MA!$A$1:$NP$1,0),1,1,"MA")))</f>
        <v>1</v>
      </c>
      <c r="I83" s="59" cm="1">
        <f t="array" ref="I83">IF( SUM(--NOT(ISBLANK(BW83:EP83) ) ),1, "" )</f>
        <v>1</v>
      </c>
      <c r="J83" s="59" t="str" cm="1">
        <f t="array" ref="J83">IF( SUM(--NOT(ISBLANK(O83:BV83) ) ),1, "" )</f>
        <v/>
      </c>
      <c r="K83" s="97" t="s">
        <v>597</v>
      </c>
      <c r="L83" s="97" t="s">
        <v>1291</v>
      </c>
      <c r="M83" s="71">
        <f ca="1"/>
        <v>0</v>
      </c>
      <c r="N83" s="113" t="str">
        <f t="shared" si="3"/>
        <v/>
      </c>
      <c r="CA83" s="74">
        <v>2</v>
      </c>
      <c r="CB83" s="74">
        <v>10</v>
      </c>
      <c r="DC83" s="74">
        <v>2</v>
      </c>
      <c r="DD83" s="74">
        <v>10</v>
      </c>
      <c r="DE83" s="74">
        <v>2</v>
      </c>
      <c r="DF83" s="74">
        <v>10</v>
      </c>
      <c r="DK83" s="74">
        <v>3</v>
      </c>
      <c r="DL83" s="74">
        <v>10</v>
      </c>
      <c r="DM83" s="74">
        <v>3</v>
      </c>
      <c r="DN83" s="74">
        <v>10</v>
      </c>
      <c r="DO83" s="74">
        <v>3</v>
      </c>
      <c r="DP83" s="74">
        <v>10</v>
      </c>
      <c r="DQ83" s="74">
        <v>2</v>
      </c>
      <c r="DR83" s="74">
        <v>10</v>
      </c>
      <c r="DS83" s="59"/>
      <c r="DU83" s="59"/>
      <c r="DW83" s="59"/>
      <c r="DY83" s="59">
        <v>2</v>
      </c>
      <c r="DZ83" s="74">
        <v>10</v>
      </c>
      <c r="EA83" s="59"/>
      <c r="EC83" s="59">
        <v>2</v>
      </c>
      <c r="ED83" s="74">
        <v>10</v>
      </c>
      <c r="EE83" s="59"/>
      <c r="EG83" s="59"/>
      <c r="EI83" s="59"/>
      <c r="EK83" s="59"/>
      <c r="EM83" s="59"/>
      <c r="EO83" s="59"/>
      <c r="ES83" s="113"/>
    </row>
    <row r="84" spans="1:149" x14ac:dyDescent="0.2">
      <c r="A84" s="372" t="s">
        <v>2007</v>
      </c>
      <c r="B84" s="278" t="s">
        <v>1292</v>
      </c>
      <c r="C84" s="67">
        <v>1</v>
      </c>
      <c r="D84" s="67">
        <v>3</v>
      </c>
      <c r="E84" s="67">
        <v>3</v>
      </c>
      <c r="F84" s="67">
        <v>2</v>
      </c>
      <c r="G84" s="67">
        <v>1</v>
      </c>
      <c r="H84" s="75" cm="1">
        <f t="array" aca="1" ref="H84" ca="1">IF(AND(A84="",B84=""),"",INDIRECT(ADDRESS($M$3,MATCH(IF(A84="",B84,A84),MA!$A$1:$NP$1,0),1,1,"MA")))</f>
        <v>1</v>
      </c>
      <c r="I84" s="59" t="str" cm="1">
        <f t="array" ref="I84">IF( SUM(--NOT(ISBLANK(BW84:EP84) ) ),1, "" )</f>
        <v/>
      </c>
      <c r="J84" s="59" t="str" cm="1">
        <f t="array" ref="J84">IF( SUM(--NOT(ISBLANK(O84:BV84) ) ),1, "" )</f>
        <v/>
      </c>
      <c r="K84" s="97" t="s">
        <v>597</v>
      </c>
      <c r="L84" s="97" t="s">
        <v>1292</v>
      </c>
      <c r="M84" s="71">
        <f ca="1"/>
        <v>0</v>
      </c>
      <c r="N84" s="113" t="str">
        <f t="shared" si="3"/>
        <v/>
      </c>
      <c r="DS84" s="59"/>
      <c r="DU84" s="59"/>
      <c r="DW84" s="59"/>
      <c r="DY84" s="59"/>
      <c r="EA84" s="59"/>
      <c r="EC84" s="59"/>
      <c r="EE84" s="59"/>
      <c r="EG84" s="59"/>
      <c r="EI84" s="59"/>
      <c r="EK84" s="59"/>
      <c r="EM84" s="59"/>
      <c r="EO84" s="59"/>
      <c r="ES84" s="113"/>
    </row>
    <row r="85" spans="1:149" x14ac:dyDescent="0.2">
      <c r="A85" s="100"/>
      <c r="B85" s="100" t="s">
        <v>1295</v>
      </c>
      <c r="F85" s="67"/>
      <c r="G85" s="67"/>
      <c r="H85" s="75" cm="1">
        <f t="array" aca="1" ref="H85" ca="1">IF(AND(A85="",B85=""),"",INDIRECT(ADDRESS($M$3,MATCH(IF(A85="",B85,A85),MA!$A$1:$NP$1,0),1,1,"MA")))</f>
        <v>0</v>
      </c>
      <c r="I85" s="59" t="str" cm="1">
        <f t="array" ref="I85">IF( SUM(--NOT(ISBLANK(BW85:EP85) ) ),1, "" )</f>
        <v/>
      </c>
      <c r="J85" s="59" t="str" cm="1">
        <f t="array" ref="J85">IF( SUM(--NOT(ISBLANK(O85:BV85) ) ),1, "" )</f>
        <v/>
      </c>
      <c r="K85" s="97" t="s">
        <v>597</v>
      </c>
      <c r="L85" s="97" t="s">
        <v>1295</v>
      </c>
      <c r="M85" s="71">
        <f ca="1"/>
        <v>2</v>
      </c>
      <c r="N85" s="113" t="str">
        <f t="shared" si="3"/>
        <v/>
      </c>
      <c r="DS85" s="59"/>
      <c r="DU85" s="59"/>
      <c r="DW85" s="59"/>
      <c r="DY85" s="59"/>
      <c r="EA85" s="59"/>
      <c r="EC85" s="59"/>
      <c r="EE85" s="59"/>
      <c r="EG85" s="59"/>
      <c r="EI85" s="59"/>
      <c r="EK85" s="59"/>
      <c r="EM85" s="59"/>
      <c r="EO85" s="59"/>
      <c r="ES85" s="113"/>
    </row>
    <row r="86" spans="1:149" x14ac:dyDescent="0.2">
      <c r="A86" s="100"/>
      <c r="B86" s="100"/>
      <c r="F86" s="67"/>
      <c r="G86" s="67"/>
      <c r="H86" s="75" t="str" cm="1">
        <f t="array" aca="1" ref="H86" ca="1">IF(AND(A86="",B86=""),"",INDIRECT(ADDRESS($M$3,MATCH(IF(A86="",B86,A86),MA!$A$1:$NP$1,0),1,1,"MA")))</f>
        <v/>
      </c>
      <c r="I86" s="59" cm="1">
        <f t="array" ref="I86">IF( SUM(--NOT(ISBLANK(BW86:EP86) ) ),1, "" )</f>
        <v>1</v>
      </c>
      <c r="J86" s="59" t="str" cm="1">
        <f t="array" ref="J86">IF( SUM(--NOT(ISBLANK(O86:BV86) ) ),1, "" )</f>
        <v/>
      </c>
      <c r="K86" s="97" t="s">
        <v>597</v>
      </c>
      <c r="L86" s="100" t="s">
        <v>1296</v>
      </c>
      <c r="M86" s="71">
        <f ca="1"/>
        <v>0</v>
      </c>
      <c r="N86" s="113" t="str">
        <f t="shared" si="3"/>
        <v/>
      </c>
      <c r="CM86" s="74">
        <v>0</v>
      </c>
      <c r="CN86" s="74">
        <v>1</v>
      </c>
      <c r="CO86" s="74">
        <v>0</v>
      </c>
      <c r="CP86" s="74">
        <v>10</v>
      </c>
      <c r="CQ86" s="74">
        <v>0</v>
      </c>
      <c r="CR86" s="74">
        <v>1</v>
      </c>
      <c r="CS86" s="74">
        <v>0</v>
      </c>
      <c r="CT86" s="74">
        <v>10</v>
      </c>
      <c r="CW86" s="59">
        <v>0</v>
      </c>
      <c r="CX86" s="74">
        <v>10</v>
      </c>
      <c r="CY86" s="74">
        <v>0</v>
      </c>
      <c r="CZ86" s="74">
        <v>10</v>
      </c>
      <c r="DS86" s="59"/>
      <c r="DU86" s="59"/>
      <c r="DW86" s="59"/>
      <c r="DY86" s="59"/>
      <c r="EA86" s="59"/>
      <c r="EC86" s="59"/>
      <c r="EE86" s="59"/>
      <c r="EG86" s="59"/>
      <c r="EI86" s="59"/>
      <c r="EK86" s="59"/>
      <c r="EM86" s="59"/>
      <c r="EO86" s="59"/>
      <c r="ES86" s="113"/>
    </row>
    <row r="87" spans="1:149" x14ac:dyDescent="0.2">
      <c r="B87" s="59" t="s">
        <v>887</v>
      </c>
      <c r="C87" s="67">
        <v>3</v>
      </c>
      <c r="D87" s="67">
        <v>6</v>
      </c>
      <c r="E87" s="67">
        <v>1</v>
      </c>
      <c r="F87" s="67">
        <v>2</v>
      </c>
      <c r="G87" s="67">
        <v>3</v>
      </c>
      <c r="H87" s="75" cm="1">
        <f t="array" aca="1" ref="H87" ca="1">IF(AND(A87="",B87=""),"",INDIRECT(ADDRESS($M$3,MATCH(IF(A87="",B87,A87),MA!$A$1:$NP$1,0),1,1,"MA")))</f>
        <v>5.6388888888888884</v>
      </c>
      <c r="I87" s="59" t="str" cm="1">
        <f t="array" ref="I87">IF( SUM(--NOT(ISBLANK(BW87:EP87) ) ),1, "" )</f>
        <v/>
      </c>
      <c r="J87" s="59" t="str" cm="1">
        <f t="array" ref="J87">IF( SUM(--NOT(ISBLANK(O87:BV87) ) ),1, "" )</f>
        <v/>
      </c>
      <c r="K87" s="59" t="s">
        <v>597</v>
      </c>
      <c r="L87" s="59" t="s">
        <v>909</v>
      </c>
      <c r="M87" s="71">
        <f ca="1"/>
        <v>2</v>
      </c>
      <c r="N87" s="113" t="str">
        <f t="shared" si="3"/>
        <v/>
      </c>
      <c r="ES87" s="113"/>
    </row>
    <row r="88" spans="1:149" x14ac:dyDescent="0.2">
      <c r="B88" s="59" t="s">
        <v>1005</v>
      </c>
      <c r="C88" s="67">
        <v>6</v>
      </c>
      <c r="D88" s="67">
        <v>12</v>
      </c>
      <c r="E88" s="67">
        <v>1</v>
      </c>
      <c r="F88" s="67">
        <v>2</v>
      </c>
      <c r="G88" s="67">
        <v>3</v>
      </c>
      <c r="H88" s="75" cm="1">
        <f t="array" aca="1" ref="H88" ca="1">IF(AND(A88="",B88=""),"",INDIRECT(ADDRESS($M$3,MATCH(IF(A88="",B88,A88),MA!$A$1:$NP$1,0),1,1,"MA")))</f>
        <v>40.000000000000568</v>
      </c>
      <c r="I88" s="59" t="str" cm="1">
        <f t="array" ref="I88">IF( SUM(--NOT(ISBLANK(BW88:EP88) ) ),1, "" )</f>
        <v/>
      </c>
      <c r="J88" s="59" t="str" cm="1">
        <f t="array" ref="J88">IF( SUM(--NOT(ISBLANK(O88:BV88) ) ),1, "" )</f>
        <v/>
      </c>
      <c r="K88" s="59" t="s">
        <v>597</v>
      </c>
      <c r="L88" s="59" t="s">
        <v>1017</v>
      </c>
      <c r="M88" s="71">
        <f ca="1"/>
        <v>0</v>
      </c>
      <c r="N88" s="113" t="str">
        <f t="shared" si="3"/>
        <v/>
      </c>
      <c r="ES88" s="113"/>
    </row>
    <row r="89" spans="1:149" x14ac:dyDescent="0.2">
      <c r="B89" s="59" t="s">
        <v>888</v>
      </c>
      <c r="C89" s="67">
        <v>2</v>
      </c>
      <c r="D89" s="67">
        <v>4</v>
      </c>
      <c r="E89" s="67">
        <v>1</v>
      </c>
      <c r="F89" s="67">
        <v>2</v>
      </c>
      <c r="G89" s="67">
        <v>3</v>
      </c>
      <c r="H89" s="75" cm="1">
        <f t="array" aca="1" ref="H89" ca="1">IF(AND(A89="",B89=""),"",INDIRECT(ADDRESS($M$3,MATCH(IF(A89="",B89,A89),MA!$A$1:$NP$1,0),1,1,"MA")))</f>
        <v>4.3125000000000018</v>
      </c>
      <c r="I89" s="59" t="str" cm="1">
        <f t="array" ref="I89">IF( SUM(--NOT(ISBLANK(BW89:EP89) ) ),1, "" )</f>
        <v/>
      </c>
      <c r="J89" s="59" t="str" cm="1">
        <f t="array" ref="J89">IF( SUM(--NOT(ISBLANK(O89:BV89) ) ),1, "" )</f>
        <v/>
      </c>
      <c r="K89" s="59" t="s">
        <v>597</v>
      </c>
      <c r="L89" s="59" t="s">
        <v>951</v>
      </c>
      <c r="M89" s="71">
        <f ca="1"/>
        <v>3</v>
      </c>
      <c r="N89" s="113" t="str">
        <f t="shared" si="3"/>
        <v/>
      </c>
      <c r="ES89" s="113"/>
    </row>
    <row r="90" spans="1:149" x14ac:dyDescent="0.2">
      <c r="B90" s="59" t="s">
        <v>1006</v>
      </c>
      <c r="C90" s="67">
        <v>4</v>
      </c>
      <c r="D90" s="67">
        <v>8</v>
      </c>
      <c r="E90" s="67">
        <v>1</v>
      </c>
      <c r="F90" s="67">
        <v>2</v>
      </c>
      <c r="G90" s="67">
        <v>3</v>
      </c>
      <c r="H90" s="75" cm="1">
        <f t="array" aca="1" ref="H90" ca="1">IF(AND(A90="",B90=""),"",INDIRECT(ADDRESS($M$3,MATCH(IF(A90="",B90,A90),MA!$A$1:$NP$1,0),1,1,"MA")))</f>
        <v>12.999999999999545</v>
      </c>
      <c r="I90" s="59" t="str" cm="1">
        <f t="array" ref="I90">IF( SUM(--NOT(ISBLANK(BW90:EP90) ) ),1, "" )</f>
        <v/>
      </c>
      <c r="J90" s="59" t="str" cm="1">
        <f t="array" ref="J90">IF( SUM(--NOT(ISBLANK(O90:BV90) ) ),1, "" )</f>
        <v/>
      </c>
      <c r="K90" s="59" t="s">
        <v>597</v>
      </c>
      <c r="L90" s="59" t="s">
        <v>1018</v>
      </c>
      <c r="M90" s="71">
        <f ca="1"/>
        <v>-1</v>
      </c>
      <c r="N90" s="113" t="str">
        <f t="shared" si="3"/>
        <v/>
      </c>
      <c r="ES90" s="113"/>
    </row>
    <row r="91" spans="1:149" x14ac:dyDescent="0.2">
      <c r="F91" s="67"/>
      <c r="G91" s="67"/>
      <c r="H91" s="75" t="str" cm="1">
        <f t="array" aca="1" ref="H91" ca="1">IF(AND(A91="",B91=""),"",INDIRECT(ADDRESS($M$3,MATCH(IF(A91="",B91,A91),MA!$A$1:$NP$1,0),1,1,"MA")))</f>
        <v/>
      </c>
      <c r="I91" s="59" t="str" cm="1">
        <f t="array" ref="I91">IF( SUM(--NOT(ISBLANK(BW91:EP91) ) ),1, "" )</f>
        <v/>
      </c>
      <c r="J91" s="59" t="str" cm="1">
        <f t="array" ref="J91">IF( SUM(--NOT(ISBLANK(O91:BV91) ) ),1, "" )</f>
        <v/>
      </c>
      <c r="K91" s="59" t="s">
        <v>597</v>
      </c>
      <c r="L91" s="59" t="s">
        <v>1026</v>
      </c>
      <c r="M91" s="71">
        <f ca="1"/>
        <v>0</v>
      </c>
      <c r="N91" s="113" t="str">
        <f t="shared" si="3"/>
        <v/>
      </c>
      <c r="ES91" s="113"/>
    </row>
    <row r="92" spans="1:149" x14ac:dyDescent="0.2">
      <c r="F92" s="67"/>
      <c r="G92" s="67"/>
      <c r="H92" s="75" t="str" cm="1">
        <f t="array" aca="1" ref="H92" ca="1">IF(AND(A92="",B92=""),"",INDIRECT(ADDRESS($M$3,MATCH(IF(A92="",B92,A92),MA!$A$1:$NP$1,0),1,1,"MA")))</f>
        <v/>
      </c>
      <c r="I92" s="59" t="str" cm="1">
        <f t="array" ref="I92">IF( SUM(--NOT(ISBLANK(BW92:EP92) ) ),1, "" )</f>
        <v/>
      </c>
      <c r="J92" s="59" t="str" cm="1">
        <f t="array" ref="J92">IF( SUM(--NOT(ISBLANK(O92:BV92) ) ),1, "" )</f>
        <v/>
      </c>
      <c r="K92" s="59" t="s">
        <v>597</v>
      </c>
      <c r="L92" s="59" t="s">
        <v>1027</v>
      </c>
      <c r="M92" s="71">
        <f ca="1"/>
        <v>0</v>
      </c>
      <c r="N92" s="113" t="str">
        <f t="shared" si="3"/>
        <v/>
      </c>
      <c r="ES92" s="113"/>
    </row>
    <row r="93" spans="1:149" x14ac:dyDescent="0.2">
      <c r="F93" s="67"/>
      <c r="G93" s="67"/>
      <c r="H93" s="75" t="str" cm="1">
        <f t="array" aca="1" ref="H93" ca="1">IF(AND(A93="",B93=""),"",INDIRECT(ADDRESS($M$3,MATCH(IF(A93="",B93,A93),MA!$A$1:$NP$1,0),1,1,"MA")))</f>
        <v/>
      </c>
      <c r="I93" s="59" cm="1">
        <f t="array" ref="I93">IF( SUM(--NOT(ISBLANK(BW93:EP93) ) ),1, "" )</f>
        <v>1</v>
      </c>
      <c r="J93" s="59" t="str" cm="1">
        <f t="array" ref="J93">IF( SUM(--NOT(ISBLANK(O93:BV93) ) ),1, "" )</f>
        <v/>
      </c>
      <c r="K93" s="59" t="s">
        <v>597</v>
      </c>
      <c r="L93" s="59" t="s">
        <v>1066</v>
      </c>
      <c r="M93" s="71">
        <f ca="1"/>
        <v>0</v>
      </c>
      <c r="N93" s="113" t="str">
        <f t="shared" si="3"/>
        <v/>
      </c>
      <c r="CW93" s="59">
        <v>3</v>
      </c>
      <c r="CX93" s="74">
        <v>10</v>
      </c>
      <c r="ES93" s="113"/>
    </row>
    <row r="94" spans="1:149" x14ac:dyDescent="0.2">
      <c r="F94" s="67"/>
      <c r="G94" s="67"/>
      <c r="H94" s="75" t="str" cm="1">
        <f t="array" aca="1" ref="H94" ca="1">IF(AND(A94="",B94=""),"",INDIRECT(ADDRESS($M$3,MATCH(IF(A94="",B94,A94),MA!$A$1:$NP$1,0),1,1,"MA")))</f>
        <v/>
      </c>
      <c r="I94" s="59" t="str" cm="1">
        <f t="array" ref="I94">IF( SUM(--NOT(ISBLANK(BW94:EP94) ) ),1, "" )</f>
        <v/>
      </c>
      <c r="J94" s="59" t="str" cm="1">
        <f t="array" ref="J94">IF( SUM(--NOT(ISBLANK(O94:BV94) ) ),1, "" )</f>
        <v/>
      </c>
      <c r="K94" s="59" t="s">
        <v>597</v>
      </c>
      <c r="L94" s="59" t="s">
        <v>1068</v>
      </c>
      <c r="M94" s="71">
        <f ca="1"/>
        <v>0.5</v>
      </c>
      <c r="N94" s="113" t="str">
        <f t="shared" si="3"/>
        <v/>
      </c>
      <c r="O94" s="76"/>
      <c r="P94" s="76"/>
      <c r="S94" s="76"/>
      <c r="T94" s="76"/>
      <c r="U94" s="76"/>
      <c r="V94" s="76"/>
      <c r="Z94" s="76"/>
      <c r="AB94" s="76"/>
      <c r="AC94" s="76"/>
      <c r="AD94" s="76"/>
      <c r="AF94" s="76"/>
      <c r="AH94" s="76"/>
      <c r="AJ94" s="76"/>
      <c r="AL94" s="76"/>
      <c r="AN94" s="76"/>
      <c r="AR94" s="76"/>
      <c r="AV94" s="76"/>
      <c r="AW94" s="76"/>
      <c r="AX94" s="76"/>
      <c r="BB94" s="76"/>
      <c r="BD94" s="76"/>
      <c r="BG94" s="76"/>
      <c r="BH94" s="76"/>
      <c r="BI94" s="76"/>
      <c r="BJ94" s="76"/>
      <c r="BK94" s="76"/>
      <c r="BL94" s="76"/>
      <c r="BM94" s="76"/>
      <c r="BN94" s="76"/>
      <c r="BP94" s="76"/>
      <c r="BQ94" s="125"/>
      <c r="BR94" s="76"/>
      <c r="BS94" s="76"/>
      <c r="BT94" s="76"/>
      <c r="BU94" s="76"/>
      <c r="BV94" s="76"/>
      <c r="ES94" s="113"/>
    </row>
    <row r="95" spans="1:149" x14ac:dyDescent="0.2">
      <c r="F95" s="67"/>
      <c r="G95" s="67"/>
      <c r="H95" s="75" t="str" cm="1">
        <f t="array" aca="1" ref="H95" ca="1">IF(AND(A95="",B95=""),"",INDIRECT(ADDRESS($M$3,MATCH(IF(A95="",B95,A95),MA!$A$1:$NP$1,0),1,1,"MA")))</f>
        <v/>
      </c>
      <c r="I95" s="59" t="str" cm="1">
        <f t="array" ref="I95">IF( SUM(--NOT(ISBLANK(BW95:EP95) ) ),1, "" )</f>
        <v/>
      </c>
      <c r="J95" s="59" cm="1">
        <f t="array" ref="J95">IF( SUM(--NOT(ISBLANK(O95:BV95) ) ),1, "" )</f>
        <v>1</v>
      </c>
      <c r="K95" s="59" t="s">
        <v>597</v>
      </c>
      <c r="L95" s="59" t="s">
        <v>1075</v>
      </c>
      <c r="M95" s="71">
        <f ca="1"/>
        <v>1</v>
      </c>
      <c r="N95" s="113" t="str">
        <f t="shared" si="3"/>
        <v/>
      </c>
      <c r="O95" s="76"/>
      <c r="P95" s="76"/>
      <c r="S95" s="76"/>
      <c r="T95" s="76"/>
      <c r="U95" s="76"/>
      <c r="V95" s="76"/>
      <c r="W95" s="74">
        <v>2</v>
      </c>
      <c r="X95" s="74">
        <v>10</v>
      </c>
      <c r="Y95" s="74">
        <v>2</v>
      </c>
      <c r="Z95" s="76">
        <v>10</v>
      </c>
      <c r="AB95" s="76"/>
      <c r="AC95" s="76"/>
      <c r="AD95" s="76"/>
      <c r="AE95" s="74">
        <v>2</v>
      </c>
      <c r="AF95" s="76">
        <v>10</v>
      </c>
      <c r="AG95" s="74">
        <v>2</v>
      </c>
      <c r="AH95" s="76">
        <v>10</v>
      </c>
      <c r="AJ95" s="76"/>
      <c r="AL95" s="76"/>
      <c r="AN95" s="76"/>
      <c r="AO95" s="74">
        <v>2</v>
      </c>
      <c r="AP95" s="74">
        <v>10</v>
      </c>
      <c r="AQ95" s="74">
        <v>2</v>
      </c>
      <c r="AR95" s="76">
        <v>10</v>
      </c>
      <c r="AS95" s="74">
        <v>2</v>
      </c>
      <c r="AT95" s="74">
        <v>10</v>
      </c>
      <c r="AU95" s="74">
        <v>2</v>
      </c>
      <c r="AV95" s="76">
        <v>10</v>
      </c>
      <c r="AW95" s="76">
        <v>2</v>
      </c>
      <c r="AX95" s="76">
        <v>10</v>
      </c>
      <c r="AY95" s="74">
        <v>2</v>
      </c>
      <c r="AZ95" s="74">
        <v>10</v>
      </c>
      <c r="BA95" s="74">
        <v>2</v>
      </c>
      <c r="BB95" s="76">
        <v>10</v>
      </c>
      <c r="BD95" s="76"/>
      <c r="BG95" s="76"/>
      <c r="BH95" s="76"/>
      <c r="BI95" s="76"/>
      <c r="BJ95" s="76"/>
      <c r="BK95" s="76"/>
      <c r="BL95" s="76"/>
      <c r="BM95" s="76"/>
      <c r="BN95" s="76"/>
      <c r="BP95" s="76"/>
      <c r="BQ95" s="125"/>
      <c r="BR95" s="76"/>
      <c r="BS95" s="76"/>
      <c r="BT95" s="76"/>
      <c r="BU95" s="76"/>
      <c r="BV95" s="76"/>
      <c r="ES95" s="113"/>
    </row>
    <row r="96" spans="1:149" x14ac:dyDescent="0.2">
      <c r="F96" s="67"/>
      <c r="G96" s="67"/>
      <c r="H96" s="75" t="str" cm="1">
        <f t="array" aca="1" ref="H96" ca="1">IF(AND(A96="",B96=""),"",INDIRECT(ADDRESS($M$3,MATCH(IF(A96="",B96,A96),MA!$A$1:$NP$1,0),1,1,"MA")))</f>
        <v/>
      </c>
      <c r="I96" s="59" t="str" cm="1">
        <f t="array" ref="I96">IF( SUM(--NOT(ISBLANK(BW96:EP96) ) ),1, "" )</f>
        <v/>
      </c>
      <c r="J96" s="59" cm="1">
        <f t="array" ref="J96">IF( SUM(--NOT(ISBLANK(O96:BV96) ) ),1, "" )</f>
        <v>1</v>
      </c>
      <c r="K96" s="59" t="s">
        <v>597</v>
      </c>
      <c r="L96" s="59" t="s">
        <v>1076</v>
      </c>
      <c r="M96" s="71">
        <f ca="1"/>
        <v>-1</v>
      </c>
      <c r="N96" s="113" t="str">
        <f t="shared" si="3"/>
        <v/>
      </c>
      <c r="O96" s="76"/>
      <c r="P96" s="76"/>
      <c r="S96" s="76"/>
      <c r="T96" s="76"/>
      <c r="U96" s="76"/>
      <c r="V96" s="76"/>
      <c r="Z96" s="76"/>
      <c r="AB96" s="76"/>
      <c r="AC96" s="76"/>
      <c r="AD96" s="76"/>
      <c r="AF96" s="76"/>
      <c r="AH96" s="76"/>
      <c r="AI96" s="74">
        <v>-3</v>
      </c>
      <c r="AJ96" s="76">
        <v>10</v>
      </c>
      <c r="AK96" s="74">
        <v>-3</v>
      </c>
      <c r="AL96" s="76">
        <v>10</v>
      </c>
      <c r="AN96" s="76"/>
      <c r="AR96" s="76"/>
      <c r="AV96" s="76"/>
      <c r="AW96" s="76"/>
      <c r="AX96" s="76"/>
      <c r="BB96" s="76"/>
      <c r="BC96" s="74">
        <v>-3</v>
      </c>
      <c r="BD96" s="76">
        <v>10</v>
      </c>
      <c r="BE96" s="74">
        <v>-3</v>
      </c>
      <c r="BF96" s="74">
        <v>10</v>
      </c>
      <c r="BG96" s="76"/>
      <c r="BH96" s="76"/>
      <c r="BI96" s="76"/>
      <c r="BJ96" s="76"/>
      <c r="BK96" s="76"/>
      <c r="BL96" s="76"/>
      <c r="BM96" s="76"/>
      <c r="BN96" s="76"/>
      <c r="BP96" s="76"/>
      <c r="BQ96" s="125"/>
      <c r="BR96" s="76"/>
      <c r="BS96" s="76">
        <v>-3</v>
      </c>
      <c r="BT96" s="76">
        <v>10</v>
      </c>
      <c r="BU96" s="76"/>
      <c r="BV96" s="76"/>
      <c r="ES96" s="113"/>
    </row>
    <row r="97" spans="1:149" x14ac:dyDescent="0.2">
      <c r="B97" s="315" t="s">
        <v>934</v>
      </c>
      <c r="C97" s="67">
        <v>2</v>
      </c>
      <c r="D97" s="67">
        <v>4</v>
      </c>
      <c r="E97" s="67">
        <v>1</v>
      </c>
      <c r="F97" s="67">
        <v>2</v>
      </c>
      <c r="G97" s="67">
        <v>3</v>
      </c>
      <c r="H97" s="75" cm="1">
        <f t="array" aca="1" ref="H97" ca="1">IF(AND(A97="",B97=""),"",INDIRECT(ADDRESS($M$3,MATCH(IF(A97="",B97,A97),MA!$A$1:$NP$1,0),1,1,"MA")))</f>
        <v>82.11</v>
      </c>
      <c r="I97" s="59" cm="1">
        <f t="array" ref="I97">IF( SUM(--NOT(ISBLANK(BW97:EP97) ) ),1, "" )</f>
        <v>1</v>
      </c>
      <c r="J97" s="59" t="str" cm="1">
        <f t="array" ref="J97">IF( SUM(--NOT(ISBLANK(O97:BV97) ) ),1, "" )</f>
        <v/>
      </c>
      <c r="K97" s="59" t="s">
        <v>597</v>
      </c>
      <c r="L97" s="59" t="s">
        <v>902</v>
      </c>
      <c r="M97" s="71">
        <f ca="1"/>
        <v>2</v>
      </c>
      <c r="N97" s="113">
        <f t="shared" ref="N97:N102" ca="1" si="4">IF(ES97="", "", IF(M97&gt;0,M97*ES97,0))</f>
        <v>2</v>
      </c>
      <c r="CW97" s="74">
        <v>1</v>
      </c>
      <c r="CX97" s="74">
        <v>10</v>
      </c>
      <c r="CY97" s="74">
        <v>1</v>
      </c>
      <c r="CZ97" s="74">
        <v>10</v>
      </c>
      <c r="DS97" s="59">
        <v>1</v>
      </c>
      <c r="DT97" s="74">
        <v>1</v>
      </c>
      <c r="DU97" s="59"/>
      <c r="DW97" s="59"/>
      <c r="DY97" s="59"/>
      <c r="EA97" s="59"/>
      <c r="EC97" s="59"/>
      <c r="EE97" s="59"/>
      <c r="EG97" s="59"/>
      <c r="EI97" s="59"/>
      <c r="EK97" s="59"/>
      <c r="EM97" s="59"/>
      <c r="EO97" s="59"/>
      <c r="ES97" s="113">
        <v>1</v>
      </c>
    </row>
    <row r="98" spans="1:149" x14ac:dyDescent="0.2">
      <c r="F98" s="67"/>
      <c r="G98" s="67"/>
      <c r="H98" s="75" t="str" cm="1">
        <f t="array" aca="1" ref="H98" ca="1">IF(AND(A98="",B98=""),"",INDIRECT(ADDRESS($M$3,MATCH(IF(A98="",B98,A98),MA!$A$1:$NP$1,0),1,1,"MA")))</f>
        <v/>
      </c>
      <c r="I98" s="59" cm="1">
        <f t="array" ref="I98">IF( SUM(--NOT(ISBLANK(BW98:EP98) ) ),1, "" )</f>
        <v>1</v>
      </c>
      <c r="J98" s="59" t="str" cm="1">
        <f t="array" ref="J98">IF( SUM(--NOT(ISBLANK(O98:BV98) ) ),1, "" )</f>
        <v/>
      </c>
      <c r="K98" s="59" t="s">
        <v>597</v>
      </c>
      <c r="L98" s="59" t="s">
        <v>968</v>
      </c>
      <c r="M98" s="71">
        <f ca="1"/>
        <v>2</v>
      </c>
      <c r="N98" s="113" t="str">
        <f t="shared" si="4"/>
        <v/>
      </c>
      <c r="DS98" s="59">
        <v>0</v>
      </c>
      <c r="DT98" s="74">
        <v>1</v>
      </c>
      <c r="DU98" s="59"/>
      <c r="DW98" s="59"/>
      <c r="DY98" s="59"/>
      <c r="EA98" s="59"/>
      <c r="EC98" s="59"/>
      <c r="EE98" s="59"/>
      <c r="EG98" s="59"/>
      <c r="EI98" s="59"/>
      <c r="EK98" s="59"/>
      <c r="EM98" s="59"/>
      <c r="EO98" s="59"/>
      <c r="ES98" s="113"/>
    </row>
    <row r="99" spans="1:149" x14ac:dyDescent="0.2">
      <c r="B99" s="315" t="s">
        <v>935</v>
      </c>
      <c r="C99" s="67">
        <v>2</v>
      </c>
      <c r="D99" s="67">
        <v>4</v>
      </c>
      <c r="E99" s="67">
        <v>1</v>
      </c>
      <c r="F99" s="67">
        <v>2</v>
      </c>
      <c r="G99" s="67">
        <v>3</v>
      </c>
      <c r="H99" s="75" cm="1">
        <f t="array" aca="1" ref="H99" ca="1">IF(AND(A99="",B99=""),"",INDIRECT(ADDRESS($M$3,MATCH(IF(A99="",B99,A99),MA!$A$1:$NP$1,0),1,1,"MA")))</f>
        <v>82.69</v>
      </c>
      <c r="I99" s="59" cm="1">
        <f t="array" ref="I99">IF( SUM(--NOT(ISBLANK(BW99:EP99) ) ),1, "" )</f>
        <v>1</v>
      </c>
      <c r="J99" s="59" t="str" cm="1">
        <f t="array" ref="J99">IF( SUM(--NOT(ISBLANK(O99:BV99) ) ),1, "" )</f>
        <v/>
      </c>
      <c r="K99" s="59" t="s">
        <v>597</v>
      </c>
      <c r="L99" s="59" t="s">
        <v>904</v>
      </c>
      <c r="M99" s="71">
        <f ca="1"/>
        <v>1</v>
      </c>
      <c r="N99" s="113">
        <f t="shared" ca="1" si="4"/>
        <v>1</v>
      </c>
      <c r="DS99" s="59">
        <v>1</v>
      </c>
      <c r="DT99" s="74">
        <v>1</v>
      </c>
      <c r="DU99" s="59"/>
      <c r="DW99" s="59"/>
      <c r="DY99" s="59"/>
      <c r="EA99" s="59"/>
      <c r="EC99" s="59"/>
      <c r="EE99" s="59"/>
      <c r="EG99" s="59"/>
      <c r="EI99" s="59"/>
      <c r="EK99" s="59"/>
      <c r="EM99" s="59"/>
      <c r="EO99" s="59"/>
      <c r="ES99" s="113">
        <v>1</v>
      </c>
    </row>
    <row r="100" spans="1:149" x14ac:dyDescent="0.2">
      <c r="F100" s="67"/>
      <c r="G100" s="67"/>
      <c r="H100" s="75" t="str" cm="1">
        <f t="array" aca="1" ref="H100" ca="1">IF(AND(A100="",B100=""),"",INDIRECT(ADDRESS($M$3,MATCH(IF(A100="",B100,A100),MA!$A$1:$NP$1,0),1,1,"MA")))</f>
        <v/>
      </c>
      <c r="I100" s="59" cm="1">
        <f t="array" ref="I100">IF( SUM(--NOT(ISBLANK(BW100:EP100) ) ),1, "" )</f>
        <v>1</v>
      </c>
      <c r="J100" s="59" t="str" cm="1">
        <f t="array" ref="J100">IF( SUM(--NOT(ISBLANK(O100:BV100) ) ),1, "" )</f>
        <v/>
      </c>
      <c r="K100" s="59" t="s">
        <v>597</v>
      </c>
      <c r="L100" s="59" t="s">
        <v>969</v>
      </c>
      <c r="M100" s="71">
        <f ca="1"/>
        <v>0</v>
      </c>
      <c r="N100" s="113" t="str">
        <f t="shared" si="4"/>
        <v/>
      </c>
      <c r="DS100" s="59">
        <v>0</v>
      </c>
      <c r="DT100" s="74">
        <v>1</v>
      </c>
      <c r="DU100" s="59"/>
      <c r="DW100" s="59"/>
      <c r="DY100" s="59"/>
      <c r="EA100" s="59"/>
      <c r="EC100" s="59"/>
      <c r="EE100" s="59"/>
      <c r="EG100" s="59"/>
      <c r="EI100" s="59"/>
      <c r="EK100" s="59"/>
      <c r="EM100" s="59"/>
      <c r="EO100" s="59"/>
      <c r="ES100" s="113"/>
    </row>
    <row r="101" spans="1:149" x14ac:dyDescent="0.2">
      <c r="B101" s="315" t="s">
        <v>1838</v>
      </c>
      <c r="C101" s="67">
        <v>2</v>
      </c>
      <c r="D101" s="67">
        <v>4</v>
      </c>
      <c r="E101" s="67">
        <v>1</v>
      </c>
      <c r="F101" s="67">
        <v>2</v>
      </c>
      <c r="G101" s="67">
        <v>3</v>
      </c>
      <c r="H101" s="75" cm="1">
        <f t="array" aca="1" ref="H101" ca="1">IF(AND(A101="",B101=""),"",INDIRECT(ADDRESS($M$3,MATCH(IF(A101="",B101,A101),MA!$A$1:$NP$1,0),1,1,"MA")))</f>
        <v>69.150000000000006</v>
      </c>
      <c r="I101" s="59" cm="1">
        <f t="array" ref="I101">IF( SUM(--NOT(ISBLANK(BW101:EP101) ) ),1, "" )</f>
        <v>1</v>
      </c>
      <c r="J101" s="59" t="str" cm="1">
        <f t="array" ref="J101">IF( SUM(--NOT(ISBLANK(O101:BV101) ) ),1, "" )</f>
        <v/>
      </c>
      <c r="K101" s="59" t="s">
        <v>597</v>
      </c>
      <c r="L101" s="59" t="s">
        <v>903</v>
      </c>
      <c r="M101" s="71">
        <f ca="1"/>
        <v>2</v>
      </c>
      <c r="N101" s="113">
        <f t="shared" ca="1" si="4"/>
        <v>2</v>
      </c>
      <c r="DS101" s="59">
        <v>3</v>
      </c>
      <c r="DT101" s="74">
        <v>10</v>
      </c>
      <c r="DU101" s="59"/>
      <c r="DW101" s="59"/>
      <c r="DY101" s="59"/>
      <c r="EA101" s="59"/>
      <c r="EC101" s="59"/>
      <c r="EE101" s="59"/>
      <c r="EG101" s="59"/>
      <c r="EI101" s="59"/>
      <c r="EK101" s="59"/>
      <c r="EM101" s="59"/>
      <c r="EO101" s="59"/>
      <c r="ES101" s="113">
        <v>1</v>
      </c>
    </row>
    <row r="102" spans="1:149" x14ac:dyDescent="0.2">
      <c r="B102" s="315" t="s">
        <v>1837</v>
      </c>
      <c r="C102" s="67">
        <v>2</v>
      </c>
      <c r="D102" s="67">
        <v>4</v>
      </c>
      <c r="E102" s="67">
        <v>1</v>
      </c>
      <c r="F102" s="67">
        <v>2</v>
      </c>
      <c r="G102" s="67">
        <v>3</v>
      </c>
      <c r="H102" s="75" cm="1">
        <f t="array" aca="1" ref="H102" ca="1">IF(AND(A102="",B102=""),"",INDIRECT(ADDRESS($M$3,MATCH(IF(A102="",B102,A102),MA!$A$1:$NP$1,0),1,1,"MA")))</f>
        <v>97.58</v>
      </c>
      <c r="I102" s="59" t="str" cm="1">
        <f t="array" ref="I102">IF( SUM(--NOT(ISBLANK(BW102:EP102) ) ),1, "" )</f>
        <v/>
      </c>
      <c r="J102" s="59" t="str" cm="1">
        <f t="array" ref="J102">IF( SUM(--NOT(ISBLANK(O102:BV102) ) ),1, "" )</f>
        <v/>
      </c>
      <c r="K102" s="59" t="s">
        <v>597</v>
      </c>
      <c r="L102" s="59" t="s">
        <v>912</v>
      </c>
      <c r="M102" s="71">
        <f ca="1"/>
        <v>1</v>
      </c>
      <c r="N102" s="113" t="str">
        <f t="shared" si="4"/>
        <v/>
      </c>
      <c r="DS102" s="59"/>
      <c r="DU102" s="59"/>
      <c r="DW102" s="59"/>
      <c r="DY102" s="59"/>
      <c r="EA102" s="59"/>
      <c r="EC102" s="59"/>
      <c r="EE102" s="59"/>
      <c r="EG102" s="59"/>
      <c r="EI102" s="59"/>
      <c r="EK102" s="59"/>
      <c r="EM102" s="59"/>
      <c r="EO102" s="59"/>
      <c r="ES102" s="113"/>
    </row>
    <row r="103" spans="1:149" x14ac:dyDescent="0.2">
      <c r="F103" s="67"/>
      <c r="G103" s="67"/>
      <c r="H103" s="75"/>
      <c r="K103" s="127" t="s">
        <v>597</v>
      </c>
      <c r="L103" s="127" t="s">
        <v>1357</v>
      </c>
      <c r="M103" s="71">
        <f ca="1"/>
        <v>2</v>
      </c>
      <c r="N103" s="113"/>
      <c r="CG103" s="74">
        <v>1</v>
      </c>
      <c r="CH103" s="74">
        <v>10</v>
      </c>
      <c r="DS103" s="59"/>
      <c r="DU103" s="59"/>
      <c r="DW103" s="59"/>
      <c r="DY103" s="59"/>
      <c r="EA103" s="59"/>
      <c r="EC103" s="59"/>
      <c r="EE103" s="59"/>
      <c r="EG103" s="59"/>
      <c r="EI103" s="59"/>
      <c r="EK103" s="59"/>
      <c r="EM103" s="59"/>
      <c r="EO103" s="59"/>
      <c r="ES103" s="113"/>
    </row>
    <row r="104" spans="1:149" x14ac:dyDescent="0.2">
      <c r="F104" s="67"/>
      <c r="G104" s="67"/>
      <c r="H104" s="75"/>
      <c r="K104" s="127" t="s">
        <v>597</v>
      </c>
      <c r="L104" s="127" t="s">
        <v>1358</v>
      </c>
      <c r="M104" s="71">
        <f ca="1"/>
        <v>0</v>
      </c>
      <c r="N104" s="113"/>
      <c r="BO104" s="74">
        <v>-1</v>
      </c>
      <c r="BP104" s="74">
        <v>10</v>
      </c>
      <c r="DS104" s="59"/>
      <c r="DU104" s="59"/>
      <c r="DW104" s="59"/>
      <c r="DY104" s="59"/>
      <c r="EA104" s="59"/>
      <c r="EC104" s="59"/>
      <c r="EE104" s="59"/>
      <c r="EG104" s="59"/>
      <c r="EI104" s="59"/>
      <c r="EK104" s="59"/>
      <c r="EM104" s="59"/>
      <c r="EO104" s="59"/>
      <c r="ES104" s="113"/>
    </row>
    <row r="105" spans="1:149" x14ac:dyDescent="0.2">
      <c r="F105" s="67"/>
      <c r="G105" s="67"/>
      <c r="H105" s="75" t="str" cm="1">
        <f t="array" aca="1" ref="H105" ca="1">IF(AND(A105="",B105=""),"",INDIRECT(ADDRESS($M$3,MATCH(IF(A105="",B105,A105),MA!$A$1:$NP$1,0),1,1,"MA")))</f>
        <v/>
      </c>
      <c r="I105" s="59" t="str" cm="1">
        <f t="array" ref="I105">IF( SUM(--NOT(ISBLANK(BW105:EP105) ) ),1, "" )</f>
        <v/>
      </c>
      <c r="J105" s="59" cm="1">
        <f t="array" ref="J105">IF( SUM(--NOT(ISBLANK(O105:BV105) ) ),1, "" )</f>
        <v>1</v>
      </c>
      <c r="K105" s="59" t="s">
        <v>597</v>
      </c>
      <c r="L105" s="91" t="s">
        <v>1282</v>
      </c>
      <c r="M105" s="71">
        <f ca="1"/>
        <v>0</v>
      </c>
      <c r="N105" s="113" t="str">
        <f t="shared" ref="N105:N118" si="5">IF(ES105="", "", IF(M105&gt;0,M105*ES105,0))</f>
        <v/>
      </c>
      <c r="BQ105" s="124">
        <v>-0.5</v>
      </c>
      <c r="BR105" s="74">
        <v>10</v>
      </c>
      <c r="ES105" s="113"/>
    </row>
    <row r="106" spans="1:149" x14ac:dyDescent="0.2">
      <c r="F106" s="67"/>
      <c r="G106" s="67"/>
      <c r="H106" s="75" t="str" cm="1">
        <f t="array" aca="1" ref="H106" ca="1">IF(AND(A106="",B106=""),"",INDIRECT(ADDRESS($M$3,MATCH(IF(A106="",B106,A106),MA!$A$1:$NP$1,0),1,1,"MA")))</f>
        <v/>
      </c>
      <c r="I106" s="59" t="str" cm="1">
        <f t="array" ref="I106">IF( SUM(--NOT(ISBLANK(BW106:EP106) ) ),1, "" )</f>
        <v/>
      </c>
      <c r="J106" s="59" t="str" cm="1">
        <f t="array" ref="J106">IF( SUM(--NOT(ISBLANK(O106:BV106) ) ),1, "" )</f>
        <v/>
      </c>
      <c r="K106" s="59" t="s">
        <v>597</v>
      </c>
      <c r="L106" s="91" t="s">
        <v>1283</v>
      </c>
      <c r="M106" s="71">
        <f ca="1"/>
        <v>0</v>
      </c>
      <c r="N106" s="113" t="str">
        <f t="shared" si="5"/>
        <v/>
      </c>
      <c r="ES106" s="113"/>
    </row>
    <row r="107" spans="1:149" x14ac:dyDescent="0.2">
      <c r="B107" s="315" t="s">
        <v>1865</v>
      </c>
      <c r="C107" s="67">
        <v>5</v>
      </c>
      <c r="D107" s="67">
        <v>10</v>
      </c>
      <c r="E107" s="67">
        <v>-3</v>
      </c>
      <c r="F107" s="67">
        <v>-2</v>
      </c>
      <c r="G107" s="67">
        <v>1</v>
      </c>
      <c r="H107" s="75" cm="1">
        <f t="array" aca="1" ref="H107" ca="1">IF(AND(A107="",B107=""),"",INDIRECT(ADDRESS($M$3,MATCH(IF(A107="",B107,A107),MA!$A$1:$NP$1,0),1,1,"MA")))</f>
        <v>16</v>
      </c>
      <c r="I107" s="59" t="str" cm="1">
        <f t="array" ref="I107">IF( SUM(--NOT(ISBLANK(BW107:EP107) ) ),1, "" )</f>
        <v/>
      </c>
      <c r="J107" s="59" cm="1">
        <f t="array" ref="J107">IF( SUM(--NOT(ISBLANK(O107:BV107) ) ),1, "" )</f>
        <v>1</v>
      </c>
      <c r="K107" s="59" t="s">
        <v>597</v>
      </c>
      <c r="L107" s="59" t="s">
        <v>301</v>
      </c>
      <c r="M107" s="71">
        <f ca="1"/>
        <v>40</v>
      </c>
      <c r="N107" s="113" t="str">
        <f t="shared" si="5"/>
        <v/>
      </c>
      <c r="BU107" s="74">
        <v>-3</v>
      </c>
      <c r="BV107" s="74">
        <v>10</v>
      </c>
      <c r="DS107" s="59"/>
      <c r="DU107" s="59"/>
      <c r="DW107" s="59"/>
      <c r="DY107" s="59"/>
      <c r="EA107" s="59"/>
      <c r="EC107" s="59"/>
      <c r="EE107" s="59"/>
      <c r="EG107" s="59"/>
      <c r="EI107" s="59"/>
      <c r="EK107" s="59"/>
      <c r="EM107" s="59"/>
      <c r="EO107" s="59"/>
      <c r="ES107" s="113"/>
    </row>
    <row r="108" spans="1:149" x14ac:dyDescent="0.2">
      <c r="B108" s="59" t="s">
        <v>1105</v>
      </c>
      <c r="C108" s="67">
        <v>1</v>
      </c>
      <c r="D108" s="67">
        <v>2</v>
      </c>
      <c r="E108" s="67">
        <v>1</v>
      </c>
      <c r="F108" s="67">
        <v>2</v>
      </c>
      <c r="G108" s="67">
        <v>3</v>
      </c>
      <c r="H108" s="75" cm="1">
        <f t="array" aca="1" ref="H108" ca="1">IF(AND(A108="",B108=""),"",INDIRECT(ADDRESS($M$3,MATCH(IF(A108="",B108,A108),MA!$A$1:$NP$1,0),1,1,"MA")))</f>
        <v>-0.88666666666666683</v>
      </c>
      <c r="I108" s="59" t="str" cm="1">
        <f t="array" ref="I108">IF( SUM(--NOT(ISBLANK(BW108:EP108) ) ),1, "" )</f>
        <v/>
      </c>
      <c r="J108" s="59" t="str" cm="1">
        <f t="array" ref="J108">IF( SUM(--NOT(ISBLANK(O108:BV108) ) ),1, "" )</f>
        <v/>
      </c>
      <c r="K108" s="59" t="s">
        <v>597</v>
      </c>
      <c r="L108" s="59" t="s">
        <v>1107</v>
      </c>
      <c r="M108" s="71">
        <f ca="1"/>
        <v>50</v>
      </c>
      <c r="N108" s="113" t="str">
        <f t="shared" si="5"/>
        <v/>
      </c>
      <c r="ES108" s="113"/>
    </row>
    <row r="109" spans="1:149" x14ac:dyDescent="0.2">
      <c r="B109" s="59" t="s">
        <v>1113</v>
      </c>
      <c r="C109" s="67">
        <v>1</v>
      </c>
      <c r="D109" s="67">
        <v>2</v>
      </c>
      <c r="E109" s="67">
        <v>1</v>
      </c>
      <c r="F109" s="67">
        <v>2</v>
      </c>
      <c r="G109" s="67">
        <v>3</v>
      </c>
      <c r="H109" s="75" cm="1">
        <f t="array" aca="1" ref="H109" ca="1">IF(AND(A109="",B109=""),"",INDIRECT(ADDRESS($M$3,MATCH(IF(A109="",B109,A109),MA!$A$1:$NP$1,0),1,1,"MA")))</f>
        <v>2</v>
      </c>
      <c r="I109" s="59" t="str" cm="1">
        <f t="array" ref="I109">IF( SUM(--NOT(ISBLANK(BW109:EP109) ) ),1, "" )</f>
        <v/>
      </c>
      <c r="J109" s="59" t="str" cm="1">
        <f t="array" ref="J109">IF( SUM(--NOT(ISBLANK(O109:BV109) ) ),1, "" )</f>
        <v/>
      </c>
      <c r="K109" s="59" t="s">
        <v>597</v>
      </c>
      <c r="L109" s="59" t="s">
        <v>1106</v>
      </c>
      <c r="M109" s="71">
        <f ca="1"/>
        <v>10</v>
      </c>
      <c r="N109" s="113" t="str">
        <f t="shared" si="5"/>
        <v/>
      </c>
      <c r="ES109" s="113"/>
    </row>
    <row r="110" spans="1:149" x14ac:dyDescent="0.2">
      <c r="B110" s="59" t="s">
        <v>1103</v>
      </c>
      <c r="C110" s="67">
        <v>40</v>
      </c>
      <c r="D110" s="67">
        <v>80</v>
      </c>
      <c r="E110" s="67">
        <v>3</v>
      </c>
      <c r="F110" s="67">
        <v>2</v>
      </c>
      <c r="G110" s="67">
        <v>1</v>
      </c>
      <c r="H110" s="75" cm="1">
        <f t="array" aca="1" ref="H110" ca="1">IF(AND(A110="",B110=""),"",INDIRECT(ADDRESS($M$3,MATCH(IF(A110="",B110,A110),MA!$A$1:$NP$1,0),1,1,"MA")))</f>
        <v>43</v>
      </c>
      <c r="I110" s="59" t="str" cm="1">
        <f t="array" ref="I110">IF( SUM(--NOT(ISBLANK(BW110:EP110) ) ),1, "" )</f>
        <v/>
      </c>
      <c r="J110" s="59" t="str" cm="1">
        <f t="array" ref="J110">IF( SUM(--NOT(ISBLANK(O110:BV110) ) ),1, "" )</f>
        <v/>
      </c>
      <c r="K110" s="59" t="s">
        <v>597</v>
      </c>
      <c r="L110" s="59" t="s">
        <v>1108</v>
      </c>
      <c r="M110" s="71">
        <f ca="1"/>
        <v>30</v>
      </c>
      <c r="N110" s="113" t="str">
        <f t="shared" si="5"/>
        <v/>
      </c>
      <c r="ES110" s="113"/>
    </row>
    <row r="111" spans="1:149" x14ac:dyDescent="0.2">
      <c r="A111" s="92"/>
      <c r="B111" s="92" t="s">
        <v>1100</v>
      </c>
      <c r="C111" s="67">
        <v>5</v>
      </c>
      <c r="D111" s="67">
        <v>15</v>
      </c>
      <c r="E111" s="67">
        <v>3</v>
      </c>
      <c r="F111" s="67">
        <v>2</v>
      </c>
      <c r="G111" s="67">
        <v>1</v>
      </c>
      <c r="H111" s="75" cm="1">
        <f t="array" aca="1" ref="H111" ca="1">IF(AND(A111="",B111=""),"",INDIRECT(ADDRESS($M$3,MATCH(IF(A111="",B111,A111),MA!$A$1:$NP$1,0),1,1,"MA")))</f>
        <v>44</v>
      </c>
      <c r="I111" s="59" t="str" cm="1">
        <f t="array" ref="I111">IF( SUM(--NOT(ISBLANK(BW111:EP111) ) ),1, "" )</f>
        <v/>
      </c>
      <c r="J111" s="59" t="str" cm="1">
        <f t="array" ref="J111">IF( SUM(--NOT(ISBLANK(O111:BV111) ) ),1, "" )</f>
        <v/>
      </c>
      <c r="K111" s="92" t="s">
        <v>597</v>
      </c>
      <c r="L111" s="92" t="s">
        <v>1100</v>
      </c>
      <c r="M111" s="71">
        <f ca="1"/>
        <v>40</v>
      </c>
      <c r="N111" s="113" t="str">
        <f t="shared" si="5"/>
        <v/>
      </c>
      <c r="ES111" s="113"/>
    </row>
    <row r="112" spans="1:149" x14ac:dyDescent="0.2">
      <c r="B112" s="59" t="s">
        <v>1115</v>
      </c>
      <c r="F112" s="67"/>
      <c r="G112" s="67"/>
      <c r="H112" s="75" cm="1">
        <f t="array" aca="1" ref="H112" ca="1">IF(AND(A112="",B112=""),"",INDIRECT(ADDRESS($M$3,MATCH(IF(A112="",B112,A112),MA!$A$1:$NP$1,0),1,1,"MA")))</f>
        <v>0</v>
      </c>
      <c r="I112" s="59" cm="1">
        <f t="array" ref="I112">IF( SUM(--NOT(ISBLANK(BW112:EP112) ) ),1, "" )</f>
        <v>1</v>
      </c>
      <c r="J112" s="59" cm="1">
        <f t="array" ref="J112">IF( SUM(--NOT(ISBLANK(O112:BV112) ) ),1, "" )</f>
        <v>1</v>
      </c>
      <c r="K112" s="59" t="s">
        <v>597</v>
      </c>
      <c r="L112" s="59" t="s">
        <v>1115</v>
      </c>
      <c r="M112" s="71">
        <f ca="1"/>
        <v>10</v>
      </c>
      <c r="N112" s="113">
        <f t="shared" ca="1" si="5"/>
        <v>10</v>
      </c>
      <c r="S112" s="74">
        <v>-3</v>
      </c>
      <c r="T112" s="74">
        <v>10</v>
      </c>
      <c r="BK112" s="74">
        <v>-2</v>
      </c>
      <c r="BL112" s="74">
        <v>10</v>
      </c>
      <c r="BW112" s="74">
        <v>0</v>
      </c>
      <c r="BX112" s="74">
        <v>10</v>
      </c>
      <c r="BY112" s="74">
        <v>0</v>
      </c>
      <c r="BZ112" s="74">
        <v>10</v>
      </c>
      <c r="CA112" s="74">
        <v>0</v>
      </c>
      <c r="CB112" s="74">
        <v>10</v>
      </c>
      <c r="CC112" s="74">
        <v>0</v>
      </c>
      <c r="CD112" s="74">
        <v>10</v>
      </c>
      <c r="CE112" s="74">
        <v>0</v>
      </c>
      <c r="CF112" s="74">
        <v>10</v>
      </c>
      <c r="CG112" s="74">
        <v>0</v>
      </c>
      <c r="CH112" s="74">
        <v>10</v>
      </c>
      <c r="CI112" s="74">
        <v>0</v>
      </c>
      <c r="CJ112" s="74">
        <v>10</v>
      </c>
      <c r="CK112" s="74">
        <v>0</v>
      </c>
      <c r="CL112" s="74">
        <v>10</v>
      </c>
      <c r="CM112" s="74">
        <v>0</v>
      </c>
      <c r="CN112" s="74">
        <v>10</v>
      </c>
      <c r="CO112" s="74">
        <v>0</v>
      </c>
      <c r="CP112" s="74">
        <v>10</v>
      </c>
      <c r="CQ112" s="74">
        <v>0</v>
      </c>
      <c r="CR112" s="74">
        <v>10</v>
      </c>
      <c r="CS112" s="74">
        <v>0</v>
      </c>
      <c r="CT112" s="74">
        <v>10</v>
      </c>
      <c r="CU112" s="74">
        <v>3</v>
      </c>
      <c r="CV112" s="74">
        <v>10</v>
      </c>
      <c r="CW112" s="59">
        <v>0</v>
      </c>
      <c r="CX112" s="74">
        <v>10</v>
      </c>
      <c r="CY112" s="74">
        <v>0</v>
      </c>
      <c r="CZ112" s="74">
        <v>10</v>
      </c>
      <c r="DA112" s="74">
        <v>0</v>
      </c>
      <c r="DB112" s="74">
        <v>10</v>
      </c>
      <c r="DC112" s="74">
        <v>0</v>
      </c>
      <c r="DD112" s="74">
        <v>10</v>
      </c>
      <c r="DE112" s="74">
        <v>0</v>
      </c>
      <c r="DF112" s="74">
        <v>10</v>
      </c>
      <c r="DG112" s="74">
        <v>0</v>
      </c>
      <c r="DH112" s="74">
        <v>10</v>
      </c>
      <c r="DI112" s="74">
        <v>0</v>
      </c>
      <c r="DJ112" s="74">
        <v>10</v>
      </c>
      <c r="DK112" s="74">
        <v>0</v>
      </c>
      <c r="DL112" s="74">
        <v>10</v>
      </c>
      <c r="DM112" s="74">
        <v>0</v>
      </c>
      <c r="DN112" s="74">
        <v>10</v>
      </c>
      <c r="DO112" s="74">
        <v>0</v>
      </c>
      <c r="DP112" s="74">
        <v>10</v>
      </c>
      <c r="DQ112" s="74">
        <v>0</v>
      </c>
      <c r="DR112" s="74">
        <v>10</v>
      </c>
      <c r="DS112" s="74">
        <v>0</v>
      </c>
      <c r="DT112" s="74">
        <v>10</v>
      </c>
      <c r="DU112" s="74">
        <v>0</v>
      </c>
      <c r="DV112" s="74">
        <v>10</v>
      </c>
      <c r="DW112" s="74">
        <v>0</v>
      </c>
      <c r="DX112" s="74">
        <v>10</v>
      </c>
      <c r="DY112" s="74">
        <v>0</v>
      </c>
      <c r="DZ112" s="74">
        <v>10</v>
      </c>
      <c r="EA112" s="74">
        <v>0</v>
      </c>
      <c r="EB112" s="74">
        <v>10</v>
      </c>
      <c r="EC112" s="74">
        <v>0</v>
      </c>
      <c r="ED112" s="74">
        <v>10</v>
      </c>
      <c r="EE112" s="74">
        <v>0</v>
      </c>
      <c r="EF112" s="74">
        <v>10</v>
      </c>
      <c r="EG112" s="74">
        <v>0</v>
      </c>
      <c r="EH112" s="74">
        <v>10</v>
      </c>
      <c r="ES112" s="113">
        <v>1</v>
      </c>
    </row>
    <row r="113" spans="2:149" x14ac:dyDescent="0.2">
      <c r="B113" s="59" t="s">
        <v>1114</v>
      </c>
      <c r="C113" s="67">
        <v>1</v>
      </c>
      <c r="D113" s="67">
        <v>2</v>
      </c>
      <c r="E113" s="67">
        <v>1</v>
      </c>
      <c r="F113" s="67">
        <v>2</v>
      </c>
      <c r="G113" s="67">
        <v>3</v>
      </c>
      <c r="H113" s="75" cm="1">
        <f t="array" aca="1" ref="H113" ca="1">IF(AND(A113="",B113=""),"",INDIRECT(ADDRESS($M$3,MATCH(IF(A113="",B113,A113),MA!$A$1:$NP$1,0),1,1,"MA")))</f>
        <v>2</v>
      </c>
      <c r="I113" s="59" t="str" cm="1">
        <f t="array" ref="I113">IF( SUM(--NOT(ISBLANK(BW113:EP113) ) ),1, "" )</f>
        <v/>
      </c>
      <c r="J113" s="59" t="str" cm="1">
        <f t="array" ref="J113">IF( SUM(--NOT(ISBLANK(O113:BV113) ) ),1, "" )</f>
        <v/>
      </c>
      <c r="K113" s="59" t="s">
        <v>597</v>
      </c>
      <c r="L113" s="59" t="s">
        <v>1110</v>
      </c>
      <c r="M113" s="71">
        <f ca="1"/>
        <v>20</v>
      </c>
      <c r="N113" s="113" t="str">
        <f t="shared" si="5"/>
        <v/>
      </c>
      <c r="ES113" s="113"/>
    </row>
    <row r="114" spans="2:149" x14ac:dyDescent="0.2">
      <c r="B114" s="59" t="s">
        <v>1109</v>
      </c>
      <c r="C114" s="67">
        <v>100</v>
      </c>
      <c r="D114" s="67">
        <v>200</v>
      </c>
      <c r="E114" s="67">
        <v>1</v>
      </c>
      <c r="F114" s="67">
        <v>2</v>
      </c>
      <c r="G114" s="67">
        <v>3</v>
      </c>
      <c r="H114" s="75" cm="1">
        <f t="array" aca="1" ref="H114" ca="1">IF(AND(A114="",B114=""),"",INDIRECT(ADDRESS($M$3,MATCH(IF(A114="",B114,A114),MA!$A$1:$NP$1,0),1,1,"MA")))</f>
        <v>1</v>
      </c>
      <c r="I114" s="59" t="str" cm="1">
        <f t="array" ref="I114">IF( SUM(--NOT(ISBLANK(BW114:EP114) ) ),1, "" )</f>
        <v/>
      </c>
      <c r="J114" s="59" t="str" cm="1">
        <f t="array" ref="J114">IF( SUM(--NOT(ISBLANK(O114:BV114) ) ),1, "" )</f>
        <v/>
      </c>
      <c r="K114" s="59" t="s">
        <v>597</v>
      </c>
      <c r="L114" s="59" t="s">
        <v>1109</v>
      </c>
      <c r="M114" s="71">
        <f ca="1"/>
        <v>30</v>
      </c>
      <c r="N114" s="113" t="str">
        <f t="shared" si="5"/>
        <v/>
      </c>
      <c r="ES114" s="113"/>
    </row>
    <row r="115" spans="2:149" x14ac:dyDescent="0.2">
      <c r="B115" s="59" t="s">
        <v>1111</v>
      </c>
      <c r="C115" s="67">
        <v>0.4</v>
      </c>
      <c r="D115" s="67">
        <v>0.8</v>
      </c>
      <c r="E115" s="67">
        <v>1</v>
      </c>
      <c r="F115" s="67">
        <v>2</v>
      </c>
      <c r="G115" s="67">
        <v>3</v>
      </c>
      <c r="H115" s="75" cm="1">
        <f t="array" aca="1" ref="H115" ca="1">IF(AND(A115="",B115=""),"",INDIRECT(ADDRESS($M$3,MATCH(IF(A115="",B115,A115),MA!$A$1:$NP$1,0),1,1,"MA")))</f>
        <v>2</v>
      </c>
      <c r="I115" s="59" t="str" cm="1">
        <f t="array" ref="I115">IF( SUM(--NOT(ISBLANK(BW115:EP115) ) ),1, "" )</f>
        <v/>
      </c>
      <c r="J115" s="59" t="str" cm="1">
        <f t="array" ref="J115">IF( SUM(--NOT(ISBLANK(O115:BV115) ) ),1, "" )</f>
        <v/>
      </c>
      <c r="K115" s="59" t="s">
        <v>597</v>
      </c>
      <c r="L115" s="59" t="s">
        <v>1111</v>
      </c>
      <c r="M115" s="71">
        <f ca="1"/>
        <v>30</v>
      </c>
      <c r="N115" s="113" t="str">
        <f t="shared" si="5"/>
        <v/>
      </c>
      <c r="ES115" s="113"/>
    </row>
    <row r="116" spans="2:149" x14ac:dyDescent="0.2">
      <c r="B116" s="106" t="s">
        <v>1325</v>
      </c>
      <c r="F116" s="67"/>
      <c r="G116" s="67"/>
      <c r="H116" s="75" cm="1">
        <f t="array" aca="1" ref="H116" ca="1">IF(AND(A116="",B116=""),"",INDIRECT(ADDRESS($M$3,MATCH(IF(A116="",B116,A116),MA!$A$1:$NP$1,0),1,1,"MA")))</f>
        <v>0</v>
      </c>
      <c r="I116" s="59" t="str" cm="1">
        <f t="array" ref="I116">IF( SUM(--NOT(ISBLANK(BW116:EP116) ) ),1, "" )</f>
        <v/>
      </c>
      <c r="J116" s="59" t="str" cm="1">
        <f t="array" ref="J116">IF( SUM(--NOT(ISBLANK(O116:BV116) ) ),1, "" )</f>
        <v/>
      </c>
      <c r="K116" s="59" t="s">
        <v>597</v>
      </c>
      <c r="L116" s="106" t="s">
        <v>1325</v>
      </c>
      <c r="M116" s="71">
        <f ca="1"/>
        <v>30</v>
      </c>
      <c r="N116" s="113" t="str">
        <f t="shared" si="5"/>
        <v/>
      </c>
      <c r="ES116" s="113"/>
    </row>
    <row r="117" spans="2:149" x14ac:dyDescent="0.2">
      <c r="B117" s="106" t="s">
        <v>1326</v>
      </c>
      <c r="F117" s="67"/>
      <c r="G117" s="67"/>
      <c r="H117" s="75" cm="1">
        <f t="array" aca="1" ref="H117" ca="1">IF(AND(A117="",B117=""),"",INDIRECT(ADDRESS($M$3,MATCH(IF(A117="",B117,A117),MA!$A$1:$NP$1,0),1,1,"MA")))</f>
        <v>0</v>
      </c>
      <c r="I117" s="59" t="str" cm="1">
        <f t="array" ref="I117">IF( SUM(--NOT(ISBLANK(BW117:EP117) ) ),1, "" )</f>
        <v/>
      </c>
      <c r="J117" s="59" t="str" cm="1">
        <f t="array" ref="J117">IF( SUM(--NOT(ISBLANK(O117:BV117) ) ),1, "" )</f>
        <v/>
      </c>
      <c r="K117" s="59" t="s">
        <v>597</v>
      </c>
      <c r="L117" s="106" t="s">
        <v>1326</v>
      </c>
      <c r="M117" s="71">
        <f ca="1"/>
        <v>40</v>
      </c>
      <c r="N117" s="113" t="str">
        <f t="shared" si="5"/>
        <v/>
      </c>
      <c r="ES117" s="113"/>
    </row>
    <row r="118" spans="2:149" x14ac:dyDescent="0.2">
      <c r="H118" s="75" t="str" cm="1">
        <f t="array" aca="1" ref="H118" ca="1">IF(AND(A118="",B118=""),"",INDIRECT(ADDRESS($M$3,MATCH(IF(A118="",B118,A118),MA!$A$1:$NP$1,0),1,1,"MA")))</f>
        <v/>
      </c>
      <c r="I118" s="59" t="str" cm="1">
        <f t="array" ref="I118">IF( SUM(--NOT(ISBLANK(BW118:EP118) ) ),1, "" )</f>
        <v/>
      </c>
      <c r="J118" s="59" t="str" cm="1">
        <f t="array" ref="J118">IF( SUM(--NOT(ISBLANK(O118:BV118) ) ),1, "" )</f>
        <v/>
      </c>
      <c r="K118" s="59" t="s">
        <v>597</v>
      </c>
      <c r="L118" s="59" t="s">
        <v>249</v>
      </c>
      <c r="M118" s="71">
        <f ca="1"/>
        <v>40</v>
      </c>
      <c r="N118" s="113" t="str">
        <f t="shared" si="5"/>
        <v/>
      </c>
      <c r="ES118" s="113"/>
    </row>
  </sheetData>
  <autoFilter ref="A1:ER118" xr:uid="{F421FFD7-C812-4152-9E53-38824D9D5309}"/>
  <customSheetViews>
    <customSheetView guid="{52D1722A-E00E-455D-B18E-AA205BA79E79}" scale="80" topLeftCell="Y1">
      <selection activeCell="AL2" sqref="AL2"/>
      <pageMargins left="0.7" right="0.7" top="0.75" bottom="0.75" header="0.3" footer="0.3"/>
      <pageSetup orientation="portrait" cellComments="atEnd" r:id="rId1"/>
    </customSheetView>
  </customSheetViews>
  <conditionalFormatting sqref="O4:O118 Q4:Q118 S4:S118 U4:U118 W4:W118 Y4:Y118 AA4:AA118 AC4:AC118 AE4:AE118 AG4:AG118 AI4:AI118 AK4:AK118 AM4:AM118 AO4:AO118 AQ4:AQ118 AS4:AS118 AU4:AU118 AW4:AW118 AY4:AY118 BA4:BA118 BC4:BC118 BE4:BE118 BG4:BG118 BI4:BI118 BK4:BK118 BM4:BM118 BO4:BO118 BQ4:BQ118 BS4:BS118 BU4:BU118">
    <cfRule type="expression" priority="711" stopIfTrue="1">
      <formula>O4=""</formula>
    </cfRule>
    <cfRule type="expression" dxfId="40" priority="712" stopIfTrue="1">
      <formula>$M4&lt;=O4</formula>
    </cfRule>
    <cfRule type="expression" dxfId="39" priority="713" stopIfTrue="1">
      <formula>$M4&gt;O4</formula>
    </cfRule>
  </conditionalFormatting>
  <conditionalFormatting sqref="BW4:BW118 BY4:BY118 CA4:CA118 CC4:CC118 CE4:CE118 CG4:CG118 CI4:CI118 CK4:CK118 CM4:CM118 CO4:CO118 CQ4:CQ118 CS4:CS118 CU4:CU118 CW4:CW118 CY4:CY118 DA4:DA118 DC4:DC118 DE4:DE118 DG4:DG118 DI4:DI118 DK4:DK118 DM4:DM118 DO4:DO118 DQ4:DQ118 DS4:DS118 DU4:DU118 DW4:DW118 DY4:DY118 EA4:EA118 EC4:EC118 EE4:EE118 EG4:EG118 EI4:EI118 EK4:EK118 EM4:EM118 EO4:EO118">
    <cfRule type="expression" priority="520" stopIfTrue="1">
      <formula>BW4=""</formula>
    </cfRule>
    <cfRule type="expression" dxfId="38" priority="613" stopIfTrue="1">
      <formula>$M4&gt;=BW4</formula>
    </cfRule>
    <cfRule type="expression" dxfId="37" priority="614" stopIfTrue="1">
      <formula>$M4&lt;BW4</formula>
    </cfRule>
  </conditionalFormatting>
  <pageMargins left="0.7" right="0.7" top="0.75" bottom="0.75" header="0.3" footer="0.3"/>
  <pageSetup orientation="portrait" cellComments="atEnd"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8F34A-468F-4A6B-A6B6-19F6AFAED8CC}">
  <sheetPr codeName="Sheet18"/>
  <dimension ref="A1:XQ3"/>
  <sheetViews>
    <sheetView zoomScale="80" zoomScaleNormal="80" workbookViewId="0">
      <pane xSplit="4" ySplit="1" topLeftCell="VV2" activePane="bottomRight" state="frozen"/>
      <selection pane="topRight" activeCell="G1" sqref="G1"/>
      <selection pane="bottomLeft" activeCell="A2" sqref="A2"/>
      <selection pane="bottomRight" activeCell="M2" sqref="M2"/>
    </sheetView>
  </sheetViews>
  <sheetFormatPr defaultRowHeight="12.75" x14ac:dyDescent="0.2"/>
  <cols>
    <col min="1" max="1" width="19.85546875" style="90" customWidth="1"/>
    <col min="2" max="2" width="9.140625" style="90"/>
    <col min="3" max="3" width="10.28515625" style="90" customWidth="1"/>
    <col min="4" max="4" width="10.85546875" style="90" customWidth="1"/>
    <col min="5" max="5" width="30.28515625" style="90" customWidth="1"/>
    <col min="6" max="6" width="9.28515625" style="90" bestFit="1" customWidth="1"/>
    <col min="7" max="7" width="7.85546875" style="90" customWidth="1"/>
    <col min="8" max="8" width="8.42578125" style="216" customWidth="1"/>
    <col min="9" max="10" width="7.85546875" style="90" customWidth="1"/>
    <col min="11" max="12" width="9.28515625" style="218" customWidth="1"/>
    <col min="13" max="13" width="15.85546875" style="247" customWidth="1"/>
    <col min="14" max="14" width="15.140625" style="247" customWidth="1"/>
    <col min="15" max="15" width="17.140625" style="247" customWidth="1"/>
    <col min="16" max="16" width="15.85546875" style="247" customWidth="1"/>
    <col min="17" max="17" width="15.28515625" style="247" customWidth="1"/>
    <col min="18" max="18" width="15.5703125" style="247" customWidth="1"/>
    <col min="19" max="19" width="3.42578125" style="90" customWidth="1"/>
    <col min="20" max="22" width="11.140625" style="136" customWidth="1"/>
    <col min="23" max="23" width="10.5703125" style="136" customWidth="1"/>
    <col min="24" max="25" width="11" style="136" customWidth="1"/>
    <col min="26" max="26" width="5.7109375" style="90" customWidth="1"/>
    <col min="27" max="28" width="8.42578125" style="90" customWidth="1"/>
    <col min="29" max="29" width="7.5703125" style="90" customWidth="1"/>
    <col min="30" max="30" width="8" style="216" customWidth="1"/>
    <col min="31" max="35" width="9.28515625" style="90" bestFit="1" customWidth="1"/>
    <col min="36" max="36" width="13.140625" style="218" customWidth="1"/>
    <col min="37" max="37" width="10" style="215" customWidth="1"/>
    <col min="38" max="38" width="11.5703125" style="218" customWidth="1"/>
    <col min="39" max="39" width="4.5703125" style="215" customWidth="1"/>
    <col min="40" max="40" width="4.85546875" style="215" customWidth="1"/>
    <col min="41" max="41" width="7.7109375" style="218" customWidth="1"/>
    <col min="42" max="42" width="7.5703125" style="218" customWidth="1"/>
    <col min="43" max="43" width="6.5703125" style="215" customWidth="1"/>
    <col min="44" max="44" width="5.7109375" style="218" customWidth="1"/>
    <col min="45" max="45" width="10.5703125" style="218" customWidth="1"/>
    <col min="46" max="46" width="10.42578125" style="218" customWidth="1"/>
    <col min="47" max="47" width="5.5703125" style="93" customWidth="1"/>
    <col min="48" max="48" width="4.28515625" style="215" customWidth="1"/>
    <col min="49" max="49" width="6.28515625" style="215" customWidth="1"/>
    <col min="50" max="50" width="6.140625" style="215" customWidth="1"/>
    <col min="51" max="51" width="5.5703125" style="215" customWidth="1"/>
    <col min="52" max="52" width="5.42578125" style="215" customWidth="1"/>
    <col min="53" max="54" width="9.28515625" style="90" bestFit="1" customWidth="1"/>
    <col min="55" max="55" width="5.42578125" style="90" customWidth="1"/>
    <col min="56" max="56" width="10.28515625" style="218" bestFit="1" customWidth="1"/>
    <col min="57" max="57" width="9.28515625" style="90" bestFit="1" customWidth="1"/>
    <col min="58" max="58" width="5.85546875" style="90" customWidth="1"/>
    <col min="59" max="59" width="9.28515625" style="90" bestFit="1" customWidth="1"/>
    <col min="60" max="60" width="9.5703125" style="218" customWidth="1"/>
    <col min="61" max="61" width="7.85546875" style="90" customWidth="1"/>
    <col min="62" max="62" width="9.28515625" style="90" bestFit="1" customWidth="1"/>
    <col min="63" max="63" width="8" style="215" customWidth="1"/>
    <col min="64" max="64" width="10.7109375" style="218" customWidth="1"/>
    <col min="65" max="65" width="7.7109375" style="90" customWidth="1"/>
    <col min="66" max="66" width="9.28515625" style="90" bestFit="1" customWidth="1"/>
    <col min="67" max="67" width="8.140625" style="90" customWidth="1"/>
    <col min="68" max="68" width="8.28515625" style="249" customWidth="1"/>
    <col min="69" max="69" width="11.28515625" style="90" customWidth="1"/>
    <col min="70" max="70" width="6.42578125" style="249" customWidth="1"/>
    <col min="71" max="71" width="11.28515625" style="90" customWidth="1"/>
    <col min="72" max="72" width="7.140625" style="249" customWidth="1"/>
    <col min="73" max="73" width="11.28515625" style="90" customWidth="1"/>
    <col min="74" max="74" width="6.85546875" style="90" customWidth="1"/>
    <col min="75" max="75" width="11.28515625" style="90" customWidth="1"/>
    <col min="76" max="76" width="5.7109375" style="90" customWidth="1"/>
    <col min="77" max="77" width="11.28515625" style="90" customWidth="1"/>
    <col min="78" max="79" width="10.42578125" style="90" customWidth="1"/>
    <col min="80" max="80" width="4.42578125" style="215" customWidth="1"/>
    <col min="81" max="81" width="9.28515625" style="90" bestFit="1" customWidth="1"/>
    <col min="82" max="82" width="9.85546875" style="90" bestFit="1" customWidth="1"/>
    <col min="83" max="84" width="9.7109375" style="90" customWidth="1"/>
    <col min="85" max="86" width="9.28515625" style="90" bestFit="1" customWidth="1"/>
    <col min="87" max="87" width="8.85546875" style="90" customWidth="1"/>
    <col min="88" max="88" width="8" style="90" customWidth="1"/>
    <col min="89" max="89" width="7.140625" style="90" customWidth="1"/>
    <col min="90" max="90" width="7.7109375" style="90" customWidth="1"/>
    <col min="91" max="91" width="5.85546875" style="90" customWidth="1"/>
    <col min="92" max="92" width="8.42578125" style="90" customWidth="1"/>
    <col min="93" max="94" width="5.85546875" style="90" customWidth="1"/>
    <col min="95" max="95" width="8.42578125" style="90" customWidth="1"/>
    <col min="96" max="96" width="6.5703125" style="90" customWidth="1"/>
    <col min="97" max="97" width="7" style="90" customWidth="1"/>
    <col min="98" max="98" width="6.7109375" style="90" customWidth="1"/>
    <col min="99" max="99" width="5.85546875" style="90" customWidth="1"/>
    <col min="100" max="100" width="7.140625" style="90" customWidth="1"/>
    <col min="101" max="101" width="6" style="218" customWidth="1"/>
    <col min="102" max="102" width="6.42578125" style="218" customWidth="1"/>
    <col min="103" max="103" width="10.42578125" style="90" customWidth="1"/>
    <col min="104" max="104" width="8.85546875" style="90" customWidth="1"/>
    <col min="105" max="105" width="8.28515625" style="90" customWidth="1"/>
    <col min="106" max="106" width="9" style="90" customWidth="1"/>
    <col min="107" max="107" width="10" style="90" customWidth="1"/>
    <col min="108" max="108" width="9.5703125" style="90" customWidth="1"/>
    <col min="109" max="109" width="9.28515625" style="90" customWidth="1"/>
    <col min="110" max="110" width="7.5703125" style="90" customWidth="1"/>
    <col min="111" max="118" width="10.42578125" style="90" customWidth="1"/>
    <col min="119" max="119" width="9.7109375" style="90" customWidth="1"/>
    <col min="120" max="120" width="8.85546875" style="90" customWidth="1"/>
    <col min="121" max="122" width="10.42578125" style="90" customWidth="1"/>
    <col min="123" max="123" width="7.28515625" style="90" bestFit="1" customWidth="1"/>
    <col min="124" max="124" width="6.28515625" style="90" customWidth="1"/>
    <col min="125" max="126" width="9.28515625" style="90" bestFit="1" customWidth="1"/>
    <col min="127" max="127" width="5.140625" style="215" customWidth="1"/>
    <col min="128" max="130" width="9.28515625" style="90" bestFit="1" customWidth="1"/>
    <col min="131" max="131" width="5.7109375" style="90" customWidth="1"/>
    <col min="132" max="132" width="6.140625" style="90" customWidth="1"/>
    <col min="133" max="134" width="9.28515625" style="90" bestFit="1" customWidth="1"/>
    <col min="135" max="135" width="7.28515625" style="215" customWidth="1"/>
    <col min="136" max="136" width="9" style="90" bestFit="1" customWidth="1"/>
    <col min="137" max="137" width="7.5703125" style="90" customWidth="1"/>
    <col min="138" max="138" width="8" style="90" customWidth="1"/>
    <col min="139" max="142" width="7.5703125" style="90" customWidth="1"/>
    <col min="143" max="143" width="6" style="218" customWidth="1"/>
    <col min="144" max="144" width="4.42578125" style="215" customWidth="1"/>
    <col min="145" max="146" width="9.28515625" style="90" customWidth="1"/>
    <col min="147" max="147" width="7.28515625" style="218" customWidth="1"/>
    <col min="148" max="151" width="7.42578125" style="218" customWidth="1"/>
    <col min="152" max="152" width="7.140625" style="215" customWidth="1"/>
    <col min="153" max="153" width="7.7109375" style="215" customWidth="1"/>
    <col min="154" max="154" width="8" style="215" customWidth="1"/>
    <col min="155" max="155" width="4" style="215" customWidth="1"/>
    <col min="156" max="156" width="7" style="215" customWidth="1"/>
    <col min="157" max="157" width="7.28515625" style="215" customWidth="1"/>
    <col min="158" max="158" width="7.5703125" style="215" customWidth="1"/>
    <col min="159" max="159" width="3.85546875" style="215" customWidth="1"/>
    <col min="160" max="160" width="4.7109375" style="215" customWidth="1"/>
    <col min="161" max="161" width="6.7109375" style="215" customWidth="1"/>
    <col min="162" max="162" width="12.85546875" style="218" customWidth="1"/>
    <col min="163" max="163" width="9.42578125" style="90" customWidth="1"/>
    <col min="164" max="164" width="12.28515625" style="90" customWidth="1"/>
    <col min="165" max="165" width="4.7109375" style="215" customWidth="1"/>
    <col min="166" max="167" width="5.140625" style="215" customWidth="1"/>
    <col min="168" max="168" width="4.5703125" style="215" customWidth="1"/>
    <col min="169" max="169" width="5.85546875" style="215" customWidth="1"/>
    <col min="170" max="170" width="12" style="90" customWidth="1"/>
    <col min="171" max="171" width="5.42578125" style="90" customWidth="1"/>
    <col min="172" max="172" width="14.7109375" style="90" customWidth="1"/>
    <col min="173" max="173" width="5.5703125" style="90" customWidth="1"/>
    <col min="174" max="174" width="5.5703125" style="215" customWidth="1"/>
    <col min="175" max="175" width="10.42578125" style="90" customWidth="1"/>
    <col min="176" max="176" width="10.28515625" style="90" customWidth="1"/>
    <col min="177" max="177" width="10.85546875" style="90" bestFit="1" customWidth="1"/>
    <col min="178" max="178" width="6.28515625" style="215" customWidth="1"/>
    <col min="179" max="179" width="11.140625" style="215" customWidth="1"/>
    <col min="180" max="180" width="10.7109375" style="250" customWidth="1"/>
    <col min="181" max="181" width="10.140625" style="218" customWidth="1"/>
    <col min="182" max="182" width="10.5703125" style="215" customWidth="1"/>
    <col min="183" max="183" width="9.7109375" style="250" customWidth="1"/>
    <col min="184" max="184" width="9.28515625" style="218" customWidth="1"/>
    <col min="185" max="185" width="4.42578125" style="90" customWidth="1"/>
    <col min="186" max="186" width="14.42578125" style="90" customWidth="1"/>
    <col min="187" max="187" width="4.42578125" style="215" customWidth="1"/>
    <col min="188" max="188" width="12.5703125" style="215" customWidth="1"/>
    <col min="189" max="189" width="6.42578125" style="215" customWidth="1"/>
    <col min="190" max="190" width="5.42578125" style="90" customWidth="1"/>
    <col min="191" max="191" width="9.5703125" style="90" customWidth="1"/>
    <col min="192" max="192" width="5" style="90" customWidth="1"/>
    <col min="193" max="193" width="12" style="90" customWidth="1"/>
    <col min="194" max="194" width="4.140625" style="90" customWidth="1"/>
    <col min="195" max="195" width="13.5703125" style="90" customWidth="1"/>
    <col min="196" max="196" width="4.85546875" style="90" customWidth="1"/>
    <col min="197" max="197" width="9.5703125" style="90" customWidth="1"/>
    <col min="198" max="198" width="5.42578125" style="90" customWidth="1"/>
    <col min="199" max="199" width="5.85546875" style="90" customWidth="1"/>
    <col min="200" max="200" width="9.5703125" style="90" customWidth="1"/>
    <col min="201" max="201" width="5.28515625" style="90" customWidth="1"/>
    <col min="202" max="202" width="7.7109375" style="90" customWidth="1"/>
    <col min="203" max="203" width="29.5703125" style="90" customWidth="1"/>
    <col min="204" max="204" width="6.140625" style="90" customWidth="1"/>
    <col min="205" max="205" width="4.85546875" style="90" customWidth="1"/>
    <col min="206" max="206" width="9.28515625" style="90" bestFit="1" customWidth="1"/>
    <col min="207" max="207" width="15.140625" style="90" customWidth="1"/>
    <col min="208" max="215" width="9.28515625" style="90" customWidth="1"/>
    <col min="216" max="216" width="11" style="90" customWidth="1"/>
    <col min="217" max="217" width="4.140625" style="90" customWidth="1"/>
    <col min="218" max="218" width="14.5703125" style="90" customWidth="1"/>
    <col min="219" max="219" width="12.28515625" style="90" customWidth="1"/>
    <col min="220" max="220" width="9.28515625" style="90" bestFit="1" customWidth="1"/>
    <col min="221" max="223" width="4.7109375" style="90" customWidth="1"/>
    <col min="224" max="225" width="9.28515625" style="90" customWidth="1"/>
    <col min="226" max="226" width="7.5703125" style="90" customWidth="1"/>
    <col min="227" max="231" width="9.28515625" style="90" customWidth="1"/>
    <col min="232" max="232" width="4.7109375" style="90" customWidth="1"/>
    <col min="233" max="237" width="4.85546875" style="90" customWidth="1"/>
    <col min="238" max="238" width="4.7109375" style="90" customWidth="1"/>
    <col min="239" max="239" width="4.85546875" style="90" customWidth="1"/>
    <col min="240" max="240" width="3.85546875" style="90" customWidth="1"/>
    <col min="241" max="241" width="4" style="90" customWidth="1"/>
    <col min="242" max="242" width="4.28515625" style="90" customWidth="1"/>
    <col min="243" max="243" width="4.140625" style="90" customWidth="1"/>
    <col min="244" max="251" width="4.7109375" style="90" customWidth="1"/>
    <col min="252" max="252" width="4.28515625" style="90" customWidth="1"/>
    <col min="253" max="255" width="4.7109375" style="90" customWidth="1"/>
    <col min="256" max="256" width="6.5703125" style="248" customWidth="1"/>
    <col min="257" max="257" width="6.42578125" style="248" customWidth="1"/>
    <col min="258" max="258" width="6.5703125" style="248" customWidth="1"/>
    <col min="259" max="259" width="7" style="248" customWidth="1"/>
    <col min="260" max="260" width="6.28515625" style="90" customWidth="1"/>
    <col min="261" max="261" width="7.140625" style="90" customWidth="1"/>
    <col min="262" max="262" width="6.28515625" style="215" customWidth="1"/>
    <col min="263" max="263" width="8.7109375" style="90" customWidth="1"/>
    <col min="264" max="264" width="11.28515625" style="90" customWidth="1"/>
    <col min="265" max="265" width="10.28515625" style="90" customWidth="1"/>
    <col min="266" max="266" width="6.28515625" style="215" customWidth="1"/>
    <col min="267" max="267" width="5.5703125" style="90" customWidth="1"/>
    <col min="268" max="268" width="5.140625" style="90" customWidth="1"/>
    <col min="269" max="272" width="5.85546875" style="215" customWidth="1"/>
    <col min="273" max="273" width="9.28515625" style="90" bestFit="1" customWidth="1"/>
    <col min="274" max="275" width="9.7109375" style="90" customWidth="1"/>
    <col min="276" max="282" width="9.28515625" style="90" bestFit="1" customWidth="1"/>
    <col min="283" max="287" width="6.42578125" style="90" customWidth="1"/>
    <col min="288" max="290" width="7" style="90" customWidth="1"/>
    <col min="291" max="291" width="6.28515625" style="90" customWidth="1"/>
    <col min="292" max="297" width="7" style="90" customWidth="1"/>
    <col min="298" max="299" width="9.28515625" style="90" customWidth="1"/>
    <col min="300" max="303" width="9.28515625" style="90" bestFit="1" customWidth="1"/>
    <col min="304" max="304" width="9.28515625" style="90" customWidth="1"/>
    <col min="305" max="305" width="8.28515625" style="90" customWidth="1"/>
    <col min="306" max="306" width="9.28515625" style="90" customWidth="1"/>
    <col min="307" max="309" width="7.140625" style="90" customWidth="1"/>
    <col min="310" max="311" width="9.28515625" style="90" bestFit="1" customWidth="1"/>
    <col min="312" max="313" width="7.28515625" style="90" customWidth="1"/>
    <col min="314" max="314" width="6.7109375" style="90" customWidth="1"/>
    <col min="315" max="316" width="10.5703125" style="215" customWidth="1"/>
    <col min="317" max="317" width="10.140625" style="215" customWidth="1"/>
    <col min="318" max="318" width="10.5703125" style="90" customWidth="1"/>
    <col min="319" max="321" width="9.85546875" style="215" customWidth="1"/>
    <col min="322" max="322" width="10.5703125" style="90" customWidth="1"/>
    <col min="323" max="324" width="7" style="90" customWidth="1"/>
    <col min="325" max="325" width="9.85546875" style="215" customWidth="1"/>
    <col min="326" max="327" width="6.5703125" style="215" customWidth="1"/>
    <col min="328" max="334" width="9.85546875" style="215" customWidth="1"/>
    <col min="335" max="337" width="6.5703125" style="215" customWidth="1"/>
    <col min="338" max="338" width="6.7109375" style="215" customWidth="1"/>
    <col min="339" max="348" width="9.28515625" style="90" bestFit="1" customWidth="1"/>
    <col min="349" max="358" width="9.85546875" style="215" customWidth="1"/>
    <col min="359" max="364" width="9.28515625" style="90" bestFit="1" customWidth="1"/>
    <col min="365" max="366" width="7" style="90" customWidth="1"/>
    <col min="367" max="368" width="9.28515625" style="90" bestFit="1" customWidth="1"/>
    <col min="369" max="379" width="7.28515625" style="90" customWidth="1"/>
    <col min="380" max="380" width="9.140625" style="90"/>
    <col min="381" max="381" width="9.28515625" style="107" bestFit="1" customWidth="1"/>
    <col min="382" max="382" width="9.42578125" style="107" customWidth="1"/>
    <col min="383" max="387" width="7.5703125" style="107" customWidth="1"/>
    <col min="388" max="388" width="9" style="107" customWidth="1"/>
    <col min="389" max="390" width="8.85546875" style="107" customWidth="1"/>
    <col min="391" max="393" width="9.42578125" style="107" customWidth="1"/>
    <col min="394" max="394" width="9.28515625" style="107" bestFit="1" customWidth="1"/>
    <col min="395" max="395" width="9.42578125" style="107" customWidth="1"/>
    <col min="396" max="396" width="7.5703125" style="107" customWidth="1"/>
    <col min="397" max="398" width="9" style="107" customWidth="1"/>
    <col min="399" max="400" width="9.42578125" style="107" customWidth="1"/>
    <col min="401" max="401" width="7.5703125" style="107" customWidth="1"/>
    <col min="402" max="402" width="9" style="107" customWidth="1"/>
    <col min="403" max="406" width="8.140625" style="107" customWidth="1"/>
    <col min="407" max="407" width="7.5703125" style="107" customWidth="1"/>
    <col min="408" max="408" width="8.140625" style="107" customWidth="1"/>
    <col min="409" max="410" width="7.140625" style="107" customWidth="1"/>
    <col min="411" max="418" width="9.5703125" style="107" customWidth="1"/>
    <col min="419" max="421" width="9.28515625" style="107" bestFit="1" customWidth="1"/>
    <col min="422" max="423" width="9.5703125" style="107" customWidth="1"/>
    <col min="424" max="424" width="9.140625" style="107" customWidth="1"/>
    <col min="425" max="425" width="9.28515625" style="107" bestFit="1" customWidth="1"/>
    <col min="426" max="426" width="9.42578125" style="107" customWidth="1"/>
    <col min="427" max="430" width="9.5703125" style="107" customWidth="1"/>
    <col min="431" max="432" width="9.28515625" style="107" bestFit="1" customWidth="1"/>
    <col min="433" max="435" width="9.42578125" style="107" customWidth="1"/>
    <col min="436" max="439" width="9.28515625" style="107" bestFit="1" customWidth="1"/>
    <col min="440" max="446" width="9.28515625" style="107" customWidth="1"/>
    <col min="447" max="447" width="3.5703125" style="90" customWidth="1"/>
    <col min="448" max="448" width="5" style="90" customWidth="1"/>
    <col min="449" max="449" width="7.5703125" style="90" customWidth="1"/>
    <col min="450" max="451" width="7.42578125" style="218" customWidth="1"/>
    <col min="452" max="452" width="4.7109375" style="215" customWidth="1"/>
    <col min="453" max="453" width="4.28515625" style="215" customWidth="1"/>
    <col min="454" max="454" width="7.5703125" style="215" customWidth="1"/>
    <col min="455" max="455" width="3.5703125" style="107" customWidth="1"/>
    <col min="456" max="456" width="4.28515625" style="107" customWidth="1"/>
    <col min="457" max="457" width="3.42578125" style="107" customWidth="1"/>
    <col min="458" max="458" width="3.85546875" style="107" customWidth="1"/>
    <col min="459" max="459" width="10.5703125" style="107" customWidth="1"/>
    <col min="460" max="460" width="6.7109375" style="215" customWidth="1"/>
    <col min="461" max="461" width="4.85546875" style="107" customWidth="1"/>
    <col min="462" max="462" width="5.140625" style="107" customWidth="1"/>
    <col min="463" max="463" width="5.140625" style="215" customWidth="1"/>
    <col min="464" max="464" width="5.140625" style="90" customWidth="1"/>
    <col min="465" max="465" width="7.42578125" style="218" customWidth="1"/>
    <col min="466" max="468" width="4.42578125" style="215" customWidth="1"/>
    <col min="469" max="469" width="5.140625" style="107" customWidth="1"/>
    <col min="470" max="471" width="6" style="215" customWidth="1"/>
    <col min="472" max="472" width="5.140625" style="215" customWidth="1"/>
    <col min="473" max="473" width="5.85546875" style="215" customWidth="1"/>
    <col min="474" max="474" width="5.42578125" style="215" customWidth="1"/>
    <col min="475" max="475" width="7.85546875" style="218" customWidth="1"/>
    <col min="476" max="476" width="8.28515625" style="216" customWidth="1"/>
    <col min="477" max="477" width="8" style="218" customWidth="1"/>
    <col min="478" max="478" width="5.42578125" style="215" customWidth="1"/>
    <col min="479" max="479" width="25.28515625" style="215" bestFit="1" customWidth="1"/>
    <col min="480" max="480" width="5.5703125" style="90" customWidth="1"/>
    <col min="481" max="481" width="4.7109375" style="215" customWidth="1"/>
    <col min="482" max="482" width="6.7109375" style="289" customWidth="1"/>
    <col min="483" max="483" width="6.42578125" style="289" customWidth="1"/>
    <col min="484" max="485" width="5.85546875" style="289" customWidth="1"/>
    <col min="486" max="486" width="7.140625" style="289" customWidth="1"/>
    <col min="487" max="487" width="4.5703125" style="215" customWidth="1"/>
    <col min="488" max="488" width="4.42578125" style="215" customWidth="1"/>
    <col min="489" max="489" width="5.140625" style="107" customWidth="1"/>
    <col min="490" max="490" width="6" style="215" customWidth="1"/>
    <col min="491" max="491" width="5.140625" style="215" customWidth="1"/>
    <col min="492" max="492" width="4.7109375" style="215" customWidth="1"/>
    <col min="493" max="493" width="6.85546875" style="289" customWidth="1"/>
    <col min="494" max="495" width="5.140625" style="215" customWidth="1"/>
    <col min="496" max="496" width="5.42578125" style="215" customWidth="1"/>
    <col min="497" max="497" width="4.42578125" style="215" customWidth="1"/>
    <col min="498" max="498" width="5.140625" style="107" customWidth="1"/>
    <col min="499" max="500" width="6" style="215" customWidth="1"/>
    <col min="501" max="501" width="4.7109375" style="215" customWidth="1"/>
    <col min="502" max="502" width="6" style="215" customWidth="1"/>
    <col min="503" max="503" width="4.7109375" style="215" customWidth="1"/>
    <col min="504" max="504" width="4.85546875" style="90" customWidth="1"/>
    <col min="505" max="505" width="6.85546875" style="90" customWidth="1"/>
    <col min="506" max="539" width="4.5703125" style="90" customWidth="1"/>
    <col min="540" max="540" width="3.85546875" style="90" customWidth="1"/>
    <col min="541" max="541" width="4.5703125" style="90" customWidth="1"/>
    <col min="542" max="543" width="5.42578125" style="90" customWidth="1"/>
    <col min="544" max="544" width="5.140625" style="90" customWidth="1"/>
    <col min="545" max="546" width="6.7109375" style="90" customWidth="1"/>
    <col min="547" max="548" width="6.28515625" style="215" customWidth="1"/>
    <col min="549" max="549" width="14.5703125" style="107" customWidth="1"/>
    <col min="550" max="550" width="15.140625" style="107" customWidth="1"/>
    <col min="551" max="551" width="10.42578125" style="90" customWidth="1"/>
    <col min="552" max="552" width="6.7109375" style="90" customWidth="1"/>
    <col min="553" max="553" width="6.28515625" style="90" customWidth="1"/>
    <col min="554" max="554" width="6.140625" style="90" customWidth="1"/>
    <col min="555" max="556" width="10" style="215" customWidth="1"/>
    <col min="557" max="557" width="6.28515625" style="90" customWidth="1"/>
    <col min="558" max="558" width="12.85546875" style="107" customWidth="1"/>
    <col min="559" max="563" width="9.42578125" style="107" customWidth="1"/>
    <col min="564" max="564" width="6.140625" style="90" customWidth="1"/>
    <col min="565" max="569" width="7.140625" style="90" customWidth="1"/>
    <col min="570" max="570" width="4.28515625" style="215" customWidth="1"/>
    <col min="571" max="572" width="6.28515625" style="215" customWidth="1"/>
    <col min="573" max="573" width="5.28515625" style="215" customWidth="1"/>
    <col min="574" max="574" width="6.140625" style="215" customWidth="1"/>
    <col min="575" max="575" width="5.5703125" style="215" customWidth="1"/>
    <col min="576" max="576" width="5.42578125" style="215" customWidth="1"/>
    <col min="577" max="577" width="4.28515625" style="215" customWidth="1"/>
    <col min="578" max="578" width="4.5703125" style="90" customWidth="1"/>
    <col min="579" max="579" width="5" style="215" customWidth="1"/>
    <col min="580" max="580" width="4.28515625" style="215" customWidth="1"/>
    <col min="581" max="581" width="5.42578125" style="215" customWidth="1"/>
    <col min="582" max="582" width="5.85546875" style="215" customWidth="1"/>
    <col min="583" max="583" width="7.85546875" style="215" customWidth="1"/>
    <col min="584" max="584" width="4.28515625" style="215" customWidth="1"/>
    <col min="585" max="587" width="5.140625" style="249" customWidth="1"/>
    <col min="588" max="588" width="3.85546875" style="90" customWidth="1"/>
    <col min="589" max="589" width="4.5703125" style="90" customWidth="1"/>
    <col min="590" max="590" width="4.5703125" style="215" customWidth="1"/>
    <col min="591" max="591" width="4.140625" style="90" customWidth="1"/>
    <col min="592" max="593" width="4.42578125" style="90" customWidth="1"/>
    <col min="594" max="604" width="5.140625" style="215" customWidth="1"/>
    <col min="605" max="610" width="4.28515625" style="215" customWidth="1"/>
    <col min="611" max="611" width="4.5703125" style="215" customWidth="1"/>
    <col min="612" max="614" width="4.28515625" style="215" customWidth="1"/>
    <col min="615" max="615" width="9.85546875" style="215" customWidth="1"/>
    <col min="616" max="616" width="12.28515625" style="90" customWidth="1"/>
    <col min="617" max="617" width="6.42578125" style="90" customWidth="1"/>
    <col min="618" max="620" width="8.5703125" style="90" customWidth="1"/>
    <col min="621" max="621" width="14.5703125" style="90" customWidth="1"/>
    <col min="622" max="622" width="7.85546875" style="90" customWidth="1"/>
    <col min="623" max="630" width="4.5703125" style="90" customWidth="1"/>
    <col min="631" max="631" width="34.85546875" style="219" customWidth="1"/>
    <col min="632" max="632" width="31.140625" style="90" customWidth="1"/>
    <col min="633" max="633" width="29.140625" style="90" customWidth="1"/>
    <col min="634" max="634" width="20.140625" style="90" bestFit="1" customWidth="1"/>
    <col min="635" max="636" width="8.85546875" style="90" customWidth="1"/>
    <col min="637" max="641" width="8.28515625" style="90" customWidth="1"/>
    <col min="642" max="16384" width="9.140625" style="90"/>
  </cols>
  <sheetData>
    <row r="1" spans="1:641" s="246" customFormat="1" x14ac:dyDescent="0.2">
      <c r="A1" s="220" t="s">
        <v>238</v>
      </c>
      <c r="B1" s="205" t="s">
        <v>6</v>
      </c>
      <c r="C1" s="205" t="s">
        <v>303</v>
      </c>
      <c r="D1" s="205" t="s">
        <v>313</v>
      </c>
      <c r="E1" s="316" t="s">
        <v>294</v>
      </c>
      <c r="F1" s="212" t="s">
        <v>178</v>
      </c>
      <c r="G1" s="212" t="s">
        <v>592</v>
      </c>
      <c r="H1" s="222" t="s">
        <v>591</v>
      </c>
      <c r="I1" s="212" t="s">
        <v>11</v>
      </c>
      <c r="J1" s="212" t="s">
        <v>12</v>
      </c>
      <c r="K1" s="211" t="s">
        <v>1868</v>
      </c>
      <c r="L1" s="211" t="s">
        <v>1869</v>
      </c>
      <c r="M1" s="224" t="s">
        <v>1845</v>
      </c>
      <c r="N1" s="224" t="s">
        <v>1847</v>
      </c>
      <c r="O1" s="224" t="s">
        <v>1846</v>
      </c>
      <c r="P1" s="224" t="s">
        <v>3337</v>
      </c>
      <c r="Q1" s="224" t="s">
        <v>1562</v>
      </c>
      <c r="R1" s="224" t="s">
        <v>1561</v>
      </c>
      <c r="S1" s="205" t="s">
        <v>1563</v>
      </c>
      <c r="T1" s="205" t="s">
        <v>1656</v>
      </c>
      <c r="U1" s="205" t="s">
        <v>1570</v>
      </c>
      <c r="V1" s="205" t="s">
        <v>1571</v>
      </c>
      <c r="W1" s="205" t="s">
        <v>1588</v>
      </c>
      <c r="X1" s="205" t="s">
        <v>1691</v>
      </c>
      <c r="Y1" s="205" t="s">
        <v>1795</v>
      </c>
      <c r="Z1" s="205" t="s">
        <v>1565</v>
      </c>
      <c r="AA1" s="205" t="s">
        <v>192</v>
      </c>
      <c r="AB1" s="205" t="s">
        <v>1273</v>
      </c>
      <c r="AC1" s="205" t="s">
        <v>1274</v>
      </c>
      <c r="AD1" s="223" t="s">
        <v>300</v>
      </c>
      <c r="AE1" s="205" t="s">
        <v>182</v>
      </c>
      <c r="AF1" s="205" t="s">
        <v>183</v>
      </c>
      <c r="AG1" s="205" t="s">
        <v>1074</v>
      </c>
      <c r="AH1" s="205" t="s">
        <v>1073</v>
      </c>
      <c r="AI1" s="205" t="s">
        <v>1072</v>
      </c>
      <c r="AJ1" s="211" t="s">
        <v>899</v>
      </c>
      <c r="AK1" s="205" t="s">
        <v>1793</v>
      </c>
      <c r="AL1" s="211" t="s">
        <v>914</v>
      </c>
      <c r="AM1" s="202" t="s">
        <v>1015</v>
      </c>
      <c r="AN1" s="202" t="s">
        <v>1794</v>
      </c>
      <c r="AO1" s="205" t="s">
        <v>946</v>
      </c>
      <c r="AP1" s="205" t="s">
        <v>1278</v>
      </c>
      <c r="AQ1" s="202" t="s">
        <v>1279</v>
      </c>
      <c r="AR1" s="205" t="s">
        <v>1280</v>
      </c>
      <c r="AS1" s="211" t="s">
        <v>997</v>
      </c>
      <c r="AT1" s="211" t="s">
        <v>1328</v>
      </c>
      <c r="AU1" s="225" t="s">
        <v>1329</v>
      </c>
      <c r="AV1" s="202" t="s">
        <v>1330</v>
      </c>
      <c r="AW1" s="202" t="s">
        <v>1301</v>
      </c>
      <c r="AX1" s="202" t="s">
        <v>1332</v>
      </c>
      <c r="AY1" s="202" t="s">
        <v>999</v>
      </c>
      <c r="AZ1" s="202" t="s">
        <v>1000</v>
      </c>
      <c r="BA1" s="205" t="s">
        <v>860</v>
      </c>
      <c r="BB1" s="205" t="s">
        <v>1011</v>
      </c>
      <c r="BC1" s="205" t="s">
        <v>1007</v>
      </c>
      <c r="BD1" s="211" t="s">
        <v>861</v>
      </c>
      <c r="BE1" s="205" t="s">
        <v>1012</v>
      </c>
      <c r="BF1" s="205" t="s">
        <v>1008</v>
      </c>
      <c r="BG1" s="205" t="s">
        <v>897</v>
      </c>
      <c r="BH1" s="211" t="s">
        <v>584</v>
      </c>
      <c r="BI1" s="205" t="s">
        <v>1003</v>
      </c>
      <c r="BJ1" s="205" t="s">
        <v>887</v>
      </c>
      <c r="BK1" s="202" t="s">
        <v>1005</v>
      </c>
      <c r="BL1" s="211" t="s">
        <v>583</v>
      </c>
      <c r="BM1" s="205" t="s">
        <v>1004</v>
      </c>
      <c r="BN1" s="205" t="s">
        <v>888</v>
      </c>
      <c r="BO1" s="205" t="s">
        <v>1006</v>
      </c>
      <c r="BP1" s="227" t="s">
        <v>1261</v>
      </c>
      <c r="BQ1" s="205" t="s">
        <v>859</v>
      </c>
      <c r="BR1" s="227" t="s">
        <v>1275</v>
      </c>
      <c r="BS1" s="205" t="s">
        <v>1276</v>
      </c>
      <c r="BT1" s="227" t="s">
        <v>1262</v>
      </c>
      <c r="BU1" s="205" t="s">
        <v>858</v>
      </c>
      <c r="BV1" s="205" t="s">
        <v>856</v>
      </c>
      <c r="BW1" s="205" t="s">
        <v>857</v>
      </c>
      <c r="BX1" s="205" t="s">
        <v>186</v>
      </c>
      <c r="BY1" s="205" t="s">
        <v>948</v>
      </c>
      <c r="BZ1" s="205" t="s">
        <v>967</v>
      </c>
      <c r="CA1" s="212" t="s">
        <v>1294</v>
      </c>
      <c r="CB1" s="406" t="s">
        <v>3385</v>
      </c>
      <c r="CC1" s="205" t="s">
        <v>1838</v>
      </c>
      <c r="CD1" s="205" t="s">
        <v>1837</v>
      </c>
      <c r="CE1" s="205" t="s">
        <v>593</v>
      </c>
      <c r="CF1" s="205" t="s">
        <v>1976</v>
      </c>
      <c r="CG1" s="205" t="s">
        <v>934</v>
      </c>
      <c r="CH1" s="205" t="s">
        <v>935</v>
      </c>
      <c r="CI1" s="205" t="s">
        <v>923</v>
      </c>
      <c r="CJ1" s="205" t="s">
        <v>927</v>
      </c>
      <c r="CK1" s="205" t="s">
        <v>924</v>
      </c>
      <c r="CL1" s="205" t="s">
        <v>925</v>
      </c>
      <c r="CM1" s="205" t="s">
        <v>2007</v>
      </c>
      <c r="CN1" s="234" t="s">
        <v>1980</v>
      </c>
      <c r="CO1" s="234" t="s">
        <v>1981</v>
      </c>
      <c r="CP1" s="234" t="s">
        <v>1982</v>
      </c>
      <c r="CQ1" s="234" t="s">
        <v>1983</v>
      </c>
      <c r="CR1" s="234" t="s">
        <v>1984</v>
      </c>
      <c r="CS1" s="234" t="s">
        <v>1985</v>
      </c>
      <c r="CT1" s="234" t="s">
        <v>1986</v>
      </c>
      <c r="CU1" s="234" t="s">
        <v>2001</v>
      </c>
      <c r="CV1" s="234" t="s">
        <v>2000</v>
      </c>
      <c r="CW1" s="234" t="s">
        <v>2026</v>
      </c>
      <c r="CX1" s="234" t="s">
        <v>1780</v>
      </c>
      <c r="CY1" s="301" t="s">
        <v>1850</v>
      </c>
      <c r="CZ1" s="301" t="s">
        <v>1851</v>
      </c>
      <c r="DA1" s="301" t="s">
        <v>1852</v>
      </c>
      <c r="DB1" s="301" t="s">
        <v>1853</v>
      </c>
      <c r="DC1" s="301" t="s">
        <v>1854</v>
      </c>
      <c r="DD1" s="301" t="s">
        <v>1855</v>
      </c>
      <c r="DE1" s="301" t="s">
        <v>1856</v>
      </c>
      <c r="DF1" s="301" t="s">
        <v>1857</v>
      </c>
      <c r="DG1" s="316" t="s">
        <v>1861</v>
      </c>
      <c r="DH1" s="316" t="s">
        <v>1862</v>
      </c>
      <c r="DI1" s="316" t="s">
        <v>1863</v>
      </c>
      <c r="DJ1" s="316" t="s">
        <v>1858</v>
      </c>
      <c r="DK1" s="316" t="s">
        <v>1859</v>
      </c>
      <c r="DL1" s="316" t="s">
        <v>1860</v>
      </c>
      <c r="DM1" s="308" t="s">
        <v>178</v>
      </c>
      <c r="DN1" s="308" t="s">
        <v>179</v>
      </c>
      <c r="DO1" s="308" t="s">
        <v>164</v>
      </c>
      <c r="DP1" s="308" t="s">
        <v>10</v>
      </c>
      <c r="DQ1" s="308" t="s">
        <v>11</v>
      </c>
      <c r="DR1" s="308" t="s">
        <v>12</v>
      </c>
      <c r="DS1" s="308" t="s">
        <v>181</v>
      </c>
      <c r="DT1" s="308" t="s">
        <v>196</v>
      </c>
      <c r="DU1" s="208" t="s">
        <v>3194</v>
      </c>
      <c r="DV1" s="208" t="s">
        <v>3191</v>
      </c>
      <c r="DW1" s="208" t="s">
        <v>1693</v>
      </c>
      <c r="DX1" s="204" t="s">
        <v>202</v>
      </c>
      <c r="DY1" s="204" t="s">
        <v>203</v>
      </c>
      <c r="DZ1" s="204" t="s">
        <v>1697</v>
      </c>
      <c r="EA1" s="204" t="s">
        <v>849</v>
      </c>
      <c r="EB1" s="204" t="s">
        <v>850</v>
      </c>
      <c r="EC1" s="244" t="s">
        <v>202</v>
      </c>
      <c r="ED1" s="244" t="s">
        <v>203</v>
      </c>
      <c r="EE1" s="244" t="s">
        <v>895</v>
      </c>
      <c r="EF1" s="221" t="s">
        <v>296</v>
      </c>
      <c r="EG1" s="221" t="s">
        <v>10</v>
      </c>
      <c r="EH1" s="221" t="s">
        <v>11</v>
      </c>
      <c r="EI1" s="221" t="s">
        <v>12</v>
      </c>
      <c r="EJ1" s="222" t="s">
        <v>10</v>
      </c>
      <c r="EK1" s="222" t="s">
        <v>11</v>
      </c>
      <c r="EL1" s="222" t="s">
        <v>12</v>
      </c>
      <c r="EM1" s="415" t="s">
        <v>3176</v>
      </c>
      <c r="EN1" s="406" t="s">
        <v>3187</v>
      </c>
      <c r="EO1" s="244" t="s">
        <v>1630</v>
      </c>
      <c r="EP1" s="244" t="s">
        <v>3179</v>
      </c>
      <c r="EQ1" s="253" t="s">
        <v>1696</v>
      </c>
      <c r="ER1" s="253" t="s">
        <v>3183</v>
      </c>
      <c r="ES1" s="253" t="s">
        <v>3180</v>
      </c>
      <c r="ET1" s="253" t="s">
        <v>3181</v>
      </c>
      <c r="EU1" s="253" t="s">
        <v>3182</v>
      </c>
      <c r="EV1" s="411" t="s">
        <v>3389</v>
      </c>
      <c r="EW1" s="412" t="s">
        <v>3386</v>
      </c>
      <c r="EX1" s="412" t="s">
        <v>3274</v>
      </c>
      <c r="EY1" s="412" t="s">
        <v>3390</v>
      </c>
      <c r="EZ1" s="411" t="s">
        <v>3388</v>
      </c>
      <c r="FA1" s="412" t="s">
        <v>3387</v>
      </c>
      <c r="FB1" s="412" t="s">
        <v>3273</v>
      </c>
      <c r="FC1" s="412" t="s">
        <v>3391</v>
      </c>
      <c r="FD1" s="207" t="s">
        <v>3411</v>
      </c>
      <c r="FE1" s="208" t="s">
        <v>3392</v>
      </c>
      <c r="FF1" s="211" t="s">
        <v>1099</v>
      </c>
      <c r="FG1" s="205" t="s">
        <v>1101</v>
      </c>
      <c r="FH1" s="205" t="s">
        <v>1102</v>
      </c>
      <c r="FI1" s="231" t="s">
        <v>1113</v>
      </c>
      <c r="FJ1" s="231" t="s">
        <v>1104</v>
      </c>
      <c r="FK1" s="231" t="s">
        <v>1105</v>
      </c>
      <c r="FL1" s="231" t="s">
        <v>1103</v>
      </c>
      <c r="FM1" s="231" t="s">
        <v>1100</v>
      </c>
      <c r="FN1" s="434" t="s">
        <v>2069</v>
      </c>
      <c r="FO1" s="434" t="s">
        <v>2067</v>
      </c>
      <c r="FP1" s="434" t="s">
        <v>2068</v>
      </c>
      <c r="FQ1" s="434" t="s">
        <v>3316</v>
      </c>
      <c r="FR1" s="434" t="s">
        <v>896</v>
      </c>
      <c r="FS1" s="301" t="s">
        <v>3382</v>
      </c>
      <c r="FT1" s="205" t="s">
        <v>2050</v>
      </c>
      <c r="FU1" s="221" t="s">
        <v>13</v>
      </c>
      <c r="FV1" s="228" t="s">
        <v>187</v>
      </c>
      <c r="FW1" s="228" t="s">
        <v>2060</v>
      </c>
      <c r="FX1" s="229" t="s">
        <v>2063</v>
      </c>
      <c r="FY1" s="230" t="s">
        <v>2064</v>
      </c>
      <c r="FZ1" s="228" t="s">
        <v>2061</v>
      </c>
      <c r="GA1" s="229" t="s">
        <v>2065</v>
      </c>
      <c r="GB1" s="230" t="s">
        <v>2066</v>
      </c>
      <c r="GC1" s="432" t="s">
        <v>3208</v>
      </c>
      <c r="GD1" s="432" t="s">
        <v>3209</v>
      </c>
      <c r="GE1" s="433" t="s">
        <v>2056</v>
      </c>
      <c r="GF1" s="433" t="s">
        <v>3280</v>
      </c>
      <c r="GG1" s="433" t="s">
        <v>3282</v>
      </c>
      <c r="GH1" s="231" t="s">
        <v>3214</v>
      </c>
      <c r="GI1" s="231" t="s">
        <v>3214</v>
      </c>
      <c r="GJ1" s="231" t="s">
        <v>3211</v>
      </c>
      <c r="GK1" s="231" t="s">
        <v>3211</v>
      </c>
      <c r="GL1" s="231" t="s">
        <v>3213</v>
      </c>
      <c r="GM1" s="231" t="s">
        <v>3213</v>
      </c>
      <c r="GN1" s="231" t="s">
        <v>789</v>
      </c>
      <c r="GO1" s="231" t="s">
        <v>789</v>
      </c>
      <c r="GP1" s="231" t="s">
        <v>3238</v>
      </c>
      <c r="GQ1" s="231" t="s">
        <v>3237</v>
      </c>
      <c r="GR1" s="231" t="s">
        <v>3239</v>
      </c>
      <c r="GS1" s="231" t="s">
        <v>3246</v>
      </c>
      <c r="GT1" s="231" t="s">
        <v>3262</v>
      </c>
      <c r="GU1" s="231" t="s">
        <v>3247</v>
      </c>
      <c r="GV1" s="231" t="s">
        <v>3260</v>
      </c>
      <c r="GW1" s="231" t="s">
        <v>3242</v>
      </c>
      <c r="GX1" s="205" t="s">
        <v>842</v>
      </c>
      <c r="GY1" s="205" t="s">
        <v>1055</v>
      </c>
      <c r="GZ1" s="205" t="s">
        <v>3320</v>
      </c>
      <c r="HA1" s="205" t="s">
        <v>3321</v>
      </c>
      <c r="HB1" s="205" t="s">
        <v>3322</v>
      </c>
      <c r="HC1" s="205" t="s">
        <v>3323</v>
      </c>
      <c r="HD1" s="205" t="s">
        <v>3324</v>
      </c>
      <c r="HE1" s="205" t="s">
        <v>3325</v>
      </c>
      <c r="HF1" s="205" t="s">
        <v>764</v>
      </c>
      <c r="HG1" s="205" t="s">
        <v>3326</v>
      </c>
      <c r="HH1" s="205" t="s">
        <v>83</v>
      </c>
      <c r="HI1" s="205" t="s">
        <v>3199</v>
      </c>
      <c r="HJ1" s="205" t="s">
        <v>764</v>
      </c>
      <c r="HK1" s="205" t="s">
        <v>3171</v>
      </c>
      <c r="HL1" s="205" t="s">
        <v>1054</v>
      </c>
      <c r="HM1" s="205" t="s">
        <v>3343</v>
      </c>
      <c r="HN1" s="205" t="s">
        <v>3344</v>
      </c>
      <c r="HO1" s="205" t="s">
        <v>2166</v>
      </c>
      <c r="HP1" s="205" t="s">
        <v>2175</v>
      </c>
      <c r="HQ1" s="205" t="s">
        <v>2174</v>
      </c>
      <c r="HR1" s="205" t="s">
        <v>3340</v>
      </c>
      <c r="HS1" s="205" t="s">
        <v>3341</v>
      </c>
      <c r="HT1" s="205" t="s">
        <v>3342</v>
      </c>
      <c r="HU1" s="205" t="s">
        <v>3345</v>
      </c>
      <c r="HV1" s="205" t="s">
        <v>789</v>
      </c>
      <c r="HW1" s="205" t="s">
        <v>2173</v>
      </c>
      <c r="HX1" s="429" t="s">
        <v>3355</v>
      </c>
      <c r="HY1" s="429" t="s">
        <v>3357</v>
      </c>
      <c r="HZ1" s="429" t="s">
        <v>3359</v>
      </c>
      <c r="IA1" s="429" t="s">
        <v>3361</v>
      </c>
      <c r="IB1" s="429" t="s">
        <v>3363</v>
      </c>
      <c r="IC1" s="429" t="s">
        <v>3365</v>
      </c>
      <c r="ID1" s="429" t="s">
        <v>3367</v>
      </c>
      <c r="IE1" s="429" t="s">
        <v>3369</v>
      </c>
      <c r="IF1" s="430" t="s">
        <v>3353</v>
      </c>
      <c r="IG1" s="231" t="s">
        <v>3379</v>
      </c>
      <c r="IH1" s="428" t="s">
        <v>3375</v>
      </c>
      <c r="II1" s="428" t="s">
        <v>3376</v>
      </c>
      <c r="IJ1" s="429" t="s">
        <v>3356</v>
      </c>
      <c r="IK1" s="429" t="s">
        <v>3358</v>
      </c>
      <c r="IL1" s="429" t="s">
        <v>3360</v>
      </c>
      <c r="IM1" s="429" t="s">
        <v>3362</v>
      </c>
      <c r="IN1" s="429" t="s">
        <v>3364</v>
      </c>
      <c r="IO1" s="429" t="s">
        <v>3366</v>
      </c>
      <c r="IP1" s="429" t="s">
        <v>3368</v>
      </c>
      <c r="IQ1" s="429" t="s">
        <v>3370</v>
      </c>
      <c r="IR1" s="430" t="s">
        <v>3354</v>
      </c>
      <c r="IS1" s="231" t="s">
        <v>3380</v>
      </c>
      <c r="IT1" s="428" t="s">
        <v>3377</v>
      </c>
      <c r="IU1" s="428" t="s">
        <v>3378</v>
      </c>
      <c r="IV1" s="226" t="s">
        <v>1248</v>
      </c>
      <c r="IW1" s="226" t="s">
        <v>1249</v>
      </c>
      <c r="IX1" s="226" t="s">
        <v>1250</v>
      </c>
      <c r="IY1" s="226" t="s">
        <v>1927</v>
      </c>
      <c r="IZ1" s="205" t="s">
        <v>308</v>
      </c>
      <c r="JA1" s="221" t="s">
        <v>28</v>
      </c>
      <c r="JB1" s="202" t="s">
        <v>1865</v>
      </c>
      <c r="JC1" s="316" t="s">
        <v>297</v>
      </c>
      <c r="JD1" s="316" t="s">
        <v>1866</v>
      </c>
      <c r="JE1" s="316" t="s">
        <v>1867</v>
      </c>
      <c r="JF1" s="232" t="s">
        <v>933</v>
      </c>
      <c r="JG1" s="233" t="s">
        <v>952</v>
      </c>
      <c r="JH1" s="233" t="s">
        <v>930</v>
      </c>
      <c r="JI1" s="233" t="s">
        <v>966</v>
      </c>
      <c r="JJ1" s="233" t="s">
        <v>1303</v>
      </c>
      <c r="JK1" s="233" t="s">
        <v>1331</v>
      </c>
      <c r="JL1" s="233" t="s">
        <v>1335</v>
      </c>
      <c r="JM1" s="233" t="s">
        <v>1253</v>
      </c>
      <c r="JN1" s="233" t="s">
        <v>908</v>
      </c>
      <c r="JO1" s="234" t="s">
        <v>1079</v>
      </c>
      <c r="JP1" s="233" t="s">
        <v>1254</v>
      </c>
      <c r="JQ1" s="233" t="s">
        <v>907</v>
      </c>
      <c r="JR1" s="234" t="s">
        <v>1080</v>
      </c>
      <c r="JS1" s="234" t="s">
        <v>963</v>
      </c>
      <c r="JT1" s="234" t="s">
        <v>1045</v>
      </c>
      <c r="JU1" s="234" t="s">
        <v>1297</v>
      </c>
      <c r="JV1" s="234" t="s">
        <v>1071</v>
      </c>
      <c r="JW1" s="233" t="s">
        <v>913</v>
      </c>
      <c r="JX1" s="233" t="s">
        <v>993</v>
      </c>
      <c r="JY1" s="233" t="s">
        <v>1956</v>
      </c>
      <c r="JZ1" s="233" t="s">
        <v>1733</v>
      </c>
      <c r="KA1" s="233" t="s">
        <v>995</v>
      </c>
      <c r="KB1" s="233" t="s">
        <v>962</v>
      </c>
      <c r="KC1" s="233" t="s">
        <v>1255</v>
      </c>
      <c r="KD1" s="234" t="s">
        <v>970</v>
      </c>
      <c r="KE1" s="235" t="s">
        <v>1630</v>
      </c>
      <c r="KF1" s="235" t="s">
        <v>3179</v>
      </c>
      <c r="KG1" s="234" t="s">
        <v>1732</v>
      </c>
      <c r="KH1" s="235" t="s">
        <v>1764</v>
      </c>
      <c r="KI1" s="207" t="s">
        <v>3184</v>
      </c>
      <c r="KJ1" s="207" t="s">
        <v>3185</v>
      </c>
      <c r="KK1" s="207" t="s">
        <v>3186</v>
      </c>
      <c r="KL1" s="233" t="s">
        <v>1961</v>
      </c>
      <c r="KM1" s="233" t="s">
        <v>1960</v>
      </c>
      <c r="KN1" s="233" t="s">
        <v>1780</v>
      </c>
      <c r="KO1" s="236" t="s">
        <v>1782</v>
      </c>
      <c r="KP1" s="233" t="s">
        <v>2026</v>
      </c>
      <c r="KQ1" s="236" t="s">
        <v>2027</v>
      </c>
      <c r="KR1" s="233" t="s">
        <v>896</v>
      </c>
      <c r="KS1" s="236" t="s">
        <v>1974</v>
      </c>
      <c r="KT1" s="233" t="s">
        <v>1783</v>
      </c>
      <c r="KU1" s="233" t="s">
        <v>921</v>
      </c>
      <c r="KV1" s="233" t="s">
        <v>1047</v>
      </c>
      <c r="KW1" s="236" t="s">
        <v>922</v>
      </c>
      <c r="KX1" s="233" t="s">
        <v>905</v>
      </c>
      <c r="KY1" s="233" t="s">
        <v>1019</v>
      </c>
      <c r="KZ1" s="233" t="s">
        <v>906</v>
      </c>
      <c r="LA1" s="233" t="s">
        <v>1021</v>
      </c>
      <c r="LB1" s="234" t="s">
        <v>1022</v>
      </c>
      <c r="LC1" s="233" t="s">
        <v>1263</v>
      </c>
      <c r="LD1" s="233" t="s">
        <v>1277</v>
      </c>
      <c r="LE1" s="233" t="s">
        <v>1264</v>
      </c>
      <c r="LF1" s="233" t="s">
        <v>1265</v>
      </c>
      <c r="LG1" s="233" t="s">
        <v>1266</v>
      </c>
      <c r="LH1" s="233" t="s">
        <v>1293</v>
      </c>
      <c r="LI1" s="233" t="s">
        <v>1341</v>
      </c>
      <c r="LJ1" s="233" t="s">
        <v>1013</v>
      </c>
      <c r="LK1" s="234" t="s">
        <v>1269</v>
      </c>
      <c r="LL1" s="236" t="s">
        <v>1270</v>
      </c>
      <c r="LM1" s="234" t="s">
        <v>1028</v>
      </c>
      <c r="LN1" s="233" t="s">
        <v>947</v>
      </c>
      <c r="LO1" s="233" t="s">
        <v>1016</v>
      </c>
      <c r="LP1" s="233" t="s">
        <v>998</v>
      </c>
      <c r="LQ1" s="233" t="s">
        <v>1353</v>
      </c>
      <c r="LR1" s="233" t="s">
        <v>1258</v>
      </c>
      <c r="LS1" s="233" t="s">
        <v>1001</v>
      </c>
      <c r="LT1" s="233" t="s">
        <v>1256</v>
      </c>
      <c r="LU1" s="233" t="s">
        <v>1259</v>
      </c>
      <c r="LV1" s="233" t="s">
        <v>1260</v>
      </c>
      <c r="LW1" s="234" t="s">
        <v>994</v>
      </c>
      <c r="LX1" s="236" t="s">
        <v>996</v>
      </c>
      <c r="LY1" s="233" t="s">
        <v>1279</v>
      </c>
      <c r="LZ1" s="233" t="s">
        <v>1280</v>
      </c>
      <c r="MA1" s="233" t="s">
        <v>1251</v>
      </c>
      <c r="MB1" s="233" t="s">
        <v>1252</v>
      </c>
      <c r="MC1" s="234" t="s">
        <v>944</v>
      </c>
      <c r="MD1" s="236" t="s">
        <v>929</v>
      </c>
      <c r="ME1" s="236" t="s">
        <v>928</v>
      </c>
      <c r="MF1" s="234" t="s">
        <v>943</v>
      </c>
      <c r="MG1" s="233" t="s">
        <v>1291</v>
      </c>
      <c r="MH1" s="233" t="s">
        <v>1292</v>
      </c>
      <c r="MI1" s="234" t="s">
        <v>1295</v>
      </c>
      <c r="MJ1" s="234" t="s">
        <v>1296</v>
      </c>
      <c r="MK1" s="233" t="s">
        <v>909</v>
      </c>
      <c r="ML1" s="233" t="s">
        <v>1017</v>
      </c>
      <c r="MM1" s="233" t="s">
        <v>951</v>
      </c>
      <c r="MN1" s="233" t="s">
        <v>1018</v>
      </c>
      <c r="MO1" s="234" t="s">
        <v>1024</v>
      </c>
      <c r="MP1" s="234" t="s">
        <v>1025</v>
      </c>
      <c r="MQ1" s="236" t="s">
        <v>1065</v>
      </c>
      <c r="MR1" s="234" t="s">
        <v>1067</v>
      </c>
      <c r="MS1" s="236" t="s">
        <v>1077</v>
      </c>
      <c r="MT1" s="234" t="s">
        <v>1078</v>
      </c>
      <c r="MU1" s="233" t="s">
        <v>902</v>
      </c>
      <c r="MV1" s="233" t="s">
        <v>968</v>
      </c>
      <c r="MW1" s="233" t="s">
        <v>904</v>
      </c>
      <c r="MX1" s="233" t="s">
        <v>969</v>
      </c>
      <c r="MY1" s="233" t="s">
        <v>903</v>
      </c>
      <c r="MZ1" s="233" t="s">
        <v>912</v>
      </c>
      <c r="NA1" s="234" t="s">
        <v>1356</v>
      </c>
      <c r="NB1" s="234" t="s">
        <v>1355</v>
      </c>
      <c r="NC1" s="233" t="s">
        <v>1282</v>
      </c>
      <c r="ND1" s="233" t="s">
        <v>1283</v>
      </c>
      <c r="NE1" s="233" t="s">
        <v>949</v>
      </c>
      <c r="NF1" s="237" t="s">
        <v>1112</v>
      </c>
      <c r="NG1" s="237" t="s">
        <v>1113</v>
      </c>
      <c r="NH1" s="237" t="s">
        <v>1103</v>
      </c>
      <c r="NI1" s="237" t="s">
        <v>1100</v>
      </c>
      <c r="NJ1" s="236" t="s">
        <v>1115</v>
      </c>
      <c r="NK1" s="238" t="s">
        <v>1114</v>
      </c>
      <c r="NL1" s="238" t="s">
        <v>1109</v>
      </c>
      <c r="NM1" s="238" t="s">
        <v>1111</v>
      </c>
      <c r="NN1" s="236" t="s">
        <v>1325</v>
      </c>
      <c r="NO1" s="234" t="s">
        <v>1326</v>
      </c>
      <c r="NP1" s="233" t="s">
        <v>249</v>
      </c>
      <c r="NQ1" s="239" t="str">
        <f>Trig!O1</f>
        <v>899-SA-Trend-Breaks</v>
      </c>
      <c r="NR1" s="239" t="str">
        <f>Trig!Q1</f>
        <v>898-SA-Streak-VeryBad</v>
      </c>
      <c r="NS1" s="239" t="str">
        <f>Trig!S1</f>
        <v>897-SW-Vlm-Spike-Price-Dn</v>
      </c>
      <c r="NT1" s="239" t="str">
        <f>Trig!U1</f>
        <v>896-SA-TRbelowTN-Trade-Breaks</v>
      </c>
      <c r="NU1" s="239" t="str">
        <f>Trig!W1</f>
        <v>895-SA-!TN!TD!Bull-TRR-Rev</v>
      </c>
      <c r="NV1" s="239" t="str">
        <f>Trig!Y1</f>
        <v>894-SA-!Bull-TN-TRR</v>
      </c>
      <c r="NW1" s="239" t="str">
        <f>Trig!AA1</f>
        <v>893-SA-TRR-blw-TN</v>
      </c>
      <c r="NX1" s="240" t="str">
        <f>Trig!AC1</f>
        <v>889-STM-OverBought</v>
      </c>
      <c r="NY1" s="240" t="str">
        <f>Trig!AE1</f>
        <v>888-STM-!Bull-BBTh-Crossover-RSI-IVHV</v>
      </c>
      <c r="NZ1" s="240" t="str">
        <f>Trig!AG1</f>
        <v>887-STM-!Bull--BBTh-Crossover-RSI-IV</v>
      </c>
      <c r="OA1" s="240" t="str">
        <f>Trig!AI1</f>
        <v>859-SS-Bull-BBTh-Crossover-RSI-IVHV</v>
      </c>
      <c r="OB1" s="240" t="str">
        <f>Trig!AK1</f>
        <v>858-SS-Bull-BBTh-Crossover-RSI-IV</v>
      </c>
      <c r="OC1" s="240" t="str">
        <f>Trig!AM1</f>
        <v>857-SS-BBTh-Crossover-RSIOnly</v>
      </c>
      <c r="OD1" s="240" t="str">
        <f>Trig!AO1</f>
        <v>798-STM-!Bull-TRR-Rev</v>
      </c>
      <c r="OE1" s="240" t="str">
        <f>Trig!AQ1</f>
        <v>796-SW-!Bull-BBTh-Crossover</v>
      </c>
      <c r="OF1" s="240" t="str">
        <f>Trig!AS1</f>
        <v>793-STM-!TD!Bull-TRR-Rev</v>
      </c>
      <c r="OG1" s="240" t="str">
        <f>Trig!AU1</f>
        <v>792-STM-Bull-TN-TD-TRR-RSI-IV</v>
      </c>
      <c r="OH1" s="240" t="str">
        <f>Trig!AW1</f>
        <v>791-STM-!Bull-HighAbvTRR</v>
      </c>
      <c r="OI1" s="240" t="str">
        <f>Trig!AY1</f>
        <v>789-SS-!Bull-OverBought</v>
      </c>
      <c r="OJ1" s="240" t="str">
        <f>Trig!BA1</f>
        <v>788-SS-!Bull-TN-TD-TRR</v>
      </c>
      <c r="OK1" s="240" t="str">
        <f>Trig!BC1</f>
        <v>787-SS-Bull-TRR-Rev</v>
      </c>
      <c r="OL1" s="240" t="str">
        <f>Trig!BE1</f>
        <v>786-SS-Bull-OverBought</v>
      </c>
      <c r="OM1" s="240" t="str">
        <f>Trig!BG1</f>
        <v>785-SS-Trade-Breaks</v>
      </c>
      <c r="ON1" s="240" t="str">
        <f>Trig!BI1</f>
        <v>784-SS-Streak-GoingBad</v>
      </c>
      <c r="OO1" s="240" t="str">
        <f>Trig!BK1</f>
        <v>783-SW-Vol-Spke-Price-Dn-Past</v>
      </c>
      <c r="OP1" s="240" t="str">
        <f>Trig!BM1</f>
        <v>782-SS-3mnHigh</v>
      </c>
      <c r="OQ1" s="240" t="str">
        <f>Trig!BO1</f>
        <v>781-SS-TRR-CloseToTrade</v>
      </c>
      <c r="OR1" s="240" t="str">
        <f>Trig!BQ1</f>
        <v>699-SW-Resistance</v>
      </c>
      <c r="OS1" s="240" t="str">
        <f>Trig!BS1</f>
        <v>698-SS-Bull-HighAbvTRR</v>
      </c>
      <c r="OT1" s="240" t="str">
        <f>Trig!BU1</f>
        <v>697-STM-Earnings-Date</v>
      </c>
      <c r="OU1" s="241" t="str">
        <f>Trig!BW1</f>
        <v>449-B-TN-TD-LRR-UP-MACD</v>
      </c>
      <c r="OV1" s="241" t="str">
        <f>Trig!BY1</f>
        <v>448-BS-TN-TD-LRR</v>
      </c>
      <c r="OW1" s="241" t="str">
        <f>Trig!CA1</f>
        <v>399-B-TN-TD-LRR-UP-MACD</v>
      </c>
      <c r="OX1" s="241" t="str">
        <f>Trig!CC1</f>
        <v>398-B-TN-TD-LRR-UP-DAY</v>
      </c>
      <c r="OY1" s="241" t="str">
        <f>Trig!CE1</f>
        <v>397-B-TN-TD-LRR</v>
      </c>
      <c r="OZ1" s="241" t="str">
        <f>Trig!CG1</f>
        <v>396-BS-LRR-CloseToTrade</v>
      </c>
      <c r="PA1" s="241" t="str">
        <f>Trig!CI1</f>
        <v>395-BS-TN-TD-LRR</v>
      </c>
      <c r="PB1" s="241" t="str">
        <f>Trig!CK1</f>
        <v>394-BS-TN-LRR</v>
      </c>
      <c r="PC1" s="241" t="str">
        <f>Trig!CM1</f>
        <v>299-BS-BB-Streak-HiHi-TN-TD</v>
      </c>
      <c r="PD1" s="241" t="str">
        <f>Trig!CO1</f>
        <v>298-BS-BB-HL-HiHi-TN-TD</v>
      </c>
      <c r="PE1" s="241" t="str">
        <f>Trig!CQ1</f>
        <v>279-BS-BB-Streak-HiHi</v>
      </c>
      <c r="PF1" s="241" t="str">
        <f>Trig!CS1</f>
        <v>278-BS-BB-HL-HiHi</v>
      </c>
      <c r="PG1" s="241" t="str">
        <f>Trig!CU1</f>
        <v>277-BS-VS-LT</v>
      </c>
      <c r="PH1" s="241" t="str">
        <f>Trig!CW1</f>
        <v>269-BS-Bull</v>
      </c>
      <c r="PI1" s="241" t="str">
        <f>Trig!CY1</f>
        <v>268-BS-3M-HiHi</v>
      </c>
      <c r="PJ1" s="241" t="str">
        <f>Trig!DA1</f>
        <v>267-BS-Trade-CO</v>
      </c>
      <c r="PK1" s="241" t="str">
        <f>Trig!DC1</f>
        <v>199-BS-TN-LRR-MACD-UP-DAY</v>
      </c>
      <c r="PL1" s="241" t="str">
        <f>Trig!DE1</f>
        <v>198-BS-TN-LRR-UP-MACD</v>
      </c>
      <c r="PM1" s="241" t="str">
        <f>Trig!DG1</f>
        <v>197-BS-TN-LRR-UP-DAY</v>
      </c>
      <c r="PN1" s="241" t="str">
        <f>Trig!DI1</f>
        <v>196-BS-TN-LRR</v>
      </c>
      <c r="PO1" s="241" t="str">
        <f>Trig!DK1</f>
        <v>189-BR-BB-LoHi</v>
      </c>
      <c r="PP1" s="241" t="str">
        <f>Trig!DM1</f>
        <v>188-BR-TNabvTD-UP-MACD-DAY</v>
      </c>
      <c r="PQ1" s="241" t="str">
        <f>Trig!DO1</f>
        <v>187-BR-NoTN-NoTD-UP-MACD-DAY</v>
      </c>
      <c r="PR1" s="241" t="str">
        <f>Trig!DQ1</f>
        <v>186-BR-Trend-CO</v>
      </c>
      <c r="PS1" s="241" t="str">
        <f>Trig!DS1</f>
        <v>99-BS-Min</v>
      </c>
      <c r="PT1" s="241" t="str">
        <f>Trig!DU1</f>
        <v>98-BW-TD-LRR-RSI</v>
      </c>
      <c r="PU1" s="241" t="str">
        <f>Trig!DW1</f>
        <v>97-BW-TD-RSI-IV</v>
      </c>
      <c r="PV1" s="241" t="str">
        <f>Trig!DY1</f>
        <v>96-BW-RSI-IVHV-Min</v>
      </c>
      <c r="PW1" s="241" t="str">
        <f>Trig!EA1</f>
        <v>95-BW-LowBelwLRR</v>
      </c>
      <c r="PX1" s="241" t="str">
        <f>Trig!EC1</f>
        <v>94-BW-UP-MACD</v>
      </c>
      <c r="PY1" s="241" t="str">
        <f>Trig!EE1</f>
        <v>93-BW-LRRabvTD</v>
      </c>
      <c r="PZ1" s="275" t="str">
        <f>Trig!EG1</f>
        <v>92-BS-RSI-MACD-Vlme-IVHV-IVBRR</v>
      </c>
      <c r="QA1" s="275" t="str">
        <f>Trig!EI1</f>
        <v>92-BS-RSI-MACD-Vlme-IVHV-IVBRR</v>
      </c>
      <c r="QB1" s="275" t="str">
        <f>Trig!EK1</f>
        <v>92-BS-RSI-MACD-Vlme-IVHV-IVBRR</v>
      </c>
      <c r="QC1" s="275" t="str">
        <f>Trig!EM1</f>
        <v>52-BS-BRR</v>
      </c>
      <c r="QD1" s="275" t="str">
        <f>Trig!EO1</f>
        <v>51-BS-TRADE-TREND</v>
      </c>
      <c r="QE1" s="438" t="s">
        <v>3432</v>
      </c>
      <c r="QF1" s="438" t="s">
        <v>3434</v>
      </c>
      <c r="QG1" s="438" t="s">
        <v>3433</v>
      </c>
      <c r="QH1" s="412" t="s">
        <v>3444</v>
      </c>
      <c r="QI1" s="411" t="s">
        <v>3443</v>
      </c>
      <c r="QJ1" s="411" t="s">
        <v>3404</v>
      </c>
      <c r="QK1" s="411" t="s">
        <v>3403</v>
      </c>
      <c r="QL1" s="411" t="s">
        <v>3402</v>
      </c>
      <c r="QM1" s="439" t="s">
        <v>3441</v>
      </c>
      <c r="QN1" s="439" t="s">
        <v>3440</v>
      </c>
      <c r="QO1" s="439" t="s">
        <v>3407</v>
      </c>
      <c r="QP1" s="439" t="s">
        <v>3453</v>
      </c>
      <c r="QQ1" s="439" t="s">
        <v>3454</v>
      </c>
      <c r="QR1" s="440" t="s">
        <v>3446</v>
      </c>
      <c r="QS1" s="440" t="s">
        <v>3446</v>
      </c>
      <c r="QT1" s="440" t="s">
        <v>3447</v>
      </c>
      <c r="QU1" s="204" t="s">
        <v>1185</v>
      </c>
      <c r="QV1" s="204" t="s">
        <v>1882</v>
      </c>
      <c r="QW1" s="214" t="s">
        <v>1227</v>
      </c>
      <c r="QX1" s="204" t="s">
        <v>1408</v>
      </c>
      <c r="QY1" s="204" t="s">
        <v>1657</v>
      </c>
      <c r="QZ1" s="204" t="s">
        <v>1887</v>
      </c>
      <c r="RA1" s="214" t="s">
        <v>1888</v>
      </c>
      <c r="RB1" s="204" t="s">
        <v>1929</v>
      </c>
      <c r="RC1" s="204" t="s">
        <v>1934</v>
      </c>
      <c r="RD1" s="204" t="s">
        <v>926</v>
      </c>
      <c r="RE1" s="204" t="s">
        <v>1230</v>
      </c>
      <c r="RF1" s="204" t="s">
        <v>1796</v>
      </c>
      <c r="RG1" s="214" t="s">
        <v>1228</v>
      </c>
      <c r="RH1" s="203" t="s">
        <v>1231</v>
      </c>
      <c r="RI1" s="214" t="s">
        <v>1229</v>
      </c>
      <c r="RJ1" s="204" t="s">
        <v>1883</v>
      </c>
      <c r="RK1" s="204" t="s">
        <v>1216</v>
      </c>
      <c r="RL1" s="204" t="s">
        <v>1746</v>
      </c>
      <c r="RM1" s="284" t="s">
        <v>1802</v>
      </c>
      <c r="RN1" s="288" t="s">
        <v>1827</v>
      </c>
      <c r="RO1" s="288" t="s">
        <v>1570</v>
      </c>
      <c r="RP1" s="288" t="s">
        <v>1656</v>
      </c>
      <c r="RQ1" s="288" t="s">
        <v>1935</v>
      </c>
      <c r="RR1" s="288" t="s">
        <v>1795</v>
      </c>
      <c r="RS1" s="285" t="s">
        <v>1808</v>
      </c>
      <c r="RT1" s="284" t="s">
        <v>1809</v>
      </c>
      <c r="RU1" s="284" t="s">
        <v>1803</v>
      </c>
      <c r="RV1" s="284" t="s">
        <v>1930</v>
      </c>
      <c r="RW1" s="284" t="s">
        <v>1813</v>
      </c>
      <c r="RX1" s="319" t="s">
        <v>1877</v>
      </c>
      <c r="RY1" s="288" t="s">
        <v>1828</v>
      </c>
      <c r="RZ1" s="318" t="s">
        <v>1879</v>
      </c>
      <c r="SA1" s="203" t="s">
        <v>1877</v>
      </c>
      <c r="SB1" s="285" t="s">
        <v>1800</v>
      </c>
      <c r="SC1" s="284" t="s">
        <v>1810</v>
      </c>
      <c r="SD1" s="284" t="s">
        <v>1804</v>
      </c>
      <c r="SE1" s="284" t="s">
        <v>1932</v>
      </c>
      <c r="SF1" s="284" t="s">
        <v>3350</v>
      </c>
      <c r="SG1" s="203" t="s">
        <v>1878</v>
      </c>
      <c r="SH1" s="318" t="s">
        <v>1879</v>
      </c>
      <c r="SI1" s="318" t="s">
        <v>1801</v>
      </c>
      <c r="SJ1" s="317" t="s">
        <v>1906</v>
      </c>
      <c r="SK1" s="317" t="s">
        <v>1907</v>
      </c>
      <c r="SL1" s="317" t="s">
        <v>1908</v>
      </c>
      <c r="SM1" s="317" t="s">
        <v>1909</v>
      </c>
      <c r="SN1" s="317" t="s">
        <v>1910</v>
      </c>
      <c r="SO1" s="317" t="s">
        <v>1911</v>
      </c>
      <c r="SP1" s="317" t="s">
        <v>1912</v>
      </c>
      <c r="SQ1" s="317" t="s">
        <v>1913</v>
      </c>
      <c r="SR1" s="317" t="s">
        <v>1914</v>
      </c>
      <c r="SS1" s="317" t="s">
        <v>1915</v>
      </c>
      <c r="ST1" s="317" t="s">
        <v>1916</v>
      </c>
      <c r="SU1" s="323" t="s">
        <v>1917</v>
      </c>
      <c r="SV1" s="323" t="s">
        <v>1918</v>
      </c>
      <c r="SW1" s="323" t="s">
        <v>1919</v>
      </c>
      <c r="SX1" s="208" t="s">
        <v>1952</v>
      </c>
      <c r="SY1" s="208" t="s">
        <v>1953</v>
      </c>
      <c r="SZ1" s="201" t="s">
        <v>1904</v>
      </c>
      <c r="TA1" s="203" t="s">
        <v>1877</v>
      </c>
      <c r="TB1" s="203" t="s">
        <v>1878</v>
      </c>
      <c r="TC1" s="318" t="s">
        <v>1902</v>
      </c>
      <c r="TD1" s="318" t="s">
        <v>1903</v>
      </c>
      <c r="TE1" s="201" t="s">
        <v>1905</v>
      </c>
      <c r="TF1" s="323" t="s">
        <v>1917</v>
      </c>
      <c r="TG1" s="323" t="s">
        <v>1918</v>
      </c>
      <c r="TH1" s="323" t="s">
        <v>1919</v>
      </c>
      <c r="TI1" s="208" t="s">
        <v>1952</v>
      </c>
      <c r="TJ1" s="208" t="s">
        <v>1953</v>
      </c>
      <c r="TK1" s="329" t="s">
        <v>1825</v>
      </c>
      <c r="TL1" s="203" t="s">
        <v>1878</v>
      </c>
      <c r="TM1" s="318" t="s">
        <v>1903</v>
      </c>
      <c r="TN1" s="201" t="s">
        <v>1905</v>
      </c>
      <c r="TO1" s="323" t="s">
        <v>1917</v>
      </c>
      <c r="TP1" s="323" t="s">
        <v>1918</v>
      </c>
      <c r="TQ1" s="323" t="s">
        <v>1919</v>
      </c>
      <c r="TR1" s="208" t="s">
        <v>1952</v>
      </c>
      <c r="TS1" s="208" t="s">
        <v>1953</v>
      </c>
      <c r="TT1" s="329" t="s">
        <v>1826</v>
      </c>
      <c r="TU1" s="322" t="s">
        <v>1936</v>
      </c>
      <c r="TV1" s="322" t="s">
        <v>1937</v>
      </c>
      <c r="TW1" s="322" t="s">
        <v>3405</v>
      </c>
      <c r="TX1" s="206" t="s">
        <v>1920</v>
      </c>
      <c r="TY1" s="206" t="s">
        <v>1921</v>
      </c>
      <c r="TZ1" s="206" t="s">
        <v>1922</v>
      </c>
      <c r="UA1" s="397" t="s">
        <v>2077</v>
      </c>
      <c r="UB1" s="397" t="s">
        <v>41</v>
      </c>
      <c r="UC1" s="321" t="s">
        <v>1471</v>
      </c>
      <c r="UD1" s="200" t="s">
        <v>1472</v>
      </c>
      <c r="UE1" s="242" t="s">
        <v>942</v>
      </c>
      <c r="UF1" s="242" t="s">
        <v>1206</v>
      </c>
      <c r="UG1" s="200" t="s">
        <v>1690</v>
      </c>
      <c r="UH1" s="209" t="s">
        <v>447</v>
      </c>
      <c r="UI1" s="200" t="s">
        <v>1688</v>
      </c>
      <c r="UJ1" s="190" t="s">
        <v>1689</v>
      </c>
      <c r="UK1" s="213" t="s">
        <v>132</v>
      </c>
      <c r="UL1" s="245" t="s">
        <v>1775</v>
      </c>
      <c r="UM1" s="245" t="s">
        <v>1222</v>
      </c>
      <c r="UN1" s="245" t="s">
        <v>1217</v>
      </c>
      <c r="UO1" s="245" t="s">
        <v>1218</v>
      </c>
      <c r="UP1" s="245" t="s">
        <v>3445</v>
      </c>
      <c r="UQ1" s="245" t="s">
        <v>1682</v>
      </c>
      <c r="UR1" s="320" t="s">
        <v>1884</v>
      </c>
      <c r="US1" s="209" t="s">
        <v>1447</v>
      </c>
      <c r="UT1" s="209" t="s">
        <v>1447</v>
      </c>
      <c r="UU1" s="320" t="s">
        <v>1884</v>
      </c>
      <c r="UV1" s="209" t="s">
        <v>1447</v>
      </c>
      <c r="UW1" s="209" t="s">
        <v>1447</v>
      </c>
      <c r="UX1" s="243" t="s">
        <v>1337</v>
      </c>
      <c r="UY1" s="206" t="s">
        <v>2075</v>
      </c>
      <c r="UZ1" s="397" t="s">
        <v>2079</v>
      </c>
      <c r="VA1" s="397" t="s">
        <v>3449</v>
      </c>
      <c r="VB1" s="397" t="s">
        <v>3450</v>
      </c>
      <c r="VC1" s="397" t="s">
        <v>2078</v>
      </c>
      <c r="VD1" s="206" t="s">
        <v>3455</v>
      </c>
      <c r="VE1" s="206" t="s">
        <v>3456</v>
      </c>
      <c r="VF1" s="322" t="s">
        <v>2070</v>
      </c>
      <c r="VG1" s="206" t="s">
        <v>1922</v>
      </c>
      <c r="VH1" s="213" t="s">
        <v>132</v>
      </c>
      <c r="VI1" s="242" t="s">
        <v>942</v>
      </c>
      <c r="VJ1" s="242" t="s">
        <v>1206</v>
      </c>
      <c r="VK1" s="245" t="s">
        <v>1682</v>
      </c>
      <c r="VL1" s="243" t="s">
        <v>1337</v>
      </c>
      <c r="VM1" s="400" t="s">
        <v>3334</v>
      </c>
      <c r="VN1" s="400" t="s">
        <v>3335</v>
      </c>
      <c r="VO1" s="400" t="s">
        <v>3336</v>
      </c>
      <c r="VP1" s="204" t="s">
        <v>1746</v>
      </c>
      <c r="VQ1" s="438" t="s">
        <v>3333</v>
      </c>
      <c r="VR1" s="244" t="s">
        <v>895</v>
      </c>
      <c r="VS1" s="207" t="s">
        <v>3170</v>
      </c>
      <c r="VT1" s="204" t="s">
        <v>3371</v>
      </c>
      <c r="VU1" s="208" t="s">
        <v>3432</v>
      </c>
      <c r="VV1" s="244" t="s">
        <v>3373</v>
      </c>
      <c r="VW1" s="430" t="s">
        <v>3353</v>
      </c>
      <c r="VX1" s="231" t="s">
        <v>3379</v>
      </c>
      <c r="VY1" s="428" t="s">
        <v>3375</v>
      </c>
      <c r="VZ1" s="428" t="s">
        <v>3376</v>
      </c>
      <c r="WA1" s="430" t="s">
        <v>3354</v>
      </c>
      <c r="WB1" s="231" t="s">
        <v>3380</v>
      </c>
      <c r="WC1" s="428" t="s">
        <v>3377</v>
      </c>
      <c r="WD1" s="428" t="s">
        <v>3378</v>
      </c>
      <c r="WE1" s="231" t="s">
        <v>3247</v>
      </c>
      <c r="WF1" s="231" t="s">
        <v>3384</v>
      </c>
      <c r="WG1" s="368" t="s">
        <v>2069</v>
      </c>
      <c r="WH1" s="368" t="s">
        <v>2068</v>
      </c>
      <c r="WI1" s="355" t="s">
        <v>3280</v>
      </c>
      <c r="WJ1" s="355" t="s">
        <v>3289</v>
      </c>
      <c r="WK1" s="205" t="s">
        <v>3209</v>
      </c>
      <c r="WL1" s="205" t="s">
        <v>3214</v>
      </c>
      <c r="WM1" s="438" t="s">
        <v>3433</v>
      </c>
      <c r="WN1" s="411" t="s">
        <v>3402</v>
      </c>
      <c r="WO1" s="439" t="s">
        <v>3453</v>
      </c>
      <c r="WP1" s="439" t="s">
        <v>3454</v>
      </c>
      <c r="WQ1" s="324" t="s">
        <v>1923</v>
      </c>
      <c r="WR1" s="209" t="s">
        <v>843</v>
      </c>
      <c r="WS1" s="200" t="s">
        <v>1207</v>
      </c>
      <c r="WT1" s="199" t="s">
        <v>28</v>
      </c>
      <c r="WU1" s="440" t="s">
        <v>3446</v>
      </c>
      <c r="WV1" s="209" t="s">
        <v>1447</v>
      </c>
      <c r="WW1" s="320" t="s">
        <v>1884</v>
      </c>
      <c r="WX1" s="209" t="s">
        <v>1447</v>
      </c>
      <c r="WY1" s="203" t="s">
        <v>1877</v>
      </c>
      <c r="WZ1" s="203" t="s">
        <v>1878</v>
      </c>
      <c r="XA1" s="318" t="s">
        <v>1902</v>
      </c>
      <c r="XB1" s="318" t="s">
        <v>1903</v>
      </c>
      <c r="XC1" s="201" t="s">
        <v>1905</v>
      </c>
      <c r="XD1" s="322" t="s">
        <v>1825</v>
      </c>
      <c r="XE1" s="399" t="s">
        <v>1826</v>
      </c>
      <c r="XF1" s="322" t="s">
        <v>1936</v>
      </c>
      <c r="XG1" s="210" t="s">
        <v>1239</v>
      </c>
      <c r="XH1" s="210" t="s">
        <v>1624</v>
      </c>
      <c r="XI1" s="210" t="s">
        <v>1625</v>
      </c>
      <c r="XJ1" s="210" t="s">
        <v>1626</v>
      </c>
      <c r="XK1" s="210" t="s">
        <v>1627</v>
      </c>
      <c r="XL1" s="210" t="s">
        <v>1628</v>
      </c>
      <c r="XM1" s="210" t="s">
        <v>1629</v>
      </c>
      <c r="XN1" s="210" t="s">
        <v>1728</v>
      </c>
      <c r="XO1" s="210" t="s">
        <v>1729</v>
      </c>
      <c r="XP1" s="210" t="s">
        <v>1730</v>
      </c>
      <c r="XQ1" s="210" t="s">
        <v>1731</v>
      </c>
    </row>
    <row r="2" spans="1:641" x14ac:dyDescent="0.2">
      <c r="A2" s="90" t="str">
        <f t="shared" ref="A2:A3" si="0">M2&amp;B2</f>
        <v>46141.6875ZM</v>
      </c>
      <c r="B2" s="90" t="s">
        <v>484</v>
      </c>
      <c r="C2" s="90" t="s">
        <v>484</v>
      </c>
      <c r="D2" s="90">
        <f t="shared" ref="D2:D3" ca="1" si="1">IF(S2="Y",F2,CN2)</f>
        <v>95.76</v>
      </c>
      <c r="E2" s="90" t="str">
        <f ca="1">_xlfn.XLOOKUP($R2&amp;$C2,Y!$D2:$D57061,Y!$J2:$J57061,"")</f>
        <v>Zoom Communications, Inc.</v>
      </c>
      <c r="F2" s="90">
        <f t="shared" ref="F2:F3" ca="1" si="2">DM2</f>
        <v>95.76</v>
      </c>
      <c r="G2" s="90">
        <f t="shared" ref="G2:G3" ca="1" si="3">DN2</f>
        <v>4.62</v>
      </c>
      <c r="H2" s="216">
        <f t="shared" ref="H2:H3" ca="1" si="4">DO2</f>
        <v>5.0700000000000002E-2</v>
      </c>
      <c r="I2" s="90">
        <f t="shared" ref="I2:I3" ca="1" si="5">DQ2</f>
        <v>96.51</v>
      </c>
      <c r="J2" s="90">
        <f t="shared" ref="J2:J3" ca="1" si="6">DR2</f>
        <v>91.02</v>
      </c>
      <c r="K2" s="218">
        <f t="shared" ref="K2:K3" si="7">EC2</f>
        <v>0</v>
      </c>
      <c r="L2" s="218">
        <f t="shared" ref="L2:L3" si="8">ED2</f>
        <v>0</v>
      </c>
      <c r="M2" s="247">
        <f>IF(B2="","",Dash!$AB$19)</f>
        <v>46141.6875</v>
      </c>
      <c r="N2" s="247">
        <f>IF(B2="","",Dash!$AB$18)</f>
        <v>46141.6875</v>
      </c>
      <c r="O2" s="247">
        <f>IF(B2="","",Dash!$AB$21)</f>
        <v>46141.6875</v>
      </c>
      <c r="P2" s="247">
        <f>IF(C2="","",Dash!$AB$20)</f>
        <v>46139.6875</v>
      </c>
      <c r="Q2" s="247">
        <f>IF(B2="","",Dash!$AB$22)</f>
        <v>46141.6875</v>
      </c>
      <c r="R2" s="247">
        <f ca="1">IF(B2="","",Dash!$AB$23)</f>
        <v>46141.6875</v>
      </c>
      <c r="S2" s="90" t="str">
        <f>IF(B2="","",Dash!$AB$6)</f>
        <v>Y</v>
      </c>
      <c r="T2" s="136">
        <f>_xlfn.MAXIFS(II!C393:C10392,II!C393:C10392,"&lt;=" &amp; M2)</f>
        <v>0</v>
      </c>
      <c r="U2" s="136">
        <f>_xlfn.MAXIFS(etf!C2:C9205,etf!C2:C9205,"&lt;=" &amp; M2)</f>
        <v>46019</v>
      </c>
      <c r="V2" s="136">
        <f>_xlfn.MAXIFS(ssH!B2:B5535,ssH!B2:B5535,"&lt;=" &amp;M2)</f>
        <v>46140</v>
      </c>
      <c r="W2" s="136">
        <f>_xlfn.MAXIFS(F!D2:D5542,F!D2:D5542,"&lt;=" &amp; Dash!$AB$15)</f>
        <v>46126</v>
      </c>
      <c r="X2" s="136">
        <f>_xlfn.MAXIFS(CS!D2:D3247,CS!D2:D3247,"&lt;=" &amp; Dash!$AB$15)</f>
        <v>46141</v>
      </c>
      <c r="Y2" s="136">
        <f>_xlfn.MAXIFS(RR!D2:D2586,RR!D2:D2586,"&lt;=" &amp;M2)</f>
        <v>46141</v>
      </c>
      <c r="Z2" s="90">
        <v>854</v>
      </c>
      <c r="AA2" s="90">
        <f>_xlfn.XLOOKUP(N2&amp;B2,TW!$D:$D,TW!$AF:$AF,"")</f>
        <v>4.32</v>
      </c>
      <c r="AB2" s="90" cm="1">
        <f t="array" ref="AB2">MEDIAN(_xlfn._xlws.FILTER(TW!AF:AF,TW!C:C=B2))</f>
        <v>4.32</v>
      </c>
      <c r="AC2" s="90">
        <f t="shared" ref="AC2:AC3" si="9">MIN(AA2,AB2)</f>
        <v>4.32</v>
      </c>
      <c r="AD2" s="216">
        <f t="shared" ref="AD2:AD3" ca="1" si="10">(AC2/D2)</f>
        <v>4.5112781954887216E-2</v>
      </c>
      <c r="AE2" s="90">
        <f>_xlfn.XLOOKUP($M2&amp;$B2,TD!$D:$D,TD!$AY:$AY,"")</f>
        <v>87.19</v>
      </c>
      <c r="AF2" s="90">
        <f>_xlfn.XLOOKUP($M2&amp;$B2,TD!$D:$D,TD!$AZ:$AZ,"")</f>
        <v>77.02</v>
      </c>
      <c r="AG2" s="90">
        <f t="shared" ref="AG2:AG3" ca="1" si="11">IF(D2=AE2,0.1,(D2-AE2)/AC2)</f>
        <v>1.9837962962962978</v>
      </c>
      <c r="AH2" s="90">
        <f t="shared" ref="AH2:AH3" ca="1" si="12">(D2-AF2)/AC2</f>
        <v>4.3379629629629646</v>
      </c>
      <c r="AI2" s="90">
        <f t="shared" ref="AI2:AI3" si="13">(AF2-AE2)/AC2</f>
        <v>-2.354166666666667</v>
      </c>
      <c r="AJ2" s="90">
        <f>_xlfn.XLOOKUP(M2&amp;B2,TD!$D:$D,TD!$BD:$BD,"")</f>
        <v>9651.01</v>
      </c>
      <c r="AK2" s="215">
        <f t="shared" ref="AK2:AK3" si="14">TRUNC(AJ2)</f>
        <v>9651</v>
      </c>
      <c r="AL2" s="218">
        <f t="shared" ref="AL2:AL3" si="15">AK2/100</f>
        <v>96.51</v>
      </c>
      <c r="AM2" s="215">
        <f t="shared" ref="AM2:AM3" si="16">ABS(ROUND(100*(AJ2-AK2),0))</f>
        <v>1</v>
      </c>
      <c r="AN2" s="215" cm="1">
        <f t="array" aca="1" ref="AN2" ca="1">_xlfn.IFS(AND(AL2&lt;0,AM2&gt;0,ABS(AL2)&lt;D2),1,AND(AL2&gt;0,AM2&gt;0,ABS(AL2)&gt;D2),-1,TRUE,SIGN(AL2))</f>
        <v>-1</v>
      </c>
      <c r="AO2" s="218">
        <f t="shared" ref="AO2:AO3" ca="1" si="17">(D2-ABS(AL2))/ AC2</f>
        <v>-0.1736111111111111</v>
      </c>
      <c r="AP2" s="90">
        <f>_xlfn.XLOOKUP($M2&amp;$B2,TD!$D:$D,TD!$BE:$BE,"")</f>
        <v>6.14</v>
      </c>
      <c r="AQ2" s="215">
        <f t="shared" ref="AQ2:AQ3" si="18">TRUNC(AP2)</f>
        <v>6</v>
      </c>
      <c r="AR2" s="215">
        <f t="shared" ref="AR2:AR3" si="19">ABS(100*(AP2-AQ2))</f>
        <v>13.999999999999968</v>
      </c>
      <c r="AS2" s="90">
        <f>_xlfn.XLOOKUP($M2&amp;$B2,TD!$D:$D,TD!$BC:$BC,"")</f>
        <v>8213.01</v>
      </c>
      <c r="AT2" s="218">
        <f t="shared" ref="AT2:AT3" si="20">TRUNC(AS2)</f>
        <v>8213</v>
      </c>
      <c r="AU2" s="93">
        <f t="shared" ref="AU2:AU3" si="21">AT2-AY2*1000</f>
        <v>213</v>
      </c>
      <c r="AV2" s="215">
        <f t="shared" ref="AV2:AV3" si="22">ABS(TRUNC(AU2/100))</f>
        <v>2</v>
      </c>
      <c r="AW2" s="215">
        <f t="shared" ref="AW2:AW3" si="23">IF(AV2=1,-1,1)</f>
        <v>1</v>
      </c>
      <c r="AX2" s="215">
        <f t="shared" ref="AX2:AX3" si="24">_xlfn.NUMBERVALUE(RIGHT(AU2,2))</f>
        <v>13</v>
      </c>
      <c r="AY2" s="215">
        <f t="shared" ref="AY2:AY3" si="25">TRUNC(AT2/1000)</f>
        <v>8</v>
      </c>
      <c r="AZ2" s="215">
        <f t="shared" ref="AZ2:AZ3" si="26">ROUND((ABS(AS2)-ABS(AT2))*100,0)</f>
        <v>1</v>
      </c>
      <c r="BA2" s="90">
        <f>_xlfn.XLOOKUP($N2&amp;$B2,TW!$D:$D,TW!$AY:$AY,"")</f>
        <v>71.400000000000006</v>
      </c>
      <c r="BB2" s="90">
        <f t="shared" ref="BB2:BB3" ca="1" si="27">(D2-BA2)/AC2</f>
        <v>5.6388888888888884</v>
      </c>
      <c r="BC2" s="90">
        <f t="shared" ref="BC2:BC3" si="28">IF(AND(BA2&lt;1,BA2&gt;-1),100*BA2,100*MOD(BA2,TRUNC(BA2)))</f>
        <v>40.000000000000568</v>
      </c>
      <c r="BD2" s="90">
        <f>_xlfn.XLOOKUP($N2&amp;$B2,TW!$D:$D,TW!$AX:$AX,"")</f>
        <v>97.54</v>
      </c>
      <c r="BE2" s="90">
        <f t="shared" ref="BE2:BE3" ca="1" si="29">(D2-BD2)/AC2</f>
        <v>-0.41203703703703726</v>
      </c>
      <c r="BF2" s="90">
        <f t="shared" ref="BF2:BF3" si="30">IF(BD2&lt;1,0,100*MOD(BD2,TRUNC(BD2)))</f>
        <v>54.000000000000625</v>
      </c>
      <c r="BG2" s="90">
        <f t="shared" ref="BG2:BG3" ca="1" si="31">IF(D2&lt;BD2,(D2-BA2)*100/(BD2-BA2),0)</f>
        <v>93.190512624330523</v>
      </c>
      <c r="BH2" s="90">
        <f>_xlfn.XLOOKUP($N2&amp;$B2,TW!$D:$D,TW!$AZ:$AZ,"")</f>
        <v>-71.400000000000006</v>
      </c>
      <c r="BI2" s="90">
        <f t="shared" ref="BI2:BI3" si="32">ABS(BH2)</f>
        <v>71.400000000000006</v>
      </c>
      <c r="BJ2" s="90">
        <f t="shared" ref="BJ2:BJ3" ca="1" si="33">(D2-BI2)/AC2</f>
        <v>5.6388888888888884</v>
      </c>
      <c r="BK2" s="215">
        <f t="shared" ref="BK2:BK3" si="34">-100*IFERROR(MOD(BH2,TRUNC(BH2)),0)</f>
        <v>40.000000000000568</v>
      </c>
      <c r="BL2" s="90">
        <f>_xlfn.XLOOKUP($N2&amp;$B2,TW!$D:$D,TW!$BA:$BA,"")</f>
        <v>-77.13</v>
      </c>
      <c r="BM2" s="90">
        <f t="shared" ref="BM2:BM3" si="35">ABS(BL2)</f>
        <v>77.13</v>
      </c>
      <c r="BN2" s="90">
        <f t="shared" ref="BN2:BN3" ca="1" si="36">(D2-BM2)/AC2</f>
        <v>4.3125000000000018</v>
      </c>
      <c r="BO2" s="215">
        <f t="shared" ref="BO2:BO3" si="37">IFERROR(-100*MOD(BL2,TRUNC(BL2)),0)</f>
        <v>12.999999999999545</v>
      </c>
      <c r="BP2" s="249">
        <f t="shared" ref="BP2:BP3" ca="1" si="38">100*(D2-AE2)/AE2</f>
        <v>9.8291088427572042</v>
      </c>
      <c r="BQ2" s="90">
        <f t="shared" ref="BQ2:BQ3" ca="1" si="39">(D2-AE2)/AC2</f>
        <v>1.9837962962962978</v>
      </c>
      <c r="BR2" s="90">
        <f>_xlfn.XLOOKUP($N2&amp;$B2,TW!$D:$D,TW!$AU:$AU,"")</f>
        <v>29.51</v>
      </c>
      <c r="BS2" s="90">
        <f t="shared" ref="BS2:BS3" ca="1" si="40">BR2/(AD2*100)</f>
        <v>6.5413833333333349</v>
      </c>
      <c r="BT2" s="249">
        <f t="shared" ref="BT2:BT3" ca="1" si="41">100*(D2-AF2)/AF2</f>
        <v>24.331342508439381</v>
      </c>
      <c r="BU2" s="90">
        <f t="shared" ref="BU2:BU3" ca="1" si="42">(D2-AF2)/AC2</f>
        <v>4.3379629629629646</v>
      </c>
      <c r="BV2" s="90">
        <f>_xlfn.XLOOKUP($N2&amp;$B2,TW!$D:$D,TW!$AV:$AV,"")</f>
        <v>7.56</v>
      </c>
      <c r="BW2" s="90">
        <f t="shared" ref="BW2:BW3" ca="1" si="43">BV2/(AD2*100)</f>
        <v>1.6758000000000002</v>
      </c>
      <c r="BX2" s="90">
        <f>_xlfn.XLOOKUP($N2&amp;$B2,TW!$D:$D,TW!$AW:$AW,"")</f>
        <v>4.05</v>
      </c>
      <c r="BY2" s="90">
        <f t="shared" ref="BY2:BY3" ca="1" si="44">BX2/($AD2*100)</f>
        <v>0.89775000000000005</v>
      </c>
      <c r="BZ2" s="90">
        <f t="shared" ref="BZ2:BZ3" ca="1" si="45">(100*D2)/(100+BX2)</f>
        <v>92.032676597789532</v>
      </c>
      <c r="CA2" s="90">
        <f t="shared" ref="CA2:CA3" ca="1" si="46">G2/AC2</f>
        <v>1.0694444444444444</v>
      </c>
      <c r="CB2" s="215" cm="1">
        <f t="array" aca="1" ref="CB2" ca="1">_xlfn.IFS(AND(BS2&gt;BW2,BU2&gt;BW2,BW2&gt;1),3,AND(BS2&lt;BW2,BU2&lt;BW2,BW2&lt;-1),-3,TRUE,0)</f>
        <v>3</v>
      </c>
      <c r="CC2" s="90">
        <f>_xlfn.XLOOKUP($N2&amp;$B2,TW!$D:$D,TW!$AI:$AI,"")</f>
        <v>69.150000000000006</v>
      </c>
      <c r="CD2" s="90">
        <f>_xlfn.XLOOKUP($N2&amp;$B2,TW!$D:$D,TW!$AH:$AH,"")</f>
        <v>97.58</v>
      </c>
      <c r="CE2" s="90">
        <f t="shared" ref="CE2:CE3" ca="1" si="47">IF((CD2-CC2)=0,0, (CD2-D2)*100/(CD2-CC2))</f>
        <v>6.401688357368954</v>
      </c>
      <c r="CF2" s="90">
        <f>_xlfn.XLOOKUP($N2&amp;$B2,TW!$D:$D,TW!$H:$H,"")</f>
        <v>86.92</v>
      </c>
      <c r="CG2" s="90">
        <f>_xlfn.XLOOKUP($N2&amp;$B2,TW!$D:$D,TW!$I:$I,"")</f>
        <v>82.11</v>
      </c>
      <c r="CH2" s="90">
        <f>_xlfn.XLOOKUP($N2&amp;$B2,TW!$D:$D,TW!$J:$J,"")</f>
        <v>82.69</v>
      </c>
      <c r="CI2" s="90">
        <f>_xlfn.XLOOKUP($N2&amp;$B2,TW!$D:$D,TW!$V:$V,"")</f>
        <v>1</v>
      </c>
      <c r="CJ2" s="90">
        <f t="shared" ref="CJ2:CJ3" si="48">ABS(CI2)</f>
        <v>1</v>
      </c>
      <c r="CK2" s="90">
        <f>_xlfn.XLOOKUP($N2&amp;$B2,TW!$D:$D,TW!$W:$W,"")</f>
        <v>0.81</v>
      </c>
      <c r="CL2" s="90">
        <f t="shared" ref="CL2:CL3" si="49">ABS(CK2)</f>
        <v>0.81</v>
      </c>
      <c r="CM2" s="90">
        <f>_xlfn.XLOOKUP($N2&amp;$B2,TW!$D:$D,TW!$AM:$AM,"")</f>
        <v>1</v>
      </c>
      <c r="CN2" s="90">
        <f>_xlfn.XLOOKUP($M2&amp;$B2,TD!$D:$D,TD!$AP:$AP,"")</f>
        <v>95.76</v>
      </c>
      <c r="CO2" s="90">
        <f>_xlfn.XLOOKUP($M2&amp;$B2,TD!$D:$D,TD!$AR:$AR,"")</f>
        <v>5.0700000000000002E-2</v>
      </c>
      <c r="CP2" s="90">
        <f>_xlfn.XLOOKUP($M2&amp;$B2,TD!$D:$D,TD!$AQ:$AQ,"")</f>
        <v>4.62</v>
      </c>
      <c r="CQ2" s="90">
        <f>_xlfn.XLOOKUP($M2&amp;$B2,TD!$D:$D,TD!$AS:$AS,"")</f>
        <v>91.685000000000002</v>
      </c>
      <c r="CR2" s="90">
        <f>_xlfn.XLOOKUP($M2&amp;$B2,TD!$D:$D,TD!$AT:$AT,"")</f>
        <v>96.51</v>
      </c>
      <c r="CS2" s="90">
        <f>_xlfn.XLOOKUP($M2&amp;$B2,TD!$D:$D,TD!$AU:$AU,"")</f>
        <v>91.02</v>
      </c>
      <c r="CT2" s="90">
        <f>_xlfn.XLOOKUP($M2&amp;$B2,TD!$D:$D,TD!$T:$T,"")</f>
        <v>69.17</v>
      </c>
      <c r="CU2" s="90">
        <f>_xlfn.XLOOKUP($M2&amp;$B2,TD!$D:$D,TD!$AB:$AB,"")</f>
        <v>0.59</v>
      </c>
      <c r="CV2" s="90">
        <f>_xlfn.XLOOKUP($M2&amp;$B2,TD!$D:$D,TD!$X:$X,"")</f>
        <v>0.46</v>
      </c>
      <c r="CW2" s="90">
        <f>_xlfn.XLOOKUP($M2&amp;$B2,TD!$D:$D,TD!$R:$R,"")</f>
        <v>74.099999999999994</v>
      </c>
      <c r="CX2" s="90">
        <f>_xlfn.XLOOKUP($M2&amp;$B2,TD!$D:$D,TD!$Q:$Q,"")</f>
        <v>96.4</v>
      </c>
      <c r="CY2" s="90">
        <f>_xlfn.XLOOKUP($O2&amp;$B2,TL!$D:$D,TL!$L:$L,"")</f>
        <v>95.76</v>
      </c>
      <c r="CZ2" s="90">
        <f>_xlfn.XLOOKUP($O2&amp;$B2,TL!$D:$D,TL!$M:$M,"")</f>
        <v>4.62</v>
      </c>
      <c r="DA2" s="90">
        <f>_xlfn.XLOOKUP($O2&amp;$B2,TL!$D:$D,TL!$N:$N,"")</f>
        <v>5.0700000000000002E-2</v>
      </c>
      <c r="DB2" s="90">
        <f>_xlfn.XLOOKUP($O2&amp;$B2,TL!$D:$D,TL!$O:$O,"")</f>
        <v>91.685000000000002</v>
      </c>
      <c r="DC2" s="90">
        <f>_xlfn.XLOOKUP($O2&amp;$B2,TL!$D:$D,TL!$P:$P,"")</f>
        <v>96.51</v>
      </c>
      <c r="DD2" s="90">
        <f>_xlfn.XLOOKUP($O2&amp;$B2,TL!$D:$D,TL!$Q:$Q,"")</f>
        <v>91.02</v>
      </c>
      <c r="DE2" s="90">
        <f>_xlfn.XLOOKUP($O2&amp;$B2,TL!$D:$D,TL!$S:$S,"")</f>
        <v>69.17</v>
      </c>
      <c r="DF2" s="90">
        <f>_xlfn.XLOOKUP($O2&amp;$B2,TL!$D:$D,TL!$H:$H,"")</f>
        <v>0.59</v>
      </c>
      <c r="DG2" s="90">
        <f ca="1">_xlfn.XLOOKUP($R2&amp;$C2,Y!$D:$D,Y!$K:$K,"")</f>
        <v>95.76</v>
      </c>
      <c r="DH2" s="90">
        <f ca="1">_xlfn.XLOOKUP($R2&amp;$C2,Y!$D:$D,Y!$L:$L,"")</f>
        <v>4.62</v>
      </c>
      <c r="DI2" s="90">
        <f ca="1">_xlfn.XLOOKUP($R2&amp;$C2,Y!$D:$D,Y!$M:$M,"")</f>
        <v>5.0700000000000002E-2</v>
      </c>
      <c r="DJ2" s="90">
        <f ca="1">_xlfn.XLOOKUP($R2&amp;$C2,Y!$D:$D,Y!$N:$N,"")</f>
        <v>91.54</v>
      </c>
      <c r="DK2" s="90">
        <f ca="1">_xlfn.XLOOKUP($R2&amp;$C2,Y!$D:$D,Y!$O:$O,"")</f>
        <v>96.51</v>
      </c>
      <c r="DL2" s="90">
        <f ca="1">_xlfn.XLOOKUP($R2&amp;$C2,Y!$D:$D,Y!$P:$P,"")</f>
        <v>91.02</v>
      </c>
      <c r="DM2" s="90">
        <f ca="1">IF(Dash!$AB$24="Y",MA!DG2,MA!CY2)</f>
        <v>95.76</v>
      </c>
      <c r="DN2" s="90">
        <f ca="1">IF(Dash!$AB$24="Y",MA!DH2,MA!CZ2)</f>
        <v>4.62</v>
      </c>
      <c r="DO2" s="90">
        <f ca="1">IF(Dash!$AB$24="Y",MA!DI2,MA!DA2)</f>
        <v>5.0700000000000002E-2</v>
      </c>
      <c r="DP2" s="90">
        <f ca="1">IF(Dash!$AB$24="Y",MA!DJ2,MA!DB2)</f>
        <v>91.685000000000002</v>
      </c>
      <c r="DQ2" s="90">
        <f ca="1">IF(Dash!$AB$24="Y",MA!DK2,MA!DC2)</f>
        <v>96.51</v>
      </c>
      <c r="DR2" s="90">
        <f ca="1">IF(Dash!$AB$24="Y",MA!DL2,MA!DD2)</f>
        <v>91.02</v>
      </c>
      <c r="DS2" s="90">
        <f ca="1">IF(Dash!$AB$24="Y",DE2,CT2)</f>
        <v>69.17</v>
      </c>
      <c r="DT2" s="90">
        <f ca="1">IF(Dash!$AB$24="Y",DF2,CU2)</f>
        <v>0.59</v>
      </c>
      <c r="DU2" s="90">
        <f>_xlfn.XLOOKUP($M2&amp;$B2,TD!$D:$D,TD!$L:$L,"")</f>
        <v>0</v>
      </c>
      <c r="DV2" s="90">
        <f>_xlfn.XLOOKUP($M2&amp;$B2,TD!$D:$D,TD!$P:$P,"")</f>
        <v>0</v>
      </c>
      <c r="DW2" s="215" t="str">
        <f t="shared" ref="DW2:DW3" si="50">IF(_xlfn.IFNA(DU2,"")=0,"",(D2-DU2)*100/(DV2-DU2))</f>
        <v/>
      </c>
      <c r="DX2" s="90">
        <f>_xlfn.XLOOKUP(B2,RR!F:F,RR!H:H,0)</f>
        <v>0</v>
      </c>
      <c r="DY2" s="90">
        <f>_xlfn.XLOOKUP(B2,RR!F:F,RR!I:I,0)</f>
        <v>0</v>
      </c>
      <c r="DZ2" s="90" t="str">
        <f t="shared" ref="DZ2:DZ3" si="51">IF(_xlfn.IFNA(DX2,"")=0,"",(D2-DX2)*100/(DY2-DX2))</f>
        <v/>
      </c>
      <c r="EA2" s="90" t="str">
        <f>_xlfn.XLOOKUP(U2&amp;B2,etf!A:A,etf!E:E,"")</f>
        <v/>
      </c>
      <c r="EB2" s="90" t="str">
        <f>_xlfn.XLOOKUP(U2&amp;B2,etf!A:A,etf!F:F,"")</f>
        <v/>
      </c>
      <c r="EC2" s="90" cm="1">
        <f t="array" ref="EC2">_xlfn.IFS(DX2&lt;&gt;0,DX2,TRUE,DU2)</f>
        <v>0</v>
      </c>
      <c r="ED2" s="90" cm="1">
        <f t="array" ref="ED2">_xlfn.IFS(DY2&lt;&gt;0,DY2,TRUE,DV2)</f>
        <v>0</v>
      </c>
      <c r="EE2" s="215" t="str">
        <f t="shared" ref="EE2:EE3" si="52">IF(_xlfn.IFNA(EC2,"")=0,"",(D2-EC2)*100/(ED2-EC2))</f>
        <v/>
      </c>
      <c r="EF2" s="90">
        <f t="shared" ref="EF2:EF3" si="53">CN2</f>
        <v>95.76</v>
      </c>
      <c r="EG2" s="90">
        <f t="shared" ref="EG2:EG3" si="54">CQ2</f>
        <v>91.685000000000002</v>
      </c>
      <c r="EH2" s="90">
        <f t="shared" ref="EH2:EH3" si="55">CR2</f>
        <v>96.51</v>
      </c>
      <c r="EI2" s="90">
        <f t="shared" ref="EI2:EI3" si="56">CS2</f>
        <v>91.02</v>
      </c>
      <c r="EJ2" s="90">
        <f t="shared" ref="EJ2:EJ3" ca="1" si="57">DP2</f>
        <v>91.685000000000002</v>
      </c>
      <c r="EK2" s="90">
        <f t="shared" ref="EK2:EK3" ca="1" si="58">DQ2</f>
        <v>96.51</v>
      </c>
      <c r="EL2" s="90">
        <f t="shared" ref="EL2:EL3" ca="1" si="59">DR2</f>
        <v>91.02</v>
      </c>
      <c r="EM2" s="218">
        <f t="shared" ref="EM2:EM3" ca="1" si="60">CA2</f>
        <v>1.0694444444444444</v>
      </c>
      <c r="EN2" s="215" cm="1">
        <f t="array" aca="1" ref="EN2" ca="1">_xlfn.IFS(CA2&gt;1,2,CA2&gt;0,1,CA2&lt;-1,-2,CA2&lt;0,-1,TRUE,0)</f>
        <v>2</v>
      </c>
      <c r="EO2" s="90">
        <f t="shared" ref="EO2:EO3" ca="1" si="61">(ED2-IF(EH2&gt;EK2,EH2,EK2))/AC2</f>
        <v>-22.340277777777779</v>
      </c>
      <c r="EP2" s="90">
        <f t="shared" ref="EP2:EP3" ca="1" si="62">(IF(EI2&lt;EL2,EI2,EL2)-EC2)/AC2</f>
        <v>21.069444444444443</v>
      </c>
      <c r="EQ2" s="218">
        <f t="shared" ref="EQ2:EQ3" si="63">(ED2-AE2)/AC2</f>
        <v>-20.18287037037037</v>
      </c>
      <c r="ER2" s="218">
        <f t="shared" ref="ER2:ER3" si="64">(EC2-AF2)/AC2</f>
        <v>-17.828703703703702</v>
      </c>
      <c r="ES2" s="218">
        <f t="shared" ref="ES2:ES3" ca="1" si="65">(DQ2-ED2)/AC2</f>
        <v>22.340277777777779</v>
      </c>
      <c r="ET2" s="218">
        <f t="shared" ref="ET2:ET3" ca="1" si="66">(DM2-((ED2+EC2)/2))/AC2</f>
        <v>22.166666666666668</v>
      </c>
      <c r="EU2" s="218">
        <f t="shared" ref="EU2:EU3" ca="1" si="67">(DR2-EC2)/AC2</f>
        <v>21.069444444444443</v>
      </c>
      <c r="EV2" s="90">
        <f>_xlfn.XLOOKUP($M2&amp;$B2,TD!$D:$D,TD!$I:$I,"")</f>
        <v>0</v>
      </c>
      <c r="EW2" s="90">
        <f>_xlfn.XLOOKUP($M2&amp;$B2,TD!$D:$D,TD!$J:$J,"")</f>
        <v>0</v>
      </c>
      <c r="EX2" s="90">
        <f>_xlfn.XLOOKUP($M2&amp;$B2,TD!$D:$D,TD!$K:$K,"")</f>
        <v>0</v>
      </c>
      <c r="EY2" s="90">
        <f t="shared" ref="EY2:EY3" si="68">IF(AND(DU2&gt;EW2,EW2&gt;EV2,(DU2-EV2)&gt;=AC2),1,IF(AND(DU2&lt;EW2,EW2&lt;EV2,(EV2-DU2)&gt;=AC2),-1,0))</f>
        <v>0</v>
      </c>
      <c r="EZ2" s="90">
        <f>_xlfn.XLOOKUP($M2&amp;$B2,TD!$D:$D,TD!$M:$M,"")</f>
        <v>0</v>
      </c>
      <c r="FA2" s="90">
        <f>_xlfn.XLOOKUP($M2&amp;$B2,TD!$D:$D,TD!$N:$N,"")</f>
        <v>0</v>
      </c>
      <c r="FB2" s="90">
        <f>_xlfn.XLOOKUP($M2&amp;$B2,TD!$D:$D,TD!$O:$O,"")</f>
        <v>0</v>
      </c>
      <c r="FC2" s="90">
        <f t="shared" ref="FC2:FC3" si="69">IF(AND(DV2&gt;FA2,FA2&gt;EZ2,(DV2-EZ2)&gt;=AC2),1,IF(AND(DV2&lt;FA2,FA2&lt;EZ2,(EZ2-DV2)&gt;=AC2),-1,0))</f>
        <v>0</v>
      </c>
      <c r="FD2" s="90" cm="1">
        <f t="array" ref="FD2">_xlfn.IFS(EW2=0,0,AND(EY2&gt;=1,FC2&gt;=1),3,OR(AND(EY2&gt;=0,FC2&gt;=1),AND(EY2&gt;=1,FC2&gt;=0)),2,AND(EY2&lt;=-1,FC2&lt;=-1),-3,OR(AND(EY2&lt;=0,FC2&lt;=-1),AND(EY2&lt;=-1,FC2&lt;=0)),-2,TRUE,0)</f>
        <v>0</v>
      </c>
      <c r="FE2" s="90" cm="1">
        <f t="array" aca="1" ref="FE2" ca="1">_xlfn.IFS(AND(CB2&gt;=3,QJ2&gt;=3,FD2&gt;=3),3,AND(CB2&gt;=3,QJ2&gt;=3,FD2&gt;=2),2,AND(CB2&lt;=-3,QJ2&lt;=-3,FD2&lt;=-3),-3,AND(CB2&lt;=-3,QJ2&lt;=-3,FD2&lt;=-2),-2,TRUE,0)</f>
        <v>0</v>
      </c>
      <c r="FF2" s="218">
        <f>_xlfn.XLOOKUP($N2&amp;$B2,TW!$D:$D,TW!$AQ:$AQ,"")</f>
        <v>-200443.44</v>
      </c>
      <c r="FG2" s="90">
        <f t="shared" ref="FG2:FG3" si="70">ABS(_xlfn.NUMBERVALUE(SUBSTITUTE(FF2,"NaN",0)))</f>
        <v>200443.44</v>
      </c>
      <c r="FH2" s="90" t="str">
        <f t="shared" ref="FH2:FH3" si="71">RIGHT("0000000000" &amp; FG2 &amp; REPT("0",9-LEN(FG2)),10)</f>
        <v>0200443.44</v>
      </c>
      <c r="FI2" s="90">
        <f t="shared" ref="FI2:FI3" si="72">_xlfn.NUMBERVALUE(LEFT(FH2,2))</f>
        <v>2</v>
      </c>
      <c r="FJ2" s="90">
        <f t="shared" ref="FJ2:FJ3" si="73">_xlfn.NUMBERVALUE(MID(FH2,3,3))</f>
        <v>4</v>
      </c>
      <c r="FK2" s="90">
        <f t="shared" ref="FK2:FK3" ca="1" si="74">SIGN(SUBSTITUTE(FF2,"NaN",0)) * FJ2/(AD2*100)</f>
        <v>-0.88666666666666683</v>
      </c>
      <c r="FL2" s="90">
        <f t="shared" ref="FL2:FL3" si="75">_xlfn.NUMBERVALUE(MID(FH2,6,2))</f>
        <v>43</v>
      </c>
      <c r="FM2" s="90">
        <f t="shared" ref="FM2:FM3" si="76">_xlfn.NUMBERVALUE(RIGHT(FH2,2))</f>
        <v>44</v>
      </c>
      <c r="FN2" s="90" t="str">
        <f>_xlfn.XLOOKUP($M2&amp;$B2,TD!$D:$D,TD!$AL:$AL,"")</f>
        <v>IVPXtrm</v>
      </c>
      <c r="FO2" s="90" t="str">
        <f>_xlfn.XLOOKUP($M2&amp;$B2,TD!$D:$D,TD!$AK:$AK,"")</f>
        <v/>
      </c>
      <c r="FP2" s="90" t="str">
        <f>_xlfn.XLOOKUP(FO2,Parm!$BS$14:$BS$23,Parm!$BT$14:$BT$23,"")</f>
        <v/>
      </c>
      <c r="FQ2" s="90" t="str">
        <f>_xlfn.XLOOKUP(FO2,Parm!$BS$14:$BS$23,Parm!$BU$14:$BU$23,"")</f>
        <v/>
      </c>
      <c r="FR2" s="215">
        <f t="shared" ref="FR2:FR3" ca="1" si="77">IF(OR(DT2=0,CV2=0),0,DT2*100/CV2)</f>
        <v>128.26086956521738</v>
      </c>
      <c r="FS2" s="90">
        <f>_xlfn.XLOOKUP($O2&amp;$B2,TL!$D:$D,TL!$G:$G,"")</f>
        <v>6815835</v>
      </c>
      <c r="FT2" s="90">
        <f>_xlfn.XLOOKUP($N2&amp;$B2,TW!$D:$D,TW!$K:$K,"")</f>
        <v>6815835</v>
      </c>
      <c r="FU2" s="90">
        <f>IF(Dash!$AB$25="Y",FS2,FT2)</f>
        <v>6815835</v>
      </c>
      <c r="FV2" s="215">
        <f>_xlfn.XLOOKUP($N2&amp;$B2,TW!$D:$D,TW!$AT:$AT,"")</f>
        <v>38.549999999999997</v>
      </c>
      <c r="FW2" s="215">
        <f>_xlfn.XLOOKUP($N2&amp;$B2,TW!$D:$D,TW!$L:$L,"")</f>
        <v>4431087.34</v>
      </c>
      <c r="FX2" s="250">
        <f t="shared" ref="FX2:FX3" si="78">IF(OR(FU2=0,FU2="",FW2=0,FW2=""),0,(FU2-FW2)/FW2)</f>
        <v>0.53818565896288573</v>
      </c>
      <c r="FY2" s="218">
        <f t="shared" ref="FY2:FY3" si="79">100*FX2</f>
        <v>53.818565896288575</v>
      </c>
      <c r="FZ2" s="215">
        <f>_xlfn.XLOOKUP($N2&amp;$B2,TW!$D:$D,TW!$M:$M,"")</f>
        <v>4379189.87</v>
      </c>
      <c r="GA2" s="250">
        <f t="shared" ref="GA2:GA3" si="80">IF(OR(FU2=0,FU2="",FZ2=0,FZ2=""),0,(FU2-FZ2)/FZ2)</f>
        <v>0.55641458861887616</v>
      </c>
      <c r="GB2" s="218">
        <f t="shared" ref="GB2:GB3" si="81">GA2*100</f>
        <v>55.641458861887614</v>
      </c>
      <c r="GC2" s="90" cm="1">
        <f t="array" ref="GC2">_xlfn.IFS(
AND(FX2&gt;0.5,GA2&gt;0.3,FV2&gt;20),2,
AND(FX2&gt;0.2,GA2&gt;0.1),1,
AND(FX2&lt;-0.2,GA2&lt;-0.1,FV2&lt;0),-2,
AND(FX2&lt;0,GA2&lt;0),-1,
TRUE,0
)</f>
        <v>2</v>
      </c>
      <c r="GD2" s="90" t="str">
        <f>_xlfn.XLOOKUP(GC2,Parm!$BP$2:$BP$7,Parm!$BQ$2:$BQ$7,"Unknown")</f>
        <v>&gt;avg+Accl</v>
      </c>
      <c r="GE2" s="90" t="str">
        <f>_xlfn.XLOOKUP($N2&amp;$B2,TW!$D:$D,TW!$U:$U,"")</f>
        <v/>
      </c>
      <c r="GF2" s="90" t="str">
        <f>_xlfn.XLOOKUP(GE2,Parm!$BS$2:$BS$11,Parm!$BT$2:$BT$11,"")</f>
        <v/>
      </c>
      <c r="GG2" s="90" t="str">
        <f>_xlfn.XLOOKUP(GE2,Parm!$BS$2:$BS$11,Parm!$BU$2:$BU$11,"")</f>
        <v/>
      </c>
      <c r="GH2" s="90" cm="1">
        <f t="array" aca="1" ref="GH2" ca="1">_xlfn.IFS(
ABS(EM2)&gt;=3,3,
ABS(EM2)&gt;=2,2,
ABS(EM2)&gt;=1,1,
TRUE,0
)</f>
        <v>1</v>
      </c>
      <c r="GI2" s="90" t="str">
        <f ca="1">_xlfn.XLOOKUP(GH2,Parm!$BP$28:$BP$32,Parm!$BQ$28:$BQ$32,"")</f>
        <v>Norm vlt</v>
      </c>
      <c r="GJ2" s="90" cm="1">
        <f t="array" aca="1" ref="GJ2" ca="1">_xlfn.IFS(
EM2&gt;=3,3,
EM2&gt;=1.5,2,
EM2&gt;=0.5,1,
EM2&gt;-0.5,0,
EM2&gt;-1.5,-1,
EM2&gt;-2.5,-2,
TRUE,-3
)</f>
        <v>1</v>
      </c>
      <c r="GK2" s="90" t="str">
        <f ca="1">_xlfn.XLOOKUP(GJ2,Parm!$BP$8:$BP$15,Parm!$BQ$8:$BQ$15,"")</f>
        <v>Mild up day</v>
      </c>
      <c r="GL2" s="90" cm="1">
        <f t="array" aca="1" ref="GL2" ca="1">_xlfn.IFS(
AND(BY2&gt;0,EM2&gt;CA2),2,
AND(BY2&gt;0,EM2&lt;=CA2),1,
AND(BY2&lt;0,EM2&lt;CA2),-2,
AND(BY2&lt;0,EM2&gt;=CA2),-1,
TRUE,0
)</f>
        <v>1</v>
      </c>
      <c r="GM2" s="90" t="str">
        <f ca="1">_xlfn.XLOOKUP(GL2,Parm!$BP$16:$BP$21,Parm!$BQ$16:$BQ$21,"")</f>
        <v>PuBk in up tn</v>
      </c>
      <c r="GN2" s="90" cm="1">
        <f t="array" aca="1" ref="GN2" ca="1">_xlfn.IFS(
EM2&gt;=CA2*1.1,2,
EM2&gt;CA2,1,
EM2&lt;=CA2*0.9,-2,
EM2&lt;CA2,-1,
TRUE,0
)</f>
        <v>0</v>
      </c>
      <c r="GO2" s="90" t="str">
        <f ca="1">_xlfn.XLOOKUP(GN2,Parm!$BP$22:$BP$27,Parm!$BQ$22:$BQ$27,"")</f>
        <v>Stbl vs yday</v>
      </c>
      <c r="GP2" s="90">
        <f t="shared" ref="GP2:GP3" ca="1" si="82">SIGN(BV2)*1+SIGN(BT2)*2+SIGN(BR2)*3+SIGN(BP2)*4</f>
        <v>10</v>
      </c>
      <c r="GQ2" s="90" cm="1">
        <f t="array" aca="1" ref="GQ2" ca="1">_xlfn.IFS(GP2&gt;=6,2,GP2&gt;=2,1,GP2&gt;-2,0,GP2&gt;-6,-1,GP2,-2)</f>
        <v>2</v>
      </c>
      <c r="GR2" s="90" t="str">
        <f ca="1">_xlfn.XLOOKUP(GQ2,Parm!$BP$33:$BP$38,Parm!$BQ$33:$BQ$38,"")</f>
        <v>Strng bull</v>
      </c>
      <c r="GS2" s="90" cm="1">
        <f t="array" aca="1" ref="GS2" ca="1">_xlfn.IFS(
AND(GJ2&lt;=-3,GC2&gt;=1,GH2&gt;=2),1,
AND(GJ2&lt;=-3,GC2=2,GN2&gt;=1),2,
AND(GJ2&gt;=3,GC2=2,GH2=3),3,
AND(GJ2&gt;=3,GC2&gt;=1,GH2&gt;=2),4,
AND(GJ2&gt;=2,GL2&lt;=-1,GN2&lt;=-1,GC2&gt;=1),5,
AND(GJ2&gt;=2,GC2=2,GL2&gt;=1,GN2&gt;=1),6,
AND(GJ2&gt;=2,GC2&gt;=1,GL2&gt;=0),7,
AND(GJ2=1,GL2&lt;=-1,GC2&gt;=0),8,
AND(GJ2=1,GC2&lt;=-1),9,
AND(GJ2=0,GC2=2,GL2&gt;=0),10,
AND(GJ2=-1,GL2&gt;=1,GC2&gt;=0),11,
AND(GJ2&lt;=-2,GL2&gt;=1,GC2&gt;=-1),12,
AND(GJ2=0,GC2&lt;=-1,GH2&lt;=1),13,
TRUE,14
)</f>
        <v>14</v>
      </c>
      <c r="GT2" s="90">
        <f ca="1">_xlfn.XLOOKUP(GS2,Parm!$CI$2:$CI$15,Parm!$CK$2:$CK$15,"")</f>
        <v>0</v>
      </c>
      <c r="GU2" s="90" t="str">
        <f ca="1">_xlfn.XLOOKUP(GS2,Parm!$CI$2:$CI$15,Parm!$CJ$2:$CJ$15,"")</f>
        <v xml:space="preserve"> </v>
      </c>
      <c r="GV2" s="90" cm="1">
        <f t="array" aca="1" ref="GV2" ca="1">_xlfn.IFS(
AND(GQ2&lt;=-2,GT2&gt;0),ROUND(GT2*0.4,0),
AND(GQ2&gt;=2,GT2&lt;0),ROUND(GT2*0.4,0),
AND(GQ2&lt;=-1,GT2&gt;0),ROUND(GT2*0.7,0),
AND(GQ2&gt;=1,GT2&lt;0),ROUND(GT2*0.7,0),
TRUE,GT2
)</f>
        <v>0</v>
      </c>
      <c r="GW2" s="90">
        <f ca="1">_xlfn.XLOOKUP(GV2,Parm!$CM$2:$CM$13,Parm!$CN$2:$CN$13,"")</f>
        <v>0</v>
      </c>
      <c r="GX2" s="90">
        <f>_xlfn.XLOOKUP($P2&amp;$B2,TO!$D:$D,TO!K:K,"")</f>
        <v>1.5</v>
      </c>
      <c r="GY2" s="90">
        <f>_xlfn.XLOOKUP($P2&amp;$B2,TO!$D:$D,TO!G:G,"")</f>
        <v>26765000000</v>
      </c>
      <c r="GZ2" s="90">
        <f>_xlfn.XLOOKUP($P2&amp;$B2,TO!$D:$D,TO!M:M,"")</f>
        <v>0.31119999999999998</v>
      </c>
      <c r="HA2" s="90">
        <f>_xlfn.XLOOKUP($P2&amp;$B2,TO!$D:$D,TO!N:N,"")</f>
        <v>14.896000000000001</v>
      </c>
      <c r="HB2" s="90">
        <f>_xlfn.XLOOKUP($P2&amp;$B2,TO!$D:$D,TO!O:O,"")</f>
        <v>2.7749999999999999</v>
      </c>
      <c r="HC2" s="90">
        <f>_xlfn.XLOOKUP($P2&amp;$B2,TO!$D:$D,TO!P:P,"")</f>
        <v>20.274999999999999</v>
      </c>
      <c r="HD2" s="90">
        <f>_xlfn.XLOOKUP($P2&amp;$B2,TO!$D:$D,TO!Q:Q,"")</f>
        <v>6.18</v>
      </c>
      <c r="HE2" s="90" t="str">
        <f>_xlfn.XLOOKUP($P2&amp;$B2,TO!$D:$D,TO!R:R,"")</f>
        <v>&lt;empty&gt;</v>
      </c>
      <c r="HF2" s="90" t="str">
        <f>_xlfn.XLOOKUP($P2&amp;$B2,TO!$D:$D,TO!S:S,"")</f>
        <v>Information Technology</v>
      </c>
      <c r="HG2" s="90">
        <f>_xlfn.XLOOKUP($P2&amp;$B2,TO!$D:$D,TO!T:T,"")</f>
        <v>6.4</v>
      </c>
      <c r="HH2" s="90" t="str">
        <f>_xlfn.XLOOKUP(C2,Sctr!A$2:A$1000,Sctr!I$2:I$1000,"")</f>
        <v>Equities</v>
      </c>
      <c r="HI2" s="90" t="str">
        <f>_xlfn.XLOOKUP(C2,Sctr!A$2:A$1000,Sctr!K$2:K$1000,"")</f>
        <v>Information Technology</v>
      </c>
      <c r="HJ2" s="90" t="str">
        <f t="shared" ref="HJ2:HJ3" si="83">IF(HF2=0,HI2,HF2)</f>
        <v>Information Technology</v>
      </c>
      <c r="HK2" s="90" t="str">
        <f>_xlfn.XLOOKUP(C2,Sctr!A:A,Sctr!J:J,"")</f>
        <v>Software/Tech</v>
      </c>
      <c r="HL2" s="90" t="str">
        <f>_xlfn.XLOOKUP(C2,Sctr!A:A,Sctr!C:C,"")</f>
        <v>Software</v>
      </c>
      <c r="HM2" s="90" t="str" cm="1">
        <f t="array" ref="HM2">_xlfn.IFS(
OR(HJ2="",HJ2="&lt;empty&gt;"),"N/A",
OR(HJ2="Consumer Staples",HJ2="Utilities",HJ2="Health Care"),"Defensives",
OR(HJ2="Information Technology",HJ2="Communication Services"),"Secular",
TRUE,"Cyclical"
)</f>
        <v>Secular</v>
      </c>
      <c r="HN2" s="90" t="str" cm="1">
        <f t="array" ref="HN2">_xlfn.IFS(
AND(ISNUMBER(GX2),GX2&lt;0.75,ISNUMBER(HE2),HE2&gt;2.5,ISNUMBER(GZ2),GZ2&lt;40),"Defensives",
AND(ISNUMBER(GX2),GX2&gt;=0.8,GX2&lt;=1.3,ISNUMBER(HA2),HA2&gt;15,ISNUMBER(HG2),HG2&gt;0),"Secular",
TRUE,"Cyclical"
)</f>
        <v>Cyclical</v>
      </c>
      <c r="HO2" s="90" t="str">
        <f t="shared" ref="HO2:HO3" si="84">IF(HM2=HN2,HM2,"N/A")</f>
        <v>N/A</v>
      </c>
      <c r="HP2" s="90" t="str" cm="1">
        <f t="array" ref="HP2">_xlfn.IFS(GY2=0,"N/A",GY2="","N/A",GY2&lt;2000000000,"Small Caps",GY2&lt;=10000000000,"Mid Caps",TRUE,"Size")</f>
        <v>Size</v>
      </c>
      <c r="HQ2" s="90" t="str" cm="1">
        <f t="array" ref="HQ2">_xlfn.IFS(GZ2="&lt;empty&gt;","N/A",GZ2&lt;50,"Low Leverage",TRUE,"High Leverage")</f>
        <v>Low Leverage</v>
      </c>
      <c r="HR2" s="90" t="str" cm="1">
        <f t="array" ref="HR2">_xlfn.IFS(AND(HA2&lt;&gt;"",HA2&lt;&gt;"&lt;empty&gt;",HB2&lt;&gt;"",HB2&lt;&gt;"&lt;empty&gt;",HA2&gt;0,HA2&lt;15,HB2&gt;0,HB2&lt;3),"Value",TRUE,"N/A")</f>
        <v>Value</v>
      </c>
      <c r="HS2" s="90" t="str" cm="1">
        <f t="array" ref="HS2">_xlfn.IFS(AND(HC2&lt;&gt;"",HC2&lt;&gt;"&lt;empty&gt;",HG2&lt;&gt;"",HG2&lt;&gt;"&lt;empty&gt;",HC2&gt;=15,HG2&gt;0),"Quality",TRUE,"N/A")</f>
        <v>Quality</v>
      </c>
      <c r="HT2" s="90" t="str" cm="1">
        <f t="array" ref="HT2">_xlfn.IFS(OR(HE2="",HE2="&lt;empty&gt;",HE2=0),"N/A",HE2&gt;=3,"Dividend",TRUE,"N/A")</f>
        <v>N/A</v>
      </c>
      <c r="HU2" s="90">
        <f t="shared" ref="HU2:HU3" ca="1" si="85">0.15*BQ2 + 0.2*BS2 + 0.2*BU2 + 0.2*BW2 + 0.15*BY2 + 5*((D2-CF2)/CF2) + 5*((D2-CG2)/CG2)</f>
        <v>4.2829768254413052</v>
      </c>
      <c r="HV2" s="90" t="str">
        <f t="shared" ref="HV2:HV3" ca="1" si="86">IF(HU2&gt;2.2,"Momentum","N/A")</f>
        <v>Momentum</v>
      </c>
      <c r="HW2" s="90" t="str" cm="1">
        <f t="array" ref="HW2">_xlfn.IFS(GX2="","N/A", GX2="&lt;empty&gt;","N/A", GX2&gt;1.2, "High Beta", TRUE, "Low Beta")</f>
        <v>High Beta</v>
      </c>
      <c r="HX2" s="90">
        <f>_xlfn.XLOOKUP(HO2,HQuad!$B$24:$B$39,HQuad!$J$24:$J$39,"")</f>
        <v>0</v>
      </c>
      <c r="HY2" s="90">
        <f>_xlfn.XLOOKUP(HP2,HQuad!$B$24:$B$39,HQuad!$J$24:$J$39,"")</f>
        <v>0</v>
      </c>
      <c r="HZ2" s="90">
        <f>_xlfn.XLOOKUP(HQ2,HQuad!$B$24:$B$39,HQuad!$J$24:$J$39,"")</f>
        <v>0</v>
      </c>
      <c r="IA2" s="90">
        <f>_xlfn.XLOOKUP(HR2,HQuad!$B$24:$B$39,HQuad!$J$24:$J$39,"")</f>
        <v>-3</v>
      </c>
      <c r="IB2" s="90">
        <f>_xlfn.XLOOKUP(HS2,HQuad!$B$24:$B$39,HQuad!$J$24:$J$39,"")</f>
        <v>3</v>
      </c>
      <c r="IC2" s="90">
        <f>_xlfn.XLOOKUP(HT2,HQuad!$B$24:$B$39,HQuad!$J$24:$J$39,"")</f>
        <v>0</v>
      </c>
      <c r="ID2" s="90">
        <f ca="1">_xlfn.XLOOKUP(HV2,HQuad!$B$24:$B$39,HQuad!$J$24:$J$39,0)</f>
        <v>3</v>
      </c>
      <c r="IE2" s="90">
        <f>_xlfn.XLOOKUP(HW2,HQuad!$B$24:$B$39,HQuad!$J$24:$J$39,"")</f>
        <v>0</v>
      </c>
      <c r="IF2" s="90">
        <f>_xlfn.XLOOKUP(HH2,HQuad!$B$2:$B$9,HQuad!$J$2:$J$9,"")</f>
        <v>0</v>
      </c>
      <c r="IG2" s="90">
        <f>IF(HH2="Equities",_xlfn.XLOOKUP(HJ2,HQuad!$B$10:$B$23,HQuad!$J$10:$J$23,""),IF2)</f>
        <v>3</v>
      </c>
      <c r="IH2" s="90">
        <f t="shared" ref="IH2:IH3" ca="1" si="87">COUNTIF(HX2:IE2,"&gt;0")</f>
        <v>2</v>
      </c>
      <c r="II2" s="90">
        <f t="shared" ref="II2:II3" ca="1" si="88">COUNTIF(HX2:IE2,"&lt;0")</f>
        <v>1</v>
      </c>
      <c r="IJ2" s="90">
        <f>_xlfn.XLOOKUP(HO2,HQuad!$B$24:$B$39,HQuad!$L$24:$L$39,"")</f>
        <v>0</v>
      </c>
      <c r="IK2" s="90">
        <f>_xlfn.XLOOKUP(HP2,HQuad!$B$24:$B$39,HQuad!$L$24:$L$39,"")</f>
        <v>0</v>
      </c>
      <c r="IL2" s="90">
        <f>_xlfn.XLOOKUP(HQ2,HQuad!$B$24:$B$39,HQuad!$L$24:$L$39,"")</f>
        <v>0</v>
      </c>
      <c r="IM2" s="90">
        <f>_xlfn.XLOOKUP(HR2,HQuad!$B$24:$B$39,HQuad!$L$24:$L$39,"")</f>
        <v>-3</v>
      </c>
      <c r="IN2" s="90">
        <f>_xlfn.XLOOKUP(HS2,HQuad!$B$24:$B$39,HQuad!$L$24:$L$39,"")</f>
        <v>0</v>
      </c>
      <c r="IO2" s="90">
        <f>_xlfn.XLOOKUP(HT2,HQuad!$B$24:$B$39,HQuad!$L$24:$L$39,"")</f>
        <v>0</v>
      </c>
      <c r="IP2" s="90">
        <f ca="1">_xlfn.XLOOKUP(HV2,HQuad!$B$24:$B$39,HQuad!$L$24:$L$39,0)</f>
        <v>3</v>
      </c>
      <c r="IQ2" s="90">
        <f>_xlfn.XLOOKUP(HW2,HQuad!$B$24:$B$39,HQuad!$L$24:$L$39,"")</f>
        <v>3</v>
      </c>
      <c r="IR2" s="90">
        <f>_xlfn.XLOOKUP(HH2,HQuad!$B$2:$B$9,HQuad!$L$2:$L$9,"")</f>
        <v>3</v>
      </c>
      <c r="IS2" s="90">
        <f>IF(HH2="Equities",_xlfn.XLOOKUP(HJ2,HQuad!$B$10:$B$23,HQuad!$L$10:$L$23,""),IR2)</f>
        <v>3</v>
      </c>
      <c r="IT2" s="90">
        <f t="shared" ref="IT2:IT3" ca="1" si="89">COUNTIF(IJ2:IQ2,"&gt;0")</f>
        <v>2</v>
      </c>
      <c r="IU2" s="90">
        <f t="shared" ref="IU2:IU3" ca="1" si="90">COUNTIF(IJ2:IQ2,"&lt;0")</f>
        <v>1</v>
      </c>
      <c r="IV2" s="248">
        <f>IF(_xlfn.XLOOKUP(C2,Sctr!A:A,Sctr!D:D,"")="Y",Dash!$S$2,0)</f>
        <v>0</v>
      </c>
      <c r="IW2" s="248" t="str">
        <f>IF(_xlfn.XLOOKUP(C2,Sctr!A:A,Sctr!E:E,"")="Y",Dash!$S$5,0)</f>
        <v/>
      </c>
      <c r="IX2" s="248">
        <f>IF(_xlfn.XLOOKUP(C2,Sctr!A:A,Sctr!F:F,"")="Y",Dash!$S$9,0)</f>
        <v>0</v>
      </c>
      <c r="IY2" s="248">
        <f>IF(_xlfn.XLOOKUP(C2,Sctr!A:A,Sctr!G:G,"")="Y",Dash!$S$4,0)</f>
        <v>0</v>
      </c>
      <c r="IZ2" s="90">
        <f>_xlfn.XLOOKUP($N2&amp;$B2,TW!$D:$D,TW!$G:$G,"")</f>
        <v>6.4</v>
      </c>
      <c r="JA2" s="90" t="str">
        <f t="shared" ref="JA2:JA3" si="91">C2</f>
        <v>ZM</v>
      </c>
      <c r="JB2" s="215">
        <f>_xlfn.XLOOKUP($N2&amp;$B2,TW!$D:$D,TW!$X:$X,"")</f>
        <v>16</v>
      </c>
      <c r="JC2" s="90">
        <f ca="1">_xlfn.XLOOKUP($R2&amp;$C2,Y!$D:$D,Y!$Q:$Q,"")</f>
        <v>1.7</v>
      </c>
      <c r="JD2" s="90" t="str">
        <f ca="1">_xlfn.XLOOKUP($R2&amp;$C2,Y!$D:$D,Y!$R:$R,"")</f>
        <v>260.232M</v>
      </c>
      <c r="JE2" s="90" t="str">
        <f ca="1">_xlfn.XLOOKUP($R2&amp;$C2,Y!$D:$D,Y!$S:$S,"")</f>
        <v>265.97M</v>
      </c>
      <c r="JG2" s="90">
        <f t="shared" ref="JG2:JG3" si="92">IF(CK2=0,-1,SIGN(CK2))</f>
        <v>1</v>
      </c>
      <c r="JH2" s="90">
        <f t="shared" ref="JH2:JH3" si="93">IF(CI2=0,-1,SIGN(CI2))</f>
        <v>1</v>
      </c>
      <c r="JI2" s="215">
        <f t="shared" ref="JI2:JI3" ca="1" si="94">AN2</f>
        <v>-1</v>
      </c>
      <c r="JJ2" s="215">
        <f t="shared" ref="JJ2:JJ3" si="95">IF(AX2=1,AW2,0)</f>
        <v>0</v>
      </c>
      <c r="JK2" s="215" cm="1">
        <f t="array" ref="JK2">_xlfn.IFS($AX2&gt;=_xlfn.XLOOKUP(AX$1,Trig!$B$4:$B$144,Trig!$D$4:$D$144,""), _xlfn.XLOOKUP(AX$1,Trig!$B$4:$B$144,Trig!$G$4:$G$144,""), $AX2&gt;=_xlfn.XLOOKUP(AX$1,Trig!$B$4:$B$144,Trig!$C$4:$C$144,""), _xlfn.XLOOKUP(AX$1,Trig!$B$4:$B$144,Trig!$F$4:$F$144,""), AX2&gt;=0, _xlfn.XLOOKUP(AX$1,Trig!$B$4:$B$144,Trig!$E$4:$E$144,""),
$AX2&lt;(-1)*_xlfn.XLOOKUP(AX$1,Trig!$B$4:$B$144,Trig!$D$4:$D$144,""), (-1)*_xlfn.XLOOKUP(AX$1,Trig!$B$4:$B$144,Trig!$G$4:$G$144,""), $AX2&lt;(-1)*_xlfn.XLOOKUP(AX$1,Trig!$B$4:$B$144,Trig!$C$4:$C$144,""), (-1) * _xlfn.XLOOKUP(AX$1,Trig!$B$4:$B$144,Trig!$F$4:$F$144,""), AX2&lt;0, (-1) * _xlfn.XLOOKUP(AX$1,Trig!$B$4:$B$144,Trig!$E$4:$E$144,""))</f>
        <v>3</v>
      </c>
      <c r="JL2" s="215" cm="1">
        <f t="array" ref="JL2">_xlfn.IFS($AX2&gt;=_xlfn.XLOOKUP(JL$1,Trig!$B$4:$B$144,Trig!$D$4:$D$144,""), _xlfn.XLOOKUP(JL$1,Trig!$B$4:$B$144,Trig!$G$4:$G$144,""), $AX2&gt;=_xlfn.XLOOKUP(JL$1,Trig!$B$4:$B$144,Trig!$C$4:$C$144,""), _xlfn.XLOOKUP(JL$1,Trig!$B$4:$B$144,Trig!$F$4:$F$144,""), AY2&gt;=0, _xlfn.XLOOKUP(JL$1,Trig!$B$4:$B$144,Trig!$E$4:$E$144,""),
$AX2&lt;(-1)*_xlfn.XLOOKUP(JL$1,Trig!$B$4:$B$144,Trig!$D$4:$D$144,""), (-1)*_xlfn.XLOOKUP(JL$1,Trig!$B$4:$B$144,Trig!$G$4:$G$144,""), $AX2&lt;(-1)*_xlfn.XLOOKUP(JL$1,Trig!$B$4:$B$144,Trig!$C$4:$C$144,""), (-1) * _xlfn.XLOOKUP(JL$1,Trig!$B$4:$B$144,Trig!$F$4:$F$144,""), AY2&lt;0, (-1) * _xlfn.XLOOKUP(JL$1,Trig!$B$4:$B$144,Trig!$E$4:$E$144,""))</f>
        <v>3</v>
      </c>
      <c r="JM2" s="90" cm="1">
        <f t="array" aca="1" ref="JM2" ca="1">_xlfn.IFS(AND(D2&gt;AF2,AF2&gt;MIN(EF2,J2)), 1, AND(MAX(EF2,I2)&gt;AF2,AF2&gt;D2), -1, TRUE,0)</f>
        <v>0</v>
      </c>
      <c r="JN2" s="90" cm="1">
        <f t="array" aca="1" ref="JN2" ca="1">_xlfn.IFS($AH2&gt;=_xlfn.XLOOKUP(AH$1,Trig!$B$4:$B$144,Trig!$D$4:$D$144,""), _xlfn.XLOOKUP(AH$1,Trig!$B$4:$B$144,Trig!$G$4:$G$144,""), $AH2&gt;=_xlfn.XLOOKUP(AH$1,Trig!$B$4:$B$144,Trig!$C$4:$C$144,""), _xlfn.XLOOKUP(AH$1,Trig!$B$4:$B$144,Trig!$F$4:$F$144,""), AH2&gt;=0, _xlfn.XLOOKUP(AH$1,Trig!$B$4:$B$144,Trig!$E$4:$E$144,""),
$AH2&lt;(-1)*_xlfn.XLOOKUP(AH$1,Trig!$B$4:$B$144,Trig!$D$4:$D$144,""), (-1)*_xlfn.XLOOKUP(AH$1,Trig!$B$4:$B$144,Trig!$G$4:$G$144,""), $AH2&lt;(-1)*_xlfn.XLOOKUP(AH$1,Trig!$B$4:$B$144,Trig!$C$4:$C$144,""), (-1) * _xlfn.XLOOKUP(AH$1,Trig!$B$4:$B$144,Trig!$F$4:$F$144,""), AH2&lt;0, (-1) * _xlfn.XLOOKUP(AH$1,Trig!$B$4:$B$144,Trig!$E$4:$E$144,""))</f>
        <v>2</v>
      </c>
      <c r="JO2" s="90">
        <f t="shared" ref="JO2:JO3" ca="1" si="96">(-1)*JN2</f>
        <v>-2</v>
      </c>
      <c r="JP2" s="90" cm="1">
        <f t="array" aca="1" ref="JP2" ca="1">_xlfn.IFS(AND(D2&gt;AE2,AE2&gt;MIN(BZ2,EF2,J2)), 1, AND(MAX(BZ2,EF2,I2)&gt;AE2,AE2&gt;D2), -1, TRUE,0)</f>
        <v>0</v>
      </c>
      <c r="JQ2" s="90" cm="1">
        <f t="array" aca="1" ref="JQ2" ca="1">_xlfn.IFS($AG2&gt;=_xlfn.XLOOKUP(AG$1,Trig!$B$4:$B$144,Trig!$D$4:$D$144,""), _xlfn.XLOOKUP(AG$1,Trig!$B$4:$B$144,Trig!$G$4:$G$144,""), $AG2&gt;=_xlfn.XLOOKUP(AG$1,Trig!$B$4:$B$144,Trig!$C$4:$C$144,""), _xlfn.XLOOKUP(AG$1,Trig!$B$4:$B$144,Trig!$F$4:$F$144,""), AG2&gt;=0, _xlfn.XLOOKUP(AG$1,Trig!$B$4:$B$144,Trig!$E$4:$E$144,""),
$AG2&lt;(-1)*_xlfn.XLOOKUP(AG$1,Trig!$B$4:$B$144,Trig!$D$4:$D$144,""), (-1)*_xlfn.XLOOKUP(AG$1,Trig!$B$4:$B$144,Trig!$G$4:$G$144,""), $AG2&lt;(-1)*_xlfn.XLOOKUP(AG$1,Trig!$B$4:$B$144,Trig!$C$4:$C$144,""), (-1) * _xlfn.XLOOKUP(AG$1,Trig!$B$4:$B$144,Trig!$F$4:$F$144,""), AG2&lt;0, (-1) * _xlfn.XLOOKUP(AG$1,Trig!$B$4:$B$144,Trig!$E$4:$E$144,""))</f>
        <v>1</v>
      </c>
      <c r="JR2" s="90">
        <f t="shared" ref="JR2:JR3" ca="1" si="97">(-1)*JQ2</f>
        <v>-1</v>
      </c>
      <c r="JS2" s="90">
        <f t="shared" ref="JS2:JS3" ca="1" si="98">IF(AE2&lt;=AF2,JQ2,JN2)</f>
        <v>2</v>
      </c>
      <c r="JT2" s="90">
        <f t="shared" ref="JT2:JT3" si="99">IF(AE2&lt;=AF2,1,-1)</f>
        <v>-1</v>
      </c>
      <c r="JU2" s="90">
        <f t="shared" ref="JU2:JU3" si="100">(-1)*JT2</f>
        <v>1</v>
      </c>
      <c r="JV2" s="90" cm="1">
        <f t="array" ref="JV2">_xlfn.IFS($AI2&gt;_xlfn.XLOOKUP(AI$1,Trig!$B$4:$B$144,Trig!$D$4:$D$144,""), _xlfn.XLOOKUP(AI$1,Trig!$B$4:$B$144,Trig!$G$4:$G$144,""), $AI2&gt;_xlfn.XLOOKUP(AI$1,Trig!$B$4:$B$144,Trig!$C$4:$C$144,""), _xlfn.XLOOKUP(AI$1,Trig!$B$4:$B$144,Trig!$F$4:$F$144,""), AI2&gt;0, _xlfn.XLOOKUP(AI$1,Trig!$B$4:$B$144,Trig!$E$4:$E$144,""),
$AI2&lt;(-1)*_xlfn.XLOOKUP(AI$1,Trig!$B$4:$B$144,Trig!$D$4:$D$144,""), (-1)*_xlfn.XLOOKUP(AI$1,Trig!$B$4:$B$144,Trig!$G$4:$G$144,""), $AI2&lt;(-1)*_xlfn.XLOOKUP(AI$1,Trig!$B$4:$B$144,Trig!$C$4:$C$144,""), (-1) * _xlfn.XLOOKUP(AI$1,Trig!$B$4:$B$144,Trig!$F$4:$F$144,""), AI2&lt;0, (-1) * _xlfn.XLOOKUP(AI$1,Trig!$B$4:$B$144,Trig!$E$4:$E$144,""), TRUE, 0)</f>
        <v>-1</v>
      </c>
      <c r="JW2" s="90" cm="1">
        <f t="array" ref="JW2">_xlfn.IFS($EE2&lt;=_xlfn.XLOOKUP(JW$1,Trig!$B$4:$B$144,Trig!$C$4:$C$144,""), _xlfn.XLOOKUP(JW$1,Trig!$B$4:$B$144,Trig!$E$4:$E$144,""), $EE2&lt;=_xlfn.XLOOKUP(JW$1,Trig!$B$4:$B$144,Trig!$D$4:$D$144,""), _xlfn.XLOOKUP(JW$1,Trig!$B$4:$B$144,Trig!$F$4:$F$144,""), EE2&gt;=_xlfn.XLOOKUP(JW$1,Trig!$B$4:$B$144,Trig!$D$4:$D$144,""), _xlfn.XLOOKUP(JW$1,Trig!$B$4:$B$144,Trig!$G$4:$G$144,""),TRUE,0)</f>
        <v>1</v>
      </c>
      <c r="JX2" s="90" cm="1">
        <f t="array" ref="JX2">_xlfn.IFS($EE2&lt;=_xlfn.XLOOKUP(JX$1,Trig!$B$4:$B$144,Trig!$C$4:$C$144,""), _xlfn.XLOOKUP(JX$1,Trig!$B$4:$B$144,Trig!$E$4:$E$144,""), $EE2&lt;=_xlfn.XLOOKUP(JX$1,Trig!$B$4:$B$144,Trig!$D$4:$D$144,""), _xlfn.XLOOKUP(JX$1,Trig!$B$4:$B$144,Trig!$F$4:$F$144,""), EE2&gt;=_xlfn.XLOOKUP(JX$1,Trig!$B$4:$B$144,Trig!$D$4:$D$144,""), _xlfn.XLOOKUP(JX$1,Trig!$B$4:$B$144,Trig!$G$4:$G$144,""),TRUE,0)</f>
        <v>1</v>
      </c>
      <c r="JY2" s="90" cm="1">
        <f t="array" ref="JY2">_xlfn.IFS($EE2&lt;=_xlfn.XLOOKUP(JY$1,Trig!$B$4:$B$144,Trig!$C$4:$C$144,""), _xlfn.XLOOKUP(JY$1,Trig!$B$4:$B$144,Trig!$E$4:$E$144,""), $EE2&lt;=_xlfn.XLOOKUP(JY$1,Trig!$B$4:$B$144,Trig!$D$4:$D$144,""), _xlfn.XLOOKUP(JY$1,Trig!$B$4:$B$144,Trig!$F$4:$F$144,""), EE2&gt;=_xlfn.XLOOKUP(JY$1,Trig!$B$4:$B$144,Trig!$D$4:$D$144,""), _xlfn.XLOOKUP(JY$1,Trig!$B$4:$B$144,Trig!$G$4:$G$144,""),TRUE,0)</f>
        <v>1</v>
      </c>
      <c r="JZ2" s="90" cm="1">
        <f t="array" ref="JZ2">_xlfn.IFS($EE2&lt;=_xlfn.XLOOKUP(JZ$1,Trig!$B$4:$B$144,Trig!$C$4:$C$144,""), _xlfn.XLOOKUP(JZ$1,Trig!$B$4:$B$144,Trig!$E$4:$E$144,""), $EE2&lt;=_xlfn.XLOOKUP(JZ$1,Trig!$B$4:$B$144,Trig!$D$4:$D$144,""), _xlfn.XLOOKUP(JZ$1,Trig!$B$4:$B$144,Trig!$F$4:$F$144,""), $EE2&gt;=_xlfn.XLOOKUP(JZ$1,Trig!$B$4:$B$144,Trig!$D$4:$D$144,""), _xlfn.XLOOKUP(JZ$1,Trig!$B$4:$B$144,Trig!$G$4:$G$144,""),TRUE,0)</f>
        <v>1</v>
      </c>
      <c r="KA2" s="90" cm="1">
        <f t="array" ref="KA2">_xlfn.IFS($EE2&lt;=_xlfn.XLOOKUP(KA$1,Trig!$B$4:$B$144,Trig!$C$4:$C$144,""), _xlfn.XLOOKUP(KA$1,Trig!$B$4:$B$144,Trig!$E$4:$E$144,""), $EE2&lt;=_xlfn.XLOOKUP(KA$1,Trig!$B$4:$B$144,Trig!$D$4:$D$144,""), _xlfn.XLOOKUP(KA$1,Trig!$B$4:$B$144,Trig!$F$4:$F$144,""), EE2&gt;=_xlfn.XLOOKUP(KA$1,Trig!$B$4:$B$144,Trig!$D$4:$D$144,""), _xlfn.XLOOKUP(KA$1,Trig!$B$4:$B$144,Trig!$G$4:$G$144,""),TRUE,0)</f>
        <v>3</v>
      </c>
      <c r="KB2" s="90" cm="1">
        <f t="array" ref="KB2">_xlfn.IFS($EE2&lt;=_xlfn.XLOOKUP(KB$1,Trig!$B$4:$B$144,Trig!$C$4:$C$144,""),  _xlfn.XLOOKUP(KB$1,Trig!$B$4:$B$144,Trig!$E$4:$E$144,""), $EE2&lt;=_xlfn.XLOOKUP(KB$1,Trig!$B$4:$B$144,Trig!$D$4:$D$144,""), _xlfn.XLOOKUP(KB$1,Trig!$B$4:$B$144,Trig!$F$4:$F$144,""), EE2&gt;=_xlfn.XLOOKUP(KB$1,Trig!$B$4:$B$144,Trig!$D$4:$D$144,""),  _xlfn.XLOOKUP(KB$1,Trig!$B$4:$B$144,Trig!$G$4:$G$144,""),TRUE,0)</f>
        <v>-3</v>
      </c>
      <c r="KC2" s="90" cm="1">
        <f t="array" ref="KC2">_xlfn.IFS($EE2&lt;=_xlfn.XLOOKUP(KC$1,Trig!$B$4:$B$144,Trig!$C$4:$C$144,""),  _xlfn.XLOOKUP(KC$1,Trig!$B$4:$B$144,Trig!$E$4:$E$144,""), $EE2&lt;=_xlfn.XLOOKUP(KC$1,Trig!$B$4:$B$144,Trig!$D$4:$D$144,""), _xlfn.XLOOKUP(KC$1,Trig!$B$4:$B$144,Trig!$F$4:$F$144,""), EE2&gt;=_xlfn.XLOOKUP(KC$1,Trig!$B$4:$B$144,Trig!$D$4:$D$144,""),  _xlfn.XLOOKUP(KC$1,Trig!$B$4:$B$144,Trig!$G$4:$G$144,""),TRUE,0)</f>
        <v>-3</v>
      </c>
      <c r="KD2" s="90" cm="1">
        <f t="array" aca="1" ref="KD2" ca="1">_xlfn.IFS(AND(JI2=1,JG2=1), JW2, AND(JI2=-1,JG2=-1),KB2, LG2&gt;0, JW2, LG2&lt;0, KB2)</f>
        <v>1</v>
      </c>
      <c r="KE2" s="90" cm="1">
        <f t="array" aca="1" ref="KE2" ca="1">_xlfn.IFS($EO2&gt;=_xlfn.XLOOKUP(KE$1,Trig!$B$4:$B$144,Trig!$D$4:$D$144,""), _xlfn.XLOOKUP(KE$1,Trig!$B$4:$B$144,Trig!$G$4:$G$144,""), $EO2&gt;=_xlfn.XLOOKUP(KE$1,Trig!$B$4:$B$144,Trig!$C$4:$C$144,""), _xlfn.XLOOKUP(KE$1,Trig!$B$4:$B$144,Trig!$F$4:$F$144,""), TRUE, _xlfn.XLOOKUP(KE$1,Trig!$B$4:$B$144,Trig!$E$4:$E$144,""))</f>
        <v>1</v>
      </c>
      <c r="KF2" s="90" cm="1">
        <f t="array" aca="1" ref="KF2" ca="1">_xlfn.IFS($EP2&gt;=_xlfn.XLOOKUP(KF$1,Trig!$B$4:$B$144,Trig!$D$4:$D$144,""), _xlfn.XLOOKUP(KF$1,Trig!$B$4:$B$144,Trig!$G$4:$G$144,""), $EP2&gt;=_xlfn.XLOOKUP(KF$1,Trig!$B$4:$B$144,Trig!$C$4:$C$144,""), _xlfn.XLOOKUP(KF$1,Trig!$B$4:$B$144,Trig!$F$4:$F$144,""), TRUE, _xlfn.XLOOKUP(KF$1,Trig!$B$4:$B$144,Trig!$E$4:$E$144,""))</f>
        <v>1</v>
      </c>
      <c r="KG2" s="90">
        <f t="shared" ref="KG2:KG3" si="101">IF(EQ2&lt;0,-1,0)</f>
        <v>-1</v>
      </c>
      <c r="KH2" s="90">
        <f t="shared" ref="KH2:KH3" si="102">IF(ER2&gt;0,1,0)</f>
        <v>0</v>
      </c>
      <c r="KI2" s="90" cm="1">
        <f t="array" aca="1" ref="KI2" ca="1">_xlfn.IFS($ES2&gt;=_xlfn.XLOOKUP(KI$1,Trig!$B$4:$B$144,Trig!$D$4:$D$144,""), _xlfn.XLOOKUP(KI$1,Trig!$B$4:$B$144,Trig!$G$4:$G$144,""), $ES2&gt;=_xlfn.XLOOKUP(KI$1,Trig!$B$4:$B$144,Trig!$C$4:$C$144,""), _xlfn.XLOOKUP(KI$1,Trig!$B$4:$B$144,Trig!$F$4:$F$144,""), TRUE, _xlfn.XLOOKUP(KI$1,Trig!$B$4:$B$144,Trig!$E$4:$E$144,""))</f>
        <v>1</v>
      </c>
      <c r="KJ2" s="90" cm="1">
        <f t="array" aca="1" ref="KJ2" ca="1">_xlfn.IFS($ET2&gt;=_xlfn.XLOOKUP(KJ$1,Trig!$B$4:$B$144,Trig!$D$4:$D$144,""), _xlfn.XLOOKUP(KJ$1,Trig!$B$4:$B$144,Trig!$G$4:$G$144,""), $ET2&gt;=_xlfn.XLOOKUP(KJ$1,Trig!$B$4:$B$144,Trig!$C$4:$C$144,""), _xlfn.XLOOKUP(KJ$1,Trig!$B$4:$B$144,Trig!$F$4:$F$144,""), TRUE, _xlfn.XLOOKUP(KJ$1,Trig!$B$4:$B$144,Trig!$E$4:$E$144,""))</f>
        <v>1</v>
      </c>
      <c r="KK2" s="90" cm="1">
        <f t="array" aca="1" ref="KK2" ca="1">_xlfn.IFS($EU2&gt;=_xlfn.XLOOKUP(KK$1,Trig!$B$4:$B$144,Trig!$D$4:$D$144,""), _xlfn.XLOOKUP(KK$1,Trig!$B$4:$B$144,Trig!$G$4:$G$144,""), $EU2&gt;=_xlfn.XLOOKUP(KK$1,Trig!$B$4:$B$144,Trig!$C$4:$C$144,""), _xlfn.XLOOKUP(KK$1,Trig!$B$4:$B$144,Trig!$F$4:$F$144,""), TRUE, _xlfn.XLOOKUP(KK$1,Trig!$B$4:$B$144,Trig!$E$4:$E$144,""))</f>
        <v>1</v>
      </c>
      <c r="KL2" s="90" cm="1">
        <f t="array" ref="KL2">_xlfn.IFS($CV2&gt;=_xlfn.XLOOKUP(KL$1,Trig!$B$4:$B$144,Trig!$D$4:$D$144,""), _xlfn.XLOOKUP(KL$1,Trig!$B$4:$B$144,Trig!$G$4:$G$144,""), $CV2&gt;=_xlfn.XLOOKUP(KL$1,Trig!$B$4:$B$144,Trig!$C$4:$C$144,""), _xlfn.XLOOKUP(KL$1,Trig!$B$4:$B$144,Trig!$F$4:$F$144,""), CV2&gt;0, _xlfn.XLOOKUP(KL$1,Trig!$B$4:$B$144,Trig!$E$4:$E$144,""),
$CV2&lt;(-1)*_xlfn.XLOOKUP(KL$1,Trig!$B$4:$B$144,Trig!$D$4:$D$144,""), (-1)*_xlfn.XLOOKUP(KL$1,Trig!$B$4:$B$144,Trig!$G$4:$G$144,""), $CV2&lt;(-1)*_xlfn.XLOOKUP(KL$1,Trig!$B$4:$B$144,Trig!$C$4:$C$144,""), (-1) * _xlfn.XLOOKUP(KL$1,Trig!$B$4:$B$144,Trig!$F$4:$F$144,""), CV2&lt;0, (-1) * _xlfn.XLOOKUP(KL$1,Trig!$B$4:$B$144,Trig!$E$4:$E$144,""), TRUE, 0)</f>
        <v>1</v>
      </c>
      <c r="KM2" s="90" cm="1">
        <f t="array" aca="1" ref="KM2" ca="1">_xlfn.IFS(DT2=0,0,$DT2&gt;=_xlfn.XLOOKUP(KM$1,Trig!$B$4:$B$144,Trig!$D$4:$D$144,""), _xlfn.XLOOKUP(KM$1,Trig!$B$4:$B$144,Trig!$G$4:$G$144,""), $DT2&gt;=_xlfn.XLOOKUP(KM$1,Trig!$B$4:$B$144,Trig!$C$4:$C$144,""), _xlfn.XLOOKUP(KM$1,Trig!$B$4:$B$144,Trig!$F$4:$F$144,""), DT2&gt;0, _xlfn.XLOOKUP(KM$1,Trig!$B$4:$B$144,Trig!$E$4:$E$144,""),
$DT2&lt;(-1)*_xlfn.XLOOKUP(KM$1,Trig!$B$4:$B$144,Trig!$D$4:$D$144,""), (-1)*_xlfn.XLOOKUP(KM$1,Trig!$B$4:$B$144,Trig!$G$4:$G$144,""), $DT2&lt;(-1)*_xlfn.XLOOKUP(KM$1,Trig!$B$4:$B$144,Trig!$C$4:$C$144,""), (-1) * _xlfn.XLOOKUP(KM$1,Trig!$B$4:$B$144,Trig!$F$4:$F$144,""), DT2&lt;0, (-1) * _xlfn.XLOOKUP(KM$1,Trig!$B$4:$B$144,Trig!$E$4:$E$144,""), TRUE, 0)</f>
        <v>1</v>
      </c>
      <c r="KN2" s="90" cm="1">
        <f t="array" aca="1" ref="KN2" ca="1">_xlfn.IFS(OR(DT2=0,CX2=0),0,$CX2&gt;=_xlfn.XLOOKUP(KN$1,Trig!$B$4:$B$144,Trig!$D$4:$D$144,""), _xlfn.XLOOKUP(KN$1,Trig!$B$4:$B$144,Trig!$G$4:$G$144,""), $CX2&gt;=_xlfn.XLOOKUP(KN$1,Trig!$B$4:$B$144,Trig!$C$4:$C$144,""), _xlfn.XLOOKUP(KN$1,Trig!$B$4:$B$144,Trig!$F$4:$F$144,""), $CX2&gt;=0, _xlfn.XLOOKUP(KN$1,Trig!$B$4:$B$144,Trig!$E$4:$E$144,""), TRUE, 0)</f>
        <v>1</v>
      </c>
      <c r="KO2" s="90" cm="1">
        <f t="array" aca="1" ref="KO2" ca="1">_xlfn.IFS(OR(DT2=0,CX2=0),0,$CX2&gt;_xlfn.XLOOKUP(KO$1,Trig!$B$4:$B$144,Trig!$D$4:$D$144,""), _xlfn.XLOOKUP(KO$1,Trig!$B$4:$B$144,Trig!$G$4:$G$144,""), $CX2&gt;_xlfn.XLOOKUP(KO$1,Trig!$B$4:$B$144,Trig!$C$4:$C$144,""), _xlfn.XLOOKUP(KO$1,Trig!$B$4:$B$144,Trig!$F$4:$F$144,""), $CX2&gt;0, _xlfn.XLOOKUP(KO$1,Trig!$B$4:$B$144,Trig!$E$4:$E$144,""), TRUE, 0)</f>
        <v>-3</v>
      </c>
      <c r="KP2" s="90" cm="1">
        <f t="array" aca="1" ref="KP2" ca="1">_xlfn.IFS(OR(DT2=0),0,$CW2&gt;=_xlfn.XLOOKUP(KP$1,Trig!$B$4:$B$144,Trig!$D$4:$D$144,""), _xlfn.XLOOKUP(KP$1,Trig!$B$4:$B$144,Trig!$G$4:$G$144,""), $CW2&gt;=_xlfn.XLOOKUP(KP$1,Trig!$B$4:$B$144,Trig!$C$4:$C$144,""), _xlfn.XLOOKUP(KP$1,Trig!$B$4:$B$144,Trig!$F$4:$F$144,""), CW2&gt;=0, _xlfn.XLOOKUP(KP$1,Trig!$B$4:$B$144,Trig!$E$4:$E$144,""), TRUE, 0)</f>
        <v>1</v>
      </c>
      <c r="KQ2" s="90" cm="1">
        <f t="array" aca="1" ref="KQ2" ca="1">_xlfn.IFS(OR(DT2=0),0,$CW2&gt;_xlfn.XLOOKUP(KQ$1,Trig!$B$4:$B$144,Trig!$D$4:$D$144,""), _xlfn.XLOOKUP(KQ$1,Trig!$B$4:$B$144,Trig!$G$4:$G$144,""), $CW2&gt;_xlfn.XLOOKUP(KQ$1,Trig!$B$4:$B$144,Trig!$C$4:$C$144,""), _xlfn.XLOOKUP(KQ$1,Trig!$B$4:$B$144,Trig!$F$4:$F$144,""), CW2&gt;0, _xlfn.XLOOKUP(KQ$1,Trig!$B$4:$B$144,Trig!$E$4:$E$144,""), TRUE, 0)</f>
        <v>-2</v>
      </c>
      <c r="KR2" s="90" cm="1">
        <f t="array" aca="1" ref="KR2" ca="1">_xlfn.IFS(DT2=0,0,$FR2&gt;=_xlfn.XLOOKUP(KR$1,Trig!$B$4:$B$144,Trig!$D$4:$D$144,""), _xlfn.XLOOKUP(KR$1,Trig!$B$4:$B$144,Trig!$G$4:$G$144,""), $FR2&gt;=_xlfn.XLOOKUP(KR$1,Trig!$B$4:$B$144,Trig!$C$4:$C$144,""), _xlfn.XLOOKUP(KR$1,Trig!$B$4:$B$144,Trig!$F$4:$F$144,""), FR2&gt;0, _xlfn.XLOOKUP(KR$1,Trig!$B$4:$B$144,Trig!$E$4:$E$144,""),
$FR2&lt;(-1)*_xlfn.XLOOKUP(KR$1,Trig!$B$4:$B$144,Trig!$D$4:$D$144,""), (-1)*_xlfn.XLOOKUP(KR$1,Trig!$B$4:$B$144,Trig!$G$4:$G$144,""), $FR2&lt;(-1)*_xlfn.XLOOKUP(KR$1,Trig!$B$4:$B$144,Trig!$C$4:$C$144,""), (-1) * _xlfn.XLOOKUP(KR$1,Trig!$B$4:$B$144,Trig!$F$4:$F$144,""), FR2&lt;0, (-1) * _xlfn.XLOOKUP(KR$1,Trig!$B$4:$B$144,Trig!$E$4:$E$144,""), TRUE,0)</f>
        <v>1</v>
      </c>
      <c r="KS2" s="90" cm="1">
        <f t="array" aca="1" ref="KS2" ca="1">_xlfn.IFS(DT2=0,0,$FR2&gt;=_xlfn.XLOOKUP(KS$1,Trig!$B$4:$B$144,Trig!$D$4:$D$144,""), _xlfn.XLOOKUP(KS$1,Trig!$B$4:$B$144,Trig!$G$4:$G$144,""), $FR2&gt;=_xlfn.XLOOKUP(KS$1,Trig!$B$4:$B$144,Trig!$C$4:$C$144,""), _xlfn.XLOOKUP(KS$1,Trig!$B$4:$B$144,Trig!$F$4:$F$144,""), FR2&gt;0, _xlfn.XLOOKUP(KS$1,Trig!$B$4:$B$144,Trig!$E$4:$E$144,""),
$FR2&lt;(-1)*_xlfn.XLOOKUP(KS$1,Trig!$B$4:$B$144,Trig!$D$4:$D$144,""), (-1)*_xlfn.XLOOKUP(KS$1,Trig!$B$4:$B$144,Trig!$G$4:$G$144,""), $FR2&lt;(-1)*_xlfn.XLOOKUP(KS$1,Trig!$B$4:$B$144,Trig!$C$4:$C$144,""), (-1) * _xlfn.XLOOKUP(KS$1,Trig!$B$4:$B$144,Trig!$F$4:$F$144,""), FR2&lt;0, (-1) * _xlfn.XLOOKUP(KS$1,Trig!$B$4:$B$144,Trig!$E$4:$E$144,""), TRUE,0)</f>
        <v>-3</v>
      </c>
      <c r="KT2" s="90" cm="1">
        <f t="array" aca="1" ref="KT2" ca="1">_xlfn.IFS(DT2=0,0,AND(KN2&gt;=3,KP2&gt;=3,KR2&gt;=3),3,AND(KN2&gt;=2,KP2&gt;=2,KR2&gt;=2),2,TRUE,1)</f>
        <v>1</v>
      </c>
      <c r="KU2" s="90" cm="1">
        <f t="array" aca="1" ref="KU2" ca="1">_xlfn.IFS($DS2&gt;=_xlfn.XLOOKUP(DS$1,Trig!$B$4:$B$144,Trig!$D$4:$D$144,""), _xlfn.XLOOKUP(DS$1,Trig!$B$4:$B$144,Trig!$G$4:$G$144,""), $DS2&gt;=_xlfn.XLOOKUP(DS$1,Trig!$B$4:$B$144,Trig!$C$4:$C$144,""), _xlfn.XLOOKUP(DS$1,Trig!$B$4:$B$144,Trig!$F$4:$F$144,""), DS2&gt;0, _xlfn.XLOOKUP(DS$1,Trig!$B$4:$B$144,Trig!$E$4:$E$144,""),
$DS2&lt;(-1)*_xlfn.XLOOKUP(DS$1,Trig!$B$4:$B$144,Trig!$D$4:$D$144,""), (-1)*_xlfn.XLOOKUP(DS$1,Trig!$B$4:$B$144,Trig!$G$4:$G$144,""), $DS2&lt;(-1)*_xlfn.XLOOKUP(DS$1,Trig!$B$4:$B$144,Trig!$C$4:$C$144,""), (-1) * _xlfn.XLOOKUP(DS$1,Trig!$B$4:$B$144,Trig!$F$4:$F$144,""), DS2&lt;0, (-1) * _xlfn.XLOOKUP(DS$1,Trig!$B$4:$B$144,Trig!$E$4:$E$144,""), TRUE, 0)</f>
        <v>2</v>
      </c>
      <c r="KV2" s="90" cm="1">
        <f t="array" aca="1" ref="KV2" ca="1">_xlfn.IFS($DS2&gt;=_xlfn.XLOOKUP(KV$1,Trig!$B$4:$B$144,Trig!$D$4:$D$144,""), _xlfn.XLOOKUP(KV$1,Trig!$B$4:$B$144,Trig!$G$4:$G$144,""), $DS2&gt;=_xlfn.XLOOKUP(KV$1,Trig!$B$4:$B$144,Trig!$C$4:$C$144,""), _xlfn.XLOOKUP(KV$1,Trig!$B$4:$B$144,Trig!$F$4:$F$144,""), DS2&gt;0, _xlfn.XLOOKUP(KV$1,Trig!$B$4:$B$144,Trig!$E$4:$E$144,""),
$DS2&lt;(-1)*_xlfn.XLOOKUP(KV$1,Trig!$B$4:$B$144,Trig!$D$4:$D$144,""), (-1)*_xlfn.XLOOKUP(KV$1,Trig!$B$4:$B$144,Trig!$G$4:$G$144,""), $DS2&lt;(-1)*_xlfn.XLOOKUP(KV$1,Trig!$B$4:$B$144,Trig!$C$4:$C$144,""), (-1) * _xlfn.XLOOKUP(KV$1,Trig!$B$4:$B$144,Trig!$F$4:$F$144,""), DS2&lt;0, (-1) * _xlfn.XLOOKUP(KV$1,Trig!$B$4:$B$144,Trig!$E$4:$E$144,""), TRUE, 0)</f>
        <v>2</v>
      </c>
      <c r="KW2" s="90" cm="1">
        <f t="array" aca="1" ref="KW2" ca="1">_xlfn.IFS($DS2&gt;_xlfn.XLOOKUP(KW$1,Trig!$B$4:$B$144,Trig!$D$4:$D$144,""), _xlfn.XLOOKUP(KW$1,Trig!$B$4:$B$144,Trig!$G$4:$G$144,""), $DS2&gt;_xlfn.XLOOKUP(KW$1,Trig!$B$4:$B$144,Trig!$C$4:$C$144,""), _xlfn.XLOOKUP(KW$1,Trig!$B$4:$B$144,Trig!$F$4:$F$144,""), DS2&gt;0, _xlfn.XLOOKUP(KW$1,Trig!$B$4:$B$144,Trig!$E$4:$E$144,""),
$DS2&lt;(-1)*_xlfn.XLOOKUP(KW$1,Trig!$B$4:$B$144,Trig!$D$4:$D$144,""), (-1)*_xlfn.XLOOKUP(KW$1,Trig!$B$4:$B$144,Trig!$G$4:$G$144,""), $DS2&lt;(-1)*_xlfn.XLOOKUP(KW$1,Trig!$B$4:$B$144,Trig!$C$4:$C$144,""), (-1) * _xlfn.XLOOKUP(KW$1,Trig!$B$4:$B$144,Trig!$F$4:$F$144,""), DS2&lt;0, (-1) * _xlfn.XLOOKUP(KW$1,Trig!$B$4:$B$144,Trig!$E$4:$E$144,""), TRUE, 0)</f>
        <v>-2</v>
      </c>
      <c r="KX2" s="90" cm="1">
        <f t="array" aca="1" ref="KX2" ca="1">_xlfn.IFS($BB2&gt;=_xlfn.XLOOKUP(BB$1,Trig!$B$4:$B$144,Trig!$D$4:$D$144,""), _xlfn.XLOOKUP(BB$1,Trig!$B$4:$B$144,Trig!$G$4:$G$144,""), $BB2&gt;=_xlfn.XLOOKUP(BB$1,Trig!$B$4:$B$144,Trig!$C$4:$C$144,""), _xlfn.XLOOKUP(BB$1,Trig!$B$4:$B$144,Trig!$F$4:$F$144,""), BB2&gt;=0, _xlfn.XLOOKUP(BB$1,Trig!$B$4:$B$144,Trig!$E$4:$E$144,""),
$BB2&lt;(-1)*_xlfn.XLOOKUP(BB$1,Trig!$B$4:$B$144,Trig!$D$4:$D$144,""), (-1)*_xlfn.XLOOKUP(BB$1,Trig!$B$4:$B$144,Trig!$G$4:$G$144,""), $BB2&lt;(-1)*_xlfn.XLOOKUP(BB$1,Trig!$B$4:$B$144,Trig!$C$4:$C$144,""), (-1) * _xlfn.XLOOKUP(BB$1,Trig!$B$4:$B$144,Trig!$F$4:$F$144,""), BB2&lt;0, (-1) * _xlfn.XLOOKUP(BB$1,Trig!$B$4:$B$144,Trig!$E$4:$E$144,""))</f>
        <v>3</v>
      </c>
      <c r="KY2" s="90" cm="1">
        <f t="array" ref="KY2">_xlfn.IFS($BC2&gt;=_xlfn.XLOOKUP(BC$1,Trig!$B$4:$B$144,Trig!$D$4:$D$144,""), _xlfn.XLOOKUP(BC$1,Trig!$B$4:$B$144,Trig!$G$4:$G$144,""), $BC2&gt;=_xlfn.XLOOKUP(BC$1,Trig!$B$4:$B$144,Trig!$C$4:$C$144,""), _xlfn.XLOOKUP(BC$1,Trig!$B$4:$B$144,Trig!$F$4:$F$144,""), BC2&gt;=0, _xlfn.XLOOKUP(BC$1,Trig!$B$4:$B$144,Trig!$E$4:$E$144,""),
$BC2&lt;(-1)*_xlfn.XLOOKUP(BC$1,Trig!$B$4:$B$144,Trig!$D$4:$D$144,""), (-1)*_xlfn.XLOOKUP(BC$1,Trig!$B$4:$B$144,Trig!$G$4:$G$144,""), $BC2&lt;(-1)*_xlfn.XLOOKUP(BC$1,Trig!$B$4:$B$144,Trig!$C$4:$C$144,""), (-1) * _xlfn.XLOOKUP(BC$1,Trig!$B$4:$B$144,Trig!$F$4:$F$144,""), BC2&lt;0, (-1) * _xlfn.XLOOKUP(BC$1,Trig!$B$4:$B$144,Trig!$E$4:$E$144,""))</f>
        <v>3</v>
      </c>
      <c r="KZ2" s="90" cm="1">
        <f t="array" aca="1" ref="KZ2" ca="1">_xlfn.IFS($BE2&gt;=_xlfn.XLOOKUP(BE$1,Trig!$B$4:$B$144,Trig!$D$4:$D$144,""), _xlfn.XLOOKUP(BE$1,Trig!$B$4:$B$144,Trig!$G$4:$G$144,""), $BE2&gt;=_xlfn.XLOOKUP(BE$1,Trig!$B$4:$B$144,Trig!$C$4:$C$144,""), _xlfn.XLOOKUP(BE$1,Trig!$B$4:$B$144,Trig!$F$4:$F$144,""), BE2&gt;=0, _xlfn.XLOOKUP(BE$1,Trig!$B$4:$B$144,Trig!$E$4:$E$144,""),
$BE2&lt;(-1)*_xlfn.XLOOKUP(BE$1,Trig!$B$4:$B$144,Trig!$D$4:$D$144,""), (-1)*_xlfn.XLOOKUP(BE$1,Trig!$B$4:$B$144,Trig!$G$4:$G$144,""), $BE2&lt;(-1)*_xlfn.XLOOKUP(BE$1,Trig!$B$4:$B$144,Trig!$C$4:$C$144,""), (-1) * _xlfn.XLOOKUP(BE$1,Trig!$B$4:$B$144,Trig!$F$4:$F$144,""), BE2&lt;0, (-1) * _xlfn.XLOOKUP(BE$1,Trig!$B$4:$B$144,Trig!$E$4:$E$144,""))</f>
        <v>-3</v>
      </c>
      <c r="LA2" s="90" cm="1">
        <f t="array" ref="LA2">_xlfn.IFS($BF2&gt;=_xlfn.XLOOKUP(BF$1,Trig!$B$4:$B$144,Trig!$D$4:$D$144,""), _xlfn.XLOOKUP(BF$1,Trig!$B$4:$B$144,Trig!$G$4:$G$144,""), $BF2&gt;=_xlfn.XLOOKUP(BF$1,Trig!$B$4:$B$144,Trig!$C$4:$C$144,""), _xlfn.XLOOKUP(BF$1,Trig!$B$4:$B$144,Trig!$F$4:$F$144,""), BF2&gt;=0, _xlfn.XLOOKUP(BF$1,Trig!$B$4:$B$144,Trig!$E$4:$E$144,""),
$BF2&lt;(-1)*_xlfn.XLOOKUP(BF$1,Trig!$B$4:$B$144,Trig!$D$4:$D$144,""), (-1)*_xlfn.XLOOKUP(BF$1,Trig!$B$4:$B$144,Trig!$G$4:$G$144,""), $BF2&lt;(-1)*_xlfn.XLOOKUP(BF$1,Trig!$B$4:$B$144,Trig!$C$4:$C$144,""), (-1) * _xlfn.XLOOKUP(BF$1,Trig!$B$4:$B$144,Trig!$F$4:$F$144,""), BF2&lt;0, (-1) * _xlfn.XLOOKUP(BF$1,Trig!$B$4:$B$144,Trig!$E$4:$E$144,""))</f>
        <v>1</v>
      </c>
      <c r="LB2" s="90" cm="1">
        <f t="array" aca="1" ref="LB2" ca="1">_xlfn.IFS(AND(KX2&gt;=3,KY2&gt;=2,KZ2&gt;=-2,LA2&gt;=3),3,AND(KZ2&lt;=-3,LA2&gt;=2,KX2&lt;=2,KY2&gt;=3),-3,TRUE,INT((KX2+KY2-1)/2))</f>
        <v>2</v>
      </c>
      <c r="LC2" s="215" cm="1">
        <f t="array" aca="1" ref="LC2" ca="1">_xlfn.IFS($BQ2&gt;=_xlfn.XLOOKUP(BQ$1,Trig!$B$4:$B$144,Trig!$D$4:$D$144,""), _xlfn.XLOOKUP(BQ$1,Trig!$B$4:$B$144,Trig!$G$4:$G$144,""), $BQ2&gt;=_xlfn.XLOOKUP(BQ$1,Trig!$B$4:$B$144,Trig!$C$4:$C$144,""), _xlfn.XLOOKUP(BQ$1,Trig!$B$4:$B$144,Trig!$F$4:$F$144,""), BQ2&gt;=0, _xlfn.XLOOKUP(BQ$1,Trig!$B$4:$B$144,Trig!$E$4:$E$144,""),
$BQ2&lt;(-1)*_xlfn.XLOOKUP(BQ$1,Trig!$B$4:$B$144,Trig!$D$4:$D$144,""), (-1)*_xlfn.XLOOKUP(BQ$1,Trig!$B$4:$B$144,Trig!$G$4:$G$144,""), $BQ2&lt;(-1)*_xlfn.XLOOKUP(BQ$1,Trig!$B$4:$B$144,Trig!$C$4:$C$144,""), (-1) * _xlfn.XLOOKUP(BQ$1,Trig!$B$4:$B$144,Trig!$F$4:$F$144,""), BQ2&lt;0, (-1) * _xlfn.XLOOKUP(BQ$1,Trig!$B$4:$B$144,Trig!$E$4:$E$144,""))</f>
        <v>1</v>
      </c>
      <c r="LD2" s="215" cm="1">
        <f t="array" aca="1" ref="LD2" ca="1">_xlfn.IFS($BS2&gt;=_xlfn.XLOOKUP(BS$1,Trig!$B$4:$B$144,Trig!$D$4:$D$144,""), _xlfn.XLOOKUP(BS$1,Trig!$B$4:$B$144,Trig!$G$4:$G$144,""), $BS2&gt;=_xlfn.XLOOKUP(BS$1,Trig!$B$4:$B$144,Trig!$C$4:$C$144,""), _xlfn.XLOOKUP(BS$1,Trig!$B$4:$B$144,Trig!$F$4:$F$144,""), BS2&gt;=0, _xlfn.XLOOKUP(BS$1,Trig!$B$4:$B$144,Trig!$E$4:$E$144,""),
$BS2&lt;(-1)*_xlfn.XLOOKUP(BS$1,Trig!$B$4:$B$144,Trig!$D$4:$D$144,""), (-1)*_xlfn.XLOOKUP(BS$1,Trig!$B$4:$B$144,Trig!$G$4:$G$144,""), $BS2&lt;(-1)*_xlfn.XLOOKUP(BS$1,Trig!$B$4:$B$144,Trig!$C$4:$C$144,""), (-1) * _xlfn.XLOOKUP(BS$1,Trig!$B$4:$B$144,Trig!$F$4:$F$144,""), BS2&lt;0, (-1) * _xlfn.XLOOKUP(BS$1,Trig!$B$4:$B$144,Trig!$E$4:$E$144,""))</f>
        <v>2</v>
      </c>
      <c r="LE2" s="215" cm="1">
        <f t="array" aca="1" ref="LE2" ca="1">_xlfn.IFS($BU2&gt;=_xlfn.XLOOKUP(BU$1,Trig!$B$4:$B$144,Trig!$D$4:$D$144,""), _xlfn.XLOOKUP(BU$1,Trig!$B$4:$B$144,Trig!$G$4:$G$144,""), $BU2&gt;=_xlfn.XLOOKUP(BU$1,Trig!$B$4:$B$144,Trig!$C$4:$C$144,""), _xlfn.XLOOKUP(BU$1,Trig!$B$4:$B$144,Trig!$F$4:$F$144,""), BU2&gt;=0, _xlfn.XLOOKUP(BU$1,Trig!$B$4:$B$144,Trig!$E$4:$E$144,""),
$BU2&lt;(-1)*_xlfn.XLOOKUP(BU$1,Trig!$B$4:$B$144,Trig!$D$4:$D$144,""), (-1)*_xlfn.XLOOKUP(BU$1,Trig!$B$4:$B$144,Trig!$G$4:$G$144,""), $BU2&lt;(-1)*_xlfn.XLOOKUP(BU$1,Trig!$B$4:$B$144,Trig!$C$4:$C$144,""), (-1) * _xlfn.XLOOKUP(BU$1,Trig!$B$4:$B$144,Trig!$F$4:$F$144,""), BU2&lt;0, (-1) * _xlfn.XLOOKUP(BU$1,Trig!$B$4:$B$144,Trig!$E$4:$E$144,""))</f>
        <v>3</v>
      </c>
      <c r="LF2" s="90" cm="1">
        <f t="array" aca="1" ref="LF2" ca="1">_xlfn.IFS($BW2&gt;=_xlfn.XLOOKUP(BW$1,Trig!$B$4:$B$144,Trig!$D$4:$D$144,""), _xlfn.XLOOKUP(BW$1,Trig!$B$4:$B$144,Trig!$G$4:$G$144,""), $BW2&gt;=_xlfn.XLOOKUP(BW$1,Trig!$B$4:$B$144,Trig!$C$4:$C$144,""), _xlfn.XLOOKUP(BW$1,Trig!$B$4:$B$144,Trig!$F$4:$F$144,""), BW2&gt;=0, _xlfn.XLOOKUP(BW$1,Trig!$B$4:$B$144,Trig!$E$4:$E$144,""),
$BW2&lt;(-1)*_xlfn.XLOOKUP(BW$1,Trig!$B$4:$B$144,Trig!$D$4:$D$144,""), (-1)*_xlfn.XLOOKUP(BW$1,Trig!$B$4:$B$144,Trig!$G$4:$G$144,""), $BW2&lt;(-1)*_xlfn.XLOOKUP(BW$1,Trig!$B$4:$B$144,Trig!$C$4:$C$144,""), (-1) * _xlfn.XLOOKUP(BW$1,Trig!$B$4:$B$144,Trig!$F$4:$F$144,""), BW2&lt;0, (-1) * _xlfn.XLOOKUP(BW$1,Trig!$B$4:$B$144,Trig!$E$4:$E$144,""))</f>
        <v>2</v>
      </c>
      <c r="LG2" s="215" cm="1">
        <f t="array" aca="1" ref="LG2" ca="1">_xlfn.IFS($BY2&gt;=_xlfn.XLOOKUP(BY$1,Trig!$B$4:$B$144,Trig!$D$4:$D$144,""), _xlfn.XLOOKUP(BY$1,Trig!$B$4:$B$144,Trig!$G$4:$G$144,""), $BY2&gt;=_xlfn.XLOOKUP(BY$1,Trig!$B$4:$B$144,Trig!$C$4:$C$144,""), _xlfn.XLOOKUP(BY$1,Trig!$B$4:$B$144,Trig!$F$4:$F$144,""), BY2&gt;=0, _xlfn.XLOOKUP(BY$1,Trig!$B$4:$B$144,Trig!$E$4:$E$144,""),
$BY2&lt;(-1)*_xlfn.XLOOKUP(BY$1,Trig!$B$4:$B$144,Trig!$D$4:$D$144,""), (-1)*_xlfn.XLOOKUP(BY$1,Trig!$B$4:$B$144,Trig!$G$4:$G$144,""), $BY2&lt;(-1)*_xlfn.XLOOKUP(BY$1,Trig!$B$4:$B$144,Trig!$C$4:$C$144,""), (-1) * _xlfn.XLOOKUP(BY$1,Trig!$B$4:$B$144,Trig!$F$4:$F$144,""), BY2&lt;0, (-1) * _xlfn.XLOOKUP(BY$1,Trig!$B$4:$B$144,Trig!$E$4:$E$144,""))</f>
        <v>2</v>
      </c>
      <c r="LH2" s="215" cm="1">
        <f t="array" aca="1" ref="LH2" ca="1">_xlfn.IFS($CA2&gt;=_xlfn.XLOOKUP(CA$1,Trig!$B$4:$B$144,Trig!$D$4:$D$144,""), _xlfn.XLOOKUP(CA$1,Trig!$B$4:$B$144,Trig!$G$4:$G$144,""), $CA2&gt;=_xlfn.XLOOKUP(CA$1,Trig!$B$4:$B$144,Trig!$C$4:$C$144,""), _xlfn.XLOOKUP(CA$1,Trig!$B$4:$B$144,Trig!$F$4:$F$144,""), CA2&gt;=0, _xlfn.XLOOKUP(CA$1,Trig!$B$4:$B$144,Trig!$E$4:$E$144,""),
$CA2&lt;(-1)*_xlfn.XLOOKUP(CA$1,Trig!$B$4:$B$144,Trig!$D$4:$D$144,""), (-1)*_xlfn.XLOOKUP(CA$1,Trig!$B$4:$B$144,Trig!$G$4:$G$144,""), $CA2&lt;(-1)*_xlfn.XLOOKUP(CA$1,Trig!$B$4:$B$144,Trig!$C$4:$C$144,""), (-1) * _xlfn.XLOOKUP(CA$1,Trig!$B$4:$B$144,Trig!$F$4:$F$144,""), CA2&lt;0, (-1) * _xlfn.XLOOKUP(CA$1,Trig!$B$4:$B$144,Trig!$E$4:$E$144,""))</f>
        <v>2</v>
      </c>
      <c r="LI2" s="215">
        <f t="shared" ref="LI2:LI3" ca="1" si="103">(-1)*LH2</f>
        <v>-2</v>
      </c>
      <c r="LJ2" s="90" cm="1">
        <f t="array" aca="1" ref="LJ2" ca="1">_xlfn.IFS(ABS($BY2)&gt;=_xlfn.XLOOKUP(LJ$1,Trig!$B$4:$B$144,Trig!$D$4:$D$144,""), _xlfn.XLOOKUP(LJ$1,Trig!$B$4:$B$144,Trig!$G$4:$G$144,""),ABS( $BY2)&gt;=_xlfn.XLOOKUP(LJ$1,Trig!$B$4:$B$144,Trig!$C$4:$C$144,""), _xlfn.XLOOKUP(LJ$1,Trig!$B$4:$B$144,Trig!$F$4:$F$144,""), ABS(BY2)&gt;=0, _xlfn.XLOOKUP(LJ$1,Trig!$B$4:$B$144,Trig!$E$4:$E$144,""))</f>
        <v>3</v>
      </c>
      <c r="LK2" s="90" cm="1">
        <f t="array" aca="1" ref="LK2" ca="1">_xlfn.IFS(AND(LC2&gt;=3,LD2&gt;=3,LE2&gt;=3,LF2&gt;=1,LJ2&gt;=3),3,AND(LC2&gt;=3,LD2&gt;=3,LE2&gt;=2,LF2&gt;=1,LJ2&gt;=3),2,AND(LC2&gt;=1,LD2&gt;=3,LE2&gt;=3,LF2&gt;=3,LJ2&gt;=3),2,AND(LC2&gt;=1,LD2&gt;=3,LE2&gt;=1,LF2&gt;=1,LJ2&gt;=1),2,AND(LC2&lt;=-3,LD2&lt;=-3,LE2&lt;=-3,LF2&lt;=-1,LJ2&gt;=3),-3,AND(LC2&lt;=-3,LD2&lt;=-3,LE2&lt;=-2,LF2&lt;=-1,LJ2&gt;=3),-2,AND(LC2&lt;=-1,LD2&lt;=-3,LE2&lt;=-3,LF2&lt;=-3,LJ2&gt;=3),-2,TRUE,IF(LC2&gt;=0,1,-1))</f>
        <v>1</v>
      </c>
      <c r="LL2" s="90">
        <f t="shared" ref="LL2:LL3" ca="1" si="104">(-1)*LK2</f>
        <v>-1</v>
      </c>
      <c r="LM2" s="215">
        <f t="shared" ref="LM2:LM3" ca="1" si="105">(-1)*LG2</f>
        <v>-2</v>
      </c>
      <c r="LN2" s="215" cm="1">
        <f t="array" aca="1" ref="LN2" ca="1">_xlfn.IFS($AO2&gt;_xlfn.XLOOKUP(AO$1,Trig!$B$4:$B$144,Trig!$D$4:$D$144,""), _xlfn.XLOOKUP(AO$1,Trig!$B$4:$B$144,Trig!$G$4:$G$144,""), $AO2&gt;_xlfn.XLOOKUP(AO$1,Trig!$B$4:$B$144,Trig!$C$4:$C$144,""), _xlfn.XLOOKUP(AO$1,Trig!$B$4:$B$144,Trig!$F$4:$F$144,""), AO2&gt;0, _xlfn.XLOOKUP(AO$1,Trig!$B$4:$B$144,Trig!$E$4:$E$144,""),
$AO2&lt;(-1)*_xlfn.XLOOKUP(AO$1,Trig!$B$4:$B$144,Trig!$D$4:$D$144,""), (-1)*_xlfn.XLOOKUP(AO$1,Trig!$B$4:$B$144,Trig!$G$4:$G$144,""), $AO2&lt;(-1)*_xlfn.XLOOKUP(AO$1,Trig!$B$4:$B$144,Trig!$C$4:$C$144,""), (-1) * _xlfn.XLOOKUP(AO$1,Trig!$B$4:$B$144,Trig!$F$4:$F$144,""), AO2&lt;0, (-1) * _xlfn.XLOOKUP(AO$1,Trig!$B$4:$B$144,Trig!$E$4:$E$144,""), TRUE, 0)</f>
        <v>-1</v>
      </c>
      <c r="LO2" s="215" cm="1">
        <f t="array" ref="LO2">_xlfn.IFS($AM2&gt;_xlfn.XLOOKUP(AM$1,Trig!$B$4:$B$144,Trig!$D$4:$D$144,""), _xlfn.XLOOKUP(AM$1,Trig!$B$4:$B$144,Trig!$G$4:$G$144,""), $AM2&gt;_xlfn.XLOOKUP(AM$1,Trig!$B$4:$B$144,Trig!$C$4:$C$144,""), _xlfn.XLOOKUP(AM$1,Trig!$B$4:$B$144,Trig!$F$4:$F$144,""), $AM2&gt;0, _xlfn.XLOOKUP(AM$1,Trig!$B$4:$B$144,Trig!$E$4:$E$144,""),
$AM2&lt;(-1)*_xlfn.XLOOKUP(AM$1,Trig!$B$4:$B$144,Trig!$D$4:$D$144,""), (-1)*_xlfn.XLOOKUP(AM$1,Trig!$B$4:$B$144,Trig!$G$4:$G$144,""), $AM2&lt;(-1)*_xlfn.XLOOKUP(AM$1,Trig!$B$4:$B$144,Trig!$C$4:$C$144,""), (-1) * _xlfn.XLOOKUP(AM$1,Trig!$B$4:$B$144,Trig!$F$4:$F$144,""), $AM2&lt;0, (-1) * _xlfn.XLOOKUP(AM$1,Trig!$B$4:$B$144,Trig!$E$4:$E$144,""), TRUE, 0)</f>
        <v>1</v>
      </c>
      <c r="LP2" s="215" cm="1">
        <f t="array" ref="LP2">_xlfn.IFS($AY2&gt;=_xlfn.XLOOKUP(AY$1,Trig!$B$4:$B$144,Trig!$D$4:$D$144,""), _xlfn.XLOOKUP(AY$1,Trig!$B$4:$B$144,Trig!$G$4:$G$144,""), $AY2&gt;=_xlfn.XLOOKUP(AY$1,Trig!$B$4:$B$144,Trig!$C$4:$C$144,""), _xlfn.XLOOKUP(AY$1,Trig!$B$4:$B$144,Trig!$F$4:$F$144,""), AY2&gt;=0, _xlfn.XLOOKUP(AY$1,Trig!$B$4:$B$144,Trig!$E$4:$E$144,""), $AY2&lt;=(-1)*_xlfn.XLOOKUP(AY$1,Trig!$B$4:$B$144,Trig!$D$4:$D$144,""), (-1)*_xlfn.XLOOKUP(AY$1,Trig!$B$4:$B$144,Trig!$G$4:$G$144,""), $AY2&lt;=(-1)*_xlfn.XLOOKUP(AY$1,Trig!$B$4:$B$144,Trig!$C$4:$C$144,""), (-1) * _xlfn.XLOOKUP(AY$1,Trig!$B$4:$B$144,Trig!$F$4:$F$144,""), AY2&lt;=0, (-1) * _xlfn.XLOOKUP(AY$1,Trig!$B$4:$B$144,Trig!$E$4:$E$144,""))</f>
        <v>3</v>
      </c>
      <c r="LQ2" s="215" cm="1">
        <f t="array" ref="LQ2">_xlfn.IFS($AY2&gt;=_xlfn.XLOOKUP(LQ$1,Trig!$B$4:$B$144,Trig!$D$4:$D$144,""), _xlfn.XLOOKUP(LQ$1,Trig!$B$4:$B$144,Trig!$G$4:$G$144,""), $AY2&gt;=_xlfn.XLOOKUP(LQ$1,Trig!$B$4:$B$144,Trig!$C$4:$C$144,""), _xlfn.XLOOKUP(LQ$1,Trig!$B$4:$B$144,Trig!$F$4:$F$144,""), AY2&gt;=0, _xlfn.XLOOKUP(LQ$1,Trig!$B$4:$B$144,Trig!$E$4:$E$144,""), $AY2&lt;=(-1)*_xlfn.XLOOKUP(LQ$1,Trig!$B$4:$B$144,Trig!$D$4:$D$144,""), (-1)*_xlfn.XLOOKUP(LQ$1,Trig!$B$4:$B$144,Trig!$G$4:$G$144,""), $AY2&lt;=(-1)*_xlfn.XLOOKUP(LQ$1,Trig!$B$4:$B$144,Trig!$C$4:$C$144,""), (-1) * _xlfn.XLOOKUP(LQ$1,Trig!$B$4:$B$144,Trig!$F$4:$F$144,""), AY2&lt;=0, (-1) * _xlfn.XLOOKUP(LQ$1,Trig!$B$4:$B$144,Trig!$E$4:$E$144,""))</f>
        <v>1</v>
      </c>
      <c r="LR2" s="215" cm="1">
        <f t="array" ref="LR2">_xlfn.IFS($AY2&gt;=_xlfn.XLOOKUP(LR$1,Trig!$B$4:$B$144,Trig!$D$4:$D$144,""), _xlfn.XLOOKUP(LR$1,Trig!$B$4:$B$144,Trig!$G$4:$G$144,""), $AY2&gt;=_xlfn.XLOOKUP(LR$1,Trig!$B$4:$B$144,Trig!$C$4:$C$144,""), _xlfn.XLOOKUP(LR$1,Trig!$B$4:$B$144,Trig!$F$4:$F$144,""), $AY2&gt;=0, _xlfn.XLOOKUP(LR$1,Trig!$B$4:$B$144,Trig!$E$4:$E$144,""),
$AY2&lt;=(-1)*_xlfn.XLOOKUP(LR$1,Trig!$B$4:$B$144,Trig!$D$4:$D$144,""), (-1)*_xlfn.XLOOKUP(LR$1,Trig!$B$4:$B$144,Trig!$G$4:$G$144,""), $AY2&lt;=(-1)*_xlfn.XLOOKUP(LR$1,Trig!$B$4:$B$144,Trig!$C$4:$C$144,""), (-1) * _xlfn.XLOOKUP(LR$1,Trig!$B$4:$B$144,Trig!$F$4:$F$144,""), $AY2&lt;=0, (-1) * _xlfn.XLOOKUP(LR$1,Trig!$B$4:$B$144,Trig!$E$4:$E$144,""))</f>
        <v>-3</v>
      </c>
      <c r="LS2" s="215" cm="1">
        <f t="array" ref="LS2">_xlfn.IFS($AZ2&gt;=_xlfn.XLOOKUP(AZ$1,Trig!$B$4:$B$144,Trig!$D$4:$D$144,""), _xlfn.XLOOKUP(AZ$1,Trig!$B$4:$B$144,Trig!$G$4:$G$144,""), $AZ2&gt;=_xlfn.XLOOKUP(AZ$1,Trig!$B$4:$B$144,Trig!$C$4:$C$144,""), _xlfn.XLOOKUP(AZ$1,Trig!$B$4:$B$144,Trig!$F$4:$F$144,""), $AZ2&gt;=0, _xlfn.XLOOKUP(AZ$1,Trig!$B$4:$B$144,Trig!$E$4:$E$144,""),
$AZ2&lt;=(-1)*_xlfn.XLOOKUP(AZ$1,Trig!$B$4:$B$144,Trig!$D$4:$D$144,""), (-1)*_xlfn.XLOOKUP(AZ$1,Trig!$B$4:$B$144,Trig!$G$4:$G$144,""), $AZ2&lt;=(-1)*_xlfn.XLOOKUP(AZ$1,Trig!$B$4:$B$144,Trig!$C$4:$C$144,""), (-1) * _xlfn.XLOOKUP(AZ$1,Trig!$B$4:$B$144,Trig!$F$4:$F$144,""), $AZ2&lt;=0, (-1) * _xlfn.XLOOKUP(AZ$1,Trig!$B$4:$B$144,Trig!$E$4:$E$144,""))</f>
        <v>3</v>
      </c>
      <c r="LT2" s="215" cm="1">
        <f t="array" ref="LT2">_xlfn.IFS($AZ2&gt;=_xlfn.XLOOKUP(LT$1,Trig!$B$4:$B$144,Trig!$D$4:$D$144,""), _xlfn.XLOOKUP(LT$1,Trig!$B$4:$B$144,Trig!$G$4:$G$144,""), $AZ2&gt;=_xlfn.XLOOKUP(LT$1,Trig!$B$4:$B$144,Trig!$C$4:$C$144,""), _xlfn.XLOOKUP(LT$1,Trig!$B$4:$B$144,Trig!$F$4:$F$144,""), $AZ2&gt;=0, _xlfn.XLOOKUP(LT$1,Trig!$B$4:$B$144,Trig!$E$4:$E$144,""),
$AZ2&lt;=(-1)*_xlfn.XLOOKUP(LT$1,Trig!$B$4:$B$144,Trig!$D$4:$D$144,""), (-1)*_xlfn.XLOOKUP(LT$1,Trig!$B$4:$B$144,Trig!$G$4:$G$144,""), $AZ2&lt;=(-1)*_xlfn.XLOOKUP(LT$1,Trig!$B$4:$B$144,Trig!$C$4:$C$144,""), (-1) * _xlfn.XLOOKUP(LT$1,Trig!$B$4:$B$144,Trig!$F$4:$F$144,""), $AZ2&lt;=0, (-1) * _xlfn.XLOOKUP(LT$1,Trig!$B$4:$B$144,Trig!$E$4:$E$144,""))</f>
        <v>1</v>
      </c>
      <c r="LU2" s="215" cm="1">
        <f t="array" ref="LU2">_xlfn.IFS($AZ2&gt;=_xlfn.XLOOKUP(LU$1,Trig!$B$4:$B$144,Trig!$D$4:$D$144,""), _xlfn.XLOOKUP(LU$1,Trig!$B$4:$B$144,Trig!$G$4:$G$144,""), $AZ2&gt;=_xlfn.XLOOKUP(LU$1,Trig!$B$4:$B$144,Trig!$C$4:$C$144,""), _xlfn.XLOOKUP(LU$1,Trig!$B$4:$B$144,Trig!$F$4:$F$144,""), $AZ2&gt;=0, _xlfn.XLOOKUP(LU$1,Trig!$B$4:$B$144,Trig!$E$4:$E$144,""),
$AZ2&lt;=(-1)*_xlfn.XLOOKUP(LU$1,Trig!$B$4:$B$144,Trig!$D$4:$D$144,""), (-1)*_xlfn.XLOOKUP(LU$1,Trig!$B$4:$B$144,Trig!$G$4:$G$144,""), $AZ2&lt;=(-1)*_xlfn.XLOOKUP(LU$1,Trig!$B$4:$B$144,Trig!$C$4:$C$144,""), (-1) * _xlfn.XLOOKUP(LU$1,Trig!$B$4:$B$144,Trig!$F$4:$F$144,""), $AZ2&lt;=0, (-1) * _xlfn.XLOOKUP(LU$1,Trig!$B$4:$B$144,Trig!$E$4:$E$144,""))</f>
        <v>3</v>
      </c>
      <c r="LV2" s="215" cm="1">
        <f t="array" ref="LV2">_xlfn.IFS($AZ2&gt;=_xlfn.XLOOKUP(LV$1,Trig!$B$4:$B$144,Trig!$D$4:$D$144,""), _xlfn.XLOOKUP(LV$1,Trig!$B$4:$B$144,Trig!$G$4:$G$144,""), $AZ2&gt;=_xlfn.XLOOKUP(LV$1,Trig!$B$4:$B$144,Trig!$C$4:$C$144,""), _xlfn.XLOOKUP(LV$1,Trig!$B$4:$B$144,Trig!$F$4:$F$144,""), $AZ2&gt;=0, _xlfn.XLOOKUP(LV$1,Trig!$B$4:$B$144,Trig!$E$4:$E$144,""),
$AZ2&lt;=(-1)*_xlfn.XLOOKUP(LV$1,Trig!$B$4:$B$144,Trig!$D$4:$D$144,""), (-1)*_xlfn.XLOOKUP(LV$1,Trig!$B$4:$B$144,Trig!$G$4:$G$144,""), $AZ2&lt;=(-1)*_xlfn.XLOOKUP(LV$1,Trig!$B$4:$B$144,Trig!$C$4:$C$144,""), (-1) * _xlfn.XLOOKUP(LV$1,Trig!$B$4:$B$144,Trig!$F$4:$F$144,""), $AZ2&lt;=0, (-1) * _xlfn.XLOOKUP(LV$1,Trig!$B$4:$B$144,Trig!$E$4:$E$144,""))</f>
        <v>1</v>
      </c>
      <c r="LW2" s="215" cm="1">
        <f t="array" ref="LW2">_xlfn.IFS(AND(LP2&gt;=3,LS2&gt;=3),3,AND(LP2&lt;=-3,LS2&lt;=-3),-3,TRUE,LN2)</f>
        <v>3</v>
      </c>
      <c r="LX2" s="215">
        <f t="shared" ref="LX2:LX3" si="106">(-1)*LW2</f>
        <v>-3</v>
      </c>
      <c r="LY2" s="215" cm="1">
        <f t="array" ref="LY2">_xlfn.IFS($AQ2&gt;_xlfn.XLOOKUP(AQ$1,Trig!$B$4:$B$144,Trig!$D$4:$D$144,""), _xlfn.XLOOKUP(AQ$1,Trig!$B$4:$B$144,Trig!$G$4:$G$144,""), $AQ2&gt;_xlfn.XLOOKUP(AQ$1,Trig!$B$4:$B$144,Trig!$C$4:$C$144,""), _xlfn.XLOOKUP(AQ$1,Trig!$B$4:$B$144,Trig!$F$4:$F$144,""), AQ2&gt;0, _xlfn.XLOOKUP(AQ$1,Trig!$B$4:$B$144,Trig!$E$4:$E$144,""),
$AQ2&lt;(-1)*_xlfn.XLOOKUP(AQ$1,Trig!$B$4:$B$144,Trig!$D$4:$D$144,""), (-1)*_xlfn.XLOOKUP(AQ$1,Trig!$B$4:$B$144,Trig!$G$4:$G$144,""), $AQ2&lt;(-1)*_xlfn.XLOOKUP(AQ$1,Trig!$B$4:$B$144,Trig!$C$4:$C$144,""), (-1) * _xlfn.XLOOKUP(AQ$1,Trig!$B$4:$B$144,Trig!$F$4:$F$144,""), AQ2&lt;0, (-1) * _xlfn.XLOOKUP(AQ$1,Trig!$B$4:$B$144,Trig!$E$4:$E$144,""), TRUE, 0)</f>
        <v>1</v>
      </c>
      <c r="LZ2" s="215" cm="1">
        <f t="array" ref="LZ2">_xlfn.IFS($AR2&gt;_xlfn.XLOOKUP(AR$1,Trig!$B$4:$B$144,Trig!$D$4:$D$144,""), _xlfn.XLOOKUP(AR$1,Trig!$B$4:$B$144,Trig!$G$4:$G$144,""), $AR2&gt;_xlfn.XLOOKUP(AR$1,Trig!$B$4:$B$144,Trig!$C$4:$C$144,""), _xlfn.XLOOKUP(AR$1,Trig!$B$4:$B$144,Trig!$F$4:$F$144,""), AR2&gt;0, _xlfn.XLOOKUP(AR$1,Trig!$B$4:$B$144,Trig!$E$4:$E$144,""),
$AR2&lt;(-1)*_xlfn.XLOOKUP(AR$1,Trig!$B$4:$B$144,Trig!$D$4:$D$144,""), (-1)*_xlfn.XLOOKUP(AR$1,Trig!$B$4:$B$144,Trig!$G$4:$G$144,""), $AR2&lt;(-1)*_xlfn.XLOOKUP(AR$1,Trig!$B$4:$B$144,Trig!$C$4:$C$144,""), (-1) * _xlfn.XLOOKUP(AR$1,Trig!$B$4:$B$144,Trig!$F$4:$F$144,""), AR2&lt;0, (-1) * _xlfn.XLOOKUP(AR$1,Trig!$B$4:$B$144,Trig!$E$4:$E$144,""), TRUE, 0)</f>
        <v>3</v>
      </c>
      <c r="MA2" s="90" cm="1">
        <f t="array" ref="MA2">_xlfn.IFS($CJ2&gt;=_xlfn.XLOOKUP(CJ$1,Trig!$B$4:$B$144,Trig!$D$4:$D$144,""), _xlfn.XLOOKUP(CJ$1,Trig!$B$4:$B$144,Trig!$G$4:$G$144,""), $CJ2&gt;=_xlfn.XLOOKUP(CJ$1,Trig!$B$4:$B$144,Trig!$C$4:$C$144,""), _xlfn.XLOOKUP(CJ$1,Trig!$B$4:$B$144,Trig!$F$4:$F$144,""), CJ2&gt;0, _xlfn.XLOOKUP(CJ$1,Trig!$B$4:$B$144,Trig!$E$4:$E$144,""), TRUE, 0)</f>
        <v>3</v>
      </c>
      <c r="MB2" s="90" cm="1">
        <f t="array" ref="MB2">_xlfn.IFS($CL2&gt;=_xlfn.XLOOKUP(CL$1,Trig!$B$4:$B$144,Trig!$D$4:$D$144,""), _xlfn.XLOOKUP(CL$1,Trig!$B$4:$B$144,Trig!$G$4:$G$144,""), $CL2&gt;=_xlfn.XLOOKUP(CL$1,Trig!$B$4:$B$144,Trig!$C$4:$C$144,""), _xlfn.XLOOKUP(CL$1,Trig!$B$4:$B$144,Trig!$F$4:$F$144,""), CL2&gt;0, _xlfn.XLOOKUP(CL$1,Trig!$B$4:$B$144,Trig!$E$4:$E$144,""), TRUE, 0)</f>
        <v>2</v>
      </c>
      <c r="MC2" s="90">
        <f t="shared" ref="MC2:MC3" si="107">INT((MA2+MB2)/2)</f>
        <v>2</v>
      </c>
      <c r="MD2" s="90" cm="1">
        <f t="array" ref="MD2">_xlfn.IFS($CJ2&gt;_xlfn.XLOOKUP(MD$1,Trig!$B$4:$B$144,Trig!$D$4:$D$144,""), _xlfn.XLOOKUP(MD$1,Trig!$B$4:$B$144,Trig!$G$4:$G$144,""), $CJ2&gt;_xlfn.XLOOKUP(MD$1,Trig!$B$4:$B$144,Trig!$C$4:$C$144,""), _xlfn.XLOOKUP(MD$1,Trig!$B$4:$B$144,Trig!$F$4:$F$144,""), CJ2&gt;0, _xlfn.XLOOKUP(MD$1,Trig!$B$4:$B$144,Trig!$E$4:$E$144,""), TRUE, 0)</f>
        <v>-3</v>
      </c>
      <c r="ME2" s="90" cm="1">
        <f t="array" ref="ME2">_xlfn.IFS($CL2&gt;_xlfn.XLOOKUP(ME$1,Trig!$B$4:$B$144,Trig!$D$4:$D$144,""), _xlfn.XLOOKUP(ME$1,Trig!$B$4:$B$144,Trig!$G$4:$G$144,""), $CL2&gt;_xlfn.XLOOKUP(ME$1,Trig!$B$4:$B$144,Trig!$C$4:$C$144,""), _xlfn.XLOOKUP(ME$1,Trig!$B$4:$B$144,Trig!$F$4:$F$144,""), CL2&gt;0, _xlfn.XLOOKUP(ME$1,Trig!$B$4:$B$144,Trig!$E$4:$E$144,""), TRUE, 0)</f>
        <v>-2</v>
      </c>
      <c r="MF2" s="90">
        <f t="shared" ref="MF2:MF3" si="108">INT((MD2+ME2)/2)</f>
        <v>-3</v>
      </c>
      <c r="MG2" s="90" cm="1">
        <f t="array" ref="MG2">_xlfn.IFS($CM2&gt;_xlfn.XLOOKUP(MG$1,Trig!$B$4:$B$144,Trig!$D$4:$D$144,""), _xlfn.XLOOKUP(MG$1,Trig!$B$4:$B$144,Trig!$G$4:$G$144,""), $CM2&gt;_xlfn.XLOOKUP(MG$1,Trig!$B$4:$B$144,Trig!$C$4:$C$144,""), _xlfn.XLOOKUP(MG$1,Trig!$B$4:$B$144,Trig!$F$4:$F$144,""), CM2&gt;0, _xlfn.XLOOKUP(MG$1,Trig!$B$4:$B$144,Trig!$E$4:$E$144,""),
$CM2&lt;(-1)*_xlfn.XLOOKUP(MG$1,Trig!$B$4:$B$144,Trig!$D$4:$D$144,""), (-1)*_xlfn.XLOOKUP(MG$1,Trig!$B$4:$B$144,Trig!$G$4:$G$144,""), $CM2&lt;(-1)*_xlfn.XLOOKUP(MG$1,Trig!$B$4:$B$144,Trig!$C$4:$C$144,""), (-1) * _xlfn.XLOOKUP(MG$1,Trig!$B$4:$B$144,Trig!$F$4:$F$144,""), CM2&lt;0, (-1) * _xlfn.XLOOKUP(MG$1,Trig!$B$4:$B$144,Trig!$E$4:$E$144,""), TRUE, 0)</f>
        <v>1</v>
      </c>
      <c r="MH2" s="90" cm="1">
        <f t="array" ref="MH2">_xlfn.IFS($CM2&gt;_xlfn.XLOOKUP(MH$1,Trig!$B$4:$B$144,Trig!$D$4:$D$144,""), _xlfn.XLOOKUP(MH$1,Trig!$B$4:$B$144,Trig!$G$4:$G$144,""), $CM2&gt;_xlfn.XLOOKUP(MH$1,Trig!$B$4:$B$144,Trig!$C$4:$C$144,""), _xlfn.XLOOKUP(MH$1,Trig!$B$4:$B$144,Trig!$F$4:$F$144,""),CM2&gt; 0, _xlfn.XLOOKUP(MH$1,Trig!$B$4:$B$144,Trig!$E$4:$E$144,""),
$CM2&lt;(-1)*_xlfn.XLOOKUP(MH$1,Trig!$B$4:$B$144,Trig!$D$4:$D$144,""), (-1)*_xlfn.XLOOKUP(MH$1,Trig!$B$4:$B$144,Trig!$G$4:$G$144,""), $CM2&lt;(-1)*_xlfn.XLOOKUP(MH$1,Trig!$B$4:$B$144,Trig!$C$4:$C$144,""), (-1) * _xlfn.XLOOKUP(MH$1,Trig!$B$4:$B$144,Trig!$F$4:$F$144,""),CM2&lt; 0, (-1) * _xlfn.XLOOKUP(MH$1,Trig!$B$4:$B$144,Trig!$E$4:$E$144,""), TRUE, 0)</f>
        <v>3</v>
      </c>
      <c r="MI2" s="90" cm="1">
        <f t="array" aca="1" ref="MI2" ca="1">_xlfn.IFS(AND(KV2&gt;=3,MA2&gt;=3,MB2&gt;=3),3,AND(KV2&lt;=-3,MA2&lt;=-3,MB2&lt;=-3),-3,TRUE,0)</f>
        <v>0</v>
      </c>
      <c r="MJ2" s="90">
        <f t="shared" ref="MJ2:MJ3" ca="1" si="109">(-1)*MI2</f>
        <v>0</v>
      </c>
      <c r="MK2" s="215" cm="1">
        <f t="array" aca="1" ref="MK2" ca="1">_xlfn.IFS($BJ2&gt;=_xlfn.XLOOKUP(BJ$1,Trig!$B$4:$B$144,Trig!$D$4:$D$144,""), _xlfn.XLOOKUP(BJ$1,Trig!$B$4:$B$144,Trig!$G$4:$G$144,""), $BJ2&gt;=_xlfn.XLOOKUP(BJ$1,Trig!$B$4:$B$144,Trig!$C$4:$C$144,""), _xlfn.XLOOKUP(BJ$1,Trig!$B$4:$B$144,Trig!$F$4:$F$144,""), BJ2&gt;=0, _xlfn.XLOOKUP(BJ$1,Trig!$B$4:$B$144,Trig!$E$4:$E$144,""),
$BJ2&lt;(-1)*_xlfn.XLOOKUP(BJ$1,Trig!$B$4:$B$144,Trig!$D$4:$D$144,""), (-1)*_xlfn.XLOOKUP(BJ$1,Trig!$B$4:$B$144,Trig!$G$4:$G$144,""), $BJ2&lt;(-1)*_xlfn.XLOOKUP(BJ$1,Trig!$B$4:$B$144,Trig!$C$4:$C$144,""), (-1) * _xlfn.XLOOKUP(BJ$1,Trig!$B$4:$B$144,Trig!$F$4:$F$144,""), BJ2&lt;0, (-1) * _xlfn.XLOOKUP(BJ$1,Trig!$B$4:$B$144,Trig!$E$4:$E$144,""))</f>
        <v>2</v>
      </c>
      <c r="ML2" s="215" cm="1">
        <f t="array" ref="ML2">_xlfn.IFS($BK2&gt;=_xlfn.XLOOKUP(BK$1,Trig!$B$4:$B$144,Trig!$D$4:$D$144,""), _xlfn.XLOOKUP(BK$1,Trig!$B$4:$B$144,Trig!$G$4:$G$144,""), $BK2&gt;=_xlfn.XLOOKUP(BK$1,Trig!$B$4:$B$144,Trig!$C$4:$C$144,""), _xlfn.XLOOKUP(BK$1,Trig!$B$4:$B$144,Trig!$F$4:$F$144,""), BK2&gt;=0, _xlfn.XLOOKUP(BK$1,Trig!$B$4:$B$144,Trig!$E$4:$E$144,""),
$BK2&lt;(-1)*_xlfn.XLOOKUP(BK$1,Trig!$B$4:$B$144,Trig!$D$4:$D$144,""), (-1)*_xlfn.XLOOKUP(BK$1,Trig!$B$4:$B$144,Trig!$G$4:$G$144,""), $BK2&lt;(-1)*_xlfn.XLOOKUP(BK$1,Trig!$B$4:$B$144,Trig!$C$4:$C$144,""), (-1) * _xlfn.XLOOKUP(BK$1,Trig!$B$4:$B$144,Trig!$F$4:$F$144,""), BK2&lt;0, (-1) * _xlfn.XLOOKUP(BK$1,Trig!$B$4:$B$144,Trig!$E$4:$E$144,""))</f>
        <v>3</v>
      </c>
      <c r="MM2" s="215" cm="1">
        <f t="array" aca="1" ref="MM2" ca="1">_xlfn.IFS($BN2&gt;=_xlfn.XLOOKUP(BN$1,Trig!$B$4:$B$144,Trig!$D$4:$D$144,""), _xlfn.XLOOKUP(BN$1,Trig!$B$4:$B$144,Trig!$G$4:$G$144,""), $BN2&gt;=_xlfn.XLOOKUP(BN$1,Trig!$B$4:$B$144,Trig!$C$4:$C$144,""), _xlfn.XLOOKUP(BN$1,Trig!$B$4:$B$144,Trig!$F$4:$F$144,""), BN2&gt;=0, _xlfn.XLOOKUP(BN$1,Trig!$B$4:$B$144,Trig!$E$4:$E$144,""),
$BN2&lt;(-1)*_xlfn.XLOOKUP(BN$1,Trig!$B$4:$B$144,Trig!$D$4:$D$144,""), (-1)*_xlfn.XLOOKUP(BN$1,Trig!$B$4:$B$144,Trig!$G$4:$G$144,""), $BN2&lt;(-1)*_xlfn.XLOOKUP(BN$1,Trig!$B$4:$B$144,Trig!$C$4:$C$144,""), (-1) * _xlfn.XLOOKUP(BN$1,Trig!$B$4:$B$144,Trig!$F$4:$F$144,""), BN2&lt;0, (-1) * _xlfn.XLOOKUP(BN$1,Trig!$B$4:$B$144,Trig!$E$4:$E$144,""))</f>
        <v>3</v>
      </c>
      <c r="MN2" s="215" cm="1">
        <f t="array" ref="MN2">_xlfn.IFS($BO2&gt;=_xlfn.XLOOKUP(BO$1,Trig!$B$4:$B$144,Trig!$D$4:$D$144,""), _xlfn.XLOOKUP(BO$1,Trig!$B$4:$B$144,Trig!$G$4:$G$144,""), $BO2&gt;=_xlfn.XLOOKUP(BO$1,Trig!$B$4:$B$144,Trig!$C$4:$C$144,""), _xlfn.XLOOKUP(BO$1,Trig!$B$4:$B$144,Trig!$F$4:$F$144,""), BO2&gt;=0, _xlfn.XLOOKUP(BO$1,Trig!$B$4:$B$144,Trig!$E$4:$E$144,""),
$BO2&lt;(-1)*_xlfn.XLOOKUP(BO$1,Trig!$B$4:$B$144,Trig!$D$4:$D$144,""), (-1)*_xlfn.XLOOKUP(BO$1,Trig!$B$4:$B$144,Trig!$G$4:$G$144,""), $BO2&lt;(-1)*_xlfn.XLOOKUP(BO$1,Trig!$B$4:$B$144,Trig!$C$4:$C$144,""), (-1) * _xlfn.XLOOKUP(BO$1,Trig!$B$4:$B$144,Trig!$F$4:$F$144,""), BO2&lt;0, (-1) * _xlfn.XLOOKUP(BO$1,Trig!$B$4:$B$144,Trig!$E$4:$E$144,""))</f>
        <v>3</v>
      </c>
      <c r="MO2" s="215">
        <f t="shared" ref="MO2:MO3" ca="1" si="110">(-1)*MM2</f>
        <v>-3</v>
      </c>
      <c r="MP2" s="215">
        <f t="shared" ref="MP2:MP3" si="111">(-1)*MN2</f>
        <v>-3</v>
      </c>
      <c r="MQ2" s="215" cm="1">
        <f t="array" aca="1" ref="MQ2" ca="1">_xlfn.IFS(AND(JN2&gt;=3,JQ2&gt;=2,JV2&gt;=2,LZ2&gt;=3),3,AND(KH2&gt;0,JV2&gt;=2),3,AND(JN2&gt;=2,JQ2&gt;=2,JV2&gt;=2,LZ2&gt;=2),2,AND(JN2&lt;=-3,JQ2&lt;=-2,JV2&lt;=-2,LY2&gt;=3),-3,AND(JN2&lt;=-2,JQ2&lt;=-2,JV2&lt;=-2,LY2&gt;=2),-2,TRUE,0)</f>
        <v>0</v>
      </c>
      <c r="MR2" s="215">
        <f t="shared" ref="MR2:MR3" ca="1" si="112">(-1)*MQ2</f>
        <v>0</v>
      </c>
      <c r="MS2" s="215" cm="1">
        <f t="array" aca="1" ref="MS2" ca="1">_xlfn.IFS(OR(LK2&gt;=3,MQ2&gt;=3),3,OR(LK2&lt;=-3,MQ2&lt;=-3),-3, TRUE, INT((LK2+MQ2)/2))</f>
        <v>0</v>
      </c>
      <c r="MT2" s="215">
        <f t="shared" ref="MT2:MT3" ca="1" si="113">(-1)*MS2</f>
        <v>0</v>
      </c>
      <c r="MU2" s="90" cm="1">
        <f t="array" aca="1" ref="MU2" ca="1">_xlfn.IFS(D2&gt;=$CG2+_xlfn.XLOOKUP(CG$1,Trig!$B$4:$B$144,Trig!$D$4:$D$144,"")*AC2, _xlfn.XLOOKUP(CG$1,Trig!$B$4:$B$144,Trig!$G$4:$G$144,""), D2&gt;=$CG2+_xlfn.XLOOKUP(CG$1,Trig!$B$4:$B$144,Trig!$C$4:$C$144,"")*AC2, _xlfn.XLOOKUP(CG$1,Trig!$B$4:$B$144,Trig!$F$4:$F$144,""), D2&gt;=CG2, _xlfn.XLOOKUP(CG$1,Trig!$B$4:$B$144,Trig!$E$4:$E$144,""),
D2&lt;$CG2-_xlfn.XLOOKUP(CG$1,Trig!$B$4:$B$144,Trig!$D$4:$D$144,"")*AC2, (-1) * _xlfn.XLOOKUP(CG$1,Trig!$B$4:$B$144,Trig!$G$4:$G$144,""), D2&lt;$CG2-_xlfn.XLOOKUP(CG$1,Trig!$B$4:$B$144,Trig!$C$4:$C$144,"")*AC2, (-1) * _xlfn.XLOOKUP(CG$1,Trig!$B$4:$B$144,Trig!$F$4:$F$144,""), D2&lt;CG2, (-1) * _xlfn.XLOOKUP(CG$1,Trig!$B$4:$B$144,Trig!$E$4:$E$144,""))</f>
        <v>2</v>
      </c>
      <c r="MV2" s="90" cm="1">
        <f t="array" aca="1" ref="MV2" ca="1">_xlfn.IFS(AND(D2&gt;CG2,CG2&gt;BZ2), 1, AND(BZ2&gt;CG2,CG2&gt;D2), -1, TRUE,0)</f>
        <v>0</v>
      </c>
      <c r="MW2" s="90" cm="1">
        <f t="array" aca="1" ref="MW2" ca="1">_xlfn.IFS(D2&gt;=$CH2+_xlfn.XLOOKUP(CH$1,Trig!$B$4:$B$144,Trig!$D$4:$D$144,"")*AC2, _xlfn.XLOOKUP(CH$1,Trig!$B$4:$B$144,Trig!$G$4:$G$144,""), D2&gt;=$CH2+_xlfn.XLOOKUP(CH$1,Trig!$B$4:$B$144,Trig!$C$4:$C$144,"")*AC2, _xlfn.XLOOKUP(CH$1,Trig!$B$4:$B$144,Trig!$F$4:$F$144,""), D2&gt;=CH2, _xlfn.XLOOKUP(CH$1,Trig!$B$4:$B$144,Trig!$E$4:$E$144,""),
D2&lt;$CH2-_xlfn.XLOOKUP(CH$1,Trig!$B$4:$B$144,Trig!$D$4:$D$144,"")*AC2, (-1) * _xlfn.XLOOKUP(CH$1,Trig!$B$4:$B$144,Trig!$G$4:$G$144,""), D2&lt;$CH2-_xlfn.XLOOKUP(CH$1,Trig!$B$4:$B$144,Trig!$C$4:$C$144,"")*AC2, (-1) * _xlfn.XLOOKUP(CH$1,Trig!$B$4:$B$144,Trig!$F$4:$F$144,""), D2&lt;CH2, (-1) * _xlfn.XLOOKUP(CH$1,Trig!$B$4:$B$144,Trig!$E$4:$E$144,""))</f>
        <v>2</v>
      </c>
      <c r="MX2" s="90" cm="1">
        <f t="array" aca="1" ref="MX2" ca="1">_xlfn.IFS(AND(D2&gt;CH2,CH2&gt;BZ2), 1, AND(BZ2&gt;CH2,CH2&gt;D2), -1, TRUE,0)</f>
        <v>0</v>
      </c>
      <c r="MY2" s="90" cm="1">
        <f t="array" aca="1" ref="MY2" ca="1">_xlfn.IFS(D2&gt;=$CC2+_xlfn.XLOOKUP(CC$1,Trig!$B$4:$B$144,Trig!$D$4:$D$144,"")*AC2, _xlfn.XLOOKUP(CC$1,Trig!$B$4:$B$144,Trig!$G$4:$G$144,""), D2&gt;=$CC2+_xlfn.XLOOKUP(CC$1,Trig!$B$4:$B$144,Trig!$C$4:$C$144,"")*AC2, _xlfn.XLOOKUP(CC$1,Trig!$B$4:$B$144,Trig!$F$4:$F$144,""), D2&gt;=CC2, _xlfn.XLOOKUP(CC$1,Trig!$B$4:$B$144,Trig!$E$4:$E$144,""),
D2&lt;$CC2-_xlfn.XLOOKUP(CC$1,Trig!$B$4:$B$144,Trig!$D$4:$D$144,"")*AC2, (-1) * _xlfn.XLOOKUP(CC$1,Trig!$B$4:$B$144,Trig!$G$4:$G$144,""), D2&lt;$CC2-_xlfn.XLOOKUP(CC$1,Trig!$B$4:$B$144,Trig!$C$4:$C$144,"")*AC2, (-1) * _xlfn.XLOOKUP(CC$1,Trig!$B$4:$B$144,Trig!$F$4:$F$144,""), D2&lt;CC2, (-1) * _xlfn.XLOOKUP(CC$1,Trig!$B$4:$B$144,Trig!$E$4:$E$144,""))</f>
        <v>3</v>
      </c>
      <c r="MZ2" s="90" cm="1">
        <f t="array" aca="1" ref="MZ2" ca="1">_xlfn.IFS(D2&gt;=$CD2+_xlfn.XLOOKUP(CD$1,Trig!$B$4:$B$144,Trig!$D$4:$D$144,"")*AC2, _xlfn.XLOOKUP(CD$1,Trig!$B$4:$B$144,Trig!$G$4:$G$144,""), D2&gt;=$CD2+_xlfn.XLOOKUP(CD$1,Trig!$B$4:$B$144,Trig!$C$4:$C$144,"")*AC2, _xlfn.XLOOKUP(CD$1,Trig!$B$4:$B$144,Trig!$F$4:$F$144,""), D2&gt;=CD2, _xlfn.XLOOKUP(CD$1,Trig!$B$4:$B$144,Trig!$E$4:$E$144,""),
D2&lt;$CD2-_xlfn.XLOOKUP(CD$1,Trig!$B$4:$B$144,Trig!$D$4:$D$144,"")*AC2, (-1) * _xlfn.XLOOKUP(CD$1,Trig!$B$4:$B$144,Trig!$G$4:$G$144,""), D2&lt;$CD2-_xlfn.XLOOKUP(CD$1,Trig!$B$4:$B$144,Trig!$C$4:$C$144,"")*AC2, (-1) * _xlfn.XLOOKUP(CD$1,Trig!$B$4:$B$144,Trig!$F$4:$F$144,""), D2&lt;CD2, (-1) * _xlfn.XLOOKUP(CD$1,Trig!$B$4:$B$144,Trig!$E$4:$E$144,""))</f>
        <v>-1</v>
      </c>
      <c r="NA2" s="90">
        <f t="shared" ref="NA2:NA3" si="114">IF(ABS(DX2-AF2)&lt;=AC2*0.5,1,0)</f>
        <v>0</v>
      </c>
      <c r="NB2" s="90">
        <f t="shared" ref="NB2:NB3" si="115">IF(ABS(DY2-AF2)&lt;=AC2*0.5,-1,0)</f>
        <v>0</v>
      </c>
      <c r="NC2" s="90">
        <f t="shared" ref="NC2:NC3" ca="1" si="116">IF(AND((EH2+0.05*AC2)&gt;CG2,D2&lt;CG2),-0.5,0)+IF(AND((EH2+0.05*AC2)&gt;CH2,D2&lt;CH2),-0.5,0)</f>
        <v>0</v>
      </c>
      <c r="ND2" s="90">
        <f t="shared" ref="ND2:ND3" ca="1" si="117">IF(AND((EI2+0.05*AC2)&lt;BA2,D2&gt;BA2),1,0)+IF(AND((EI2+0.05*AC2)&gt;CG2,D2&gt;CG2),0.5,0)+IF(AND((EI2+0.05*AC2)&lt;CH2,D2&gt;CH2),0.5,0)</f>
        <v>0.5</v>
      </c>
      <c r="NE2" s="90" cm="1">
        <f t="array" ref="NE2">_xlfn.IFS($JB2&gt;_xlfn.XLOOKUP(JB$1,Trig!$B$4:$B$144,Trig!$D$4:$D$144,""), _xlfn.XLOOKUP(JB$1,Trig!$B$4:$B$144,Trig!$G$4:$G$144,""), $JB2&gt;_xlfn.XLOOKUP(JB$1,Trig!$B$4:$B$144,Trig!$C$4:$C$144,""), _xlfn.XLOOKUP(JB$1,Trig!$B$4:$B$144,Trig!$F$4:$F$144,""), JB2&gt;0, _xlfn.XLOOKUP(JB$1,Trig!$B$4:$B$144,Trig!$E$4:$E$144,""), TRUE, _xlfn.XLOOKUP(JB$1,Trig!$B$4:$B$144,Trig!$G$4:$G$144,""))</f>
        <v>1</v>
      </c>
      <c r="NF2" s="90" cm="1">
        <f t="array" aca="1" ref="NF2" ca="1">_xlfn.IFS(FK2=0,0,$FK2&gt;_xlfn.XLOOKUP(FK$1,Trig!$B$4:$B$144,Trig!$D$4:$D$144,""), _xlfn.XLOOKUP(FK$1,Trig!$B$4:$B$144,Trig!$G$4:$G$144,""), $FK2&gt;_xlfn.XLOOKUP(FK$1,Trig!$B$4:$B$144,Trig!$C$4:$C$144,""), _xlfn.XLOOKUP(FK$1,Trig!$B$4:$B$144,Trig!$F$4:$F$144,""), FK2&gt;0, _xlfn.XLOOKUP(FK$1,Trig!$B$4:$B$144,Trig!$E$4:$E$144,""),
$FK2&lt;(-1)*_xlfn.XLOOKUP(FK$1,Trig!$B$4:$B$144,Trig!$D$4:$D$144,""), (-1)*_xlfn.XLOOKUP(FK$1,Trig!$B$4:$B$144,Trig!$G$4:$G$144,""), $FK2&lt;(-1)*_xlfn.XLOOKUP(FK$1,Trig!$B$4:$B$144,Trig!$C$4:$C$144,""), (-1)*_xlfn.XLOOKUP(FK$1,Trig!$B$4:$B$144,Trig!$F$4:$F$144,""), FK2&lt;0, (-1)*_xlfn.XLOOKUP(FK$1,Trig!$B$4:$B$144,Trig!$E$4:$E$144,""), TRUE, 0)</f>
        <v>-1</v>
      </c>
      <c r="NG2" s="90" cm="1">
        <f t="array" ref="NG2">_xlfn.IFS(FI2=0,0,$FI2&gt;_xlfn.XLOOKUP(FI$1,Trig!$B$4:$B$144,Trig!$D$4:$D$144,""), _xlfn.XLOOKUP(FI$1,Trig!$B$4:$B$144,Trig!$G$4:$G$144,""), $FI2&gt;_xlfn.XLOOKUP(FI$1,Trig!$B$4:$B$144,Trig!$C$4:$C$144,""), _xlfn.XLOOKUP(FI$1,Trig!$B$4:$B$144,Trig!$F$4:$F$144,""), FI2&gt;0, _xlfn.XLOOKUP(FI$1,Trig!$B$4:$B$144,Trig!$E$4:$E$144,""),
$FI2&lt;(-1)*_xlfn.XLOOKUP(FI$1,Trig!$B$4:$B$144,Trig!$D$4:$D$144,""), (-1)*_xlfn.XLOOKUP(FI$1,Trig!$B$4:$B$144,Trig!$G$4:$G$144,""), $FI2&lt;(-1)*_xlfn.XLOOKUP(FI$1,Trig!$B$4:$B$144,Trig!$C$4:$C$144,""), (-1)*_xlfn.XLOOKUP(FI$1,Trig!$B$4:$B$144,Trig!$F$4:$F$144,""), FI2&lt;0, (-1)*_xlfn.XLOOKUP(FI$1,Trig!$B$4:$B$144,Trig!$E$4:$E$144,""), TRUE, 0)</f>
        <v>2</v>
      </c>
      <c r="NH2" s="90" cm="1">
        <f t="array" ref="NH2">_xlfn.IFS(FL2=0,0,$FL2&gt;_xlfn.XLOOKUP(FL$1,Trig!$B$4:$B$144,Trig!$D$4:$D$144,""), _xlfn.XLOOKUP(FL$1,Trig!$B$4:$B$144,Trig!$G$4:$G$144,""), $FL2&gt;_xlfn.XLOOKUP(FL$1,Trig!$B$4:$B$144,Trig!$C$4:$C$144,""), _xlfn.XLOOKUP(FL$1,Trig!$B$4:$B$144,Trig!$F$4:$F$144,""), FL2&gt;0, _xlfn.XLOOKUP(FL$1,Trig!$B$4:$B$144,Trig!$E$4:$E$144,""),
$FL2&lt;(-1)*_xlfn.XLOOKUP(FL$1,Trig!$B$4:$B$144,Trig!$D$4:$D$144,""), (-1)*_xlfn.XLOOKUP(FL$1,Trig!$B$4:$B$144,Trig!$G$4:$G$144,""), $FL2&lt;(-1)*_xlfn.XLOOKUP(FL$1,Trig!$B$4:$B$144,Trig!$C$4:$C$144,""), (-1)*_xlfn.XLOOKUP(FL$1,Trig!$B$4:$B$144,Trig!$F$4:$F$144,""), FL2&lt;0, (-1)*_xlfn.XLOOKUP(FL$1,Trig!$B$4:$B$144,Trig!$E$4:$E$144,""), TRUE, 0)</f>
        <v>2</v>
      </c>
      <c r="NI2" s="90" cm="1">
        <f t="array" ref="NI2">_xlfn.IFS(FM2=0,0,$FM2&gt;_xlfn.XLOOKUP(FM$1,Trig!$B$4:$B$144,Trig!$D$4:$D$144,""), _xlfn.XLOOKUP(FM$1,Trig!$B$4:$B$144,Trig!$G$4:$G$144,""), $FM2&gt;_xlfn.XLOOKUP(FM$1,Trig!$B$4:$B$144,Trig!$C$4:$C$144,""), _xlfn.XLOOKUP(FM$1,Trig!$B$4:$B$144,Trig!$F$4:$F$144,""), FM2&gt;0, _xlfn.XLOOKUP(FM$1,Trig!$B$4:$B$144,Trig!$E$4:$E$144,""),
$FM2&lt;(-1)*_xlfn.XLOOKUP(FM$1,Trig!$B$4:$B$144,Trig!$D$4:$D$144,""), (-1)*_xlfn.XLOOKUP(FM$1,Trig!$B$4:$B$144,Trig!$G$4:$G$144,""), $FM2&lt;(-1)*_xlfn.XLOOKUP(FM$1,Trig!$B$4:$B$144,Trig!$C$4:$C$144,""), (-1)*_xlfn.XLOOKUP(FM$1,Trig!$B$4:$B$144,Trig!$F$4:$F$144,""), FM2&lt;0, (-1)*_xlfn.XLOOKUP(FM$1,Trig!$B$4:$B$144,Trig!$E$4:$E$144,""), TRUE, 0)</f>
        <v>1</v>
      </c>
      <c r="NJ2" s="90" cm="1">
        <f t="array" aca="1" ref="NJ2" ca="1">_xlfn.IFS(AND(NF2&gt;2,NG2&gt;0,NH2&gt;2,NI2&gt;2),3,AND(NF2&gt;2,NG2&gt;0,NH2&lt;=2,NI2&gt;=2),2,AND(NF2&lt;-2,NG2&gt;0,NH2&gt;2,NI2&gt;2),-3,AND(NF2&lt;-2,NG2&gt;0,NH2&lt;=2,NI2&gt;=2),-2,TRUE,0)</f>
        <v>0</v>
      </c>
      <c r="NK2" s="90" cm="1">
        <f t="array" aca="1" ref="NK2" ca="1">_xlfn.IFS(OR(H2=0,AD2=0),0,(H2/$AD2)&gt;_xlfn.XLOOKUP(NK$1,Trig!$B$4:$B$144,Trig!$D$4:$D$144,""), _xlfn.XLOOKUP(NK$1,Trig!$B$4:$B$144,Trig!$G$4:$G$144,""), (H2/$AD2)&gt;_xlfn.XLOOKUP(NK$1,Trig!$B$4:$B$144,Trig!$C$4:$C$144,""), _xlfn.XLOOKUP(NK$1,Trig!$B$4:$B$144,Trig!$F$4:$F$144,""), (H2/$AD2)&gt;0, _xlfn.XLOOKUP(NK$1,Trig!$B$4:$B$144,Trig!$E$4:$E$144,""),
(H2/$AD2)&lt;(-1)*_xlfn.XLOOKUP(NK$1,Trig!$B$4:$B$144,Trig!$D$4:$D$144,""), (-1)*_xlfn.XLOOKUP(NK$1,Trig!$B$4:$B$144,Trig!$G$4:$G$144,""), (H2/$AD2)&lt;(-1)*_xlfn.XLOOKUP(NK$1,Trig!$B$4:$B$144,Trig!$C$4:$C$144,""), (-1)*_xlfn.XLOOKUP(NK$1,Trig!$B$4:$B$144,Trig!$F$4:$F$144,""), (H2/$AD2)&lt;0, (-1)*_xlfn.XLOOKUP(NK$1,Trig!$B$4:$B$144,Trig!$E$4:$E$144,""), TRUE, 0)</f>
        <v>2</v>
      </c>
      <c r="NL2" s="90" cm="1">
        <f t="array" ref="NL2">_xlfn.IFS(GB2=0,0,$GB2&gt;_xlfn.XLOOKUP(NL$1,Trig!$B$4:$B$144,Trig!$D$4:$D$144,""), _xlfn.XLOOKUP(NL$1,Trig!$B$4:$B$144,Trig!$G$4:$G$144,""), $GB2&gt;_xlfn.XLOOKUP(NL$1,Trig!$B$4:$B$144,Trig!$C$4:$C$144,""), _xlfn.XLOOKUP(NL$1,Trig!$B$4:$B$144,Trig!$F$4:$F$144,""), GB2&gt;0, _xlfn.XLOOKUP(NL$1,Trig!$B$4:$B$144,Trig!$E$4:$E$144,""),
$GB2&lt;(-1/4)*_xlfn.XLOOKUP(NL$1,Trig!$B$4:$B$144,Trig!$D$4:$D$144,""), (-1)*_xlfn.XLOOKUP(NL$1,Trig!$B$4:$B$144,Trig!$G$4:$G$144,""), $GB2&lt;(-1/4)*_xlfn.XLOOKUP(NL$1,Trig!$B$4:$B$144,Trig!$C$4:$C$144,""), (-1)*_xlfn.XLOOKUP(NL$1,Trig!$B$4:$B$144,Trig!$F$4:$F$144,""), GB2&lt;0, (-1)*_xlfn.XLOOKUP(NL$1,Trig!$B$4:$B$144,Trig!$E$4:$E$144,""), TRUE, 0)</f>
        <v>1</v>
      </c>
      <c r="NM2" s="90" cm="1">
        <f t="array" aca="1" ref="NM2" ca="1">_xlfn.IFS(DT2=0,0,$DT2&gt;_xlfn.XLOOKUP(NM$1,Trig!$B$4:$B$144,Trig!$D$4:$D$144,""), _xlfn.XLOOKUP(NM$1,Trig!$B$4:$B$144,Trig!$G$4:$G$144,""), $DT2&gt;_xlfn.XLOOKUP(NM$1,Trig!$B$4:$B$144,Trig!$C$4:$C$144,""), _xlfn.XLOOKUP(NM$1,Trig!$B$4:$B$144,Trig!$F$4:$F$144,""), DT2&gt;0, _xlfn.XLOOKUP(NM$1,Trig!$B$4:$B$144,Trig!$E$4:$E$144,""),
$DT2&lt;(-1)*_xlfn.XLOOKUP(NM$1,Trig!$B$4:$B$144,Trig!$D$4:$D$144,""), (-1)*_xlfn.XLOOKUP(NM$1,Trig!$B$4:$B$144,Trig!$G$4:$G$144,""), $DT2&lt;(-1)*_xlfn.XLOOKUP(NM$1,Trig!$B$4:$B$144,Trig!$C$4:$C$144,""), (-1)*_xlfn.XLOOKUP(NM$1,Trig!$B$4:$B$144,Trig!$F$4:$F$144,""), DT2&lt;0, (-1)*_xlfn.XLOOKUP(NM$1,Trig!$B$4:$B$144,Trig!$E$4:$E$144,""), TRUE, 0)</f>
        <v>2</v>
      </c>
      <c r="NN2" s="90" cm="1">
        <f t="array" aca="1" ref="NN2" ca="1">_xlfn.IFS(AND(NK2&gt;2,NL2&gt;2,NM2&lt;2),3,AND(NK2&gt;2,NL2&gt;2),2,AND(NK2&lt;-2,NL2&gt;2,NM2&lt;2),-3,AND(NK2&lt;-2,NL2&gt;2),-2,
AND(NK2&gt;2,NL2&lt;-2,NM2&lt;2),1,AND(NK2&gt;2,NL2&lt;-2),1,AND(NK2&lt;-2,NL2&lt;-2,NM2&gt;2),2,AND(NK2&lt;-2,NL2&lt;-2),3,TRUE,0)</f>
        <v>0</v>
      </c>
      <c r="NO2" s="90" cm="1">
        <f t="array" aca="1" ref="NO2" ca="1">_xlfn.IFS(AND(NK2&gt;2,NL2&gt;2,NM2&lt;2),3,AND(NK2&gt;2,NL2&gt;2),2,AND(NK2&lt;-2,NL2&gt;2,NM2&lt;2),-3,AND(NK2&lt;-2,NL2&gt;2),-2,
AND(NK2&gt;2,NL2&lt;-2,NM2&lt;2),-3,AND(NK2&gt;2,NL2&lt;-2),-2,AND(NK2&lt;-2,NL2&lt;-2,NM2&gt;2),-2,AND(NK2&lt;-2,NL2&lt;-2),-1,TRUE,0)</f>
        <v>0</v>
      </c>
      <c r="NQ2" s="107" cm="1">
        <f t="array" aca="1" ref="NQ2" ca="1">Trig!$O$2-SUMPRODUCT(--(JF2:NP2&lt;=TRANSPOSE(Trig!$O$4:$O$118)), (TRANSPOSE(Trig!$P$4:$P$118)))</f>
        <v>40</v>
      </c>
      <c r="NR2" s="107" cm="1">
        <f t="array" aca="1" ref="NR2" ca="1">Trig!$Q$2-SUMPRODUCT(--(JF2:NP2&lt;=TRANSPOSE(Trig!$Q$4:$Q$118)), (TRANSPOSE(Trig!$R$4:$R$118)))</f>
        <v>50</v>
      </c>
      <c r="NS2" s="107" cm="1">
        <f t="array" aca="1" ref="NS2" ca="1">Trig!$S$2-SUMPRODUCT(--(JF2:NP2&lt;=TRANSPOSE(Trig!$S$4:$S$118)), (TRANSPOSE(Trig!$T$4:$T$118)))</f>
        <v>10</v>
      </c>
      <c r="NT2" s="107" cm="1">
        <f t="array" aca="1" ref="NT2" ca="1">Trig!$U$2-SUMPRODUCT(--(JF2:NP2&lt;=TRANSPOSE(Trig!$U$4:$U$118)), (TRANSPOSE(Trig!$V$4:$V$118)))</f>
        <v>30</v>
      </c>
      <c r="NU2" s="107" cm="1">
        <f t="array" aca="1" ref="NU2" ca="1">Trig!$W$2-SUMPRODUCT(--(JF2:NP2&lt;=TRANSPOSE(Trig!$W$4:$W$118)), (TRANSPOSE(Trig!$X$4:$X$118)))</f>
        <v>40</v>
      </c>
      <c r="NV2" s="107" cm="1">
        <f t="array" aca="1" ref="NV2" ca="1">Trig!$Y$2-SUMPRODUCT(--(JF2:NP2&lt;=TRANSPOSE(Trig!$Y$4:$Y$118)), (TRANSPOSE(Trig!$Z$4:$Z$118)))</f>
        <v>10</v>
      </c>
      <c r="NW2" s="107" cm="1">
        <f t="array" aca="1" ref="NW2" ca="1">Trig!$AA$2-SUMPRODUCT(--(JF2:NP2&lt;=TRANSPOSE(Trig!$AA$4:$AA$118)), (TRANSPOSE(Trig!$AB$4:$AB$118)))</f>
        <v>20</v>
      </c>
      <c r="NX2" s="107" cm="1">
        <f t="array" aca="1" ref="NX2" ca="1">Trig!$AC$2-SUMPRODUCT(--(JF2:NP2&lt;=TRANSPOSE(Trig!$AC$4:$AC$118)), (TRANSPOSE(Trig!$AD$4:$AD$118)))</f>
        <v>30</v>
      </c>
      <c r="NY2" s="107" cm="1">
        <f t="array" aca="1" ref="NY2" ca="1">Trig!$AE$2-SUMPRODUCT(--(JF2:NP2&lt;=TRANSPOSE(Trig!$AE$4:$AE$118)), (TRANSPOSE(Trig!$AF$4:$AF$118)))</f>
        <v>30</v>
      </c>
      <c r="NZ2" s="107" cm="1">
        <f t="array" aca="1" ref="NZ2" ca="1">Trig!$AG$2-SUMPRODUCT(--(JF2:NP2&lt;=TRANSPOSE(Trig!$AG$4:$AG$118)), (TRANSPOSE(Trig!$AH$4:$AH$118)))</f>
        <v>30</v>
      </c>
      <c r="OA2" s="107" cm="1">
        <f t="array" aca="1" ref="OA2" ca="1">Trig!$AI$2-SUMPRODUCT(--(JF2:NP2&lt;=TRANSPOSE(Trig!$AI$4:$AI$118)), (TRANSPOSE(Trig!$AJ$4:$AJ$118)))</f>
        <v>40</v>
      </c>
      <c r="OB2" s="107" cm="1">
        <f t="array" aca="1" ref="OB2" ca="1">Trig!$AK$2-SUMPRODUCT(--(JF2:NP2&lt;=TRANSPOSE(Trig!$AK$4:$AK$118)), (TRANSPOSE(Trig!$AL$4:$AL$118)))</f>
        <v>40</v>
      </c>
      <c r="OC2" s="107" cm="1">
        <f t="array" aca="1" ref="OC2" ca="1">Trig!$AM$2-SUMPRODUCT(--(JF2:NP2&lt;=TRANSPOSE(Trig!$AM$4:$AM$118)), (TRANSPOSE(Trig!$AN$4:$AN$118)))</f>
        <v>20</v>
      </c>
      <c r="OD2" s="107" cm="1">
        <f t="array" aca="1" ref="OD2" ca="1">Trig!$AO$2-SUMPRODUCT(--(JF2:NP2&lt;=TRANSPOSE(Trig!$AO$4:$AO$118)), (TRANSPOSE(Trig!$AP$4:$AP$118)))</f>
        <v>40</v>
      </c>
      <c r="OE2" s="107" cm="1">
        <f t="array" aca="1" ref="OE2" ca="1">Trig!$AQ$2-SUMPRODUCT(--(JF2:NP2&lt;=TRANSPOSE(Trig!$AQ$4:$AQ$118)), (TRANSPOSE(Trig!$AR$4:$AR$118)))</f>
        <v>20</v>
      </c>
      <c r="OF2" s="107" cm="1">
        <f t="array" aca="1" ref="OF2" ca="1">Trig!$AS$2-SUMPRODUCT(--(JF2:NP2&lt;=TRANSPOSE(Trig!$AS$4:$AS$118)), (TRANSPOSE(Trig!$AT$4:$AT$118)))</f>
        <v>30</v>
      </c>
      <c r="OG2" s="107" cm="1">
        <f t="array" aca="1" ref="OG2" ca="1">Trig!$AU$2-SUMPRODUCT(--(JF2:NP2&lt;=TRANSPOSE(Trig!$AU$4:$AU$118)), (TRANSPOSE(Trig!$AV$4:$AV$118)))</f>
        <v>20</v>
      </c>
      <c r="OH2" s="107" cm="1">
        <f t="array" aca="1" ref="OH2" ca="1">Trig!$AW$2-SUMPRODUCT(--(JF2:NP2&lt;=TRANSPOSE(Trig!$AW$4:$AW$118)), (TRANSPOSE(Trig!$AX$4:$AX$118)))</f>
        <v>0</v>
      </c>
      <c r="OI2" s="107" cm="1">
        <f t="array" aca="1" ref="OI2" ca="1">Trig!$AY$2-SUMPRODUCT(--(JF2:NP2&lt;=TRANSPOSE(Trig!$AY$4:$AY$118)), (TRANSPOSE(Trig!$AZ$4:$AZ$118)))</f>
        <v>20</v>
      </c>
      <c r="OJ2" s="107" cm="1">
        <f t="array" aca="1" ref="OJ2" ca="1">Trig!$BA$2-SUMPRODUCT(--(JF2:NP2&lt;=TRANSPOSE(Trig!$BA$4:$BA$118)), (TRANSPOSE(Trig!$BB$4:$BB$118)))</f>
        <v>0</v>
      </c>
      <c r="OK2" s="107" cm="1">
        <f t="array" aca="1" ref="OK2" ca="1">Trig!$BC$2-SUMPRODUCT(--(JF2:NP2&lt;=TRANSPOSE(Trig!$BC$4:$BC$118)), (TRANSPOSE(Trig!$BD$4:$BD$118)))</f>
        <v>50</v>
      </c>
      <c r="OL2" s="107" cm="1">
        <f t="array" aca="1" ref="OL2" ca="1">Trig!$BE$2-SUMPRODUCT(--(JF2:NP2&lt;=TRANSPOSE(Trig!$BE$4:$BE$118)), (TRANSPOSE(Trig!$BF$4:$BF$118)))</f>
        <v>40</v>
      </c>
      <c r="OM2" s="107" cm="1">
        <f t="array" aca="1" ref="OM2" ca="1">Trig!$BG$2-SUMPRODUCT(--(JF2:NP2&lt;=TRANSPOSE(Trig!$BG$4:$BG$118)), (TRANSPOSE(Trig!$BH$4:$BH$118)))</f>
        <v>50</v>
      </c>
      <c r="ON2" s="107" cm="1">
        <f t="array" aca="1" ref="ON2" ca="1">Trig!$BI$2-SUMPRODUCT(--(JF2:NP2&lt;=TRANSPOSE(Trig!$BI$4:$BI$118)), (TRANSPOSE(Trig!$BJ$4:$BJ$118)))</f>
        <v>50</v>
      </c>
      <c r="OO2" s="107" cm="1">
        <f t="array" aca="1" ref="OO2" ca="1">Trig!$BK$2-SUMPRODUCT(--(JF2:NP2&lt;=TRANSPOSE(Trig!$BK$4:$BK$118)), (TRANSPOSE(Trig!$BL$4:$BL$118)))</f>
        <v>10</v>
      </c>
      <c r="OP2" s="107" cm="1">
        <f t="array" aca="1" ref="OP2" ca="1">Trig!$BM$2-SUMPRODUCT(--(JF2:NP2&lt;=TRANSPOSE(Trig!$BM$4:$BM$118)), (TRANSPOSE(Trig!$BN$4:$BN$118)))</f>
        <v>10</v>
      </c>
      <c r="OQ2" s="107" cm="1">
        <f t="array" aca="1" ref="OQ2" ca="1">Trig!$BO$2-SUMPRODUCT(--(JF2:NP2&lt;=TRANSPOSE(Trig!$BO$4:$BO$118)), (TRANSPOSE(Trig!$BP$4:$BP$118)))</f>
        <v>10</v>
      </c>
      <c r="OR2" s="107" cm="1">
        <f t="array" aca="1" ref="OR2" ca="1">Trig!$BQ$2-SUMPRODUCT(--(JF2:NP2&lt;=TRANSPOSE(Trig!$BQ$4:$BQ$118)), (TRANSPOSE(Trig!$BR$4:$BR$118)))</f>
        <v>10</v>
      </c>
      <c r="OS2" s="107" cm="1">
        <f t="array" aca="1" ref="OS2" ca="1">Trig!$BS$2-SUMPRODUCT(--(JF2:NP2&lt;=TRANSPOSE(Trig!$BS$4:$BS$118)), (TRANSPOSE(Trig!$BT$4:$BT$118)))</f>
        <v>10</v>
      </c>
      <c r="OT2" s="107" cm="1">
        <f t="array" aca="1" ref="OT2" ca="1">Trig!$BU$2-SUMPRODUCT(--(JF2:NP2&lt;=TRANSPOSE(Trig!$BU$4:$BU$118)), (TRANSPOSE(Trig!$BV$4:$BV$118)))</f>
        <v>10</v>
      </c>
      <c r="OU2" s="107" cm="1">
        <f t="array" aca="1" ref="OU2" ca="1">Trig!$BW$2-SUMPRODUCT(--(JF2:NP2&gt;=TRANSPOSE(Trig!$BW$4:$BW$118)), (TRANSPOSE(Trig!$BX$4:$BX$118)))</f>
        <v>31</v>
      </c>
      <c r="OV2" s="107" cm="1">
        <f t="array" aca="1" ref="OV2" ca="1">Trig!$BY$2-SUMPRODUCT(--(JF2:NP2&gt;=TRANSPOSE(Trig!$BY$4:$BY$118)), (TRANSPOSE(Trig!$BZ$4:$BZ$118)))</f>
        <v>30</v>
      </c>
      <c r="OW2" s="107" cm="1">
        <f t="array" aca="1" ref="OW2" ca="1">Trig!$CA$2-SUMPRODUCT(--(JF2:NP2&gt;=TRANSPOSE(Trig!$CA$4:$CA$118)), (TRANSPOSE(Trig!$CB$4:$CB$118)))</f>
        <v>31</v>
      </c>
      <c r="OX2" s="107" cm="1">
        <f t="array" aca="1" ref="OX2" ca="1">Trig!$CC$2-SUMPRODUCT(--(JF2:NP2&gt;=TRANSPOSE(Trig!$CC$4:$CC$118)), (TRANSPOSE(Trig!$CD$4:$CD$118)))</f>
        <v>21</v>
      </c>
      <c r="OY2" s="107" cm="1">
        <f t="array" aca="1" ref="OY2" ca="1">Trig!$CE$2-SUMPRODUCT(--(JF2:NP2&gt;=TRANSPOSE(Trig!$CE$4:$CE$118)), (TRANSPOSE(Trig!$CF$4:$CF$118)))</f>
        <v>31</v>
      </c>
      <c r="OZ2" s="107" cm="1">
        <f t="array" aca="1" ref="OZ2" ca="1">Trig!$CG$2-SUMPRODUCT(--(JF2:NP2&gt;=TRANSPOSE(Trig!$CG$4:$CG$118)), (TRANSPOSE(Trig!$CH$4:$CH$118)))</f>
        <v>30</v>
      </c>
      <c r="PA2" s="107" cm="1">
        <f t="array" aca="1" ref="PA2" ca="1">Trig!$CI$2-SUMPRODUCT(--(JF2:NP2&gt;=TRANSPOSE(Trig!$CI$4:$CI$118)), (TRANSPOSE(Trig!$CJ$4:$CJ$118)))</f>
        <v>20</v>
      </c>
      <c r="PB2" s="107" cm="1">
        <f t="array" aca="1" ref="PB2" ca="1">Trig!$CK$2-SUMPRODUCT(--(JF2:NP2&gt;=TRANSPOSE(Trig!$CK$4:$CK$118)), (TRANSPOSE(Trig!$CL$4:$CL$118)))</f>
        <v>30</v>
      </c>
      <c r="PC2" s="107" cm="1">
        <f t="array" aca="1" ref="PC2" ca="1">Trig!$CM$2-SUMPRODUCT(--(JF2:NP2&gt;=TRANSPOSE(Trig!$CM$4:$CM$118)), (TRANSPOSE(Trig!$CN$4:$CN$118)))</f>
        <v>11</v>
      </c>
      <c r="PD2" s="107" cm="1">
        <f t="array" aca="1" ref="PD2" ca="1">Trig!$CO$2-SUMPRODUCT(--(JF2:NP2&gt;=TRANSPOSE(Trig!$CO$4:$CO$118)), (TRANSPOSE(Trig!$CP$4:$CP$118)))</f>
        <v>31</v>
      </c>
      <c r="PE2" s="107" cm="1">
        <f t="array" aca="1" ref="PE2" ca="1">Trig!$CQ$2-SUMPRODUCT(--(JF2:NP2&gt;=TRANSPOSE(Trig!$CQ$4:$CQ$118)), (TRANSPOSE(Trig!$CR$4:$CR$118)))</f>
        <v>1</v>
      </c>
      <c r="PF2" s="107" cm="1">
        <f t="array" aca="1" ref="PF2" ca="1">Trig!$CS$2-SUMPRODUCT(--(JF2:NP2&gt;=TRANSPOSE(Trig!$CS$4:$CS$118)), (TRANSPOSE(Trig!$CT$4:$CT$118)))</f>
        <v>21</v>
      </c>
      <c r="PG2" s="107" cm="1">
        <f t="array" aca="1" ref="PG2" ca="1">Trig!$CU$2-SUMPRODUCT(--(JF2:NP2&gt;=TRANSPOSE(Trig!$CU$4:$CU$118)), (TRANSPOSE(Trig!$CV$4:$CV$118)))</f>
        <v>21</v>
      </c>
      <c r="PH2" s="107" cm="1">
        <f t="array" aca="1" ref="PH2" ca="1">Trig!$CW$2-SUMPRODUCT(--(JF2:NP2&gt;=TRANSPOSE(Trig!$CW$4:$CW$118)), TRANSPOSE(Trig!$CX$4:$CX$118))</f>
        <v>41</v>
      </c>
      <c r="PI2" s="107" cm="1">
        <f t="array" aca="1" ref="PI2" ca="1">Trig!$CY$2-SUMPRODUCT(--(JF2:NP2&gt;=TRANSPOSE(Trig!$CY$4:$CY$118)), TRANSPOSE(Trig!$CZ$4:$CZ$118))</f>
        <v>11</v>
      </c>
      <c r="PJ2" s="107" cm="1">
        <f t="array" aca="1" ref="PJ2" ca="1">Trig!$DA$2-SUMPRODUCT(--(JF2:NP2&gt;=TRANSPOSE(Trig!$DA$4:$DA$118)), (TRANSPOSE(Trig!$DB$4:$DB$118)))</f>
        <v>31</v>
      </c>
      <c r="PK2" s="107" cm="1">
        <f t="array" aca="1" ref="PK2" ca="1">Trig!$DC$2-SUMPRODUCT(--(JF2:NP2&gt;=TRANSPOSE(Trig!$DC$4:$DC$118)), (TRANSPOSE(Trig!$DD$4:$DD$118)))</f>
        <v>41</v>
      </c>
      <c r="PL2" s="107" cm="1">
        <f t="array" aca="1" ref="PL2" ca="1">Trig!$DE$2-SUMPRODUCT(--(JF2:NP2&gt;=TRANSPOSE(Trig!$DE$4:$DE$118)), (TRANSPOSE(Trig!$DF$4:$DF$118)))</f>
        <v>41</v>
      </c>
      <c r="PM2" s="107" cm="1">
        <f t="array" aca="1" ref="PM2" ca="1">Trig!$DG$2-SUMPRODUCT(--(JF2:NP2&gt;=TRANSPOSE(Trig!$DG$4:$DG$118)), (TRANSPOSE(Trig!$DH$4:$DH$118)))</f>
        <v>51</v>
      </c>
      <c r="PN2" s="107" cm="1">
        <f t="array" aca="1" ref="PN2" ca="1">Trig!$DI$2-SUMPRODUCT(--(JF2:NP2&gt;=TRANSPOSE(Trig!$DI$4:$DI$118)), (TRANSPOSE(Trig!$DJ$4:$DJ$118)))</f>
        <v>31</v>
      </c>
      <c r="PO2" s="107" cm="1">
        <f t="array" aca="1" ref="PO2" ca="1">Trig!$DK$2-SUMPRODUCT(--(JF2:NP2&gt;=TRANSPOSE(Trig!$DK$4:$DK$118)), (TRANSPOSE(Trig!$DL$4:$DL$118)))</f>
        <v>61</v>
      </c>
      <c r="PP2" s="107" cm="1">
        <f t="array" aca="1" ref="PP2" ca="1">Trig!$DM$2-SUMPRODUCT(--(JF2:NP2&gt;=TRANSPOSE(Trig!$DM$4:$DM$118)), (TRANSPOSE(Trig!$DN$4:$DN$118)))</f>
        <v>31</v>
      </c>
      <c r="PQ2" s="107" cm="1">
        <f t="array" aca="1" ref="PQ2" ca="1">Trig!$DO$2-SUMPRODUCT(--(JF2:NP2&gt;=TRANSPOSE(Trig!$DO$4:$DO$118)), (TRANSPOSE(Trig!$DP$4:$DP$118)))</f>
        <v>51</v>
      </c>
      <c r="PR2" s="107" cm="1">
        <f t="array" aca="1" ref="PR2" ca="1">Trig!$DQ$2-SUMPRODUCT(--(JF2:NP2&gt;=TRANSPOSE(Trig!$DQ$4:$DQ$118)), (TRANSPOSE(Trig!$DR$4:$DR$118)))</f>
        <v>32</v>
      </c>
      <c r="PS2" s="107" cm="1">
        <f t="array" aca="1" ref="PS2" ca="1">Trig!$DS$2-SUMPRODUCT(--(JF2:NP2&gt;=TRANSPOSE(Trig!$DS$4:$DS$118)), (TRANSPOSE(Trig!$DT$4:$DT$118)))</f>
        <v>31</v>
      </c>
      <c r="PT2" s="107" cm="1">
        <f t="array" aca="1" ref="PT2" ca="1">Trig!$DU$2-SUMPRODUCT(--(JF2:NP2&gt;=TRANSPOSE(Trig!$DU$4:$DU$118)), (TRANSPOSE(Trig!$DV$4:$DV$118)))</f>
        <v>60</v>
      </c>
      <c r="PU2" s="107" cm="1">
        <f t="array" aca="1" ref="PU2" ca="1">Trig!$DW$2-SUMPRODUCT(--(JF2:NP2&gt;=TRANSPOSE(Trig!$DW$4:$DW$118)), (TRANSPOSE(Trig!$DX$4:$DX$118)))</f>
        <v>60</v>
      </c>
      <c r="PV2" s="107" cm="1">
        <f t="array" aca="1" ref="PV2" ca="1">Trig!$DY$2-SUMPRODUCT(--(JF2:NP2&gt;=TRANSPOSE(Trig!$DY$4:$DY$118)), (TRANSPOSE(Trig!$DZ$4:$DZ$118)))</f>
        <v>70</v>
      </c>
      <c r="PW2" s="107" cm="1">
        <f t="array" aca="1" ref="PW2" ca="1">Trig!$EA$2-SUMPRODUCT(--(JF2:NP2&gt;=TRANSPOSE(Trig!$EA$4:$EA$118)), (TRANSPOSE(Trig!$EB$4:$EB$118)))</f>
        <v>30</v>
      </c>
      <c r="PX2" s="107" cm="1">
        <f t="array" aca="1" ref="PX2" ca="1">Trig!$EC$2-SUMPRODUCT(--(JF2:NP2&gt;=TRANSPOSE(Trig!$EC$4:$EC$118)), (TRANSPOSE(Trig!$ED$4:$ED$118)))</f>
        <v>33</v>
      </c>
      <c r="PY2" s="107" cm="1">
        <f t="array" aca="1" ref="PY2" ca="1">Trig!$EE$2-SUMPRODUCT(--(JF2:NP2&gt;=TRANSPOSE(Trig!$EE$4:$EE$118)), (TRANSPOSE(Trig!$EF$4:$EF$118)))</f>
        <v>20</v>
      </c>
      <c r="PZ2" s="107" cm="1">
        <f t="array" aca="1" ref="PZ2" ca="1">Trig!$EG$2-SUMPRODUCT(--(JF2:NP2&gt;=TRANSPOSE(Trig!$EG$4:$EG$118)), (TRANSPOSE(Trig!$EH$4:$EH$118)))</f>
        <v>0</v>
      </c>
      <c r="QA2" s="107" cm="1">
        <f t="array" aca="1" ref="QA2" ca="1">Trig!$EI$2-SUMPRODUCT(--(JF2:NP2&gt;=TRANSPOSE(Trig!$EI$4:$EI$118)), (TRANSPOSE(Trig!$EJ$4:$EJ$118)))</f>
        <v>10</v>
      </c>
      <c r="QB2" s="107" cm="1">
        <f t="array" aca="1" ref="QB2" ca="1">Trig!$EK$2-SUMPRODUCT(--(JF2:NP2&gt;=TRANSPOSE(Trig!$EK$4:$EK$118)), (TRANSPOSE(Trig!$EL$4:$EL$118)))</f>
        <v>0</v>
      </c>
      <c r="QC2" s="107" cm="1">
        <f t="array" aca="1" ref="QC2" ca="1">Trig!$EM$2-SUMPRODUCT(--(JF2:NP2&gt;=TRANSPOSE(Trig!$EM$4:$EM$118)), (TRANSPOSE(Trig!$EN$4:$EN$118)))</f>
        <v>10</v>
      </c>
      <c r="QD2" s="107" cm="1">
        <f t="array" aca="1" ref="QD2" ca="1">Trig!$EO$2-SUMPRODUCT(--(JF2:NP2&gt;=TRANSPOSE(Trig!$EO$4:$EO$118)), (TRANSPOSE(Trig!$EP$4:$EP$118)))</f>
        <v>0</v>
      </c>
      <c r="QE2" s="90" cm="1">
        <f t="array" aca="1" ref="QE2" ca="1">_xlfn.IFS(AND(AG2&lt;0,AH2&lt;0),-2,AND(AI2&lt;0,AH2&lt;1),-1,AND(AG2&gt;0,AH2&gt;0,OR(AI2&gt;2,MAX(AG2,AH2)&gt;4)),4,AND(AG2&gt;0,AH2&gt;0),3,AND(AG2&lt;0,AH2&gt;0),2,TRUE,1)</f>
        <v>4</v>
      </c>
      <c r="QF2" s="90">
        <f ca="1">_xlfn.XLOOKUP(QE2,Parm!$BS$26:$BS$31,Parm!$BV$26:$BV$31)</f>
        <v>10</v>
      </c>
      <c r="QG2" s="90" t="str">
        <f ca="1">_xlfn.XLOOKUP(QE2,Parm!$BS$26:$BS$31,Parm!$BT$26:$BT$31)</f>
        <v>Bull</v>
      </c>
      <c r="QH2" s="218">
        <f>_xlfn.XLOOKUP($M2&amp;$B2,TD!$D:$D,TD!$BI:$BI,"")</f>
        <v>6.8</v>
      </c>
      <c r="QI2" s="218">
        <f>_xlfn.XLOOKUP($M2&amp;$B2,TD!$D:$D,TD!$BH:$BH,"")</f>
        <v>9.1999999999999993</v>
      </c>
      <c r="QJ2" s="90" cm="1">
        <f t="array" ref="QJ2">_xlfn.IFS(
    AND(QI2 &gt;= 3, QH2 &gt;= 3), 4,
    AND(QI2 &lt;= -3, QH2 &lt;= -3), -4,
    AND(QI2 &gt;= 2, QH2 &gt;= 2), 3,
    AND(QI2 &lt;= -2, QH2 &lt;= -2), -3,
    AND(QH2 &gt;= 2, QI2 &lt; 2), 1,
    AND(QI2 &lt;= -3, QH2 &gt; -2), -1,
    AND(QI2 &gt;= 3, QI2 &gt; QH2), 2,
    AND(QH2 &lt;= -2, QH2 &lt; QI2), -2,
    TRUE, 0
)</f>
        <v>4</v>
      </c>
      <c r="QK2" s="90">
        <f>_xlfn.XLOOKUP(QJ2,Parm!$BS$51:$BS$59,Parm!$BV$51:$BV$59,"")</f>
        <v>10</v>
      </c>
      <c r="QL2" s="90" t="str">
        <f>_xlfn.XLOOKUP(QJ2,Parm!$BS$51:$BS$59,Parm!$BT$51:$BT$59,"")</f>
        <v>Bull</v>
      </c>
      <c r="QM2" s="107" t="str" cm="1">
        <f t="array" aca="1" ref="QM2" ca="1">_xlfn.IFS(AND(LH2&gt;0,KK2=1,KJ2=-1,JG2&gt;0),6,AND(LH2=-1,KJ2=1),5,AND(LH2&gt;0,KK2=0),4,AND(LH2&gt;0,KK2=1,KJ2=-1,JG2&lt;0),3,AND(LH2&lt;0,KK2=0,JN2&gt;0),2,AND(LH2&gt;=0,KJ2=0),1,AND(LH2&lt;=-1,KJ2=-1,KK2=1),-1,TRUE,"")</f>
        <v/>
      </c>
      <c r="QN2" s="107" cm="1">
        <f t="array" aca="1" ref="QN2" ca="1">_xlfn.IFS(AND(LH2&gt;0,KK2=1,KJ2&lt;=0,JG2&gt;0),5,AND(LH2&gt;0,KK2=0),4,AND(LH2&lt;0,KK2=0,JN2&gt;0,JQ2&gt;0),3,AND(LH2&gt;0,KK2=1,KJ2&lt;=0,JG2&lt;0),2,AND(KI2&gt;=0),-1,TRUE,"")</f>
        <v>-1</v>
      </c>
      <c r="QO2" s="107" t="str">
        <f ca="1">IF(QJ2&gt;=2,_xlfn.XLOOKUP(QM2,Parm!$BS$34:$BS$40,Parm!$BV$34:$BV$40,""),IF(QJ2&gt;=0,_xlfn.XLOOKUP(QN2,Parm!$BS$43:$BS$48,Parm!$BV$43:$BV$48,""),""))</f>
        <v/>
      </c>
      <c r="QP2" s="107" t="str">
        <f t="shared" ref="QP2:QP3" ca="1" si="118">IF(QQ2="","",IF(QJ2&gt;=2,"B",IF(QJ2&gt;=0,"!B","")))</f>
        <v/>
      </c>
      <c r="QQ2" s="107" t="str">
        <f ca="1">IF(QJ2&gt;=2,_xlfn.XLOOKUP(QM2,Parm!$BS$34:$BS$40,Parm!$BT$34:$BT$40,""),IF(QJ2&gt;=0,_xlfn.XLOOKUP(QN2,Parm!$BS$43:$BS$48,Parm!$BT$43:$BT$48,""),""))</f>
        <v/>
      </c>
      <c r="QR2" s="215" t="str" cm="1">
        <f t="array" aca="1" ref="QR2" ca="1">_xlfn.IFS(QF2&lt;0,QF2,QF2&gt;0,IF(QK2&lt;0,QK2,QO2),TRUE,"")</f>
        <v/>
      </c>
      <c r="QS2" s="107" t="str">
        <f ca="1">_xlfn.XLOOKUP(QR2,Parm!$AO$2:$AO$21,Parm!$AQ$2:$AQ$21,"")</f>
        <v/>
      </c>
      <c r="QT2" s="107" t="str">
        <f ca="1">_xlfn.XLOOKUP(QR2,Parm!$AO$2:$AO$21,Parm!$AR$2:$AR$21,"")</f>
        <v/>
      </c>
      <c r="QU2" s="215" t="str">
        <f>_xlfn.XLOOKUP(B2,ps!A:A,ps!Z:Z,"")</f>
        <v/>
      </c>
      <c r="QV2" s="90" t="str" cm="1">
        <f t="array" ref="QV2">_xlfn.IFS(QU2="","",QU2&gt;0,3,QU2&lt;0,-3,TRUE,0)</f>
        <v/>
      </c>
      <c r="QW2" s="218" t="str">
        <f>_xlfn.XLOOKUP(B2,ps!A:A,ps!AA:AA,"")</f>
        <v/>
      </c>
      <c r="QX2" s="215" t="str">
        <f>_xlfn.XLOOKUP(B2,etfchg!C:C,etfchg!F:F,_xlfn.XLOOKUP(U2&amp;B2,etf!A:A,etf!G:G,""))</f>
        <v/>
      </c>
      <c r="QY2" s="215" t="str">
        <f>_xlfn.XLOOKUP(T2&amp;B2,II!A:A,II!E:E,"")</f>
        <v/>
      </c>
      <c r="QZ2" s="215" t="str">
        <f>_xlfn.XLOOKUP(B2,IIchg!C:C,IIchg!E:E,"")</f>
        <v/>
      </c>
      <c r="RA2" s="107" t="str">
        <f t="shared" ref="RA2:RA3" si="119">IF(QZ2&lt;&gt;"",QZ2,QY2)</f>
        <v/>
      </c>
      <c r="RB2" s="215" t="str">
        <f ca="1">_xlfn.XLOOKUP(B2,call!H:H,call!I:I,"")</f>
        <v/>
      </c>
      <c r="RC2" s="215" t="str">
        <f ca="1">_xlfn.XLOOKUP(B2,call!H:H,call!J:J,"")</f>
        <v/>
      </c>
      <c r="RD2" s="215" t="str">
        <f>_xlfn.XLOOKUP(B2,RR!F:F,RR!J:J,"")</f>
        <v/>
      </c>
      <c r="RE2" s="215" t="str">
        <f>_xlfn.XLOOKUP(B2,ssL!C:C,ssL!D:D,"")</f>
        <v/>
      </c>
      <c r="RF2" s="215" t="str">
        <f>_xlfn.XLOOKUP(B2,ssL!C:C,ssL!E:E,"")</f>
        <v/>
      </c>
      <c r="RG2" s="218" t="str">
        <f>_xlfn.XLOOKUP(B2,sss!B:B,sss!Q:Q,"")</f>
        <v/>
      </c>
      <c r="RH2" s="216" t="str">
        <f>_xlfn.XLOOKUP(B2,ssL!C:C,ssL!F:F,"")</f>
        <v/>
      </c>
      <c r="RI2" s="218" t="str">
        <f>_xlfn.XLOOKUP(B2,sss!B:B,sss!U:U,"")</f>
        <v/>
      </c>
      <c r="RJ2" s="215" t="str" cm="1">
        <f t="array" ref="RJ2">_xlfn.IFS(RH2="","",_xlfn.NUMBERVALUE(RH2)&gt;=0,3,_xlfn.NUMBERVALUE(RH2)&lt;0,-3,TRUE,"")</f>
        <v/>
      </c>
      <c r="RK2" s="215">
        <f t="shared" ref="RK2:RK3" ca="1" si="120">_xlfn.NUMBERVALUE(IF(AND(_xlfn.NUMBERVALUE(RA2)=0,_xlfn.NUMBERVALUE(RB2)=0,_xlfn.NUMBERVALUE(RD2)=0,_xlfn.NUMBERVALUE(QX2)=0,_xlfn.NUMBERVALUE(QU2)=0,_xlfn.NUMBERVALUE(RE2)=0),"0",IF(OR(_xlfn.NUMBERVALUE(QU2)&lt;0,_xlfn.NUMBERVALUE(RE2)&lt;0,_xlfn.NUMBERVALUE(QX2)&lt;0,_xlfn.NUMBERVALUE(RD2)&lt;0,_xlfn.NUMBERVALUE(RB2)&lt;0,_xlfn.NUMBERVALUE(RA2)&lt;0),"1000000000000000000000",IF(_xlfn.NUMBERVALUE(QU2)=0,"000000",TEXT(50-INT(QW2),"000")&amp;TEXT(100-INT(QU2),"000"))&amp;IF(_xlfn.NUMBERVALUE(QX2)=0,"000",TEXT(QX2,"000"))&amp;IF(_xlfn.NUMBERVALUE(RA2)=0,"000",TEXT(RA2,"000"))&amp;IF(_xlfn.NUMBERVALUE(RD2)=0,"000",TEXT(RD2,"000"))&amp;IF(_xlfn.NUMBERVALUE(RE2)=0,"000",TEXT(RE2,"000"))&amp;IF(_xlfn.NUMBERVALUE(RB2)=0,"000",TEXT(RB2,"000")))))</f>
        <v>0</v>
      </c>
      <c r="RL2" s="90" t="str" cm="1">
        <f t="array" aca="1" ref="RL2" ca="1">_xlfn.IFS(QV2&lt;&gt;"",QV2,QX2&lt;&gt;"",QX2,RD2&lt;&gt;"",RD2,RA2&lt;&gt;"",RA2,RB2&lt;&gt;"",RB2,RJ2&lt;&gt;"",RJ2,TRUE,"")</f>
        <v/>
      </c>
      <c r="RM2" s="215" t="str">
        <f>_xlfn.XLOOKUP(B2,sss!V:V,sss!X:X,"")</f>
        <v/>
      </c>
      <c r="RN2" s="289" t="str">
        <f>_xlfn.XLOOKUP(B2,ps!AB:AB,ps!AG:AG,"")</f>
        <v/>
      </c>
      <c r="RO2" s="289" t="str">
        <f>_xlfn.XLOOKUP(B2,etfchg!C:C,etfchg!E:E,_xlfn.XLOOKUP(B2,etf!I:I,etf!N:N,""))</f>
        <v/>
      </c>
      <c r="RP2" s="289" t="str">
        <f>_xlfn.XLOOKUP(B2,II!G:G,II!L:L,"")</f>
        <v/>
      </c>
      <c r="RQ2" s="289" t="str">
        <f ca="1">_xlfn.XLOOKUP(B2,call!H:H,call!C:C,"")</f>
        <v/>
      </c>
      <c r="RR2" s="289" t="str">
        <f>_xlfn.XLOOKUP(B2,RR!F:F,RR!D:D,"")</f>
        <v/>
      </c>
      <c r="RS2" s="215" t="str">
        <f>_xlfn.XLOOKUP(B2,ps!AB:AB,ps!AD:AD,"")</f>
        <v/>
      </c>
      <c r="RT2" s="215" t="str">
        <f>_xlfn.XLOOKUP(B2,etfchg!C:C,etfchg!D:D,_xlfn.XLOOKUP(B2,etf!I:I,etf!K:K,""))</f>
        <v/>
      </c>
      <c r="RU2" s="107" t="str">
        <f>_xlfn.XLOOKUP(B2,II!G:G,II!I:I,"")</f>
        <v/>
      </c>
      <c r="RV2" s="215" t="str">
        <f ca="1">_xlfn.XLOOKUP(B2,call!H:H,call!L:L,"")</f>
        <v/>
      </c>
      <c r="RW2" s="215" t="str">
        <f>_xlfn.XLOOKUP(B2,RR!F:F,RR!O:O,"")</f>
        <v/>
      </c>
      <c r="RX2" s="215" t="str">
        <f t="shared" ref="RX2:RX3" ca="1" si="121">_xlfn.SINGLE(_xlfn.IFNA(_xlfn.XLOOKUP(MAX(RN2:RR2), RN2:RR2, RS2:RW2),""))</f>
        <v/>
      </c>
      <c r="RY2" s="289" t="str">
        <f>_xlfn.XLOOKUP(B2,sss!V:V,sss!AA:AA,"")</f>
        <v/>
      </c>
      <c r="RZ2" s="215" t="str">
        <f t="shared" ref="RZ2:RZ3" ca="1" si="122">IF(RX2="",RM2,"")</f>
        <v/>
      </c>
      <c r="SA2" s="215" t="str">
        <f t="shared" ref="SA2:SA3" ca="1" si="123">IF(RZ2="",RX2,IF(_xlfn.NUMBERVALUE(RX2)&lt;&gt;0,MIN(RX2,RZ2),RZ2))</f>
        <v/>
      </c>
      <c r="SB2" s="215" t="str">
        <f>_xlfn.XLOOKUP(B2,ps!AB:AB,ps!AF:AF,"")</f>
        <v/>
      </c>
      <c r="SC2" s="215" t="str">
        <f>_xlfn.XLOOKUP(B2,etfchg!C:C,etfchg!D:D,_xlfn.XLOOKUP(B2,etf!I:I,etf!M:M,""))</f>
        <v/>
      </c>
      <c r="SD2" s="107" t="str">
        <f>_xlfn.XLOOKUP(B2,II!G:G,II!K:K,"")</f>
        <v/>
      </c>
      <c r="SE2" s="215" t="str">
        <f ca="1">_xlfn.XLOOKUP(B2,call!H:H,call!N:N,"")</f>
        <v/>
      </c>
      <c r="SF2" s="215" t="str">
        <f>_xlfn.XLOOKUP(B2,RR!F:F,RR!Q:Q,"")</f>
        <v/>
      </c>
      <c r="SG2" s="215" t="str">
        <f t="shared" ref="SG2:SG3" ca="1" si="124">_xlfn.IFNA(_xlfn.XLOOKUP(MAX(RN2:RR2), RN2:RR2, SB2:SF2),"")</f>
        <v/>
      </c>
      <c r="SH2" s="215" t="str">
        <f t="shared" ref="SH2:SH3" ca="1" si="125">IF(RX2="","",RM2)</f>
        <v/>
      </c>
      <c r="SI2" s="215" t="str">
        <f>_xlfn.XLOOKUP(B2,sss!V:V,sss!Z:Z,"")</f>
        <v/>
      </c>
      <c r="SJ2" s="90" cm="1">
        <f t="array" aca="1" ref="SJ2" ca="1">IF(XG2="","",_xlfn.XLOOKUP((IF(XG2&lt;&gt;"",INDEX(_xlfn.TEXTSPLIT(XG2,"-"),2),"") &amp; IF(RIGHT(XG2,5)="Watch","W","")),Parm!$AM$1:$AM$23,Parm!$AO$1:$AO$23))</f>
        <v>-9</v>
      </c>
      <c r="SK2" s="90" cm="1">
        <f t="array" aca="1" ref="SK2" ca="1">IF(XH2="","",_xlfn.XLOOKUP((IF(XH2&lt;&gt;"",INDEX(_xlfn.TEXTSPLIT(XH2,"-"),2),"") &amp; IF(RIGHT(XH2,5)="Watch","W","")),Parm!$AM$1:$AM$23,Parm!$AO$1:$AO$23))</f>
        <v>-8</v>
      </c>
      <c r="SL2" s="90" t="str" cm="1">
        <f t="array" ref="SL2">IF(XI2="","",_xlfn.XLOOKUP((IF(XI2&lt;&gt;"",INDEX(_xlfn.TEXTSPLIT(XI2,"-"),2),"") &amp; IF(RIGHT(XI2,5)="Watch","W","")),Parm!$AM$1:$AM$23,Parm!$AO$1:$AO$23))</f>
        <v/>
      </c>
      <c r="SM2" s="90" t="str" cm="1">
        <f t="array" ref="SM2">IF(XJ2="","",_xlfn.XLOOKUP((IF(XJ2&lt;&gt;"",INDEX(_xlfn.TEXTSPLIT(XJ2,"-"),2),"") &amp; IF(RIGHT(XJ2,5)="Watch","W","")),Parm!$AM$1:$AM$23,Parm!$AO$1:$AO$23))</f>
        <v/>
      </c>
      <c r="SN2" s="90" t="str" cm="1">
        <f t="array" ref="SN2">IF(XK2="","",_xlfn.XLOOKUP((IF(XK2&lt;&gt;"",INDEX(_xlfn.TEXTSPLIT(XK2,"-"),2),"") &amp; IF(RIGHT(XK2,5)="Watch","W","")),Parm!$AM$1:$AM$23,Parm!$AO$1:$AO$23))</f>
        <v/>
      </c>
      <c r="SO2" s="90" t="str" cm="1">
        <f t="array" ref="SO2">IF(XL2="","",_xlfn.XLOOKUP((IF(XL2&lt;&gt;"",INDEX(_xlfn.TEXTSPLIT(XL2,"-"),2),"") &amp; IF(RIGHT(XL2,5)="Watch","W","")),Parm!$AM$1:$AM$23,Parm!$AO$1:$AO$23))</f>
        <v/>
      </c>
      <c r="SP2" s="90" t="str" cm="1">
        <f t="array" ref="SP2">IF(XM2="","",_xlfn.XLOOKUP((IF(XM2&lt;&gt;"",INDEX(_xlfn.TEXTSPLIT(XM2,"-"),2),"") &amp; IF(RIGHT(XM2,5)="Watch","W","")),Parm!$AM$1:$AM$23,Parm!$AO$1:$AO$23))</f>
        <v/>
      </c>
      <c r="SQ2" s="90" t="str" cm="1">
        <f t="array" ref="SQ2">IF(XN2="","",_xlfn.XLOOKUP((IF(XN2&lt;&gt;"",INDEX(_xlfn.TEXTSPLIT(XN2,"-"),2),"") &amp; IF(RIGHT(XN2,5)="Watch","W","")),Parm!$AM$1:$AM$23,Parm!$AO$1:$AO$23))</f>
        <v/>
      </c>
      <c r="SR2" s="90" t="str" cm="1">
        <f t="array" ref="SR2">IF(XO2="","",_xlfn.XLOOKUP((IF(XO2&lt;&gt;"",INDEX(_xlfn.TEXTSPLIT(XO2,"-"),2),"") &amp; IF(RIGHT(XO2,5)="Watch","W","")),Parm!$AM$1:$AM$23,Parm!$AO$1:$AO$23))</f>
        <v/>
      </c>
      <c r="SS2" s="90" t="str" cm="1">
        <f t="array" ref="SS2">IF(XP2="","",_xlfn.XLOOKUP((IF(XP2&lt;&gt;"",INDEX(_xlfn.TEXTSPLIT(XP2,"-"),2),"") &amp; IF(RIGHT(XP2,5)="Watch","W","")),Parm!$AM$1:$AM$23,Parm!$AO$1:$AO$23))</f>
        <v/>
      </c>
      <c r="ST2" s="90" t="str" cm="1">
        <f t="array" ref="ST2">IF(XQ2="","",_xlfn.XLOOKUP((IF(XQ2&lt;&gt;"",INDEX(_xlfn.TEXTSPLIT(XQ2,"-"),2),"") &amp; IF(RIGHT(XQ2,5)="Watch","W","")),Parm!$AM$1:$AM$23,Parm!$AO$1:$AO$23))</f>
        <v/>
      </c>
      <c r="SU2" s="90">
        <f t="shared" ref="SU2:SU3" ca="1" si="126">COUNTBLANK(SJ2:ST2)</f>
        <v>9</v>
      </c>
      <c r="SV2" s="90">
        <f t="shared" ref="SV2:SV3" ca="1" si="127">IF(SU2=11,"",COUNTIF(SJ2:ST2,"&lt;0"))</f>
        <v>2</v>
      </c>
      <c r="SW2" s="90">
        <f t="shared" ref="SW2:SW3" ca="1" si="128">IF(SU2=11,"",COUNTIF(SJ2:ST2,"&gt;0"))</f>
        <v>0</v>
      </c>
      <c r="SX2" s="90">
        <f t="shared" ref="SX2:SX3" ca="1" si="129">IF(_xlfn.NUMBERVALUE(SV2)&gt;0,MIN(SJ2:ST2),"")</f>
        <v>-9</v>
      </c>
      <c r="SY2" s="90" t="str">
        <f t="shared" ref="SY2:SY3" ca="1" si="130">IF(_xlfn.NUMBERVALUE(SW2)&gt;0,MAX(SJ2:ST2),"")</f>
        <v/>
      </c>
      <c r="SZ2" s="90" cm="1">
        <f t="array" aca="1" ref="SZ2" ca="1">_xlfn.IFS(SU2=11,"",AND(SX2&lt;&gt;"",SY2&lt;&gt;""),SX2,SX2&lt;&gt;"",SX2,SY2&lt;&gt;"",SY2)</f>
        <v>-9</v>
      </c>
      <c r="TA2" s="215" t="str">
        <f t="shared" ref="TA2:TA3" ca="1" si="131">SA2</f>
        <v/>
      </c>
      <c r="TB2" s="215" t="str">
        <f t="shared" ref="TB2:TB3" ca="1" si="132">SG2</f>
        <v/>
      </c>
      <c r="TC2" s="215" t="str">
        <f t="shared" ref="TC2:TC3" ca="1" si="133">SH2</f>
        <v/>
      </c>
      <c r="TD2" s="215" t="str">
        <f t="shared" ref="TD2:TD3" si="134">SI2</f>
        <v/>
      </c>
      <c r="TE2" s="90">
        <f t="shared" ref="TE2:TE3" ca="1" si="135">SZ2</f>
        <v>-9</v>
      </c>
      <c r="TF2" s="90">
        <f t="shared" ref="TF2:TF3" ca="1" si="136">COUNTBLANK(TA2:TE2)</f>
        <v>4</v>
      </c>
      <c r="TG2" s="90">
        <f t="shared" ref="TG2:TG3" ca="1" si="137">IF(TF2=5,"",COUNTIF(TA2:TE2,"&lt;0"))</f>
        <v>1</v>
      </c>
      <c r="TH2" s="90">
        <f t="shared" ref="TH2:TH3" ca="1" si="138">IF(TF2=5,"",COUNTIF(TA2:TE2,"&gt;0"))</f>
        <v>0</v>
      </c>
      <c r="TI2" s="90">
        <f t="shared" ref="TI2:TI3" ca="1" si="139">IF(_xlfn.NUMBERVALUE(TG2)&gt;0,MIN(TA2:TE2),"")</f>
        <v>-9</v>
      </c>
      <c r="TJ2" s="90" t="str">
        <f t="shared" ref="TJ2:TJ3" ca="1" si="140">IF(_xlfn.NUMBERVALUE(TH2)&gt;0,MAX(TA2:TE2),"")</f>
        <v/>
      </c>
      <c r="TK2" s="90" cm="1">
        <f t="array" aca="1" ref="TK2" ca="1">_xlfn.IFS(TF2=5,"",AND(TI2&lt;&gt;"",TJ2&lt;&gt;""),TI2,TI2&lt;&gt;"",TI2,TJ2&lt;&gt;"",TJ2,TRUE,0)</f>
        <v>-9</v>
      </c>
      <c r="TL2" s="215" t="str">
        <f t="shared" ref="TL2:TL3" ca="1" si="141">SG2</f>
        <v/>
      </c>
      <c r="TM2" s="215" t="str">
        <f t="shared" ref="TM2:TM3" si="142">SI2</f>
        <v/>
      </c>
      <c r="TN2" s="90">
        <f t="shared" ref="TN2:TN3" ca="1" si="143">SZ2</f>
        <v>-9</v>
      </c>
      <c r="TO2" s="90">
        <f t="shared" ref="TO2:TO3" ca="1" si="144">COUNTBLANK(TL2:TN2)</f>
        <v>2</v>
      </c>
      <c r="TP2" s="90">
        <f t="shared" ref="TP2:TP3" ca="1" si="145">IF(TO2=3,"",COUNTIF(TL2:TN2,"&lt;0"))</f>
        <v>1</v>
      </c>
      <c r="TQ2" s="90">
        <f t="shared" ref="TQ2:TQ3" ca="1" si="146">IF(TO2=3,"",COUNTIF(TL2:TN2,"&gt;0"))</f>
        <v>0</v>
      </c>
      <c r="TR2" s="90">
        <f t="shared" ref="TR2:TR3" ca="1" si="147">IF(_xlfn.NUMBERVALUE(TP2)&gt;0,MIN(TL2:TN2),"")</f>
        <v>-9</v>
      </c>
      <c r="TS2" s="90" t="str">
        <f t="shared" ref="TS2:TS3" ca="1" si="148">IF(_xlfn.NUMBERVALUE(TQ2)&gt;0,MAX(TL2:TN2),"")</f>
        <v/>
      </c>
      <c r="TT2" s="90" cm="1">
        <f t="array" aca="1" ref="TT2" ca="1">_xlfn.IFS(TO2=3,"",AND(TR2&lt;&gt;"",TS2&lt;&gt;""),TR2,TR2&lt;&gt;"",TR2,TS2&lt;&gt;"",TS2,TRUE,0)</f>
        <v>-9</v>
      </c>
      <c r="TU2" s="90">
        <f t="shared" ref="TU2:TU3" ca="1" si="149">IF(UI2=0,TK2,TT2)</f>
        <v>-9</v>
      </c>
      <c r="TW2" s="90" t="str">
        <f ca="1">_xlfn.XLOOKUP(TU2,Parm!$AO$2:$AO$25,Parm!$AS$2:$AS$25,"")</f>
        <v>S</v>
      </c>
      <c r="TX2" s="90" cm="1">
        <f t="array" aca="1" ref="TX2" ca="1">_xlfn.IFS(AND(WQ2&lt;&gt;"",WR2=""),-1,AND(UI2=0,_xlfn.NUMBERVALUE(TU2)&lt;0),99,
AND(_xlfn.NUMBERVALUE(WX2)=0,_xlfn.NUMBERVALUE(TU2)&gt;=0),98,
TW2="W",97,
AND(UI2&gt;0,TN2=""),96,
TRUE,0)</f>
        <v>99</v>
      </c>
      <c r="TY2" s="90" cm="1">
        <f t="array" aca="1" ref="TY2" ca="1">_xlfn.IFS(AND(UI2&gt;0,_xlfn.NUMBERVALUE(TU2)&lt;0,TW2&lt;&gt;"W"),1,
AND(_xlfn.NUMBERVALUE(TU2)&gt;0,_xlfn.NUMBERVALUE(SJ2)&gt;0),2,
AND(UI2&gt;0,_xlfn.NUMBERVALUE(TU2)&lt;0,TW2="W"),3,
AND(UI2=0,_xlfn.NUMBERVALUE(TU2)&gt;0),4,
TRUE,0)</f>
        <v>0</v>
      </c>
      <c r="TZ2" s="90">
        <f t="shared" ref="TZ2:TZ3" ca="1" si="150">IF(XG2="",0,_xlfn.NUMBERVALUE(_xlfn.TEXTBEFORE(XG2, "-")))</f>
        <v>791</v>
      </c>
      <c r="UA2" s="215">
        <f t="shared" ref="UA2:UA3" ca="1" si="151">IF(AND(TX2&lt;=0,TY2&lt;3),1,0)</f>
        <v>0</v>
      </c>
      <c r="UB2" s="215" t="str">
        <f t="shared" ref="UB2:UB3" si="152">IF(OR(LEFT(C2,1)="^",ISNUMBER(FIND("=", C2)),ISNUMBER(FIND("-", C2))),"Y","N")</f>
        <v>N</v>
      </c>
      <c r="UC2" s="107" t="str">
        <f t="shared" ref="UC2:UC3" ca="1" si="153">IF(_xlfn.NUMBERVALUE(RS2)&lt;0,"P,","") &amp; IF(_xlfn.NUMBERVALUE(RT2)&lt;0,"E,","") &amp; IF(_xlfn.NUMBERVALUE(RU2)&lt;0,"I,","") &amp; IF(_xlfn.NUMBERVALUE(RV2)&lt;0,"C,","") &amp; IF(_xlfn.NUMBERVALUE(RW2)&lt;0,"R,","") &amp; IF(_xlfn.NUMBERVALUE(RZ2)&lt;0,"S,","") &amp; IF(_xlfn.NUMBERVALUE(SB2)&lt;0,"PC,","") &amp; IF(_xlfn.NUMBERVALUE(SC2)&lt;0,"EC,","") &amp; IF(_xlfn.NUMBERVALUE(SD2)&lt;0,"IC,","") &amp; IF(_xlfn.NUMBERVALUE(SE2)&lt;0,"CC,","") &amp; IF(_xlfn.NUMBERVALUE(SI2)&lt;0,"SC,","")</f>
        <v/>
      </c>
      <c r="UD2" s="107" t="str">
        <f t="shared" ref="UD2:UD3" ca="1" si="154">IF(_xlfn.NUMBERVALUE(RS2)&gt;0,"P,","") &amp; IF(_xlfn.NUMBERVALUE(RT2)&gt;0,"E,","") &amp; IF(_xlfn.NUMBERVALUE(RU2)&gt;0,"I,","") &amp; IF(_xlfn.NUMBERVALUE(RV2)&gt;0,"C,","") &amp; IF(_xlfn.NUMBERVALUE(RW2)&gt;0,"R,","") &amp; IF(_xlfn.NUMBERVALUE(RZ2)&gt;0,"S,","") &amp; IF(_xlfn.NUMBERVALUE(SB2)&gt;0,"PC,","") &amp; IF(_xlfn.NUMBERVALUE(SC2)&gt;0,"EC,","") &amp; IF(_xlfn.NUMBERVALUE(SD2)&gt;0,"IC,","") &amp; IF(_xlfn.NUMBERVALUE(SE2)&gt;0,"CC,","") &amp; IF(_xlfn.NUMBERVALUE(SI2)&gt;0,"SC,","")</f>
        <v/>
      </c>
      <c r="UE2" s="90">
        <f>_xlfn.XLOOKUP(W2&amp;C2,F!A:A,F!G:G,0)</f>
        <v>0</v>
      </c>
      <c r="UF2" s="90">
        <f>_xlfn.XLOOKUP(X2&amp;C2,CS!A:A,CS!G:G,0)</f>
        <v>0</v>
      </c>
      <c r="UG2" s="90">
        <f t="shared" ref="UG2:UG3" si="155">SUM(UE2:UF2)</f>
        <v>0</v>
      </c>
      <c r="UI2" s="215">
        <f t="shared" ref="UI2:UI3" si="156">IF(OR(UE2&lt;&gt;"",UF2&lt;&gt;""), UG2+IF(UH2&gt;0,UH2,0), 0)</f>
        <v>0</v>
      </c>
      <c r="UJ2" s="215">
        <f t="shared" ref="UJ2:UJ3" si="157">IF(UH2&lt;0,ABS(UH2),0)</f>
        <v>0</v>
      </c>
      <c r="UK2" s="90" t="str">
        <f>_xlfn.XLOOKUP(C2,My!A:A,My!B:B,"")</f>
        <v/>
      </c>
      <c r="UL2" s="107" t="str" cm="1">
        <f t="array" aca="1" ref="UL2" ca="1">_xlfn.IFS(AND(_xlfn.NUMBERVALUE(RA2)&gt;0,OR(_xlfn.NUMBERVALUE(RB2)&gt;0,_xlfn.NUMBERVALUE(RJ2)&gt;0)),"IICAllorSig",AND(_xlfn.NUMBERVALUE(RB2)&gt;0,_xlfn.NUMBERVALUE(RJ2)&gt;0),"CAllSig",_xlfn.NUMBERVALUE(QV2)&gt;0,"PS",_xlfn.NUMBERVALUE(QX2)&gt;0,"ETF",_xlfn.NUMBERVALUE(RA2)&gt;0,"II",AND(_xlfn.NUMBERVALUE(RB2)&gt;0,_xlfn.NUMBERVALUE(RD2)&gt;0),"CAllRR",_xlfn.NUMBERVALUE(RB2)&gt;0,"CAll",_xlfn.NUMBERVALUE(RJ2)&gt;0,"Sig",_xlfn.NUMBERVALUE(RD2)&gt;0,"RR",_xlfn.NUMBERVALUE(UK2)&gt;0,"My",SA2&lt;0,"Negative",AND(RD2&lt;&gt;"",_xlfn.NUMBERVALUE(RD2)=0),"Neutral",AND(RB2&lt;&gt;"",_xlfn.NUMBERVALUE(RB2)=0),"Neutral",TRUE,"Other")</f>
        <v>Other</v>
      </c>
      <c r="UM2" s="107">
        <f ca="1">IF(UL2&lt;&gt;"",_xlfn.XLOOKUP(UL2,Parm!$AF$2:$AF$24,Parm!$AK$2:$AK$24,0),0)</f>
        <v>500</v>
      </c>
      <c r="UN2" s="107">
        <f ca="1">IF(UL2&lt;&gt;"",_xlfn.XLOOKUP(UL2,Parm!$AF$2:$AF$24,Parm!$AI$2:$AI$24,0),0)</f>
        <v>500</v>
      </c>
      <c r="UO2" s="107">
        <f ca="1">IF(UL2&lt;&gt;"",_xlfn.XLOOKUP(UL2,Parm!$AF$2:$AF$24,Parm!$AJ$2:$AJ$24,0),0)</f>
        <v>1000</v>
      </c>
      <c r="UP2" s="107" cm="1">
        <f t="array" aca="1" ref="UP2" ca="1">_xlfn.IFS(QE2&gt;=4,UO2,QE2&gt;=0,UN2,TRUE,0)</f>
        <v>1000</v>
      </c>
      <c r="UQ2" s="107">
        <f t="shared" ref="UQ2:UQ3" ca="1" si="158">UP2-_xlfn.NUMBERVALUE(UG2)</f>
        <v>1000</v>
      </c>
      <c r="UR2" s="215" t="str">
        <f ca="1">_xlfn.XLOOKUP(TU2,Parm!$AO$1:$AO$25,Parm!$AQ$1:$AQ$25,IF(AND(TU2&gt;=0,UQ2&lt;0),"SO",""))</f>
        <v>STM</v>
      </c>
      <c r="US2" s="215" t="str" cm="1">
        <f t="array" aca="1" ref="US2" ca="1">_xlfn.IFS(UR2="SA",IF(UI2&gt;0,UI2,""),UR2="S",UI2,UR2="STM",IF(UI2&gt;UN2,UI2-UN2,""),UR2="SS",IF(UI2&gt;UM2,UM2,""),UQ2&lt;0,UQ2,UR2="BR",UM2,UR2="BMN",UM2,UR2="BS",UM2,UR2="BM",UN2,UR2="B",UN2,TRUE,"")</f>
        <v/>
      </c>
      <c r="UT2" s="215" t="str">
        <f t="shared" ref="UT2:UT3" ca="1" si="159">IF(OR(US2="",AND(UG2&gt;UM2,US2&lt;UM2,US2&lt;UN2,US2&gt;0,US2&lt;1000)),"",US2)</f>
        <v/>
      </c>
      <c r="UU2" s="215" t="str">
        <f t="shared" ref="UU2:UU3" ca="1" si="160">QS2</f>
        <v/>
      </c>
      <c r="UV2" s="215" t="str" cm="1">
        <f t="array" aca="1" ref="UV2" ca="1">_xlfn.IFS(UU2="SA",IF(UI2&gt;0,UI2,""),UU2="S",UI2,UU2="STM",IF(UI2&gt;UN2,UI2-UN2,""),UU2="SS",IF(UI2&gt;UM2,UM2,""),UQ2&lt;0,UQ2,UU2="BR",UM2,UU2="BMN",UM2,UU2="BS",UM2,UU2="BM",UN2,UU2="B",UN2,TRUE,"")</f>
        <v/>
      </c>
      <c r="UW2" s="215" t="str">
        <f t="shared" ref="UW2:UW3" ca="1" si="161">IF(OR(UV2="",AND(UG2&gt;UM2,UV2&lt;UM2,UV2&lt;UN2,UV2&gt;0,UV2&lt;1000)),"",UV2)</f>
        <v/>
      </c>
      <c r="UX2" s="215" t="str" cm="1">
        <f t="array" aca="1" ref="UX2" ca="1">_xlfn.IFS(AND(NK2&gt;2,NL2&gt;2,NM2&lt;2),"B",AND(NK2&gt;2,NL2&gt;2),"BS",AND(NK2&lt;-2,NL2&gt;2,NM2&lt;2),"SA",AND(NK2&lt;-2,NL2&gt;2),"SS",
AND(NK2&gt;2,NL2&lt;-2,NM2&lt;2),"",AND(NK2&gt;2,NL2&lt;-2),"",AND(NK2&lt;-2,NL2&lt;-2,NM2&gt;2),"BS",AND(NK2&lt;-2,NL2&lt;-2),"B",TRUE,"")</f>
        <v/>
      </c>
      <c r="UY2" s="215" cm="1">
        <f t="array" aca="1" ref="UY2" ca="1">_xlfn.IFS(AND(UI2=0,TU2=""),0,UB2="Y",0,_xlfn.NUMBERVALUE(UI2)&lt;&gt;0,1,_xlfn.NUMBERVALUE(UJ2)&lt;&gt;0,1,_xlfn.NUMBERVALUE(UK2)&lt;&gt;0,1,AND(_xlfn.NUMBERVALUE(RL2)&gt;0,TU2&lt;&gt;""),1,TRUE,0)</f>
        <v>0</v>
      </c>
      <c r="UZ2" s="215">
        <f t="shared" ref="UZ2:UZ3" ca="1" si="162">UA2</f>
        <v>0</v>
      </c>
      <c r="VA2" s="215">
        <f t="shared" ref="VA2:VA3" ca="1" si="163">IF(OR(AND(QR2&lt;0,UG2=0),QT2=""),0,QT2)</f>
        <v>0</v>
      </c>
      <c r="VB2" s="215">
        <f t="shared" ref="VB2:VB3" si="164">IF(UE2&gt;0,1,0)</f>
        <v>0</v>
      </c>
      <c r="VC2" s="215">
        <f t="shared" ref="VC2:VC3" si="165">IF(UF2&gt;0,1,0)</f>
        <v>0</v>
      </c>
      <c r="VD2" s="215">
        <f t="shared" ref="VD2:VD3" ca="1" si="166">TX2</f>
        <v>99</v>
      </c>
      <c r="VE2" s="215">
        <f t="shared" ref="VE2:VE3" ca="1" si="167">TY2</f>
        <v>0</v>
      </c>
      <c r="VF2" s="215">
        <f t="shared" ref="VF2:VF3" si="168">TV2</f>
        <v>0</v>
      </c>
      <c r="VG2" s="215">
        <f t="shared" ref="VG2:VG3" ca="1" si="169">TZ2</f>
        <v>791</v>
      </c>
      <c r="VH2" s="215" t="str">
        <f t="shared" ref="VH2:VH3" si="170">UK2</f>
        <v/>
      </c>
      <c r="VI2" s="215">
        <f t="shared" ref="VI2:VI3" si="171">UE2</f>
        <v>0</v>
      </c>
      <c r="VJ2" s="215">
        <f t="shared" ref="VJ2:VJ3" si="172">UF2</f>
        <v>0</v>
      </c>
      <c r="VK2" s="215">
        <f t="shared" ref="VK2:VK3" ca="1" si="173">UQ2</f>
        <v>1000</v>
      </c>
      <c r="VL2" s="215" t="str">
        <f t="shared" ref="VL2:VL3" ca="1" si="174">UX2</f>
        <v/>
      </c>
      <c r="VM2" s="249">
        <f t="shared" ref="VM2:VM3" ca="1" si="175">AG2</f>
        <v>1.9837962962962978</v>
      </c>
      <c r="VN2" s="249">
        <f t="shared" ref="VN2:VN3" ca="1" si="176">AH2</f>
        <v>4.3379629629629646</v>
      </c>
      <c r="VO2" s="249">
        <f t="shared" ref="VO2:VO3" si="177">AI2</f>
        <v>-2.354166666666667</v>
      </c>
      <c r="VP2" s="215" t="str">
        <f t="shared" ref="VP2:VP3" ca="1" si="178">RL2</f>
        <v/>
      </c>
      <c r="VQ2" s="215">
        <f t="shared" ref="VQ2:VQ3" ca="1" si="179">QE2</f>
        <v>4</v>
      </c>
      <c r="VR2" s="215" t="str">
        <f t="shared" ref="VR2:VR3" si="180">EE2</f>
        <v/>
      </c>
      <c r="VS2" s="215" t="str">
        <f>IF(OR(HH2&lt;&gt;"Equities",HJ2=""),"",_xlfn.XLOOKUP(HJ2,HQuad!B:B,HQuad!C:C,""))</f>
        <v>XLK</v>
      </c>
      <c r="VT2" s="215" t="str">
        <f>_xlfn.XLOOKUP(VS2,B:B,VP:VP,"")</f>
        <v/>
      </c>
      <c r="VU2" s="215" t="str">
        <f>_xlfn.XLOOKUP(VS2,B:B,VQ:VQ,"")</f>
        <v/>
      </c>
      <c r="VV2" s="215" t="str">
        <f>_xlfn.XLOOKUP(VS2,B:B,VR:VR,"")</f>
        <v/>
      </c>
      <c r="VW2" s="215">
        <f t="shared" ref="VW2:VW3" si="181">IF2</f>
        <v>0</v>
      </c>
      <c r="VX2" s="215">
        <f t="shared" ref="VX2:VX3" si="182">IG2</f>
        <v>3</v>
      </c>
      <c r="VY2" s="215">
        <f t="shared" ref="VY2:VY3" ca="1" si="183">IH2</f>
        <v>2</v>
      </c>
      <c r="VZ2" s="215">
        <f t="shared" ref="VZ2:VZ3" ca="1" si="184">II2</f>
        <v>1</v>
      </c>
      <c r="WA2" s="215">
        <f t="shared" ref="WA2:WA3" si="185">IR2</f>
        <v>3</v>
      </c>
      <c r="WB2" s="215">
        <f t="shared" ref="WB2:WB3" si="186">IS2</f>
        <v>3</v>
      </c>
      <c r="WC2" s="215">
        <f t="shared" ref="WC2:WC3" ca="1" si="187">IT2</f>
        <v>2</v>
      </c>
      <c r="WD2" s="215">
        <f t="shared" ref="WD2:WD3" ca="1" si="188">IU2</f>
        <v>1</v>
      </c>
      <c r="WE2" s="215" t="str">
        <f t="shared" ref="WE2:WE3" ca="1" si="189">GU2</f>
        <v xml:space="preserve"> </v>
      </c>
      <c r="WF2" s="215">
        <f t="shared" ref="WF2:WF3" ca="1" si="190">GW2</f>
        <v>0</v>
      </c>
      <c r="WG2" s="215" t="str">
        <f t="shared" ref="WG2:WG3" si="191">FN2</f>
        <v>IVPXtrm</v>
      </c>
      <c r="WH2" s="215" t="str">
        <f t="shared" ref="WH2:WH3" si="192">FO2</f>
        <v/>
      </c>
      <c r="WI2" s="215" t="str">
        <f t="shared" ref="WI2:WI3" si="193">GF2</f>
        <v/>
      </c>
      <c r="WJ2" s="215" t="str">
        <f t="shared" ref="WJ2:WJ3" si="194">GG2</f>
        <v/>
      </c>
      <c r="WK2" s="215" t="str">
        <f t="shared" ref="WK2:WK3" si="195">GD2</f>
        <v>&gt;avg+Accl</v>
      </c>
      <c r="WL2" s="215" t="str">
        <f t="shared" ref="WL2:WL3" ca="1" si="196">GI2</f>
        <v>Norm vlt</v>
      </c>
      <c r="WM2" s="215" t="str">
        <f t="shared" ref="WM2:WM3" ca="1" si="197">QG2</f>
        <v>Bull</v>
      </c>
      <c r="WN2" s="215" t="str">
        <f t="shared" ref="WN2:WN3" si="198">QL2</f>
        <v>Bull</v>
      </c>
      <c r="WO2" s="215" t="str">
        <f t="shared" ref="WO2:WO3" ca="1" si="199">QP2</f>
        <v/>
      </c>
      <c r="WP2" s="215" t="str">
        <f t="shared" ref="WP2:WP3" ca="1" si="200">QQ2</f>
        <v/>
      </c>
      <c r="WQ2" s="215" t="str">
        <f t="shared" ref="WQ2:WQ3" ca="1" si="201">IF(WW2="","",IF(ISNUMBER(SEARCH("Sell",UR2)),IF(UD2="","","+" &amp; UD2),IF(UC2="","","-" &amp; UC2)))</f>
        <v/>
      </c>
      <c r="WR2" s="90" t="str">
        <f t="shared" ref="WR2:WR3" ca="1" si="202">IF(WW2="","",IF(ISNUMBER(SEARCH("Sell",UR2)),IF(UC2="","","-" &amp; UC2),IF(UD2="","","+" &amp; UD2)))</f>
        <v/>
      </c>
      <c r="WS2" s="215">
        <f t="shared" ref="WS2:WS3" si="203">UI2</f>
        <v>0</v>
      </c>
      <c r="WT2" s="90" t="str">
        <f t="shared" ref="WT2:WT3" si="204">B2</f>
        <v>ZM</v>
      </c>
      <c r="WU2" s="215" t="str">
        <f t="shared" ref="WU2:WU3" ca="1" si="205">QS2</f>
        <v/>
      </c>
      <c r="WV2" s="215" t="str">
        <f t="shared" ref="WV2:WV3" ca="1" si="206">UW2</f>
        <v/>
      </c>
      <c r="WW2" s="215" t="str">
        <f t="shared" ref="WW2:WW3" ca="1" si="207">UR2</f>
        <v>STM</v>
      </c>
      <c r="WX2" s="215" t="str">
        <f t="shared" ref="WX2:WX3" ca="1" si="208">UT2</f>
        <v/>
      </c>
      <c r="WY2" s="215" t="str">
        <f ca="1">IF(TA2=0,"",_xlfn.XLOOKUP(TA2,Parm!$AO$1:$AO$20,Parm!$AQ$1:$AQ$20,""))</f>
        <v/>
      </c>
      <c r="WZ2" s="215" t="str">
        <f ca="1">IF(TB2=0,"",_xlfn.XLOOKUP(TB2,Parm!$AO$1:$AO$20,Parm!$AQ$1:$AQ$20,""))</f>
        <v/>
      </c>
      <c r="XA2" s="215" t="str">
        <f ca="1">IF(TC2=0,"",_xlfn.XLOOKUP(TC2,Parm!$AO$1:$AO$20,Parm!$AQ$1:$AQ$20,""))</f>
        <v/>
      </c>
      <c r="XB2" s="215" t="str">
        <f>IF(TD2=0,"",_xlfn.XLOOKUP(TD2,Parm!$AO$1:$AO$20,Parm!$AQ$1:$AQ$20,""))</f>
        <v/>
      </c>
      <c r="XC2" s="215" t="str">
        <f ca="1">IF(TE2=0,"",_xlfn.XLOOKUP(TE2,Parm!$AO$1:$AO$20,Parm!$AQ$1:$AQ$20,""))</f>
        <v>STM</v>
      </c>
      <c r="XD2" s="215" t="str">
        <f ca="1">IF(TK2=0,"",_xlfn.XLOOKUP(TK2,Parm!$AO$1:$AO$20,Parm!$AQ$1:$AQ$20,""))</f>
        <v>STM</v>
      </c>
      <c r="XE2" s="215" t="str">
        <f ca="1">IF(TT2=0,"",_xlfn.XLOOKUP(TT2,Parm!$AO$1:$AO$20,Parm!$AQ$1:$AQ$20,""))</f>
        <v>STM</v>
      </c>
      <c r="XF2" s="215" t="str">
        <f ca="1">IF(TU2=0,"",_xlfn.XLOOKUP(TU2,Parm!$AO$1:$AO$20,Parm!$AQ$1:$AQ$20,""))</f>
        <v>STM</v>
      </c>
      <c r="XG2" s="217" t="str" cm="1">
        <f t="array" aca="1" ref="XG2:XH2" ca="1">_xlfn._xlws.FILTER($NQ$1:$PY$1,NQ2:PY2=0, IF(_xlfn._xlws.FILTER($OU$1:$PY$1,OU2:PY2&lt;10,"") &lt;&gt; "",_xlfn._xlws.FILTER($OU$1:$PY$1,OU2:PY2&lt;10,"") &amp; "-Watch",""))</f>
        <v>791-STM-!Bull-HighAbvTRR</v>
      </c>
      <c r="XH2" s="90" t="str">
        <f ca="1"/>
        <v>788-SS-!Bull-TN-TD-TRR</v>
      </c>
    </row>
    <row r="3" spans="1:641" x14ac:dyDescent="0.2">
      <c r="A3" s="90" t="str">
        <f t="shared" si="0"/>
        <v>46141.6875ZS</v>
      </c>
      <c r="B3" s="90" t="s">
        <v>145</v>
      </c>
      <c r="C3" s="90" t="s">
        <v>145</v>
      </c>
      <c r="D3" s="90">
        <f t="shared" ca="1" si="1"/>
        <v>134.72999999999999</v>
      </c>
      <c r="E3" s="90" t="str">
        <f ca="1">_xlfn.XLOOKUP($R3&amp;$C3,Y!$D2:$D57062,Y!$J2:$J57062,"")</f>
        <v>Zscaler, Inc.</v>
      </c>
      <c r="F3" s="90">
        <f t="shared" ca="1" si="2"/>
        <v>134.72999999999999</v>
      </c>
      <c r="G3" s="90">
        <f t="shared" ca="1" si="3"/>
        <v>-1.34</v>
      </c>
      <c r="H3" s="216">
        <f t="shared" ca="1" si="4"/>
        <v>-9.7999999999999997E-3</v>
      </c>
      <c r="I3" s="90">
        <f t="shared" ca="1" si="5"/>
        <v>135.715</v>
      </c>
      <c r="J3" s="90">
        <f t="shared" ca="1" si="6"/>
        <v>131.74</v>
      </c>
      <c r="K3" s="218">
        <f t="shared" si="7"/>
        <v>0</v>
      </c>
      <c r="L3" s="218">
        <f t="shared" si="8"/>
        <v>0</v>
      </c>
      <c r="M3" s="247">
        <f>IF(B3="","",Dash!$AB$19)</f>
        <v>46141.6875</v>
      </c>
      <c r="N3" s="247">
        <f>IF(B3="","",Dash!$AB$18)</f>
        <v>46141.6875</v>
      </c>
      <c r="O3" s="247">
        <f>IF(B3="","",Dash!$AB$21)</f>
        <v>46141.6875</v>
      </c>
      <c r="P3" s="247">
        <f>IF(C3="","",Dash!$AB$20)</f>
        <v>46139.6875</v>
      </c>
      <c r="Q3" s="247">
        <f>IF(B3="","",Dash!$AB$22)</f>
        <v>46141.6875</v>
      </c>
      <c r="R3" s="247">
        <f ca="1">IF(B3="","",Dash!$AB$23)</f>
        <v>46141.6875</v>
      </c>
      <c r="S3" s="90" t="str">
        <f>IF(B3="","",Dash!$AB$6)</f>
        <v>Y</v>
      </c>
      <c r="T3" s="136">
        <f>_xlfn.MAXIFS(II!C394:C10393,II!C394:C10393,"&lt;=" &amp; M3)</f>
        <v>0</v>
      </c>
      <c r="U3" s="136">
        <f>_xlfn.MAXIFS(etf!C2:C9206,etf!C2:C9206,"&lt;=" &amp; M3)</f>
        <v>46019</v>
      </c>
      <c r="V3" s="136">
        <f>_xlfn.MAXIFS(ssH!B2:B5536,ssH!B2:B5536,"&lt;=" &amp;M3)</f>
        <v>46140</v>
      </c>
      <c r="W3" s="136">
        <f>_xlfn.MAXIFS(F!D2:D5543,F!D2:D5543,"&lt;=" &amp; Dash!$AB$15)</f>
        <v>46126</v>
      </c>
      <c r="X3" s="136">
        <f>_xlfn.MAXIFS(CS!D2:D3248,CS!D2:D3248,"&lt;=" &amp; Dash!$AB$15)</f>
        <v>46141</v>
      </c>
      <c r="Y3" s="136">
        <f>_xlfn.MAXIFS(RR!D2:D2587,RR!D2:D2587,"&lt;=" &amp;M3)</f>
        <v>46141</v>
      </c>
      <c r="Z3" s="90">
        <v>855</v>
      </c>
      <c r="AA3" s="90">
        <f>_xlfn.XLOOKUP(N3&amp;B3,TW!$D:$D,TW!$AF:$AF,"")</f>
        <v>6.56</v>
      </c>
      <c r="AB3" s="90" cm="1">
        <f t="array" ref="AB3">MEDIAN(_xlfn._xlws.FILTER(TW!AF:AF,TW!C:C=B3))</f>
        <v>6.56</v>
      </c>
      <c r="AC3" s="90">
        <f t="shared" si="9"/>
        <v>6.56</v>
      </c>
      <c r="AD3" s="216">
        <f t="shared" ca="1" si="10"/>
        <v>4.8689972537667929E-2</v>
      </c>
      <c r="AE3" s="90">
        <f>_xlfn.XLOOKUP($M3&amp;$B3,TD!$D:$D,TD!$AY:$AY,"")</f>
        <v>162.94</v>
      </c>
      <c r="AF3" s="90">
        <f>_xlfn.XLOOKUP($M3&amp;$B3,TD!$D:$D,TD!$AZ:$AZ,"")</f>
        <v>114.63</v>
      </c>
      <c r="AG3" s="90">
        <f t="shared" ca="1" si="11"/>
        <v>-4.3003048780487818</v>
      </c>
      <c r="AH3" s="90">
        <f t="shared" ca="1" si="12"/>
        <v>3.0640243902439019</v>
      </c>
      <c r="AI3" s="90">
        <f t="shared" si="13"/>
        <v>-7.3643292682926838</v>
      </c>
      <c r="AJ3" s="90">
        <f>_xlfn.XLOOKUP(M3&amp;B3,TD!$D:$D,TD!$BD:$BD,"")</f>
        <v>14472.07</v>
      </c>
      <c r="AK3" s="215">
        <f t="shared" si="14"/>
        <v>14472</v>
      </c>
      <c r="AL3" s="218">
        <f t="shared" si="15"/>
        <v>144.72</v>
      </c>
      <c r="AM3" s="215">
        <f t="shared" si="16"/>
        <v>7</v>
      </c>
      <c r="AN3" s="215" cm="1">
        <f t="array" aca="1" ref="AN3" ca="1">_xlfn.IFS(AND(AL3&lt;0,AM3&gt;0,ABS(AL3)&lt;D3),1,AND(AL3&gt;0,AM3&gt;0,ABS(AL3)&gt;D3),-1,TRUE,SIGN(AL3))</f>
        <v>-1</v>
      </c>
      <c r="AO3" s="218">
        <f t="shared" ca="1" si="17"/>
        <v>-1.522865853658538</v>
      </c>
      <c r="AP3" s="90">
        <f>_xlfn.XLOOKUP($M3&amp;$B3,TD!$D:$D,TD!$BE:$BE,"")</f>
        <v>7.13</v>
      </c>
      <c r="AQ3" s="215">
        <f t="shared" si="18"/>
        <v>7</v>
      </c>
      <c r="AR3" s="215">
        <f t="shared" si="19"/>
        <v>12.999999999999989</v>
      </c>
      <c r="AS3" s="90">
        <f>_xlfn.XLOOKUP($M3&amp;$B3,TD!$D:$D,TD!$BC:$BC,"")</f>
        <v>3211.06</v>
      </c>
      <c r="AT3" s="218">
        <f t="shared" si="20"/>
        <v>3211</v>
      </c>
      <c r="AU3" s="93">
        <f t="shared" si="21"/>
        <v>211</v>
      </c>
      <c r="AV3" s="215">
        <f t="shared" si="22"/>
        <v>2</v>
      </c>
      <c r="AW3" s="215">
        <f t="shared" si="23"/>
        <v>1</v>
      </c>
      <c r="AX3" s="215">
        <f t="shared" si="24"/>
        <v>11</v>
      </c>
      <c r="AY3" s="215">
        <f t="shared" si="25"/>
        <v>3</v>
      </c>
      <c r="AZ3" s="215">
        <f t="shared" si="26"/>
        <v>6</v>
      </c>
      <c r="BA3" s="90">
        <f>_xlfn.XLOOKUP($N3&amp;$B3,TW!$D:$D,TW!$AY:$AY,"")</f>
        <v>115.13</v>
      </c>
      <c r="BB3" s="90">
        <f t="shared" ca="1" si="27"/>
        <v>2.9878048780487796</v>
      </c>
      <c r="BC3" s="90">
        <f t="shared" si="28"/>
        <v>12.999999999999545</v>
      </c>
      <c r="BD3" s="90">
        <f>_xlfn.XLOOKUP($N3&amp;$B3,TW!$D:$D,TW!$AX:$AX,"")</f>
        <v>211.62</v>
      </c>
      <c r="BE3" s="90">
        <f t="shared" ca="1" si="29"/>
        <v>-11.721036585365857</v>
      </c>
      <c r="BF3" s="90">
        <f t="shared" si="30"/>
        <v>62.000000000000455</v>
      </c>
      <c r="BG3" s="90">
        <f t="shared" ca="1" si="31"/>
        <v>20.31298580163747</v>
      </c>
      <c r="BH3" s="90">
        <f>_xlfn.XLOOKUP($N3&amp;$B3,TW!$D:$D,TW!$AZ:$AZ,"")</f>
        <v>-115.13</v>
      </c>
      <c r="BI3" s="90">
        <f t="shared" si="32"/>
        <v>115.13</v>
      </c>
      <c r="BJ3" s="90">
        <f t="shared" ca="1" si="33"/>
        <v>2.9878048780487796</v>
      </c>
      <c r="BK3" s="215">
        <f t="shared" si="34"/>
        <v>12.999999999999545</v>
      </c>
      <c r="BL3" s="90">
        <f>_xlfn.XLOOKUP($N3&amp;$B3,TW!$D:$D,TW!$BA:$BA,"")</f>
        <v>-115.13</v>
      </c>
      <c r="BM3" s="90">
        <f t="shared" si="35"/>
        <v>115.13</v>
      </c>
      <c r="BN3" s="90">
        <f t="shared" ca="1" si="36"/>
        <v>2.9878048780487796</v>
      </c>
      <c r="BO3" s="215">
        <f t="shared" si="37"/>
        <v>12.999999999999545</v>
      </c>
      <c r="BP3" s="249">
        <f t="shared" ca="1" si="38"/>
        <v>-17.313121394378303</v>
      </c>
      <c r="BQ3" s="90">
        <f t="shared" ca="1" si="39"/>
        <v>-4.3003048780487818</v>
      </c>
      <c r="BR3" s="90">
        <f>_xlfn.XLOOKUP($N3&amp;$B3,TW!$D:$D,TW!$AU:$AU,"")</f>
        <v>-8.34</v>
      </c>
      <c r="BS3" s="90">
        <f t="shared" ca="1" si="40"/>
        <v>-1.7128783536585366</v>
      </c>
      <c r="BT3" s="249">
        <f t="shared" ca="1" si="41"/>
        <v>17.534676786181624</v>
      </c>
      <c r="BU3" s="90">
        <f t="shared" ca="1" si="42"/>
        <v>3.0640243902439019</v>
      </c>
      <c r="BV3" s="90">
        <f>_xlfn.XLOOKUP($N3&amp;$B3,TW!$D:$D,TW!$AV:$AV,"")</f>
        <v>2.84</v>
      </c>
      <c r="BW3" s="90">
        <f t="shared" ca="1" si="43"/>
        <v>0.58328231707317069</v>
      </c>
      <c r="BX3" s="90">
        <f>_xlfn.XLOOKUP($N3&amp;$B3,TW!$D:$D,TW!$AW:$AW,"")</f>
        <v>-0.56999999999999995</v>
      </c>
      <c r="BY3" s="90">
        <f t="shared" ca="1" si="44"/>
        <v>-0.11706722560975609</v>
      </c>
      <c r="BZ3" s="90">
        <f t="shared" ca="1" si="45"/>
        <v>135.50236347178918</v>
      </c>
      <c r="CA3" s="90">
        <f t="shared" ca="1" si="46"/>
        <v>-0.20426829268292684</v>
      </c>
      <c r="CB3" s="215" cm="1">
        <f t="array" aca="1" ref="CB3" ca="1">_xlfn.IFS(AND(BS3&gt;BW3,BU3&gt;BW3,BW3&gt;1),3,AND(BS3&lt;BW3,BU3&lt;BW3,BW3&lt;-1),-3,TRUE,0)</f>
        <v>0</v>
      </c>
      <c r="CC3" s="90">
        <f>_xlfn.XLOOKUP($N3&amp;$B3,TW!$D:$D,TW!$AI:$AI,"")</f>
        <v>114.625</v>
      </c>
      <c r="CD3" s="90">
        <f>_xlfn.XLOOKUP($N3&amp;$B3,TW!$D:$D,TW!$AH:$AH,"")</f>
        <v>336.99</v>
      </c>
      <c r="CE3" s="90">
        <f t="shared" ca="1" si="47"/>
        <v>90.95855912576171</v>
      </c>
      <c r="CF3" s="90">
        <f>_xlfn.XLOOKUP($N3&amp;$B3,TW!$D:$D,TW!$H:$H,"")</f>
        <v>133.54</v>
      </c>
      <c r="CG3" s="90">
        <f>_xlfn.XLOOKUP($N3&amp;$B3,TW!$D:$D,TW!$I:$I,"")</f>
        <v>145.07</v>
      </c>
      <c r="CH3" s="90">
        <f>_xlfn.XLOOKUP($N3&amp;$B3,TW!$D:$D,TW!$J:$J,"")</f>
        <v>235.24</v>
      </c>
      <c r="CI3" s="90">
        <f>_xlfn.XLOOKUP($N3&amp;$B3,TW!$D:$D,TW!$V:$V,"")</f>
        <v>0.57999999999999996</v>
      </c>
      <c r="CJ3" s="90">
        <f t="shared" si="48"/>
        <v>0.57999999999999996</v>
      </c>
      <c r="CK3" s="90">
        <f>_xlfn.XLOOKUP($N3&amp;$B3,TW!$D:$D,TW!$W:$W,"")</f>
        <v>-0.88</v>
      </c>
      <c r="CL3" s="90">
        <f t="shared" si="49"/>
        <v>0.88</v>
      </c>
      <c r="CM3" s="90">
        <f>_xlfn.XLOOKUP($N3&amp;$B3,TW!$D:$D,TW!$AM:$AM,"")</f>
        <v>-5</v>
      </c>
      <c r="CN3" s="90">
        <f>_xlfn.XLOOKUP($M3&amp;$B3,TD!$D:$D,TD!$AP:$AP,"")</f>
        <v>134.72999999999999</v>
      </c>
      <c r="CO3" s="90">
        <f>_xlfn.XLOOKUP($M3&amp;$B3,TD!$D:$D,TD!$AR:$AR,"")</f>
        <v>-9.7999999999999997E-3</v>
      </c>
      <c r="CP3" s="90">
        <f>_xlfn.XLOOKUP($M3&amp;$B3,TD!$D:$D,TD!$AQ:$AQ,"")</f>
        <v>-1.34</v>
      </c>
      <c r="CQ3" s="90">
        <f>_xlfn.XLOOKUP($M3&amp;$B3,TD!$D:$D,TD!$AS:$AS,"")</f>
        <v>135.12</v>
      </c>
      <c r="CR3" s="90">
        <f>_xlfn.XLOOKUP($M3&amp;$B3,TD!$D:$D,TD!$AT:$AT,"")</f>
        <v>135.715</v>
      </c>
      <c r="CS3" s="90">
        <f>_xlfn.XLOOKUP($M3&amp;$B3,TD!$D:$D,TD!$AU:$AU,"")</f>
        <v>131.74</v>
      </c>
      <c r="CT3" s="90">
        <f>_xlfn.XLOOKUP($M3&amp;$B3,TD!$D:$D,TD!$T:$T,"")</f>
        <v>46.06</v>
      </c>
      <c r="CU3" s="90">
        <f>_xlfn.XLOOKUP($M3&amp;$B3,TD!$D:$D,TD!$AB:$AB,"")</f>
        <v>0.76</v>
      </c>
      <c r="CV3" s="90">
        <f>_xlfn.XLOOKUP($M3&amp;$B3,TD!$D:$D,TD!$X:$X,"")</f>
        <v>0.65</v>
      </c>
      <c r="CW3" s="90">
        <f>_xlfn.XLOOKUP($M3&amp;$B3,TD!$D:$D,TD!$R:$R,"")</f>
        <v>86.3</v>
      </c>
      <c r="CX3" s="90">
        <f>_xlfn.XLOOKUP($M3&amp;$B3,TD!$D:$D,TD!$Q:$Q,"")</f>
        <v>97.3</v>
      </c>
      <c r="CY3" s="90">
        <f>_xlfn.XLOOKUP($O3&amp;$B3,TL!$D:$D,TL!$L:$L,"")</f>
        <v>134.72999999999999</v>
      </c>
      <c r="CZ3" s="90">
        <f>_xlfn.XLOOKUP($O3&amp;$B3,TL!$D:$D,TL!$M:$M,"")</f>
        <v>-1.34</v>
      </c>
      <c r="DA3" s="90">
        <f>_xlfn.XLOOKUP($O3&amp;$B3,TL!$D:$D,TL!$N:$N,"")</f>
        <v>-9.7999999999999997E-3</v>
      </c>
      <c r="DB3" s="90">
        <f>_xlfn.XLOOKUP($O3&amp;$B3,TL!$D:$D,TL!$O:$O,"")</f>
        <v>135.12</v>
      </c>
      <c r="DC3" s="90">
        <f>_xlfn.XLOOKUP($O3&amp;$B3,TL!$D:$D,TL!$P:$P,"")</f>
        <v>135.715</v>
      </c>
      <c r="DD3" s="90">
        <f>_xlfn.XLOOKUP($O3&amp;$B3,TL!$D:$D,TL!$Q:$Q,"")</f>
        <v>131.74</v>
      </c>
      <c r="DE3" s="90">
        <f>_xlfn.XLOOKUP($O3&amp;$B3,TL!$D:$D,TL!$S:$S,"")</f>
        <v>46.06</v>
      </c>
      <c r="DF3" s="90">
        <f>_xlfn.XLOOKUP($O3&amp;$B3,TL!$D:$D,TL!$H:$H,"")</f>
        <v>0.76</v>
      </c>
      <c r="DG3" s="90">
        <f ca="1">_xlfn.XLOOKUP($R3&amp;$C3,Y!$D:$D,Y!$K:$K,"")</f>
        <v>134.72999999999999</v>
      </c>
      <c r="DH3" s="90">
        <f ca="1">_xlfn.XLOOKUP($R3&amp;$C3,Y!$D:$D,Y!$L:$L,"")</f>
        <v>-1.34</v>
      </c>
      <c r="DI3" s="90">
        <f ca="1">_xlfn.XLOOKUP($R3&amp;$C3,Y!$D:$D,Y!$M:$M,"")</f>
        <v>-9.7999999999999997E-3</v>
      </c>
      <c r="DJ3" s="90">
        <f ca="1">_xlfn.XLOOKUP($R3&amp;$C3,Y!$D:$D,Y!$N:$N,"")</f>
        <v>135.12</v>
      </c>
      <c r="DK3" s="90">
        <f ca="1">_xlfn.XLOOKUP($R3&amp;$C3,Y!$D:$D,Y!$O:$O,"")</f>
        <v>135.71</v>
      </c>
      <c r="DL3" s="90">
        <f ca="1">_xlfn.XLOOKUP($R3&amp;$C3,Y!$D:$D,Y!$P:$P,"")</f>
        <v>131.76</v>
      </c>
      <c r="DM3" s="90">
        <f ca="1">IF(Dash!$AB$24="Y",MA!DG3,MA!CY3)</f>
        <v>134.72999999999999</v>
      </c>
      <c r="DN3" s="90">
        <f ca="1">IF(Dash!$AB$24="Y",MA!DH3,MA!CZ3)</f>
        <v>-1.34</v>
      </c>
      <c r="DO3" s="90">
        <f ca="1">IF(Dash!$AB$24="Y",MA!DI3,MA!DA3)</f>
        <v>-9.7999999999999997E-3</v>
      </c>
      <c r="DP3" s="90">
        <f ca="1">IF(Dash!$AB$24="Y",MA!DJ3,MA!DB3)</f>
        <v>135.12</v>
      </c>
      <c r="DQ3" s="90">
        <f ca="1">IF(Dash!$AB$24="Y",MA!DK3,MA!DC3)</f>
        <v>135.715</v>
      </c>
      <c r="DR3" s="90">
        <f ca="1">IF(Dash!$AB$24="Y",MA!DL3,MA!DD3)</f>
        <v>131.74</v>
      </c>
      <c r="DS3" s="90">
        <f ca="1">IF(Dash!$AB$24="Y",DE3,CT3)</f>
        <v>46.06</v>
      </c>
      <c r="DT3" s="90">
        <f ca="1">IF(Dash!$AB$24="Y",DF3,CU3)</f>
        <v>0.76</v>
      </c>
      <c r="DU3" s="90">
        <f>_xlfn.XLOOKUP($M3&amp;$B3,TD!$D:$D,TD!$L:$L,"")</f>
        <v>0</v>
      </c>
      <c r="DV3" s="90">
        <f>_xlfn.XLOOKUP($M3&amp;$B3,TD!$D:$D,TD!$P:$P,"")</f>
        <v>0</v>
      </c>
      <c r="DW3" s="215" t="str">
        <f t="shared" si="50"/>
        <v/>
      </c>
      <c r="DX3" s="90">
        <f>_xlfn.XLOOKUP(B3,RR!F:F,RR!H:H,0)</f>
        <v>0</v>
      </c>
      <c r="DY3" s="90">
        <f>_xlfn.XLOOKUP(B3,RR!F:F,RR!I:I,0)</f>
        <v>0</v>
      </c>
      <c r="DZ3" s="90" t="str">
        <f t="shared" si="51"/>
        <v/>
      </c>
      <c r="EA3" s="90" t="str">
        <f>_xlfn.XLOOKUP(U3&amp;B3,etf!A:A,etf!E:E,"")</f>
        <v/>
      </c>
      <c r="EB3" s="90" t="str">
        <f>_xlfn.XLOOKUP(U3&amp;B3,etf!A:A,etf!F:F,"")</f>
        <v/>
      </c>
      <c r="EC3" s="90" cm="1">
        <f t="array" ref="EC3">_xlfn.IFS(DX3&lt;&gt;0,DX3,TRUE,DU3)</f>
        <v>0</v>
      </c>
      <c r="ED3" s="90" cm="1">
        <f t="array" ref="ED3">_xlfn.IFS(DY3&lt;&gt;0,DY3,TRUE,DV3)</f>
        <v>0</v>
      </c>
      <c r="EE3" s="215" t="str">
        <f t="shared" si="52"/>
        <v/>
      </c>
      <c r="EF3" s="90">
        <f t="shared" si="53"/>
        <v>134.72999999999999</v>
      </c>
      <c r="EG3" s="90">
        <f t="shared" si="54"/>
        <v>135.12</v>
      </c>
      <c r="EH3" s="90">
        <f t="shared" si="55"/>
        <v>135.715</v>
      </c>
      <c r="EI3" s="90">
        <f t="shared" si="56"/>
        <v>131.74</v>
      </c>
      <c r="EJ3" s="90">
        <f t="shared" ca="1" si="57"/>
        <v>135.12</v>
      </c>
      <c r="EK3" s="90">
        <f t="shared" ca="1" si="58"/>
        <v>135.715</v>
      </c>
      <c r="EL3" s="90">
        <f t="shared" ca="1" si="59"/>
        <v>131.74</v>
      </c>
      <c r="EM3" s="218">
        <f t="shared" ca="1" si="60"/>
        <v>-0.20426829268292684</v>
      </c>
      <c r="EN3" s="215" cm="1">
        <f t="array" aca="1" ref="EN3" ca="1">_xlfn.IFS(CA3&gt;1,2,CA3&gt;0,1,CA3&lt;-1,-2,CA3&lt;0,-1,TRUE,0)</f>
        <v>-1</v>
      </c>
      <c r="EO3" s="90">
        <f t="shared" ca="1" si="61"/>
        <v>-20.688262195121954</v>
      </c>
      <c r="EP3" s="90">
        <f t="shared" ca="1" si="62"/>
        <v>20.082317073170735</v>
      </c>
      <c r="EQ3" s="218">
        <f t="shared" si="63"/>
        <v>-24.838414634146343</v>
      </c>
      <c r="ER3" s="218">
        <f t="shared" si="64"/>
        <v>-17.474085365853657</v>
      </c>
      <c r="ES3" s="218">
        <f t="shared" ca="1" si="65"/>
        <v>20.688262195121954</v>
      </c>
      <c r="ET3" s="218">
        <f t="shared" ca="1" si="66"/>
        <v>20.538109756097562</v>
      </c>
      <c r="EU3" s="218">
        <f t="shared" ca="1" si="67"/>
        <v>20.082317073170735</v>
      </c>
      <c r="EV3" s="90">
        <f>_xlfn.XLOOKUP($M3&amp;$B3,TD!$D:$D,TD!$I:$I,"")</f>
        <v>0</v>
      </c>
      <c r="EW3" s="90">
        <f>_xlfn.XLOOKUP($M3&amp;$B3,TD!$D:$D,TD!$J:$J,"")</f>
        <v>0</v>
      </c>
      <c r="EX3" s="90">
        <f>_xlfn.XLOOKUP($M3&amp;$B3,TD!$D:$D,TD!$K:$K,"")</f>
        <v>0</v>
      </c>
      <c r="EY3" s="90">
        <f t="shared" si="68"/>
        <v>0</v>
      </c>
      <c r="EZ3" s="90">
        <f>_xlfn.XLOOKUP($M3&amp;$B3,TD!$D:$D,TD!$M:$M,"")</f>
        <v>0</v>
      </c>
      <c r="FA3" s="90">
        <f>_xlfn.XLOOKUP($M3&amp;$B3,TD!$D:$D,TD!$N:$N,"")</f>
        <v>0</v>
      </c>
      <c r="FB3" s="90">
        <f>_xlfn.XLOOKUP($M3&amp;$B3,TD!$D:$D,TD!$O:$O,"")</f>
        <v>0</v>
      </c>
      <c r="FC3" s="90">
        <f t="shared" si="69"/>
        <v>0</v>
      </c>
      <c r="FD3" s="90" cm="1">
        <f t="array" ref="FD3">_xlfn.IFS(EW3=0,0,AND(EY3&gt;=1,FC3&gt;=1),3,OR(AND(EY3&gt;=0,FC3&gt;=1),AND(EY3&gt;=1,FC3&gt;=0)),2,AND(EY3&lt;=-1,FC3&lt;=-1),-3,OR(AND(EY3&lt;=0,FC3&lt;=-1),AND(EY3&lt;=-1,FC3&lt;=0)),-2,TRUE,0)</f>
        <v>0</v>
      </c>
      <c r="FE3" s="90" cm="1">
        <f t="array" aca="1" ref="FE3" ca="1">_xlfn.IFS(AND(CB3&gt;=3,QJ3&gt;=3,FD3&gt;=3),3,AND(CB3&gt;=3,QJ3&gt;=3,FD3&gt;=2),2,AND(CB3&lt;=-3,QJ3&lt;=-3,FD3&lt;=-3),-3,AND(CB3&lt;=-3,QJ3&lt;=-3,FD3&lt;=-2),-2,TRUE,0)</f>
        <v>0</v>
      </c>
      <c r="FF3" s="218">
        <f>_xlfn.XLOOKUP($N3&amp;$B3,TW!$D:$D,TW!$AQ:$AQ,"")</f>
        <v>-100866.15</v>
      </c>
      <c r="FG3" s="90">
        <f t="shared" si="70"/>
        <v>100866.15</v>
      </c>
      <c r="FH3" s="90" t="str">
        <f t="shared" si="71"/>
        <v>0100866.15</v>
      </c>
      <c r="FI3" s="90">
        <f t="shared" si="72"/>
        <v>1</v>
      </c>
      <c r="FJ3" s="90">
        <f t="shared" si="73"/>
        <v>8</v>
      </c>
      <c r="FK3" s="90">
        <f t="shared" ca="1" si="74"/>
        <v>-1.6430487804878049</v>
      </c>
      <c r="FL3" s="90">
        <f t="shared" si="75"/>
        <v>66</v>
      </c>
      <c r="FM3" s="90">
        <f t="shared" si="76"/>
        <v>15</v>
      </c>
      <c r="FN3" s="90" t="str">
        <f>_xlfn.XLOOKUP($M3&amp;$B3,TD!$D:$D,TD!$AL:$AL,"")</f>
        <v>IVPXtrm</v>
      </c>
      <c r="FO3" s="90" t="str">
        <f>_xlfn.XLOOKUP($M3&amp;$B3,TD!$D:$D,TD!$AK:$AK,"")</f>
        <v/>
      </c>
      <c r="FP3" s="90" t="str">
        <f>_xlfn.XLOOKUP(FO3,Parm!$BS$14:$BS$23,Parm!$BT$14:$BT$23,"")</f>
        <v/>
      </c>
      <c r="FQ3" s="90" t="str">
        <f>_xlfn.XLOOKUP(FO3,Parm!$BS$14:$BS$23,Parm!$BU$14:$BU$23,"")</f>
        <v/>
      </c>
      <c r="FR3" s="215">
        <f t="shared" ca="1" si="77"/>
        <v>116.92307692307692</v>
      </c>
      <c r="FS3" s="90">
        <f>_xlfn.XLOOKUP($O3&amp;$B3,TL!$D:$D,TL!$G:$G,"")</f>
        <v>1339176</v>
      </c>
      <c r="FT3" s="90">
        <f>_xlfn.XLOOKUP($N3&amp;$B3,TW!$D:$D,TW!$K:$K,"")</f>
        <v>1339176</v>
      </c>
      <c r="FU3" s="90">
        <f>IF(Dash!$AB$25="Y",FS3,FT3)</f>
        <v>1339176</v>
      </c>
      <c r="FV3" s="215">
        <f>_xlfn.XLOOKUP($N3&amp;$B3,TW!$D:$D,TW!$AT:$AT,"")</f>
        <v>-81.760000000000005</v>
      </c>
      <c r="FW3" s="215">
        <f>_xlfn.XLOOKUP($N3&amp;$B3,TW!$D:$D,TW!$L:$L,"")</f>
        <v>3140769.09</v>
      </c>
      <c r="FX3" s="250">
        <f t="shared" si="78"/>
        <v>-0.57361526376967753</v>
      </c>
      <c r="FY3" s="218">
        <f t="shared" si="79"/>
        <v>-57.361526376967753</v>
      </c>
      <c r="FZ3" s="215">
        <f>_xlfn.XLOOKUP($N3&amp;$B3,TW!$D:$D,TW!$M:$M,"")</f>
        <v>3008291.18</v>
      </c>
      <c r="GA3" s="250">
        <f t="shared" si="80"/>
        <v>-0.55483830524676803</v>
      </c>
      <c r="GB3" s="218">
        <f t="shared" si="81"/>
        <v>-55.483830524676804</v>
      </c>
      <c r="GC3" s="90" cm="1">
        <f t="array" ref="GC3">_xlfn.IFS(
AND(FX3&gt;0.5,GA3&gt;0.3,FV3&gt;20),2,
AND(FX3&gt;0.2,GA3&gt;0.1),1,
AND(FX3&lt;-0.2,GA3&lt;-0.1,FV3&lt;0),-2,
AND(FX3&lt;0,GA3&lt;0),-1,
TRUE,0
)</f>
        <v>-2</v>
      </c>
      <c r="GD3" s="90" t="str">
        <f>_xlfn.XLOOKUP(GC3,Parm!$BP$2:$BP$7,Parm!$BQ$2:$BQ$7,"Unknown")</f>
        <v>&lt;avg+falln</v>
      </c>
      <c r="GE3" s="90">
        <f>_xlfn.XLOOKUP($N3&amp;$B3,TW!$D:$D,TW!$U:$U,"")</f>
        <v>5</v>
      </c>
      <c r="GF3" s="90" t="str">
        <f>_xlfn.XLOOKUP(GE3,Parm!$BS$2:$BS$11,Parm!$BT$2:$BT$11,"")</f>
        <v>Cmprsn</v>
      </c>
      <c r="GG3" s="90" t="str">
        <f>_xlfn.XLOOKUP(GE3,Parm!$BS$2:$BS$11,Parm!$BU$2:$BU$11,"")</f>
        <v>BW</v>
      </c>
      <c r="GH3" s="90" cm="1">
        <f t="array" aca="1" ref="GH3" ca="1">_xlfn.IFS(
ABS(EM3)&gt;=3,3,
ABS(EM3)&gt;=2,2,
ABS(EM3)&gt;=1,1,
TRUE,0
)</f>
        <v>0</v>
      </c>
      <c r="GI3" s="90" t="str">
        <f ca="1">_xlfn.XLOOKUP(GH3,Parm!$BP$28:$BP$32,Parm!$BQ$28:$BQ$32,"")</f>
        <v>Lo vlt</v>
      </c>
      <c r="GJ3" s="90" cm="1">
        <f t="array" aca="1" ref="GJ3" ca="1">_xlfn.IFS(
EM3&gt;=3,3,
EM3&gt;=1.5,2,
EM3&gt;=0.5,1,
EM3&gt;-0.5,0,
EM3&gt;-1.5,-1,
EM3&gt;-2.5,-2,
TRUE,-3
)</f>
        <v>0</v>
      </c>
      <c r="GK3" s="90" t="str">
        <f ca="1">_xlfn.XLOOKUP(GJ3,Parm!$BP$8:$BP$15,Parm!$BQ$8:$BQ$15,"")</f>
        <v>Flat/noise</v>
      </c>
      <c r="GL3" s="90" cm="1">
        <f t="array" aca="1" ref="GL3" ca="1">_xlfn.IFS(
AND(BY3&gt;0,EM3&gt;CA3),2,
AND(BY3&gt;0,EM3&lt;=CA3),1,
AND(BY3&lt;0,EM3&lt;CA3),-2,
AND(BY3&lt;0,EM3&gt;=CA3),-1,
TRUE,0
)</f>
        <v>-1</v>
      </c>
      <c r="GM3" s="90" t="str">
        <f ca="1">_xlfn.XLOOKUP(GL3,Parm!$BP$16:$BP$21,Parm!$BQ$16:$BQ$21,"")</f>
        <v>Bnce in dn tn</v>
      </c>
      <c r="GN3" s="90" cm="1">
        <f t="array" aca="1" ref="GN3" ca="1">_xlfn.IFS(
EM3&gt;=CA3*1.1,2,
EM3&gt;CA3,1,
EM3&lt;=CA3*0.9,-2,
EM3&lt;CA3,-1,
TRUE,0
)</f>
        <v>2</v>
      </c>
      <c r="GO3" s="90" t="str">
        <f ca="1">_xlfn.XLOOKUP(GN3,Parm!$BP$22:$BP$27,Parm!$BQ$22:$BQ$27,"")</f>
        <v>Accl up vs yday</v>
      </c>
      <c r="GP3" s="90">
        <f t="shared" ca="1" si="82"/>
        <v>-4</v>
      </c>
      <c r="GQ3" s="90" cm="1">
        <f t="array" aca="1" ref="GQ3" ca="1">_xlfn.IFS(GP3&gt;=6,2,GP3&gt;=2,1,GP3&gt;-2,0,GP3&gt;-6,-1,GP3,-2)</f>
        <v>-1</v>
      </c>
      <c r="GR3" s="90" t="str">
        <f ca="1">_xlfn.XLOOKUP(GQ3,Parm!$BP$33:$BP$38,Parm!$BQ$33:$BQ$38,"")</f>
        <v>Bearish</v>
      </c>
      <c r="GS3" s="90" cm="1">
        <f t="array" aca="1" ref="GS3" ca="1">_xlfn.IFS(
AND(GJ3&lt;=-3,GC3&gt;=1,GH3&gt;=2),1,
AND(GJ3&lt;=-3,GC3=2,GN3&gt;=1),2,
AND(GJ3&gt;=3,GC3=2,GH3=3),3,
AND(GJ3&gt;=3,GC3&gt;=1,GH3&gt;=2),4,
AND(GJ3&gt;=2,GL3&lt;=-1,GN3&lt;=-1,GC3&gt;=1),5,
AND(GJ3&gt;=2,GC3=2,GL3&gt;=1,GN3&gt;=1),6,
AND(GJ3&gt;=2,GC3&gt;=1,GL3&gt;=0),7,
AND(GJ3=1,GL3&lt;=-1,GC3&gt;=0),8,
AND(GJ3=1,GC3&lt;=-1),9,
AND(GJ3=0,GC3=2,GL3&gt;=0),10,
AND(GJ3=-1,GL3&gt;=1,GC3&gt;=0),11,
AND(GJ3&lt;=-2,GL3&gt;=1,GC3&gt;=-1),12,
AND(GJ3=0,GC3&lt;=-1,GH3&lt;=1),13,
TRUE,14
)</f>
        <v>13</v>
      </c>
      <c r="GT3" s="90">
        <f ca="1">_xlfn.XLOOKUP(GS3,Parm!$CI$2:$CI$15,Parm!$CK$2:$CK$15,"")</f>
        <v>0</v>
      </c>
      <c r="GU3" s="90" t="str">
        <f ca="1">_xlfn.XLOOKUP(GS3,Parm!$CI$2:$CI$15,Parm!$CJ$2:$CJ$15,"")</f>
        <v xml:space="preserve"> </v>
      </c>
      <c r="GV3" s="90" cm="1">
        <f t="array" aca="1" ref="GV3" ca="1">_xlfn.IFS(
AND(GQ3&lt;=-2,GT3&gt;0),ROUND(GT3*0.4,0),
AND(GQ3&gt;=2,GT3&lt;0),ROUND(GT3*0.4,0),
AND(GQ3&lt;=-1,GT3&gt;0),ROUND(GT3*0.7,0),
AND(GQ3&gt;=1,GT3&lt;0),ROUND(GT3*0.7,0),
TRUE,GT3
)</f>
        <v>0</v>
      </c>
      <c r="GW3" s="90">
        <f ca="1">_xlfn.XLOOKUP(GV3,Parm!$CM$2:$CM$13,Parm!$CN$2:$CN$13,"")</f>
        <v>0</v>
      </c>
      <c r="GX3" s="90">
        <f>_xlfn.XLOOKUP($P3&amp;$B3,TO!$D:$D,TO!K:K,"")</f>
        <v>1</v>
      </c>
      <c r="GY3" s="90">
        <f>_xlfn.XLOOKUP($P3&amp;$B3,TO!$D:$D,TO!G:G,"")</f>
        <v>21564000000</v>
      </c>
      <c r="GZ3" s="90">
        <f>_xlfn.XLOOKUP($P3&amp;$B3,TO!$D:$D,TO!M:M,"")</f>
        <v>44.241</v>
      </c>
      <c r="HA3" s="90">
        <f>_xlfn.XLOOKUP($P3&amp;$B3,TO!$D:$D,TO!N:N,"")</f>
        <v>-465.55</v>
      </c>
      <c r="HB3" s="90">
        <f>_xlfn.XLOOKUP($P3&amp;$B3,TO!$D:$D,TO!O:O,"")</f>
        <v>14.625</v>
      </c>
      <c r="HC3" s="90">
        <f>_xlfn.XLOOKUP($P3&amp;$B3,TO!$D:$D,TO!P:P,"")</f>
        <v>-3.5562999999999998</v>
      </c>
      <c r="HD3" s="90">
        <f>_xlfn.XLOOKUP($P3&amp;$B3,TO!$D:$D,TO!Q:Q,"")</f>
        <v>-0.43</v>
      </c>
      <c r="HE3" s="90" t="str">
        <f>_xlfn.XLOOKUP($P3&amp;$B3,TO!$D:$D,TO!R:R,"")</f>
        <v>&lt;empty&gt;</v>
      </c>
      <c r="HF3" s="90" t="str">
        <f>_xlfn.XLOOKUP($P3&amp;$B3,TO!$D:$D,TO!S:S,"")</f>
        <v>Information Technology</v>
      </c>
      <c r="HG3" s="90">
        <f>_xlfn.XLOOKUP($P3&amp;$B3,TO!$D:$D,TO!T:T,"")</f>
        <v>5.55</v>
      </c>
      <c r="HH3" s="90" t="str">
        <f>_xlfn.XLOOKUP(C3,Sctr!A$2:A$1000,Sctr!I$2:I$1000,"")</f>
        <v>Equities</v>
      </c>
      <c r="HI3" s="90" t="str">
        <f>_xlfn.XLOOKUP(C3,Sctr!A$2:A$1000,Sctr!K$2:K$1000,"")</f>
        <v>Information Technology</v>
      </c>
      <c r="HJ3" s="90" t="str">
        <f t="shared" si="83"/>
        <v>Information Technology</v>
      </c>
      <c r="HK3" s="90" t="str">
        <f>_xlfn.XLOOKUP(C3,Sctr!A:A,Sctr!J:J,"")</f>
        <v>Cybersecurity</v>
      </c>
      <c r="HL3" s="90" t="str">
        <f>_xlfn.XLOOKUP(C3,Sctr!A:A,Sctr!C:C,"")</f>
        <v>Software</v>
      </c>
      <c r="HM3" s="90" t="str" cm="1">
        <f t="array" ref="HM3">_xlfn.IFS(
OR(HJ3="",HJ3="&lt;empty&gt;"),"N/A",
OR(HJ3="Consumer Staples",HJ3="Utilities",HJ3="Health Care"),"Defensives",
OR(HJ3="Information Technology",HJ3="Communication Services"),"Secular",
TRUE,"Cyclical"
)</f>
        <v>Secular</v>
      </c>
      <c r="HN3" s="90" t="str" cm="1">
        <f t="array" ref="HN3">_xlfn.IFS(
AND(ISNUMBER(GX3),GX3&lt;0.75,ISNUMBER(HE3),HE3&gt;2.5,ISNUMBER(GZ3),GZ3&lt;40),"Defensives",
AND(ISNUMBER(GX3),GX3&gt;=0.8,GX3&lt;=1.3,ISNUMBER(HA3),HA3&gt;15,ISNUMBER(HG3),HG3&gt;0),"Secular",
TRUE,"Cyclical"
)</f>
        <v>Cyclical</v>
      </c>
      <c r="HO3" s="90" t="str">
        <f t="shared" si="84"/>
        <v>N/A</v>
      </c>
      <c r="HP3" s="90" t="str" cm="1">
        <f t="array" ref="HP3">_xlfn.IFS(GY3=0,"N/A",GY3="","N/A",GY3&lt;2000000000,"Small Caps",GY3&lt;=10000000000,"Mid Caps",TRUE,"Size")</f>
        <v>Size</v>
      </c>
      <c r="HQ3" s="90" t="str" cm="1">
        <f t="array" ref="HQ3">_xlfn.IFS(GZ3="&lt;empty&gt;","N/A",GZ3&lt;50,"Low Leverage",TRUE,"High Leverage")</f>
        <v>Low Leverage</v>
      </c>
      <c r="HR3" s="90" t="str" cm="1">
        <f t="array" ref="HR3">_xlfn.IFS(AND(HA3&lt;&gt;"",HA3&lt;&gt;"&lt;empty&gt;",HB3&lt;&gt;"",HB3&lt;&gt;"&lt;empty&gt;",HA3&gt;0,HA3&lt;15,HB3&gt;0,HB3&lt;3),"Value",TRUE,"N/A")</f>
        <v>N/A</v>
      </c>
      <c r="HS3" s="90" t="str" cm="1">
        <f t="array" ref="HS3">_xlfn.IFS(AND(HC3&lt;&gt;"",HC3&lt;&gt;"&lt;empty&gt;",HG3&lt;&gt;"",HG3&lt;&gt;"&lt;empty&gt;",HC3&gt;=15,HG3&gt;0),"Quality",TRUE,"N/A")</f>
        <v>N/A</v>
      </c>
      <c r="HT3" s="90" t="str" cm="1">
        <f t="array" ref="HT3">_xlfn.IFS(OR(HE3="",HE3="&lt;empty&gt;",HE3=0),"N/A",HE3&gt;=3,"Dividend",TRUE,"N/A")</f>
        <v>N/A</v>
      </c>
      <c r="HU3" s="90">
        <f t="shared" ca="1" si="85"/>
        <v>-0.58754388529719537</v>
      </c>
      <c r="HV3" s="90" t="str">
        <f t="shared" ca="1" si="86"/>
        <v>N/A</v>
      </c>
      <c r="HW3" s="90" t="str" cm="1">
        <f t="array" ref="HW3">_xlfn.IFS(GX3="","N/A", GX3="&lt;empty&gt;","N/A", GX3&gt;1.2, "High Beta", TRUE, "Low Beta")</f>
        <v>Low Beta</v>
      </c>
      <c r="HX3" s="90">
        <f>_xlfn.XLOOKUP(HO3,HQuad!$B$24:$B$39,HQuad!$J$24:$J$39,"")</f>
        <v>0</v>
      </c>
      <c r="HY3" s="90">
        <f>_xlfn.XLOOKUP(HP3,HQuad!$B$24:$B$39,HQuad!$J$24:$J$39,"")</f>
        <v>0</v>
      </c>
      <c r="HZ3" s="90">
        <f>_xlfn.XLOOKUP(HQ3,HQuad!$B$24:$B$39,HQuad!$J$24:$J$39,"")</f>
        <v>0</v>
      </c>
      <c r="IA3" s="90">
        <f>_xlfn.XLOOKUP(HR3,HQuad!$B$24:$B$39,HQuad!$J$24:$J$39,"")</f>
        <v>0</v>
      </c>
      <c r="IB3" s="90">
        <f>_xlfn.XLOOKUP(HS3,HQuad!$B$24:$B$39,HQuad!$J$24:$J$39,"")</f>
        <v>0</v>
      </c>
      <c r="IC3" s="90">
        <f>_xlfn.XLOOKUP(HT3,HQuad!$B$24:$B$39,HQuad!$J$24:$J$39,"")</f>
        <v>0</v>
      </c>
      <c r="ID3" s="90">
        <f ca="1">_xlfn.XLOOKUP(HV3,HQuad!$B$24:$B$39,HQuad!$J$24:$J$39,0)</f>
        <v>0</v>
      </c>
      <c r="IE3" s="90">
        <f>_xlfn.XLOOKUP(HW3,HQuad!$B$24:$B$39,HQuad!$J$24:$J$39,"")</f>
        <v>3</v>
      </c>
      <c r="IF3" s="90">
        <f>_xlfn.XLOOKUP(HH3,HQuad!$B$2:$B$9,HQuad!$J$2:$J$9,"")</f>
        <v>0</v>
      </c>
      <c r="IG3" s="90">
        <f>IF(HH3="Equities",_xlfn.XLOOKUP(HJ3,HQuad!$B$10:$B$23,HQuad!$J$10:$J$23,""),IF3)</f>
        <v>3</v>
      </c>
      <c r="IH3" s="90">
        <f t="shared" ca="1" si="87"/>
        <v>1</v>
      </c>
      <c r="II3" s="90">
        <f t="shared" ca="1" si="88"/>
        <v>0</v>
      </c>
      <c r="IJ3" s="90">
        <f>_xlfn.XLOOKUP(HO3,HQuad!$B$24:$B$39,HQuad!$L$24:$L$39,"")</f>
        <v>0</v>
      </c>
      <c r="IK3" s="90">
        <f>_xlfn.XLOOKUP(HP3,HQuad!$B$24:$B$39,HQuad!$L$24:$L$39,"")</f>
        <v>0</v>
      </c>
      <c r="IL3" s="90">
        <f>_xlfn.XLOOKUP(HQ3,HQuad!$B$24:$B$39,HQuad!$L$24:$L$39,"")</f>
        <v>0</v>
      </c>
      <c r="IM3" s="90">
        <f>_xlfn.XLOOKUP(HR3,HQuad!$B$24:$B$39,HQuad!$L$24:$L$39,"")</f>
        <v>0</v>
      </c>
      <c r="IN3" s="90">
        <f>_xlfn.XLOOKUP(HS3,HQuad!$B$24:$B$39,HQuad!$L$24:$L$39,"")</f>
        <v>0</v>
      </c>
      <c r="IO3" s="90">
        <f>_xlfn.XLOOKUP(HT3,HQuad!$B$24:$B$39,HQuad!$L$24:$L$39,"")</f>
        <v>0</v>
      </c>
      <c r="IP3" s="90">
        <f ca="1">_xlfn.XLOOKUP(HV3,HQuad!$B$24:$B$39,HQuad!$L$24:$L$39,0)</f>
        <v>0</v>
      </c>
      <c r="IQ3" s="90">
        <f>_xlfn.XLOOKUP(HW3,HQuad!$B$24:$B$39,HQuad!$L$24:$L$39,"")</f>
        <v>-3</v>
      </c>
      <c r="IR3" s="90">
        <f>_xlfn.XLOOKUP(HH3,HQuad!$B$2:$B$9,HQuad!$L$2:$L$9,"")</f>
        <v>3</v>
      </c>
      <c r="IS3" s="90">
        <f>IF(HH3="Equities",_xlfn.XLOOKUP(HJ3,HQuad!$B$10:$B$23,HQuad!$L$10:$L$23,""),IR3)</f>
        <v>3</v>
      </c>
      <c r="IT3" s="90">
        <f t="shared" ca="1" si="89"/>
        <v>0</v>
      </c>
      <c r="IU3" s="90">
        <f t="shared" ca="1" si="90"/>
        <v>1</v>
      </c>
      <c r="IV3" s="248">
        <f>IF(_xlfn.XLOOKUP(C3,Sctr!A:A,Sctr!D:D,"")="Y",Dash!$S$2,0)</f>
        <v>0</v>
      </c>
      <c r="IW3" s="248" t="str">
        <f>IF(_xlfn.XLOOKUP(C3,Sctr!A:A,Sctr!E:E,"")="Y",Dash!$S$5,0)</f>
        <v/>
      </c>
      <c r="IX3" s="248">
        <f>IF(_xlfn.XLOOKUP(C3,Sctr!A:A,Sctr!F:F,"")="Y",Dash!$S$9,0)</f>
        <v>0</v>
      </c>
      <c r="IY3" s="248">
        <f>IF(_xlfn.XLOOKUP(C3,Sctr!A:A,Sctr!G:G,"")="Y",Dash!$S$4,0)</f>
        <v>0</v>
      </c>
      <c r="IZ3" s="90">
        <f>_xlfn.XLOOKUP($N3&amp;$B3,TW!$D:$D,TW!$G:$G,"")</f>
        <v>5.55</v>
      </c>
      <c r="JA3" s="90" t="str">
        <f t="shared" si="91"/>
        <v>ZS</v>
      </c>
      <c r="JB3" s="215">
        <f>_xlfn.XLOOKUP($N3&amp;$B3,TW!$D:$D,TW!$X:$X,"")</f>
        <v>20</v>
      </c>
      <c r="JC3" s="90">
        <f ca="1">_xlfn.XLOOKUP($R3&amp;$C3,Y!$D:$D,Y!$Q:$Q,"")</f>
        <v>3.53</v>
      </c>
      <c r="JD3" s="90" t="str">
        <f ca="1">_xlfn.XLOOKUP($R3&amp;$C3,Y!$D:$D,Y!$R:$R,"")</f>
        <v>104.215M</v>
      </c>
      <c r="JE3" s="90" t="str">
        <f ca="1">_xlfn.XLOOKUP($R3&amp;$C3,Y!$D:$D,Y!$S:$S,"")</f>
        <v>160.791M</v>
      </c>
      <c r="JG3" s="90">
        <f t="shared" si="92"/>
        <v>-1</v>
      </c>
      <c r="JH3" s="90">
        <f t="shared" si="93"/>
        <v>1</v>
      </c>
      <c r="JI3" s="215">
        <f t="shared" ca="1" si="94"/>
        <v>-1</v>
      </c>
      <c r="JJ3" s="215">
        <f t="shared" si="95"/>
        <v>0</v>
      </c>
      <c r="JK3" s="215" cm="1">
        <f t="array" ref="JK3">_xlfn.IFS($AX3&gt;=_xlfn.XLOOKUP(AX$1,Trig!$B$4:$B$144,Trig!$D$4:$D$144,""), _xlfn.XLOOKUP(AX$1,Trig!$B$4:$B$144,Trig!$G$4:$G$144,""), $AX3&gt;=_xlfn.XLOOKUP(AX$1,Trig!$B$4:$B$144,Trig!$C$4:$C$144,""), _xlfn.XLOOKUP(AX$1,Trig!$B$4:$B$144,Trig!$F$4:$F$144,""), AX3&gt;=0, _xlfn.XLOOKUP(AX$1,Trig!$B$4:$B$144,Trig!$E$4:$E$144,""),
$AX3&lt;(-1)*_xlfn.XLOOKUP(AX$1,Trig!$B$4:$B$144,Trig!$D$4:$D$144,""), (-1)*_xlfn.XLOOKUP(AX$1,Trig!$B$4:$B$144,Trig!$G$4:$G$144,""), $AX3&lt;(-1)*_xlfn.XLOOKUP(AX$1,Trig!$B$4:$B$144,Trig!$C$4:$C$144,""), (-1) * _xlfn.XLOOKUP(AX$1,Trig!$B$4:$B$144,Trig!$F$4:$F$144,""), AX3&lt;0, (-1) * _xlfn.XLOOKUP(AX$1,Trig!$B$4:$B$144,Trig!$E$4:$E$144,""))</f>
        <v>3</v>
      </c>
      <c r="JL3" s="215" cm="1">
        <f t="array" ref="JL3">_xlfn.IFS($AX3&gt;=_xlfn.XLOOKUP(JL$1,Trig!$B$4:$B$144,Trig!$D$4:$D$144,""), _xlfn.XLOOKUP(JL$1,Trig!$B$4:$B$144,Trig!$G$4:$G$144,""), $AX3&gt;=_xlfn.XLOOKUP(JL$1,Trig!$B$4:$B$144,Trig!$C$4:$C$144,""), _xlfn.XLOOKUP(JL$1,Trig!$B$4:$B$144,Trig!$F$4:$F$144,""), AY3&gt;=0, _xlfn.XLOOKUP(JL$1,Trig!$B$4:$B$144,Trig!$E$4:$E$144,""),
$AX3&lt;(-1)*_xlfn.XLOOKUP(JL$1,Trig!$B$4:$B$144,Trig!$D$4:$D$144,""), (-1)*_xlfn.XLOOKUP(JL$1,Trig!$B$4:$B$144,Trig!$G$4:$G$144,""), $AX3&lt;(-1)*_xlfn.XLOOKUP(JL$1,Trig!$B$4:$B$144,Trig!$C$4:$C$144,""), (-1) * _xlfn.XLOOKUP(JL$1,Trig!$B$4:$B$144,Trig!$F$4:$F$144,""), AY3&lt;0, (-1) * _xlfn.XLOOKUP(JL$1,Trig!$B$4:$B$144,Trig!$E$4:$E$144,""))</f>
        <v>3</v>
      </c>
      <c r="JM3" s="90" cm="1">
        <f t="array" aca="1" ref="JM3" ca="1">_xlfn.IFS(AND(D3&gt;AF3,AF3&gt;MIN(EF3,J3)), 1, AND(MAX(EF3,I3)&gt;AF3,AF3&gt;D3), -1, TRUE,0)</f>
        <v>0</v>
      </c>
      <c r="JN3" s="90" cm="1">
        <f t="array" aca="1" ref="JN3" ca="1">_xlfn.IFS($AH3&gt;=_xlfn.XLOOKUP(AH$1,Trig!$B$4:$B$144,Trig!$D$4:$D$144,""), _xlfn.XLOOKUP(AH$1,Trig!$B$4:$B$144,Trig!$G$4:$G$144,""), $AH3&gt;=_xlfn.XLOOKUP(AH$1,Trig!$B$4:$B$144,Trig!$C$4:$C$144,""), _xlfn.XLOOKUP(AH$1,Trig!$B$4:$B$144,Trig!$F$4:$F$144,""), AH3&gt;=0, _xlfn.XLOOKUP(AH$1,Trig!$B$4:$B$144,Trig!$E$4:$E$144,""),
$AH3&lt;(-1)*_xlfn.XLOOKUP(AH$1,Trig!$B$4:$B$144,Trig!$D$4:$D$144,""), (-1)*_xlfn.XLOOKUP(AH$1,Trig!$B$4:$B$144,Trig!$G$4:$G$144,""), $AH3&lt;(-1)*_xlfn.XLOOKUP(AH$1,Trig!$B$4:$B$144,Trig!$C$4:$C$144,""), (-1) * _xlfn.XLOOKUP(AH$1,Trig!$B$4:$B$144,Trig!$F$4:$F$144,""), AH3&lt;0, (-1) * _xlfn.XLOOKUP(AH$1,Trig!$B$4:$B$144,Trig!$E$4:$E$144,""))</f>
        <v>2</v>
      </c>
      <c r="JO3" s="90">
        <f t="shared" ca="1" si="96"/>
        <v>-2</v>
      </c>
      <c r="JP3" s="90" cm="1">
        <f t="array" aca="1" ref="JP3" ca="1">_xlfn.IFS(AND(D3&gt;AE3,AE3&gt;MIN(BZ3,EF3,J3)), 1, AND(MAX(BZ3,EF3,I3)&gt;AE3,AE3&gt;D3), -1, TRUE,0)</f>
        <v>0</v>
      </c>
      <c r="JQ3" s="90" cm="1">
        <f t="array" aca="1" ref="JQ3" ca="1">_xlfn.IFS($AG3&gt;=_xlfn.XLOOKUP(AG$1,Trig!$B$4:$B$144,Trig!$D$4:$D$144,""), _xlfn.XLOOKUP(AG$1,Trig!$B$4:$B$144,Trig!$G$4:$G$144,""), $AG3&gt;=_xlfn.XLOOKUP(AG$1,Trig!$B$4:$B$144,Trig!$C$4:$C$144,""), _xlfn.XLOOKUP(AG$1,Trig!$B$4:$B$144,Trig!$F$4:$F$144,""), AG3&gt;=0, _xlfn.XLOOKUP(AG$1,Trig!$B$4:$B$144,Trig!$E$4:$E$144,""),
$AG3&lt;(-1)*_xlfn.XLOOKUP(AG$1,Trig!$B$4:$B$144,Trig!$D$4:$D$144,""), (-1)*_xlfn.XLOOKUP(AG$1,Trig!$B$4:$B$144,Trig!$G$4:$G$144,""), $AG3&lt;(-1)*_xlfn.XLOOKUP(AG$1,Trig!$B$4:$B$144,Trig!$C$4:$C$144,""), (-1) * _xlfn.XLOOKUP(AG$1,Trig!$B$4:$B$144,Trig!$F$4:$F$144,""), AG3&lt;0, (-1) * _xlfn.XLOOKUP(AG$1,Trig!$B$4:$B$144,Trig!$E$4:$E$144,""))</f>
        <v>-2</v>
      </c>
      <c r="JR3" s="90">
        <f t="shared" ca="1" si="97"/>
        <v>2</v>
      </c>
      <c r="JS3" s="90">
        <f t="shared" ca="1" si="98"/>
        <v>2</v>
      </c>
      <c r="JT3" s="90">
        <f t="shared" si="99"/>
        <v>-1</v>
      </c>
      <c r="JU3" s="90">
        <f t="shared" si="100"/>
        <v>1</v>
      </c>
      <c r="JV3" s="90" cm="1">
        <f t="array" ref="JV3">_xlfn.IFS($AI3&gt;_xlfn.XLOOKUP(AI$1,Trig!$B$4:$B$144,Trig!$D$4:$D$144,""), _xlfn.XLOOKUP(AI$1,Trig!$B$4:$B$144,Trig!$G$4:$G$144,""), $AI3&gt;_xlfn.XLOOKUP(AI$1,Trig!$B$4:$B$144,Trig!$C$4:$C$144,""), _xlfn.XLOOKUP(AI$1,Trig!$B$4:$B$144,Trig!$F$4:$F$144,""), AI3&gt;0, _xlfn.XLOOKUP(AI$1,Trig!$B$4:$B$144,Trig!$E$4:$E$144,""),
$AI3&lt;(-1)*_xlfn.XLOOKUP(AI$1,Trig!$B$4:$B$144,Trig!$D$4:$D$144,""), (-1)*_xlfn.XLOOKUP(AI$1,Trig!$B$4:$B$144,Trig!$G$4:$G$144,""), $AI3&lt;(-1)*_xlfn.XLOOKUP(AI$1,Trig!$B$4:$B$144,Trig!$C$4:$C$144,""), (-1) * _xlfn.XLOOKUP(AI$1,Trig!$B$4:$B$144,Trig!$F$4:$F$144,""), AI3&lt;0, (-1) * _xlfn.XLOOKUP(AI$1,Trig!$B$4:$B$144,Trig!$E$4:$E$144,""), TRUE, 0)</f>
        <v>-2</v>
      </c>
      <c r="JW3" s="90" cm="1">
        <f t="array" ref="JW3">_xlfn.IFS($EE3&lt;=_xlfn.XLOOKUP(JW$1,Trig!$B$4:$B$144,Trig!$C$4:$C$144,""), _xlfn.XLOOKUP(JW$1,Trig!$B$4:$B$144,Trig!$E$4:$E$144,""), $EE3&lt;=_xlfn.XLOOKUP(JW$1,Trig!$B$4:$B$144,Trig!$D$4:$D$144,""), _xlfn.XLOOKUP(JW$1,Trig!$B$4:$B$144,Trig!$F$4:$F$144,""), EE3&gt;=_xlfn.XLOOKUP(JW$1,Trig!$B$4:$B$144,Trig!$D$4:$D$144,""), _xlfn.XLOOKUP(JW$1,Trig!$B$4:$B$144,Trig!$G$4:$G$144,""),TRUE,0)</f>
        <v>1</v>
      </c>
      <c r="JX3" s="90" cm="1">
        <f t="array" ref="JX3">_xlfn.IFS($EE3&lt;=_xlfn.XLOOKUP(JX$1,Trig!$B$4:$B$144,Trig!$C$4:$C$144,""), _xlfn.XLOOKUP(JX$1,Trig!$B$4:$B$144,Trig!$E$4:$E$144,""), $EE3&lt;=_xlfn.XLOOKUP(JX$1,Trig!$B$4:$B$144,Trig!$D$4:$D$144,""), _xlfn.XLOOKUP(JX$1,Trig!$B$4:$B$144,Trig!$F$4:$F$144,""), EE3&gt;=_xlfn.XLOOKUP(JX$1,Trig!$B$4:$B$144,Trig!$D$4:$D$144,""), _xlfn.XLOOKUP(JX$1,Trig!$B$4:$B$144,Trig!$G$4:$G$144,""),TRUE,0)</f>
        <v>1</v>
      </c>
      <c r="JY3" s="90" cm="1">
        <f t="array" ref="JY3">_xlfn.IFS($EE3&lt;=_xlfn.XLOOKUP(JY$1,Trig!$B$4:$B$144,Trig!$C$4:$C$144,""), _xlfn.XLOOKUP(JY$1,Trig!$B$4:$B$144,Trig!$E$4:$E$144,""), $EE3&lt;=_xlfn.XLOOKUP(JY$1,Trig!$B$4:$B$144,Trig!$D$4:$D$144,""), _xlfn.XLOOKUP(JY$1,Trig!$B$4:$B$144,Trig!$F$4:$F$144,""), EE3&gt;=_xlfn.XLOOKUP(JY$1,Trig!$B$4:$B$144,Trig!$D$4:$D$144,""), _xlfn.XLOOKUP(JY$1,Trig!$B$4:$B$144,Trig!$G$4:$G$144,""),TRUE,0)</f>
        <v>1</v>
      </c>
      <c r="JZ3" s="90" cm="1">
        <f t="array" ref="JZ3">_xlfn.IFS($EE3&lt;=_xlfn.XLOOKUP(JZ$1,Trig!$B$4:$B$144,Trig!$C$4:$C$144,""), _xlfn.XLOOKUP(JZ$1,Trig!$B$4:$B$144,Trig!$E$4:$E$144,""), $EE3&lt;=_xlfn.XLOOKUP(JZ$1,Trig!$B$4:$B$144,Trig!$D$4:$D$144,""), _xlfn.XLOOKUP(JZ$1,Trig!$B$4:$B$144,Trig!$F$4:$F$144,""), $EE3&gt;=_xlfn.XLOOKUP(JZ$1,Trig!$B$4:$B$144,Trig!$D$4:$D$144,""), _xlfn.XLOOKUP(JZ$1,Trig!$B$4:$B$144,Trig!$G$4:$G$144,""),TRUE,0)</f>
        <v>1</v>
      </c>
      <c r="KA3" s="90" cm="1">
        <f t="array" ref="KA3">_xlfn.IFS($EE3&lt;=_xlfn.XLOOKUP(KA$1,Trig!$B$4:$B$144,Trig!$C$4:$C$144,""), _xlfn.XLOOKUP(KA$1,Trig!$B$4:$B$144,Trig!$E$4:$E$144,""), $EE3&lt;=_xlfn.XLOOKUP(KA$1,Trig!$B$4:$B$144,Trig!$D$4:$D$144,""), _xlfn.XLOOKUP(KA$1,Trig!$B$4:$B$144,Trig!$F$4:$F$144,""), EE3&gt;=_xlfn.XLOOKUP(KA$1,Trig!$B$4:$B$144,Trig!$D$4:$D$144,""), _xlfn.XLOOKUP(KA$1,Trig!$B$4:$B$144,Trig!$G$4:$G$144,""),TRUE,0)</f>
        <v>3</v>
      </c>
      <c r="KB3" s="90" cm="1">
        <f t="array" ref="KB3">_xlfn.IFS($EE3&lt;=_xlfn.XLOOKUP(KB$1,Trig!$B$4:$B$144,Trig!$C$4:$C$144,""),  _xlfn.XLOOKUP(KB$1,Trig!$B$4:$B$144,Trig!$E$4:$E$144,""), $EE3&lt;=_xlfn.XLOOKUP(KB$1,Trig!$B$4:$B$144,Trig!$D$4:$D$144,""), _xlfn.XLOOKUP(KB$1,Trig!$B$4:$B$144,Trig!$F$4:$F$144,""), EE3&gt;=_xlfn.XLOOKUP(KB$1,Trig!$B$4:$B$144,Trig!$D$4:$D$144,""),  _xlfn.XLOOKUP(KB$1,Trig!$B$4:$B$144,Trig!$G$4:$G$144,""),TRUE,0)</f>
        <v>-3</v>
      </c>
      <c r="KC3" s="90" cm="1">
        <f t="array" ref="KC3">_xlfn.IFS($EE3&lt;=_xlfn.XLOOKUP(KC$1,Trig!$B$4:$B$144,Trig!$C$4:$C$144,""),  _xlfn.XLOOKUP(KC$1,Trig!$B$4:$B$144,Trig!$E$4:$E$144,""), $EE3&lt;=_xlfn.XLOOKUP(KC$1,Trig!$B$4:$B$144,Trig!$D$4:$D$144,""), _xlfn.XLOOKUP(KC$1,Trig!$B$4:$B$144,Trig!$F$4:$F$144,""), EE3&gt;=_xlfn.XLOOKUP(KC$1,Trig!$B$4:$B$144,Trig!$D$4:$D$144,""),  _xlfn.XLOOKUP(KC$1,Trig!$B$4:$B$144,Trig!$G$4:$G$144,""),TRUE,0)</f>
        <v>-3</v>
      </c>
      <c r="KD3" s="90" cm="1">
        <f t="array" aca="1" ref="KD3" ca="1">_xlfn.IFS(AND(JI3=1,JG3=1), JW3, AND(JI3=-1,JG3=-1),KB3, LG3&gt;0, JW3, LG3&lt;0, KB3)</f>
        <v>-3</v>
      </c>
      <c r="KE3" s="90" cm="1">
        <f t="array" aca="1" ref="KE3" ca="1">_xlfn.IFS($EO3&gt;=_xlfn.XLOOKUP(KE$1,Trig!$B$4:$B$144,Trig!$D$4:$D$144,""), _xlfn.XLOOKUP(KE$1,Trig!$B$4:$B$144,Trig!$G$4:$G$144,""), $EO3&gt;=_xlfn.XLOOKUP(KE$1,Trig!$B$4:$B$144,Trig!$C$4:$C$144,""), _xlfn.XLOOKUP(KE$1,Trig!$B$4:$B$144,Trig!$F$4:$F$144,""), TRUE, _xlfn.XLOOKUP(KE$1,Trig!$B$4:$B$144,Trig!$E$4:$E$144,""))</f>
        <v>1</v>
      </c>
      <c r="KF3" s="90" cm="1">
        <f t="array" aca="1" ref="KF3" ca="1">_xlfn.IFS($EP3&gt;=_xlfn.XLOOKUP(KF$1,Trig!$B$4:$B$144,Trig!$D$4:$D$144,""), _xlfn.XLOOKUP(KF$1,Trig!$B$4:$B$144,Trig!$G$4:$G$144,""), $EP3&gt;=_xlfn.XLOOKUP(KF$1,Trig!$B$4:$B$144,Trig!$C$4:$C$144,""), _xlfn.XLOOKUP(KF$1,Trig!$B$4:$B$144,Trig!$F$4:$F$144,""), TRUE, _xlfn.XLOOKUP(KF$1,Trig!$B$4:$B$144,Trig!$E$4:$E$144,""))</f>
        <v>1</v>
      </c>
      <c r="KG3" s="90">
        <f t="shared" si="101"/>
        <v>-1</v>
      </c>
      <c r="KH3" s="90">
        <f t="shared" si="102"/>
        <v>0</v>
      </c>
      <c r="KI3" s="90" cm="1">
        <f t="array" aca="1" ref="KI3" ca="1">_xlfn.IFS($ES3&gt;=_xlfn.XLOOKUP(KI$1,Trig!$B$4:$B$144,Trig!$D$4:$D$144,""), _xlfn.XLOOKUP(KI$1,Trig!$B$4:$B$144,Trig!$G$4:$G$144,""), $ES3&gt;=_xlfn.XLOOKUP(KI$1,Trig!$B$4:$B$144,Trig!$C$4:$C$144,""), _xlfn.XLOOKUP(KI$1,Trig!$B$4:$B$144,Trig!$F$4:$F$144,""), TRUE, _xlfn.XLOOKUP(KI$1,Trig!$B$4:$B$144,Trig!$E$4:$E$144,""))</f>
        <v>1</v>
      </c>
      <c r="KJ3" s="90" cm="1">
        <f t="array" aca="1" ref="KJ3" ca="1">_xlfn.IFS($ET3&gt;=_xlfn.XLOOKUP(KJ$1,Trig!$B$4:$B$144,Trig!$D$4:$D$144,""), _xlfn.XLOOKUP(KJ$1,Trig!$B$4:$B$144,Trig!$G$4:$G$144,""), $ET3&gt;=_xlfn.XLOOKUP(KJ$1,Trig!$B$4:$B$144,Trig!$C$4:$C$144,""), _xlfn.XLOOKUP(KJ$1,Trig!$B$4:$B$144,Trig!$F$4:$F$144,""), TRUE, _xlfn.XLOOKUP(KJ$1,Trig!$B$4:$B$144,Trig!$E$4:$E$144,""))</f>
        <v>1</v>
      </c>
      <c r="KK3" s="90" cm="1">
        <f t="array" aca="1" ref="KK3" ca="1">_xlfn.IFS($EU3&gt;=_xlfn.XLOOKUP(KK$1,Trig!$B$4:$B$144,Trig!$D$4:$D$144,""), _xlfn.XLOOKUP(KK$1,Trig!$B$4:$B$144,Trig!$G$4:$G$144,""), $EU3&gt;=_xlfn.XLOOKUP(KK$1,Trig!$B$4:$B$144,Trig!$C$4:$C$144,""), _xlfn.XLOOKUP(KK$1,Trig!$B$4:$B$144,Trig!$F$4:$F$144,""), TRUE, _xlfn.XLOOKUP(KK$1,Trig!$B$4:$B$144,Trig!$E$4:$E$144,""))</f>
        <v>1</v>
      </c>
      <c r="KL3" s="90" cm="1">
        <f t="array" ref="KL3">_xlfn.IFS($CV3&gt;=_xlfn.XLOOKUP(KL$1,Trig!$B$4:$B$144,Trig!$D$4:$D$144,""), _xlfn.XLOOKUP(KL$1,Trig!$B$4:$B$144,Trig!$G$4:$G$144,""), $CV3&gt;=_xlfn.XLOOKUP(KL$1,Trig!$B$4:$B$144,Trig!$C$4:$C$144,""), _xlfn.XLOOKUP(KL$1,Trig!$B$4:$B$144,Trig!$F$4:$F$144,""), CV3&gt;0, _xlfn.XLOOKUP(KL$1,Trig!$B$4:$B$144,Trig!$E$4:$E$144,""),
$CV3&lt;(-1)*_xlfn.XLOOKUP(KL$1,Trig!$B$4:$B$144,Trig!$D$4:$D$144,""), (-1)*_xlfn.XLOOKUP(KL$1,Trig!$B$4:$B$144,Trig!$G$4:$G$144,""), $CV3&lt;(-1)*_xlfn.XLOOKUP(KL$1,Trig!$B$4:$B$144,Trig!$C$4:$C$144,""), (-1) * _xlfn.XLOOKUP(KL$1,Trig!$B$4:$B$144,Trig!$F$4:$F$144,""), CV3&lt;0, (-1) * _xlfn.XLOOKUP(KL$1,Trig!$B$4:$B$144,Trig!$E$4:$E$144,""), TRUE, 0)</f>
        <v>1</v>
      </c>
      <c r="KM3" s="90" cm="1">
        <f t="array" aca="1" ref="KM3" ca="1">_xlfn.IFS(DT3=0,0,$DT3&gt;=_xlfn.XLOOKUP(KM$1,Trig!$B$4:$B$144,Trig!$D$4:$D$144,""), _xlfn.XLOOKUP(KM$1,Trig!$B$4:$B$144,Trig!$G$4:$G$144,""), $DT3&gt;=_xlfn.XLOOKUP(KM$1,Trig!$B$4:$B$144,Trig!$C$4:$C$144,""), _xlfn.XLOOKUP(KM$1,Trig!$B$4:$B$144,Trig!$F$4:$F$144,""), DT3&gt;0, _xlfn.XLOOKUP(KM$1,Trig!$B$4:$B$144,Trig!$E$4:$E$144,""),
$DT3&lt;(-1)*_xlfn.XLOOKUP(KM$1,Trig!$B$4:$B$144,Trig!$D$4:$D$144,""), (-1)*_xlfn.XLOOKUP(KM$1,Trig!$B$4:$B$144,Trig!$G$4:$G$144,""), $DT3&lt;(-1)*_xlfn.XLOOKUP(KM$1,Trig!$B$4:$B$144,Trig!$C$4:$C$144,""), (-1) * _xlfn.XLOOKUP(KM$1,Trig!$B$4:$B$144,Trig!$F$4:$F$144,""), DT3&lt;0, (-1) * _xlfn.XLOOKUP(KM$1,Trig!$B$4:$B$144,Trig!$E$4:$E$144,""), TRUE, 0)</f>
        <v>1</v>
      </c>
      <c r="KN3" s="90" cm="1">
        <f t="array" aca="1" ref="KN3" ca="1">_xlfn.IFS(OR(DT3=0,CX3=0),0,$CX3&gt;=_xlfn.XLOOKUP(KN$1,Trig!$B$4:$B$144,Trig!$D$4:$D$144,""), _xlfn.XLOOKUP(KN$1,Trig!$B$4:$B$144,Trig!$G$4:$G$144,""), $CX3&gt;=_xlfn.XLOOKUP(KN$1,Trig!$B$4:$B$144,Trig!$C$4:$C$144,""), _xlfn.XLOOKUP(KN$1,Trig!$B$4:$B$144,Trig!$F$4:$F$144,""), $CX3&gt;=0, _xlfn.XLOOKUP(KN$1,Trig!$B$4:$B$144,Trig!$E$4:$E$144,""), TRUE, 0)</f>
        <v>1</v>
      </c>
      <c r="KO3" s="90" cm="1">
        <f t="array" aca="1" ref="KO3" ca="1">_xlfn.IFS(OR(DT3=0,CX3=0),0,$CX3&gt;_xlfn.XLOOKUP(KO$1,Trig!$B$4:$B$144,Trig!$D$4:$D$144,""), _xlfn.XLOOKUP(KO$1,Trig!$B$4:$B$144,Trig!$G$4:$G$144,""), $CX3&gt;_xlfn.XLOOKUP(KO$1,Trig!$B$4:$B$144,Trig!$C$4:$C$144,""), _xlfn.XLOOKUP(KO$1,Trig!$B$4:$B$144,Trig!$F$4:$F$144,""), $CX3&gt;0, _xlfn.XLOOKUP(KO$1,Trig!$B$4:$B$144,Trig!$E$4:$E$144,""), TRUE, 0)</f>
        <v>-3</v>
      </c>
      <c r="KP3" s="90" cm="1">
        <f t="array" aca="1" ref="KP3" ca="1">_xlfn.IFS(OR(DT3=0),0,$CW3&gt;=_xlfn.XLOOKUP(KP$1,Trig!$B$4:$B$144,Trig!$D$4:$D$144,""), _xlfn.XLOOKUP(KP$1,Trig!$B$4:$B$144,Trig!$G$4:$G$144,""), $CW3&gt;=_xlfn.XLOOKUP(KP$1,Trig!$B$4:$B$144,Trig!$C$4:$C$144,""), _xlfn.XLOOKUP(KP$1,Trig!$B$4:$B$144,Trig!$F$4:$F$144,""), CW3&gt;=0, _xlfn.XLOOKUP(KP$1,Trig!$B$4:$B$144,Trig!$E$4:$E$144,""), TRUE, 0)</f>
        <v>1</v>
      </c>
      <c r="KQ3" s="90" cm="1">
        <f t="array" aca="1" ref="KQ3" ca="1">_xlfn.IFS(OR(DT3=0),0,$CW3&gt;_xlfn.XLOOKUP(KQ$1,Trig!$B$4:$B$144,Trig!$D$4:$D$144,""), _xlfn.XLOOKUP(KQ$1,Trig!$B$4:$B$144,Trig!$G$4:$G$144,""), $CW3&gt;_xlfn.XLOOKUP(KQ$1,Trig!$B$4:$B$144,Trig!$C$4:$C$144,""), _xlfn.XLOOKUP(KQ$1,Trig!$B$4:$B$144,Trig!$F$4:$F$144,""), CW3&gt;0, _xlfn.XLOOKUP(KQ$1,Trig!$B$4:$B$144,Trig!$E$4:$E$144,""), TRUE, 0)</f>
        <v>-2</v>
      </c>
      <c r="KR3" s="90" cm="1">
        <f t="array" aca="1" ref="KR3" ca="1">_xlfn.IFS(DT3=0,0,$FR3&gt;=_xlfn.XLOOKUP(KR$1,Trig!$B$4:$B$144,Trig!$D$4:$D$144,""), _xlfn.XLOOKUP(KR$1,Trig!$B$4:$B$144,Trig!$G$4:$G$144,""), $FR3&gt;=_xlfn.XLOOKUP(KR$1,Trig!$B$4:$B$144,Trig!$C$4:$C$144,""), _xlfn.XLOOKUP(KR$1,Trig!$B$4:$B$144,Trig!$F$4:$F$144,""), FR3&gt;0, _xlfn.XLOOKUP(KR$1,Trig!$B$4:$B$144,Trig!$E$4:$E$144,""),
$FR3&lt;(-1)*_xlfn.XLOOKUP(KR$1,Trig!$B$4:$B$144,Trig!$D$4:$D$144,""), (-1)*_xlfn.XLOOKUP(KR$1,Trig!$B$4:$B$144,Trig!$G$4:$G$144,""), $FR3&lt;(-1)*_xlfn.XLOOKUP(KR$1,Trig!$B$4:$B$144,Trig!$C$4:$C$144,""), (-1) * _xlfn.XLOOKUP(KR$1,Trig!$B$4:$B$144,Trig!$F$4:$F$144,""), FR3&lt;0, (-1) * _xlfn.XLOOKUP(KR$1,Trig!$B$4:$B$144,Trig!$E$4:$E$144,""), TRUE,0)</f>
        <v>2</v>
      </c>
      <c r="KS3" s="90" cm="1">
        <f t="array" aca="1" ref="KS3" ca="1">_xlfn.IFS(DT3=0,0,$FR3&gt;=_xlfn.XLOOKUP(KS$1,Trig!$B$4:$B$144,Trig!$D$4:$D$144,""), _xlfn.XLOOKUP(KS$1,Trig!$B$4:$B$144,Trig!$G$4:$G$144,""), $FR3&gt;=_xlfn.XLOOKUP(KS$1,Trig!$B$4:$B$144,Trig!$C$4:$C$144,""), _xlfn.XLOOKUP(KS$1,Trig!$B$4:$B$144,Trig!$F$4:$F$144,""), FR3&gt;0, _xlfn.XLOOKUP(KS$1,Trig!$B$4:$B$144,Trig!$E$4:$E$144,""),
$FR3&lt;(-1)*_xlfn.XLOOKUP(KS$1,Trig!$B$4:$B$144,Trig!$D$4:$D$144,""), (-1)*_xlfn.XLOOKUP(KS$1,Trig!$B$4:$B$144,Trig!$G$4:$G$144,""), $FR3&lt;(-1)*_xlfn.XLOOKUP(KS$1,Trig!$B$4:$B$144,Trig!$C$4:$C$144,""), (-1) * _xlfn.XLOOKUP(KS$1,Trig!$B$4:$B$144,Trig!$F$4:$F$144,""), FR3&lt;0, (-1) * _xlfn.XLOOKUP(KS$1,Trig!$B$4:$B$144,Trig!$E$4:$E$144,""), TRUE,0)</f>
        <v>-2</v>
      </c>
      <c r="KT3" s="90" cm="1">
        <f t="array" aca="1" ref="KT3" ca="1">_xlfn.IFS(DT3=0,0,AND(KN3&gt;=3,KP3&gt;=3,KR3&gt;=3),3,AND(KN3&gt;=2,KP3&gt;=2,KR3&gt;=2),2,TRUE,1)</f>
        <v>1</v>
      </c>
      <c r="KU3" s="90" cm="1">
        <f t="array" aca="1" ref="KU3" ca="1">_xlfn.IFS($DS3&gt;=_xlfn.XLOOKUP(DS$1,Trig!$B$4:$B$144,Trig!$D$4:$D$144,""), _xlfn.XLOOKUP(DS$1,Trig!$B$4:$B$144,Trig!$G$4:$G$144,""), $DS3&gt;=_xlfn.XLOOKUP(DS$1,Trig!$B$4:$B$144,Trig!$C$4:$C$144,""), _xlfn.XLOOKUP(DS$1,Trig!$B$4:$B$144,Trig!$F$4:$F$144,""), DS3&gt;0, _xlfn.XLOOKUP(DS$1,Trig!$B$4:$B$144,Trig!$E$4:$E$144,""),
$DS3&lt;(-1)*_xlfn.XLOOKUP(DS$1,Trig!$B$4:$B$144,Trig!$D$4:$D$144,""), (-1)*_xlfn.XLOOKUP(DS$1,Trig!$B$4:$B$144,Trig!$G$4:$G$144,""), $DS3&lt;(-1)*_xlfn.XLOOKUP(DS$1,Trig!$B$4:$B$144,Trig!$C$4:$C$144,""), (-1) * _xlfn.XLOOKUP(DS$1,Trig!$B$4:$B$144,Trig!$F$4:$F$144,""), DS3&lt;0, (-1) * _xlfn.XLOOKUP(DS$1,Trig!$B$4:$B$144,Trig!$E$4:$E$144,""), TRUE, 0)</f>
        <v>2</v>
      </c>
      <c r="KV3" s="90" cm="1">
        <f t="array" aca="1" ref="KV3" ca="1">_xlfn.IFS($DS3&gt;=_xlfn.XLOOKUP(KV$1,Trig!$B$4:$B$144,Trig!$D$4:$D$144,""), _xlfn.XLOOKUP(KV$1,Trig!$B$4:$B$144,Trig!$G$4:$G$144,""), $DS3&gt;=_xlfn.XLOOKUP(KV$1,Trig!$B$4:$B$144,Trig!$C$4:$C$144,""), _xlfn.XLOOKUP(KV$1,Trig!$B$4:$B$144,Trig!$F$4:$F$144,""), DS3&gt;0, _xlfn.XLOOKUP(KV$1,Trig!$B$4:$B$144,Trig!$E$4:$E$144,""),
$DS3&lt;(-1)*_xlfn.XLOOKUP(KV$1,Trig!$B$4:$B$144,Trig!$D$4:$D$144,""), (-1)*_xlfn.XLOOKUP(KV$1,Trig!$B$4:$B$144,Trig!$G$4:$G$144,""), $DS3&lt;(-1)*_xlfn.XLOOKUP(KV$1,Trig!$B$4:$B$144,Trig!$C$4:$C$144,""), (-1) * _xlfn.XLOOKUP(KV$1,Trig!$B$4:$B$144,Trig!$F$4:$F$144,""), DS3&lt;0, (-1) * _xlfn.XLOOKUP(KV$1,Trig!$B$4:$B$144,Trig!$E$4:$E$144,""), TRUE, 0)</f>
        <v>1</v>
      </c>
      <c r="KW3" s="90" cm="1">
        <f t="array" aca="1" ref="KW3" ca="1">_xlfn.IFS($DS3&gt;_xlfn.XLOOKUP(KW$1,Trig!$B$4:$B$144,Trig!$D$4:$D$144,""), _xlfn.XLOOKUP(KW$1,Trig!$B$4:$B$144,Trig!$G$4:$G$144,""), $DS3&gt;_xlfn.XLOOKUP(KW$1,Trig!$B$4:$B$144,Trig!$C$4:$C$144,""), _xlfn.XLOOKUP(KW$1,Trig!$B$4:$B$144,Trig!$F$4:$F$144,""), DS3&gt;0, _xlfn.XLOOKUP(KW$1,Trig!$B$4:$B$144,Trig!$E$4:$E$144,""),
$DS3&lt;(-1)*_xlfn.XLOOKUP(KW$1,Trig!$B$4:$B$144,Trig!$D$4:$D$144,""), (-1)*_xlfn.XLOOKUP(KW$1,Trig!$B$4:$B$144,Trig!$G$4:$G$144,""), $DS3&lt;(-1)*_xlfn.XLOOKUP(KW$1,Trig!$B$4:$B$144,Trig!$C$4:$C$144,""), (-1) * _xlfn.XLOOKUP(KW$1,Trig!$B$4:$B$144,Trig!$F$4:$F$144,""), DS3&lt;0, (-1) * _xlfn.XLOOKUP(KW$1,Trig!$B$4:$B$144,Trig!$E$4:$E$144,""), TRUE, 0)</f>
        <v>-1</v>
      </c>
      <c r="KX3" s="90" cm="1">
        <f t="array" aca="1" ref="KX3" ca="1">_xlfn.IFS($BB3&gt;=_xlfn.XLOOKUP(BB$1,Trig!$B$4:$B$144,Trig!$D$4:$D$144,""), _xlfn.XLOOKUP(BB$1,Trig!$B$4:$B$144,Trig!$G$4:$G$144,""), $BB3&gt;=_xlfn.XLOOKUP(BB$1,Trig!$B$4:$B$144,Trig!$C$4:$C$144,""), _xlfn.XLOOKUP(BB$1,Trig!$B$4:$B$144,Trig!$F$4:$F$144,""), BB3&gt;=0, _xlfn.XLOOKUP(BB$1,Trig!$B$4:$B$144,Trig!$E$4:$E$144,""),
$BB3&lt;(-1)*_xlfn.XLOOKUP(BB$1,Trig!$B$4:$B$144,Trig!$D$4:$D$144,""), (-1)*_xlfn.XLOOKUP(BB$1,Trig!$B$4:$B$144,Trig!$G$4:$G$144,""), $BB3&lt;(-1)*_xlfn.XLOOKUP(BB$1,Trig!$B$4:$B$144,Trig!$C$4:$C$144,""), (-1) * _xlfn.XLOOKUP(BB$1,Trig!$B$4:$B$144,Trig!$F$4:$F$144,""), BB3&lt;0, (-1) * _xlfn.XLOOKUP(BB$1,Trig!$B$4:$B$144,Trig!$E$4:$E$144,""))</f>
        <v>1</v>
      </c>
      <c r="KY3" s="90" cm="1">
        <f t="array" ref="KY3">_xlfn.IFS($BC3&gt;=_xlfn.XLOOKUP(BC$1,Trig!$B$4:$B$144,Trig!$D$4:$D$144,""), _xlfn.XLOOKUP(BC$1,Trig!$B$4:$B$144,Trig!$G$4:$G$144,""), $BC3&gt;=_xlfn.XLOOKUP(BC$1,Trig!$B$4:$B$144,Trig!$C$4:$C$144,""), _xlfn.XLOOKUP(BC$1,Trig!$B$4:$B$144,Trig!$F$4:$F$144,""), BC3&gt;=0, _xlfn.XLOOKUP(BC$1,Trig!$B$4:$B$144,Trig!$E$4:$E$144,""),
$BC3&lt;(-1)*_xlfn.XLOOKUP(BC$1,Trig!$B$4:$B$144,Trig!$D$4:$D$144,""), (-1)*_xlfn.XLOOKUP(BC$1,Trig!$B$4:$B$144,Trig!$G$4:$G$144,""), $BC3&lt;(-1)*_xlfn.XLOOKUP(BC$1,Trig!$B$4:$B$144,Trig!$C$4:$C$144,""), (-1) * _xlfn.XLOOKUP(BC$1,Trig!$B$4:$B$144,Trig!$F$4:$F$144,""), BC3&lt;0, (-1) * _xlfn.XLOOKUP(BC$1,Trig!$B$4:$B$144,Trig!$E$4:$E$144,""))</f>
        <v>1</v>
      </c>
      <c r="KZ3" s="90" cm="1">
        <f t="array" aca="1" ref="KZ3" ca="1">_xlfn.IFS($BE3&gt;=_xlfn.XLOOKUP(BE$1,Trig!$B$4:$B$144,Trig!$D$4:$D$144,""), _xlfn.XLOOKUP(BE$1,Trig!$B$4:$B$144,Trig!$G$4:$G$144,""), $BE3&gt;=_xlfn.XLOOKUP(BE$1,Trig!$B$4:$B$144,Trig!$C$4:$C$144,""), _xlfn.XLOOKUP(BE$1,Trig!$B$4:$B$144,Trig!$F$4:$F$144,""), BE3&gt;=0, _xlfn.XLOOKUP(BE$1,Trig!$B$4:$B$144,Trig!$E$4:$E$144,""),
$BE3&lt;(-1)*_xlfn.XLOOKUP(BE$1,Trig!$B$4:$B$144,Trig!$D$4:$D$144,""), (-1)*_xlfn.XLOOKUP(BE$1,Trig!$B$4:$B$144,Trig!$G$4:$G$144,""), $BE3&lt;(-1)*_xlfn.XLOOKUP(BE$1,Trig!$B$4:$B$144,Trig!$C$4:$C$144,""), (-1) * _xlfn.XLOOKUP(BE$1,Trig!$B$4:$B$144,Trig!$F$4:$F$144,""), BE3&lt;0, (-1) * _xlfn.XLOOKUP(BE$1,Trig!$B$4:$B$144,Trig!$E$4:$E$144,""))</f>
        <v>-1</v>
      </c>
      <c r="LA3" s="90" cm="1">
        <f t="array" ref="LA3">_xlfn.IFS($BF3&gt;=_xlfn.XLOOKUP(BF$1,Trig!$B$4:$B$144,Trig!$D$4:$D$144,""), _xlfn.XLOOKUP(BF$1,Trig!$B$4:$B$144,Trig!$G$4:$G$144,""), $BF3&gt;=_xlfn.XLOOKUP(BF$1,Trig!$B$4:$B$144,Trig!$C$4:$C$144,""), _xlfn.XLOOKUP(BF$1,Trig!$B$4:$B$144,Trig!$F$4:$F$144,""), BF3&gt;=0, _xlfn.XLOOKUP(BF$1,Trig!$B$4:$B$144,Trig!$E$4:$E$144,""),
$BF3&lt;(-1)*_xlfn.XLOOKUP(BF$1,Trig!$B$4:$B$144,Trig!$D$4:$D$144,""), (-1)*_xlfn.XLOOKUP(BF$1,Trig!$B$4:$B$144,Trig!$G$4:$G$144,""), $BF3&lt;(-1)*_xlfn.XLOOKUP(BF$1,Trig!$B$4:$B$144,Trig!$C$4:$C$144,""), (-1) * _xlfn.XLOOKUP(BF$1,Trig!$B$4:$B$144,Trig!$F$4:$F$144,""), BF3&lt;0, (-1) * _xlfn.XLOOKUP(BF$1,Trig!$B$4:$B$144,Trig!$E$4:$E$144,""))</f>
        <v>1</v>
      </c>
      <c r="LB3" s="90" cm="1">
        <f t="array" aca="1" ref="LB3" ca="1">_xlfn.IFS(AND(KX3&gt;=3,KY3&gt;=2,KZ3&gt;=-2,LA3&gt;=3),3,AND(KZ3&lt;=-3,LA3&gt;=2,KX3&lt;=2,KY3&gt;=3),-3,TRUE,INT((KX3+KY3-1)/2))</f>
        <v>0</v>
      </c>
      <c r="LC3" s="215" cm="1">
        <f t="array" aca="1" ref="LC3" ca="1">_xlfn.IFS($BQ3&gt;=_xlfn.XLOOKUP(BQ$1,Trig!$B$4:$B$144,Trig!$D$4:$D$144,""), _xlfn.XLOOKUP(BQ$1,Trig!$B$4:$B$144,Trig!$G$4:$G$144,""), $BQ3&gt;=_xlfn.XLOOKUP(BQ$1,Trig!$B$4:$B$144,Trig!$C$4:$C$144,""), _xlfn.XLOOKUP(BQ$1,Trig!$B$4:$B$144,Trig!$F$4:$F$144,""), BQ3&gt;=0, _xlfn.XLOOKUP(BQ$1,Trig!$B$4:$B$144,Trig!$E$4:$E$144,""),
$BQ3&lt;(-1)*_xlfn.XLOOKUP(BQ$1,Trig!$B$4:$B$144,Trig!$D$4:$D$144,""), (-1)*_xlfn.XLOOKUP(BQ$1,Trig!$B$4:$B$144,Trig!$G$4:$G$144,""), $BQ3&lt;(-1)*_xlfn.XLOOKUP(BQ$1,Trig!$B$4:$B$144,Trig!$C$4:$C$144,""), (-1) * _xlfn.XLOOKUP(BQ$1,Trig!$B$4:$B$144,Trig!$F$4:$F$144,""), BQ3&lt;0, (-1) * _xlfn.XLOOKUP(BQ$1,Trig!$B$4:$B$144,Trig!$E$4:$E$144,""))</f>
        <v>-2</v>
      </c>
      <c r="LD3" s="215" cm="1">
        <f t="array" aca="1" ref="LD3" ca="1">_xlfn.IFS($BS3&gt;=_xlfn.XLOOKUP(BS$1,Trig!$B$4:$B$144,Trig!$D$4:$D$144,""), _xlfn.XLOOKUP(BS$1,Trig!$B$4:$B$144,Trig!$G$4:$G$144,""), $BS3&gt;=_xlfn.XLOOKUP(BS$1,Trig!$B$4:$B$144,Trig!$C$4:$C$144,""), _xlfn.XLOOKUP(BS$1,Trig!$B$4:$B$144,Trig!$F$4:$F$144,""), BS3&gt;=0, _xlfn.XLOOKUP(BS$1,Trig!$B$4:$B$144,Trig!$E$4:$E$144,""),
$BS3&lt;(-1)*_xlfn.XLOOKUP(BS$1,Trig!$B$4:$B$144,Trig!$D$4:$D$144,""), (-1)*_xlfn.XLOOKUP(BS$1,Trig!$B$4:$B$144,Trig!$G$4:$G$144,""), $BS3&lt;(-1)*_xlfn.XLOOKUP(BS$1,Trig!$B$4:$B$144,Trig!$C$4:$C$144,""), (-1) * _xlfn.XLOOKUP(BS$1,Trig!$B$4:$B$144,Trig!$F$4:$F$144,""), BS3&lt;0, (-1) * _xlfn.XLOOKUP(BS$1,Trig!$B$4:$B$144,Trig!$E$4:$E$144,""))</f>
        <v>-1</v>
      </c>
      <c r="LE3" s="215" cm="1">
        <f t="array" aca="1" ref="LE3" ca="1">_xlfn.IFS($BU3&gt;=_xlfn.XLOOKUP(BU$1,Trig!$B$4:$B$144,Trig!$D$4:$D$144,""), _xlfn.XLOOKUP(BU$1,Trig!$B$4:$B$144,Trig!$G$4:$G$144,""), $BU3&gt;=_xlfn.XLOOKUP(BU$1,Trig!$B$4:$B$144,Trig!$C$4:$C$144,""), _xlfn.XLOOKUP(BU$1,Trig!$B$4:$B$144,Trig!$F$4:$F$144,""), BU3&gt;=0, _xlfn.XLOOKUP(BU$1,Trig!$B$4:$B$144,Trig!$E$4:$E$144,""),
$BU3&lt;(-1)*_xlfn.XLOOKUP(BU$1,Trig!$B$4:$B$144,Trig!$D$4:$D$144,""), (-1)*_xlfn.XLOOKUP(BU$1,Trig!$B$4:$B$144,Trig!$G$4:$G$144,""), $BU3&lt;(-1)*_xlfn.XLOOKUP(BU$1,Trig!$B$4:$B$144,Trig!$C$4:$C$144,""), (-1) * _xlfn.XLOOKUP(BU$1,Trig!$B$4:$B$144,Trig!$F$4:$F$144,""), BU3&lt;0, (-1) * _xlfn.XLOOKUP(BU$1,Trig!$B$4:$B$144,Trig!$E$4:$E$144,""))</f>
        <v>3</v>
      </c>
      <c r="LF3" s="90" cm="1">
        <f t="array" aca="1" ref="LF3" ca="1">_xlfn.IFS($BW3&gt;=_xlfn.XLOOKUP(BW$1,Trig!$B$4:$B$144,Trig!$D$4:$D$144,""), _xlfn.XLOOKUP(BW$1,Trig!$B$4:$B$144,Trig!$G$4:$G$144,""), $BW3&gt;=_xlfn.XLOOKUP(BW$1,Trig!$B$4:$B$144,Trig!$C$4:$C$144,""), _xlfn.XLOOKUP(BW$1,Trig!$B$4:$B$144,Trig!$F$4:$F$144,""), BW3&gt;=0, _xlfn.XLOOKUP(BW$1,Trig!$B$4:$B$144,Trig!$E$4:$E$144,""),
$BW3&lt;(-1)*_xlfn.XLOOKUP(BW$1,Trig!$B$4:$B$144,Trig!$D$4:$D$144,""), (-1)*_xlfn.XLOOKUP(BW$1,Trig!$B$4:$B$144,Trig!$G$4:$G$144,""), $BW3&lt;(-1)*_xlfn.XLOOKUP(BW$1,Trig!$B$4:$B$144,Trig!$C$4:$C$144,""), (-1) * _xlfn.XLOOKUP(BW$1,Trig!$B$4:$B$144,Trig!$F$4:$F$144,""), BW3&lt;0, (-1) * _xlfn.XLOOKUP(BW$1,Trig!$B$4:$B$144,Trig!$E$4:$E$144,""))</f>
        <v>1</v>
      </c>
      <c r="LG3" s="215" cm="1">
        <f t="array" aca="1" ref="LG3" ca="1">_xlfn.IFS($BY3&gt;=_xlfn.XLOOKUP(BY$1,Trig!$B$4:$B$144,Trig!$D$4:$D$144,""), _xlfn.XLOOKUP(BY$1,Trig!$B$4:$B$144,Trig!$G$4:$G$144,""), $BY3&gt;=_xlfn.XLOOKUP(BY$1,Trig!$B$4:$B$144,Trig!$C$4:$C$144,""), _xlfn.XLOOKUP(BY$1,Trig!$B$4:$B$144,Trig!$F$4:$F$144,""), BY3&gt;=0, _xlfn.XLOOKUP(BY$1,Trig!$B$4:$B$144,Trig!$E$4:$E$144,""),
$BY3&lt;(-1)*_xlfn.XLOOKUP(BY$1,Trig!$B$4:$B$144,Trig!$D$4:$D$144,""), (-1)*_xlfn.XLOOKUP(BY$1,Trig!$B$4:$B$144,Trig!$G$4:$G$144,""), $BY3&lt;(-1)*_xlfn.XLOOKUP(BY$1,Trig!$B$4:$B$144,Trig!$C$4:$C$144,""), (-1) * _xlfn.XLOOKUP(BY$1,Trig!$B$4:$B$144,Trig!$F$4:$F$144,""), BY3&lt;0, (-1) * _xlfn.XLOOKUP(BY$1,Trig!$B$4:$B$144,Trig!$E$4:$E$144,""))</f>
        <v>-1</v>
      </c>
      <c r="LH3" s="215" cm="1">
        <f t="array" aca="1" ref="LH3" ca="1">_xlfn.IFS($CA3&gt;=_xlfn.XLOOKUP(CA$1,Trig!$B$4:$B$144,Trig!$D$4:$D$144,""), _xlfn.XLOOKUP(CA$1,Trig!$B$4:$B$144,Trig!$G$4:$G$144,""), $CA3&gt;=_xlfn.XLOOKUP(CA$1,Trig!$B$4:$B$144,Trig!$C$4:$C$144,""), _xlfn.XLOOKUP(CA$1,Trig!$B$4:$B$144,Trig!$F$4:$F$144,""), CA3&gt;=0, _xlfn.XLOOKUP(CA$1,Trig!$B$4:$B$144,Trig!$E$4:$E$144,""),
$CA3&lt;(-1)*_xlfn.XLOOKUP(CA$1,Trig!$B$4:$B$144,Trig!$D$4:$D$144,""), (-1)*_xlfn.XLOOKUP(CA$1,Trig!$B$4:$B$144,Trig!$G$4:$G$144,""), $CA3&lt;(-1)*_xlfn.XLOOKUP(CA$1,Trig!$B$4:$B$144,Trig!$C$4:$C$144,""), (-1) * _xlfn.XLOOKUP(CA$1,Trig!$B$4:$B$144,Trig!$F$4:$F$144,""), CA3&lt;0, (-1) * _xlfn.XLOOKUP(CA$1,Trig!$B$4:$B$144,Trig!$E$4:$E$144,""))</f>
        <v>-1</v>
      </c>
      <c r="LI3" s="215">
        <f t="shared" ca="1" si="103"/>
        <v>1</v>
      </c>
      <c r="LJ3" s="90" cm="1">
        <f t="array" aca="1" ref="LJ3" ca="1">_xlfn.IFS(ABS($BY3)&gt;=_xlfn.XLOOKUP(LJ$1,Trig!$B$4:$B$144,Trig!$D$4:$D$144,""), _xlfn.XLOOKUP(LJ$1,Trig!$B$4:$B$144,Trig!$G$4:$G$144,""),ABS( $BY3)&gt;=_xlfn.XLOOKUP(LJ$1,Trig!$B$4:$B$144,Trig!$C$4:$C$144,""), _xlfn.XLOOKUP(LJ$1,Trig!$B$4:$B$144,Trig!$F$4:$F$144,""), ABS(BY3)&gt;=0, _xlfn.XLOOKUP(LJ$1,Trig!$B$4:$B$144,Trig!$E$4:$E$144,""))</f>
        <v>3</v>
      </c>
      <c r="LK3" s="90" cm="1">
        <f t="array" aca="1" ref="LK3" ca="1">_xlfn.IFS(AND(LC3&gt;=3,LD3&gt;=3,LE3&gt;=3,LF3&gt;=1,LJ3&gt;=3),3,AND(LC3&gt;=3,LD3&gt;=3,LE3&gt;=2,LF3&gt;=1,LJ3&gt;=3),2,AND(LC3&gt;=1,LD3&gt;=3,LE3&gt;=3,LF3&gt;=3,LJ3&gt;=3),2,AND(LC3&gt;=1,LD3&gt;=3,LE3&gt;=1,LF3&gt;=1,LJ3&gt;=1),2,AND(LC3&lt;=-3,LD3&lt;=-3,LE3&lt;=-3,LF3&lt;=-1,LJ3&gt;=3),-3,AND(LC3&lt;=-3,LD3&lt;=-3,LE3&lt;=-2,LF3&lt;=-1,LJ3&gt;=3),-2,AND(LC3&lt;=-1,LD3&lt;=-3,LE3&lt;=-3,LF3&lt;=-3,LJ3&gt;=3),-2,TRUE,IF(LC3&gt;=0,1,-1))</f>
        <v>-1</v>
      </c>
      <c r="LL3" s="90">
        <f t="shared" ca="1" si="104"/>
        <v>1</v>
      </c>
      <c r="LM3" s="215">
        <f t="shared" ca="1" si="105"/>
        <v>1</v>
      </c>
      <c r="LN3" s="215" cm="1">
        <f t="array" aca="1" ref="LN3" ca="1">_xlfn.IFS($AO3&gt;_xlfn.XLOOKUP(AO$1,Trig!$B$4:$B$144,Trig!$D$4:$D$144,""), _xlfn.XLOOKUP(AO$1,Trig!$B$4:$B$144,Trig!$G$4:$G$144,""), $AO3&gt;_xlfn.XLOOKUP(AO$1,Trig!$B$4:$B$144,Trig!$C$4:$C$144,""), _xlfn.XLOOKUP(AO$1,Trig!$B$4:$B$144,Trig!$F$4:$F$144,""), AO3&gt;0, _xlfn.XLOOKUP(AO$1,Trig!$B$4:$B$144,Trig!$E$4:$E$144,""),
$AO3&lt;(-1)*_xlfn.XLOOKUP(AO$1,Trig!$B$4:$B$144,Trig!$D$4:$D$144,""), (-1)*_xlfn.XLOOKUP(AO$1,Trig!$B$4:$B$144,Trig!$G$4:$G$144,""), $AO3&lt;(-1)*_xlfn.XLOOKUP(AO$1,Trig!$B$4:$B$144,Trig!$C$4:$C$144,""), (-1) * _xlfn.XLOOKUP(AO$1,Trig!$B$4:$B$144,Trig!$F$4:$F$144,""), AO3&lt;0, (-1) * _xlfn.XLOOKUP(AO$1,Trig!$B$4:$B$144,Trig!$E$4:$E$144,""), TRUE, 0)</f>
        <v>-1</v>
      </c>
      <c r="LO3" s="215" cm="1">
        <f t="array" ref="LO3">_xlfn.IFS($AM3&gt;_xlfn.XLOOKUP(AM$1,Trig!$B$4:$B$144,Trig!$D$4:$D$144,""), _xlfn.XLOOKUP(AM$1,Trig!$B$4:$B$144,Trig!$G$4:$G$144,""), $AM3&gt;_xlfn.XLOOKUP(AM$1,Trig!$B$4:$B$144,Trig!$C$4:$C$144,""), _xlfn.XLOOKUP(AM$1,Trig!$B$4:$B$144,Trig!$F$4:$F$144,""), $AM3&gt;0, _xlfn.XLOOKUP(AM$1,Trig!$B$4:$B$144,Trig!$E$4:$E$144,""),
$AM3&lt;(-1)*_xlfn.XLOOKUP(AM$1,Trig!$B$4:$B$144,Trig!$D$4:$D$144,""), (-1)*_xlfn.XLOOKUP(AM$1,Trig!$B$4:$B$144,Trig!$G$4:$G$144,""), $AM3&lt;(-1)*_xlfn.XLOOKUP(AM$1,Trig!$B$4:$B$144,Trig!$C$4:$C$144,""), (-1) * _xlfn.XLOOKUP(AM$1,Trig!$B$4:$B$144,Trig!$F$4:$F$144,""), $AM3&lt;0, (-1) * _xlfn.XLOOKUP(AM$1,Trig!$B$4:$B$144,Trig!$E$4:$E$144,""), TRUE, 0)</f>
        <v>2</v>
      </c>
      <c r="LP3" s="215" cm="1">
        <f t="array" ref="LP3">_xlfn.IFS($AY3&gt;=_xlfn.XLOOKUP(AY$1,Trig!$B$4:$B$144,Trig!$D$4:$D$144,""), _xlfn.XLOOKUP(AY$1,Trig!$B$4:$B$144,Trig!$G$4:$G$144,""), $AY3&gt;=_xlfn.XLOOKUP(AY$1,Trig!$B$4:$B$144,Trig!$C$4:$C$144,""), _xlfn.XLOOKUP(AY$1,Trig!$B$4:$B$144,Trig!$F$4:$F$144,""), AY3&gt;=0, _xlfn.XLOOKUP(AY$1,Trig!$B$4:$B$144,Trig!$E$4:$E$144,""), $AY3&lt;=(-1)*_xlfn.XLOOKUP(AY$1,Trig!$B$4:$B$144,Trig!$D$4:$D$144,""), (-1)*_xlfn.XLOOKUP(AY$1,Trig!$B$4:$B$144,Trig!$G$4:$G$144,""), $AY3&lt;=(-1)*_xlfn.XLOOKUP(AY$1,Trig!$B$4:$B$144,Trig!$C$4:$C$144,""), (-1) * _xlfn.XLOOKUP(AY$1,Trig!$B$4:$B$144,Trig!$F$4:$F$144,""), AY3&lt;=0, (-1) * _xlfn.XLOOKUP(AY$1,Trig!$B$4:$B$144,Trig!$E$4:$E$144,""))</f>
        <v>2</v>
      </c>
      <c r="LQ3" s="215" cm="1">
        <f t="array" ref="LQ3">_xlfn.IFS($AY3&gt;=_xlfn.XLOOKUP(LQ$1,Trig!$B$4:$B$144,Trig!$D$4:$D$144,""), _xlfn.XLOOKUP(LQ$1,Trig!$B$4:$B$144,Trig!$G$4:$G$144,""), $AY3&gt;=_xlfn.XLOOKUP(LQ$1,Trig!$B$4:$B$144,Trig!$C$4:$C$144,""), _xlfn.XLOOKUP(LQ$1,Trig!$B$4:$B$144,Trig!$F$4:$F$144,""), AY3&gt;=0, _xlfn.XLOOKUP(LQ$1,Trig!$B$4:$B$144,Trig!$E$4:$E$144,""), $AY3&lt;=(-1)*_xlfn.XLOOKUP(LQ$1,Trig!$B$4:$B$144,Trig!$D$4:$D$144,""), (-1)*_xlfn.XLOOKUP(LQ$1,Trig!$B$4:$B$144,Trig!$G$4:$G$144,""), $AY3&lt;=(-1)*_xlfn.XLOOKUP(LQ$1,Trig!$B$4:$B$144,Trig!$C$4:$C$144,""), (-1) * _xlfn.XLOOKUP(LQ$1,Trig!$B$4:$B$144,Trig!$F$4:$F$144,""), AY3&lt;=0, (-1) * _xlfn.XLOOKUP(LQ$1,Trig!$B$4:$B$144,Trig!$E$4:$E$144,""))</f>
        <v>2</v>
      </c>
      <c r="LR3" s="215" cm="1">
        <f t="array" ref="LR3">_xlfn.IFS($AY3&gt;=_xlfn.XLOOKUP(LR$1,Trig!$B$4:$B$144,Trig!$D$4:$D$144,""), _xlfn.XLOOKUP(LR$1,Trig!$B$4:$B$144,Trig!$G$4:$G$144,""), $AY3&gt;=_xlfn.XLOOKUP(LR$1,Trig!$B$4:$B$144,Trig!$C$4:$C$144,""), _xlfn.XLOOKUP(LR$1,Trig!$B$4:$B$144,Trig!$F$4:$F$144,""), $AY3&gt;=0, _xlfn.XLOOKUP(LR$1,Trig!$B$4:$B$144,Trig!$E$4:$E$144,""),
$AY3&lt;=(-1)*_xlfn.XLOOKUP(LR$1,Trig!$B$4:$B$144,Trig!$D$4:$D$144,""), (-1)*_xlfn.XLOOKUP(LR$1,Trig!$B$4:$B$144,Trig!$G$4:$G$144,""), $AY3&lt;=(-1)*_xlfn.XLOOKUP(LR$1,Trig!$B$4:$B$144,Trig!$C$4:$C$144,""), (-1) * _xlfn.XLOOKUP(LR$1,Trig!$B$4:$B$144,Trig!$F$4:$F$144,""), $AY3&lt;=0, (-1) * _xlfn.XLOOKUP(LR$1,Trig!$B$4:$B$144,Trig!$E$4:$E$144,""))</f>
        <v>-1</v>
      </c>
      <c r="LS3" s="215" cm="1">
        <f t="array" ref="LS3">_xlfn.IFS($AZ3&gt;=_xlfn.XLOOKUP(AZ$1,Trig!$B$4:$B$144,Trig!$D$4:$D$144,""), _xlfn.XLOOKUP(AZ$1,Trig!$B$4:$B$144,Trig!$G$4:$G$144,""), $AZ3&gt;=_xlfn.XLOOKUP(AZ$1,Trig!$B$4:$B$144,Trig!$C$4:$C$144,""), _xlfn.XLOOKUP(AZ$1,Trig!$B$4:$B$144,Trig!$F$4:$F$144,""), $AZ3&gt;=0, _xlfn.XLOOKUP(AZ$1,Trig!$B$4:$B$144,Trig!$E$4:$E$144,""),
$AZ3&lt;=(-1)*_xlfn.XLOOKUP(AZ$1,Trig!$B$4:$B$144,Trig!$D$4:$D$144,""), (-1)*_xlfn.XLOOKUP(AZ$1,Trig!$B$4:$B$144,Trig!$G$4:$G$144,""), $AZ3&lt;=(-1)*_xlfn.XLOOKUP(AZ$1,Trig!$B$4:$B$144,Trig!$C$4:$C$144,""), (-1) * _xlfn.XLOOKUP(AZ$1,Trig!$B$4:$B$144,Trig!$F$4:$F$144,""), $AZ3&lt;=0, (-1) * _xlfn.XLOOKUP(AZ$1,Trig!$B$4:$B$144,Trig!$E$4:$E$144,""))</f>
        <v>2</v>
      </c>
      <c r="LT3" s="215" cm="1">
        <f t="array" ref="LT3">_xlfn.IFS($AZ3&gt;=_xlfn.XLOOKUP(LT$1,Trig!$B$4:$B$144,Trig!$D$4:$D$144,""), _xlfn.XLOOKUP(LT$1,Trig!$B$4:$B$144,Trig!$G$4:$G$144,""), $AZ3&gt;=_xlfn.XLOOKUP(LT$1,Trig!$B$4:$B$144,Trig!$C$4:$C$144,""), _xlfn.XLOOKUP(LT$1,Trig!$B$4:$B$144,Trig!$F$4:$F$144,""), $AZ3&gt;=0, _xlfn.XLOOKUP(LT$1,Trig!$B$4:$B$144,Trig!$E$4:$E$144,""),
$AZ3&lt;=(-1)*_xlfn.XLOOKUP(LT$1,Trig!$B$4:$B$144,Trig!$D$4:$D$144,""), (-1)*_xlfn.XLOOKUP(LT$1,Trig!$B$4:$B$144,Trig!$G$4:$G$144,""), $AZ3&lt;=(-1)*_xlfn.XLOOKUP(LT$1,Trig!$B$4:$B$144,Trig!$C$4:$C$144,""), (-1) * _xlfn.XLOOKUP(LT$1,Trig!$B$4:$B$144,Trig!$F$4:$F$144,""), $AZ3&lt;=0, (-1) * _xlfn.XLOOKUP(LT$1,Trig!$B$4:$B$144,Trig!$E$4:$E$144,""))</f>
        <v>2</v>
      </c>
      <c r="LU3" s="215" cm="1">
        <f t="array" ref="LU3">_xlfn.IFS($AZ3&gt;=_xlfn.XLOOKUP(LU$1,Trig!$B$4:$B$144,Trig!$D$4:$D$144,""), _xlfn.XLOOKUP(LU$1,Trig!$B$4:$B$144,Trig!$G$4:$G$144,""), $AZ3&gt;=_xlfn.XLOOKUP(LU$1,Trig!$B$4:$B$144,Trig!$C$4:$C$144,""), _xlfn.XLOOKUP(LU$1,Trig!$B$4:$B$144,Trig!$F$4:$F$144,""), $AZ3&gt;=0, _xlfn.XLOOKUP(LU$1,Trig!$B$4:$B$144,Trig!$E$4:$E$144,""),
$AZ3&lt;=(-1)*_xlfn.XLOOKUP(LU$1,Trig!$B$4:$B$144,Trig!$D$4:$D$144,""), (-1)*_xlfn.XLOOKUP(LU$1,Trig!$B$4:$B$144,Trig!$G$4:$G$144,""), $AZ3&lt;=(-1)*_xlfn.XLOOKUP(LU$1,Trig!$B$4:$B$144,Trig!$C$4:$C$144,""), (-1) * _xlfn.XLOOKUP(LU$1,Trig!$B$4:$B$144,Trig!$F$4:$F$144,""), $AZ3&lt;=0, (-1) * _xlfn.XLOOKUP(LU$1,Trig!$B$4:$B$144,Trig!$E$4:$E$144,""))</f>
        <v>1</v>
      </c>
      <c r="LV3" s="215" cm="1">
        <f t="array" ref="LV3">_xlfn.IFS($AZ3&gt;=_xlfn.XLOOKUP(LV$1,Trig!$B$4:$B$144,Trig!$D$4:$D$144,""), _xlfn.XLOOKUP(LV$1,Trig!$B$4:$B$144,Trig!$G$4:$G$144,""), $AZ3&gt;=_xlfn.XLOOKUP(LV$1,Trig!$B$4:$B$144,Trig!$C$4:$C$144,""), _xlfn.XLOOKUP(LV$1,Trig!$B$4:$B$144,Trig!$F$4:$F$144,""), $AZ3&gt;=0, _xlfn.XLOOKUP(LV$1,Trig!$B$4:$B$144,Trig!$E$4:$E$144,""),
$AZ3&lt;=(-1)*_xlfn.XLOOKUP(LV$1,Trig!$B$4:$B$144,Trig!$D$4:$D$144,""), (-1)*_xlfn.XLOOKUP(LV$1,Trig!$B$4:$B$144,Trig!$G$4:$G$144,""), $AZ3&lt;=(-1)*_xlfn.XLOOKUP(LV$1,Trig!$B$4:$B$144,Trig!$C$4:$C$144,""), (-1) * _xlfn.XLOOKUP(LV$1,Trig!$B$4:$B$144,Trig!$F$4:$F$144,""), $AZ3&lt;=0, (-1) * _xlfn.XLOOKUP(LV$1,Trig!$B$4:$B$144,Trig!$E$4:$E$144,""))</f>
        <v>3</v>
      </c>
      <c r="LW3" s="215" cm="1">
        <f t="array" aca="1" ref="LW3" ca="1">_xlfn.IFS(AND(LP3&gt;=3,LS3&gt;=3),3,AND(LP3&lt;=-3,LS3&lt;=-3),-3,TRUE,LN3)</f>
        <v>-1</v>
      </c>
      <c r="LX3" s="215">
        <f t="shared" ca="1" si="106"/>
        <v>1</v>
      </c>
      <c r="LY3" s="215" cm="1">
        <f t="array" ref="LY3">_xlfn.IFS($AQ3&gt;_xlfn.XLOOKUP(AQ$1,Trig!$B$4:$B$144,Trig!$D$4:$D$144,""), _xlfn.XLOOKUP(AQ$1,Trig!$B$4:$B$144,Trig!$G$4:$G$144,""), $AQ3&gt;_xlfn.XLOOKUP(AQ$1,Trig!$B$4:$B$144,Trig!$C$4:$C$144,""), _xlfn.XLOOKUP(AQ$1,Trig!$B$4:$B$144,Trig!$F$4:$F$144,""), AQ3&gt;0, _xlfn.XLOOKUP(AQ$1,Trig!$B$4:$B$144,Trig!$E$4:$E$144,""),
$AQ3&lt;(-1)*_xlfn.XLOOKUP(AQ$1,Trig!$B$4:$B$144,Trig!$D$4:$D$144,""), (-1)*_xlfn.XLOOKUP(AQ$1,Trig!$B$4:$B$144,Trig!$G$4:$G$144,""), $AQ3&lt;(-1)*_xlfn.XLOOKUP(AQ$1,Trig!$B$4:$B$144,Trig!$C$4:$C$144,""), (-1) * _xlfn.XLOOKUP(AQ$1,Trig!$B$4:$B$144,Trig!$F$4:$F$144,""), AQ3&lt;0, (-1) * _xlfn.XLOOKUP(AQ$1,Trig!$B$4:$B$144,Trig!$E$4:$E$144,""), TRUE, 0)</f>
        <v>1</v>
      </c>
      <c r="LZ3" s="215" cm="1">
        <f t="array" ref="LZ3">_xlfn.IFS($AR3&gt;_xlfn.XLOOKUP(AR$1,Trig!$B$4:$B$144,Trig!$D$4:$D$144,""), _xlfn.XLOOKUP(AR$1,Trig!$B$4:$B$144,Trig!$G$4:$G$144,""), $AR3&gt;_xlfn.XLOOKUP(AR$1,Trig!$B$4:$B$144,Trig!$C$4:$C$144,""), _xlfn.XLOOKUP(AR$1,Trig!$B$4:$B$144,Trig!$F$4:$F$144,""), AR3&gt;0, _xlfn.XLOOKUP(AR$1,Trig!$B$4:$B$144,Trig!$E$4:$E$144,""),
$AR3&lt;(-1)*_xlfn.XLOOKUP(AR$1,Trig!$B$4:$B$144,Trig!$D$4:$D$144,""), (-1)*_xlfn.XLOOKUP(AR$1,Trig!$B$4:$B$144,Trig!$G$4:$G$144,""), $AR3&lt;(-1)*_xlfn.XLOOKUP(AR$1,Trig!$B$4:$B$144,Trig!$C$4:$C$144,""), (-1) * _xlfn.XLOOKUP(AR$1,Trig!$B$4:$B$144,Trig!$F$4:$F$144,""), AR3&lt;0, (-1) * _xlfn.XLOOKUP(AR$1,Trig!$B$4:$B$144,Trig!$E$4:$E$144,""), TRUE, 0)</f>
        <v>3</v>
      </c>
      <c r="MA3" s="90" cm="1">
        <f t="array" ref="MA3">_xlfn.IFS($CJ3&gt;=_xlfn.XLOOKUP(CJ$1,Trig!$B$4:$B$144,Trig!$D$4:$D$144,""), _xlfn.XLOOKUP(CJ$1,Trig!$B$4:$B$144,Trig!$G$4:$G$144,""), $CJ3&gt;=_xlfn.XLOOKUP(CJ$1,Trig!$B$4:$B$144,Trig!$C$4:$C$144,""), _xlfn.XLOOKUP(CJ$1,Trig!$B$4:$B$144,Trig!$F$4:$F$144,""), CJ3&gt;0, _xlfn.XLOOKUP(CJ$1,Trig!$B$4:$B$144,Trig!$E$4:$E$144,""), TRUE, 0)</f>
        <v>2</v>
      </c>
      <c r="MB3" s="90" cm="1">
        <f t="array" ref="MB3">_xlfn.IFS($CL3&gt;=_xlfn.XLOOKUP(CL$1,Trig!$B$4:$B$144,Trig!$D$4:$D$144,""), _xlfn.XLOOKUP(CL$1,Trig!$B$4:$B$144,Trig!$G$4:$G$144,""), $CL3&gt;=_xlfn.XLOOKUP(CL$1,Trig!$B$4:$B$144,Trig!$C$4:$C$144,""), _xlfn.XLOOKUP(CL$1,Trig!$B$4:$B$144,Trig!$F$4:$F$144,""), CL3&gt;0, _xlfn.XLOOKUP(CL$1,Trig!$B$4:$B$144,Trig!$E$4:$E$144,""), TRUE, 0)</f>
        <v>2</v>
      </c>
      <c r="MC3" s="90">
        <f t="shared" si="107"/>
        <v>2</v>
      </c>
      <c r="MD3" s="90" cm="1">
        <f t="array" ref="MD3">_xlfn.IFS($CJ3&gt;_xlfn.XLOOKUP(MD$1,Trig!$B$4:$B$144,Trig!$D$4:$D$144,""), _xlfn.XLOOKUP(MD$1,Trig!$B$4:$B$144,Trig!$G$4:$G$144,""), $CJ3&gt;_xlfn.XLOOKUP(MD$1,Trig!$B$4:$B$144,Trig!$C$4:$C$144,""), _xlfn.XLOOKUP(MD$1,Trig!$B$4:$B$144,Trig!$F$4:$F$144,""), CJ3&gt;0, _xlfn.XLOOKUP(MD$1,Trig!$B$4:$B$144,Trig!$E$4:$E$144,""), TRUE, 0)</f>
        <v>-2</v>
      </c>
      <c r="ME3" s="90" cm="1">
        <f t="array" ref="ME3">_xlfn.IFS($CL3&gt;_xlfn.XLOOKUP(ME$1,Trig!$B$4:$B$144,Trig!$D$4:$D$144,""), _xlfn.XLOOKUP(ME$1,Trig!$B$4:$B$144,Trig!$G$4:$G$144,""), $CL3&gt;_xlfn.XLOOKUP(ME$1,Trig!$B$4:$B$144,Trig!$C$4:$C$144,""), _xlfn.XLOOKUP(ME$1,Trig!$B$4:$B$144,Trig!$F$4:$F$144,""), CL3&gt;0, _xlfn.XLOOKUP(ME$1,Trig!$B$4:$B$144,Trig!$E$4:$E$144,""), TRUE, 0)</f>
        <v>-2</v>
      </c>
      <c r="MF3" s="90">
        <f t="shared" si="108"/>
        <v>-2</v>
      </c>
      <c r="MG3" s="90" cm="1">
        <f t="array" ref="MG3">_xlfn.IFS($CM3&gt;_xlfn.XLOOKUP(MG$1,Trig!$B$4:$B$144,Trig!$D$4:$D$144,""), _xlfn.XLOOKUP(MG$1,Trig!$B$4:$B$144,Trig!$G$4:$G$144,""), $CM3&gt;_xlfn.XLOOKUP(MG$1,Trig!$B$4:$B$144,Trig!$C$4:$C$144,""), _xlfn.XLOOKUP(MG$1,Trig!$B$4:$B$144,Trig!$F$4:$F$144,""), CM3&gt;0, _xlfn.XLOOKUP(MG$1,Trig!$B$4:$B$144,Trig!$E$4:$E$144,""),
$CM3&lt;(-1)*_xlfn.XLOOKUP(MG$1,Trig!$B$4:$B$144,Trig!$D$4:$D$144,""), (-1)*_xlfn.XLOOKUP(MG$1,Trig!$B$4:$B$144,Trig!$G$4:$G$144,""), $CM3&lt;(-1)*_xlfn.XLOOKUP(MG$1,Trig!$B$4:$B$144,Trig!$C$4:$C$144,""), (-1) * _xlfn.XLOOKUP(MG$1,Trig!$B$4:$B$144,Trig!$F$4:$F$144,""), CM3&lt;0, (-1) * _xlfn.XLOOKUP(MG$1,Trig!$B$4:$B$144,Trig!$E$4:$E$144,""), TRUE, 0)</f>
        <v>-3</v>
      </c>
      <c r="MH3" s="90" cm="1">
        <f t="array" ref="MH3">_xlfn.IFS($CM3&gt;_xlfn.XLOOKUP(MH$1,Trig!$B$4:$B$144,Trig!$D$4:$D$144,""), _xlfn.XLOOKUP(MH$1,Trig!$B$4:$B$144,Trig!$G$4:$G$144,""), $CM3&gt;_xlfn.XLOOKUP(MH$1,Trig!$B$4:$B$144,Trig!$C$4:$C$144,""), _xlfn.XLOOKUP(MH$1,Trig!$B$4:$B$144,Trig!$F$4:$F$144,""),CM3&gt; 0, _xlfn.XLOOKUP(MH$1,Trig!$B$4:$B$144,Trig!$E$4:$E$144,""),
$CM3&lt;(-1)*_xlfn.XLOOKUP(MH$1,Trig!$B$4:$B$144,Trig!$D$4:$D$144,""), (-1)*_xlfn.XLOOKUP(MH$1,Trig!$B$4:$B$144,Trig!$G$4:$G$144,""), $CM3&lt;(-1)*_xlfn.XLOOKUP(MH$1,Trig!$B$4:$B$144,Trig!$C$4:$C$144,""), (-1) * _xlfn.XLOOKUP(MH$1,Trig!$B$4:$B$144,Trig!$F$4:$F$144,""),CM3&lt; 0, (-1) * _xlfn.XLOOKUP(MH$1,Trig!$B$4:$B$144,Trig!$E$4:$E$144,""), TRUE, 0)</f>
        <v>-1</v>
      </c>
      <c r="MI3" s="90" cm="1">
        <f t="array" aca="1" ref="MI3" ca="1">_xlfn.IFS(AND(KV3&gt;=3,MA3&gt;=3,MB3&gt;=3),3,AND(KV3&lt;=-3,MA3&lt;=-3,MB3&lt;=-3),-3,TRUE,0)</f>
        <v>0</v>
      </c>
      <c r="MJ3" s="90">
        <f t="shared" ca="1" si="109"/>
        <v>0</v>
      </c>
      <c r="MK3" s="215" cm="1">
        <f t="array" aca="1" ref="MK3" ca="1">_xlfn.IFS($BJ3&gt;=_xlfn.XLOOKUP(BJ$1,Trig!$B$4:$B$144,Trig!$D$4:$D$144,""), _xlfn.XLOOKUP(BJ$1,Trig!$B$4:$B$144,Trig!$G$4:$G$144,""), $BJ3&gt;=_xlfn.XLOOKUP(BJ$1,Trig!$B$4:$B$144,Trig!$C$4:$C$144,""), _xlfn.XLOOKUP(BJ$1,Trig!$B$4:$B$144,Trig!$F$4:$F$144,""), BJ3&gt;=0, _xlfn.XLOOKUP(BJ$1,Trig!$B$4:$B$144,Trig!$E$4:$E$144,""),
$BJ3&lt;(-1)*_xlfn.XLOOKUP(BJ$1,Trig!$B$4:$B$144,Trig!$D$4:$D$144,""), (-1)*_xlfn.XLOOKUP(BJ$1,Trig!$B$4:$B$144,Trig!$G$4:$G$144,""), $BJ3&lt;(-1)*_xlfn.XLOOKUP(BJ$1,Trig!$B$4:$B$144,Trig!$C$4:$C$144,""), (-1) * _xlfn.XLOOKUP(BJ$1,Trig!$B$4:$B$144,Trig!$F$4:$F$144,""), BJ3&lt;0, (-1) * _xlfn.XLOOKUP(BJ$1,Trig!$B$4:$B$144,Trig!$E$4:$E$144,""))</f>
        <v>1</v>
      </c>
      <c r="ML3" s="215" cm="1">
        <f t="array" ref="ML3">_xlfn.IFS($BK3&gt;=_xlfn.XLOOKUP(BK$1,Trig!$B$4:$B$144,Trig!$D$4:$D$144,""), _xlfn.XLOOKUP(BK$1,Trig!$B$4:$B$144,Trig!$G$4:$G$144,""), $BK3&gt;=_xlfn.XLOOKUP(BK$1,Trig!$B$4:$B$144,Trig!$C$4:$C$144,""), _xlfn.XLOOKUP(BK$1,Trig!$B$4:$B$144,Trig!$F$4:$F$144,""), BK3&gt;=0, _xlfn.XLOOKUP(BK$1,Trig!$B$4:$B$144,Trig!$E$4:$E$144,""),
$BK3&lt;(-1)*_xlfn.XLOOKUP(BK$1,Trig!$B$4:$B$144,Trig!$D$4:$D$144,""), (-1)*_xlfn.XLOOKUP(BK$1,Trig!$B$4:$B$144,Trig!$G$4:$G$144,""), $BK3&lt;(-1)*_xlfn.XLOOKUP(BK$1,Trig!$B$4:$B$144,Trig!$C$4:$C$144,""), (-1) * _xlfn.XLOOKUP(BK$1,Trig!$B$4:$B$144,Trig!$F$4:$F$144,""), BK3&lt;0, (-1) * _xlfn.XLOOKUP(BK$1,Trig!$B$4:$B$144,Trig!$E$4:$E$144,""))</f>
        <v>3</v>
      </c>
      <c r="MM3" s="215" cm="1">
        <f t="array" aca="1" ref="MM3" ca="1">_xlfn.IFS($BN3&gt;=_xlfn.XLOOKUP(BN$1,Trig!$B$4:$B$144,Trig!$D$4:$D$144,""), _xlfn.XLOOKUP(BN$1,Trig!$B$4:$B$144,Trig!$G$4:$G$144,""), $BN3&gt;=_xlfn.XLOOKUP(BN$1,Trig!$B$4:$B$144,Trig!$C$4:$C$144,""), _xlfn.XLOOKUP(BN$1,Trig!$B$4:$B$144,Trig!$F$4:$F$144,""), BN3&gt;=0, _xlfn.XLOOKUP(BN$1,Trig!$B$4:$B$144,Trig!$E$4:$E$144,""),
$BN3&lt;(-1)*_xlfn.XLOOKUP(BN$1,Trig!$B$4:$B$144,Trig!$D$4:$D$144,""), (-1)*_xlfn.XLOOKUP(BN$1,Trig!$B$4:$B$144,Trig!$G$4:$G$144,""), $BN3&lt;(-1)*_xlfn.XLOOKUP(BN$1,Trig!$B$4:$B$144,Trig!$C$4:$C$144,""), (-1) * _xlfn.XLOOKUP(BN$1,Trig!$B$4:$B$144,Trig!$F$4:$F$144,""), BN3&lt;0, (-1) * _xlfn.XLOOKUP(BN$1,Trig!$B$4:$B$144,Trig!$E$4:$E$144,""))</f>
        <v>2</v>
      </c>
      <c r="MN3" s="215" cm="1">
        <f t="array" ref="MN3">_xlfn.IFS($BO3&gt;=_xlfn.XLOOKUP(BO$1,Trig!$B$4:$B$144,Trig!$D$4:$D$144,""), _xlfn.XLOOKUP(BO$1,Trig!$B$4:$B$144,Trig!$G$4:$G$144,""), $BO3&gt;=_xlfn.XLOOKUP(BO$1,Trig!$B$4:$B$144,Trig!$C$4:$C$144,""), _xlfn.XLOOKUP(BO$1,Trig!$B$4:$B$144,Trig!$F$4:$F$144,""), BO3&gt;=0, _xlfn.XLOOKUP(BO$1,Trig!$B$4:$B$144,Trig!$E$4:$E$144,""),
$BO3&lt;(-1)*_xlfn.XLOOKUP(BO$1,Trig!$B$4:$B$144,Trig!$D$4:$D$144,""), (-1)*_xlfn.XLOOKUP(BO$1,Trig!$B$4:$B$144,Trig!$G$4:$G$144,""), $BO3&lt;(-1)*_xlfn.XLOOKUP(BO$1,Trig!$B$4:$B$144,Trig!$C$4:$C$144,""), (-1) * _xlfn.XLOOKUP(BO$1,Trig!$B$4:$B$144,Trig!$F$4:$F$144,""), BO3&lt;0, (-1) * _xlfn.XLOOKUP(BO$1,Trig!$B$4:$B$144,Trig!$E$4:$E$144,""))</f>
        <v>3</v>
      </c>
      <c r="MO3" s="215">
        <f t="shared" ca="1" si="110"/>
        <v>-2</v>
      </c>
      <c r="MP3" s="215">
        <f t="shared" si="111"/>
        <v>-3</v>
      </c>
      <c r="MQ3" s="215" cm="1">
        <f t="array" aca="1" ref="MQ3" ca="1">_xlfn.IFS(AND(JN3&gt;=3,JQ3&gt;=2,JV3&gt;=2,LZ3&gt;=3),3,AND(KH3&gt;0,JV3&gt;=2),3,AND(JN3&gt;=2,JQ3&gt;=2,JV3&gt;=2,LZ3&gt;=2),2,AND(JN3&lt;=-3,JQ3&lt;=-2,JV3&lt;=-2,LY3&gt;=3),-3,AND(JN3&lt;=-2,JQ3&lt;=-2,JV3&lt;=-2,LY3&gt;=2),-2,TRUE,0)</f>
        <v>0</v>
      </c>
      <c r="MR3" s="215">
        <f t="shared" ca="1" si="112"/>
        <v>0</v>
      </c>
      <c r="MS3" s="215" cm="1">
        <f t="array" aca="1" ref="MS3" ca="1">_xlfn.IFS(OR(LK3&gt;=3,MQ3&gt;=3),3,OR(LK3&lt;=-3,MQ3&lt;=-3),-3, TRUE, INT((LK3+MQ3)/2))</f>
        <v>-1</v>
      </c>
      <c r="MT3" s="215">
        <f t="shared" ca="1" si="113"/>
        <v>1</v>
      </c>
      <c r="MU3" s="90" cm="1">
        <f t="array" aca="1" ref="MU3" ca="1">_xlfn.IFS(D3&gt;=$CG3+_xlfn.XLOOKUP(CG$1,Trig!$B$4:$B$144,Trig!$D$4:$D$144,"")*AC3, _xlfn.XLOOKUP(CG$1,Trig!$B$4:$B$144,Trig!$G$4:$G$144,""), D3&gt;=$CG3+_xlfn.XLOOKUP(CG$1,Trig!$B$4:$B$144,Trig!$C$4:$C$144,"")*AC3, _xlfn.XLOOKUP(CG$1,Trig!$B$4:$B$144,Trig!$F$4:$F$144,""), D3&gt;=CG3, _xlfn.XLOOKUP(CG$1,Trig!$B$4:$B$144,Trig!$E$4:$E$144,""),
D3&lt;$CG3-_xlfn.XLOOKUP(CG$1,Trig!$B$4:$B$144,Trig!$D$4:$D$144,"")*AC3, (-1) * _xlfn.XLOOKUP(CG$1,Trig!$B$4:$B$144,Trig!$G$4:$G$144,""), D3&lt;$CG3-_xlfn.XLOOKUP(CG$1,Trig!$B$4:$B$144,Trig!$C$4:$C$144,"")*AC3, (-1) * _xlfn.XLOOKUP(CG$1,Trig!$B$4:$B$144,Trig!$F$4:$F$144,""), D3&lt;CG3, (-1) * _xlfn.XLOOKUP(CG$1,Trig!$B$4:$B$144,Trig!$E$4:$E$144,""))</f>
        <v>-1</v>
      </c>
      <c r="MV3" s="90" cm="1">
        <f t="array" aca="1" ref="MV3" ca="1">_xlfn.IFS(AND(D3&gt;CG3,CG3&gt;BZ3), 1, AND(BZ3&gt;CG3,CG3&gt;D3), -1, TRUE,0)</f>
        <v>0</v>
      </c>
      <c r="MW3" s="90" cm="1">
        <f t="array" aca="1" ref="MW3" ca="1">_xlfn.IFS(D3&gt;=$CH3+_xlfn.XLOOKUP(CH$1,Trig!$B$4:$B$144,Trig!$D$4:$D$144,"")*AC3, _xlfn.XLOOKUP(CH$1,Trig!$B$4:$B$144,Trig!$G$4:$G$144,""), D3&gt;=$CH3+_xlfn.XLOOKUP(CH$1,Trig!$B$4:$B$144,Trig!$C$4:$C$144,"")*AC3, _xlfn.XLOOKUP(CH$1,Trig!$B$4:$B$144,Trig!$F$4:$F$144,""), D3&gt;=CH3, _xlfn.XLOOKUP(CH$1,Trig!$B$4:$B$144,Trig!$E$4:$E$144,""),
D3&lt;$CH3-_xlfn.XLOOKUP(CH$1,Trig!$B$4:$B$144,Trig!$D$4:$D$144,"")*AC3, (-1) * _xlfn.XLOOKUP(CH$1,Trig!$B$4:$B$144,Trig!$G$4:$G$144,""), D3&lt;$CH3-_xlfn.XLOOKUP(CH$1,Trig!$B$4:$B$144,Trig!$C$4:$C$144,"")*AC3, (-1) * _xlfn.XLOOKUP(CH$1,Trig!$B$4:$B$144,Trig!$F$4:$F$144,""), D3&lt;CH3, (-1) * _xlfn.XLOOKUP(CH$1,Trig!$B$4:$B$144,Trig!$E$4:$E$144,""))</f>
        <v>-3</v>
      </c>
      <c r="MX3" s="90" cm="1">
        <f t="array" aca="1" ref="MX3" ca="1">_xlfn.IFS(AND(D3&gt;CH3,CH3&gt;BZ3), 1, AND(BZ3&gt;CH3,CH3&gt;D3), -1, TRUE,0)</f>
        <v>0</v>
      </c>
      <c r="MY3" s="90" cm="1">
        <f t="array" aca="1" ref="MY3" ca="1">_xlfn.IFS(D3&gt;=$CC3+_xlfn.XLOOKUP(CC$1,Trig!$B$4:$B$144,Trig!$D$4:$D$144,"")*AC3, _xlfn.XLOOKUP(CC$1,Trig!$B$4:$B$144,Trig!$G$4:$G$144,""), D3&gt;=$CC3+_xlfn.XLOOKUP(CC$1,Trig!$B$4:$B$144,Trig!$C$4:$C$144,"")*AC3, _xlfn.XLOOKUP(CC$1,Trig!$B$4:$B$144,Trig!$F$4:$F$144,""), D3&gt;=CC3, _xlfn.XLOOKUP(CC$1,Trig!$B$4:$B$144,Trig!$E$4:$E$144,""),
D3&lt;$CC3-_xlfn.XLOOKUP(CC$1,Trig!$B$4:$B$144,Trig!$D$4:$D$144,"")*AC3, (-1) * _xlfn.XLOOKUP(CC$1,Trig!$B$4:$B$144,Trig!$G$4:$G$144,""), D3&lt;$CC3-_xlfn.XLOOKUP(CC$1,Trig!$B$4:$B$144,Trig!$C$4:$C$144,"")*AC3, (-1) * _xlfn.XLOOKUP(CC$1,Trig!$B$4:$B$144,Trig!$F$4:$F$144,""), D3&lt;CC3, (-1) * _xlfn.XLOOKUP(CC$1,Trig!$B$4:$B$144,Trig!$E$4:$E$144,""))</f>
        <v>2</v>
      </c>
      <c r="MZ3" s="90" cm="1">
        <f t="array" aca="1" ref="MZ3" ca="1">_xlfn.IFS(D3&gt;=$CD3+_xlfn.XLOOKUP(CD$1,Trig!$B$4:$B$144,Trig!$D$4:$D$144,"")*AC3, _xlfn.XLOOKUP(CD$1,Trig!$B$4:$B$144,Trig!$G$4:$G$144,""), D3&gt;=$CD3+_xlfn.XLOOKUP(CD$1,Trig!$B$4:$B$144,Trig!$C$4:$C$144,"")*AC3, _xlfn.XLOOKUP(CD$1,Trig!$B$4:$B$144,Trig!$F$4:$F$144,""), D3&gt;=CD3, _xlfn.XLOOKUP(CD$1,Trig!$B$4:$B$144,Trig!$E$4:$E$144,""),
D3&lt;$CD3-_xlfn.XLOOKUP(CD$1,Trig!$B$4:$B$144,Trig!$D$4:$D$144,"")*AC3, (-1) * _xlfn.XLOOKUP(CD$1,Trig!$B$4:$B$144,Trig!$G$4:$G$144,""), D3&lt;$CD3-_xlfn.XLOOKUP(CD$1,Trig!$B$4:$B$144,Trig!$C$4:$C$144,"")*AC3, (-1) * _xlfn.XLOOKUP(CD$1,Trig!$B$4:$B$144,Trig!$F$4:$F$144,""), D3&lt;CD3, (-1) * _xlfn.XLOOKUP(CD$1,Trig!$B$4:$B$144,Trig!$E$4:$E$144,""))</f>
        <v>-3</v>
      </c>
      <c r="NA3" s="90">
        <f t="shared" si="114"/>
        <v>0</v>
      </c>
      <c r="NB3" s="90">
        <f t="shared" si="115"/>
        <v>0</v>
      </c>
      <c r="NC3" s="90">
        <f t="shared" ca="1" si="116"/>
        <v>0</v>
      </c>
      <c r="ND3" s="90">
        <f t="shared" ca="1" si="117"/>
        <v>0</v>
      </c>
      <c r="NE3" s="90" cm="1">
        <f t="array" ref="NE3">_xlfn.IFS($JB3&gt;_xlfn.XLOOKUP(JB$1,Trig!$B$4:$B$144,Trig!$D$4:$D$144,""), _xlfn.XLOOKUP(JB$1,Trig!$B$4:$B$144,Trig!$G$4:$G$144,""), $JB3&gt;_xlfn.XLOOKUP(JB$1,Trig!$B$4:$B$144,Trig!$C$4:$C$144,""), _xlfn.XLOOKUP(JB$1,Trig!$B$4:$B$144,Trig!$F$4:$F$144,""), JB3&gt;0, _xlfn.XLOOKUP(JB$1,Trig!$B$4:$B$144,Trig!$E$4:$E$144,""), TRUE, _xlfn.XLOOKUP(JB$1,Trig!$B$4:$B$144,Trig!$G$4:$G$144,""))</f>
        <v>1</v>
      </c>
      <c r="NF3" s="90" cm="1">
        <f t="array" aca="1" ref="NF3" ca="1">_xlfn.IFS(FK3=0,0,$FK3&gt;_xlfn.XLOOKUP(FK$1,Trig!$B$4:$B$144,Trig!$D$4:$D$144,""), _xlfn.XLOOKUP(FK$1,Trig!$B$4:$B$144,Trig!$G$4:$G$144,""), $FK3&gt;_xlfn.XLOOKUP(FK$1,Trig!$B$4:$B$144,Trig!$C$4:$C$144,""), _xlfn.XLOOKUP(FK$1,Trig!$B$4:$B$144,Trig!$F$4:$F$144,""), FK3&gt;0, _xlfn.XLOOKUP(FK$1,Trig!$B$4:$B$144,Trig!$E$4:$E$144,""),
$FK3&lt;(-1)*_xlfn.XLOOKUP(FK$1,Trig!$B$4:$B$144,Trig!$D$4:$D$144,""), (-1)*_xlfn.XLOOKUP(FK$1,Trig!$B$4:$B$144,Trig!$G$4:$G$144,""), $FK3&lt;(-1)*_xlfn.XLOOKUP(FK$1,Trig!$B$4:$B$144,Trig!$C$4:$C$144,""), (-1)*_xlfn.XLOOKUP(FK$1,Trig!$B$4:$B$144,Trig!$F$4:$F$144,""), FK3&lt;0, (-1)*_xlfn.XLOOKUP(FK$1,Trig!$B$4:$B$144,Trig!$E$4:$E$144,""), TRUE, 0)</f>
        <v>-2</v>
      </c>
      <c r="NG3" s="90" cm="1">
        <f t="array" ref="NG3">_xlfn.IFS(FI3=0,0,$FI3&gt;_xlfn.XLOOKUP(FI$1,Trig!$B$4:$B$144,Trig!$D$4:$D$144,""), _xlfn.XLOOKUP(FI$1,Trig!$B$4:$B$144,Trig!$G$4:$G$144,""), $FI3&gt;_xlfn.XLOOKUP(FI$1,Trig!$B$4:$B$144,Trig!$C$4:$C$144,""), _xlfn.XLOOKUP(FI$1,Trig!$B$4:$B$144,Trig!$F$4:$F$144,""), FI3&gt;0, _xlfn.XLOOKUP(FI$1,Trig!$B$4:$B$144,Trig!$E$4:$E$144,""),
$FI3&lt;(-1)*_xlfn.XLOOKUP(FI$1,Trig!$B$4:$B$144,Trig!$D$4:$D$144,""), (-1)*_xlfn.XLOOKUP(FI$1,Trig!$B$4:$B$144,Trig!$G$4:$G$144,""), $FI3&lt;(-1)*_xlfn.XLOOKUP(FI$1,Trig!$B$4:$B$144,Trig!$C$4:$C$144,""), (-1)*_xlfn.XLOOKUP(FI$1,Trig!$B$4:$B$144,Trig!$F$4:$F$144,""), FI3&lt;0, (-1)*_xlfn.XLOOKUP(FI$1,Trig!$B$4:$B$144,Trig!$E$4:$E$144,""), TRUE, 0)</f>
        <v>1</v>
      </c>
      <c r="NH3" s="90" cm="1">
        <f t="array" ref="NH3">_xlfn.IFS(FL3=0,0,$FL3&gt;_xlfn.XLOOKUP(FL$1,Trig!$B$4:$B$144,Trig!$D$4:$D$144,""), _xlfn.XLOOKUP(FL$1,Trig!$B$4:$B$144,Trig!$G$4:$G$144,""), $FL3&gt;_xlfn.XLOOKUP(FL$1,Trig!$B$4:$B$144,Trig!$C$4:$C$144,""), _xlfn.XLOOKUP(FL$1,Trig!$B$4:$B$144,Trig!$F$4:$F$144,""), FL3&gt;0, _xlfn.XLOOKUP(FL$1,Trig!$B$4:$B$144,Trig!$E$4:$E$144,""),
$FL3&lt;(-1)*_xlfn.XLOOKUP(FL$1,Trig!$B$4:$B$144,Trig!$D$4:$D$144,""), (-1)*_xlfn.XLOOKUP(FL$1,Trig!$B$4:$B$144,Trig!$G$4:$G$144,""), $FL3&lt;(-1)*_xlfn.XLOOKUP(FL$1,Trig!$B$4:$B$144,Trig!$C$4:$C$144,""), (-1)*_xlfn.XLOOKUP(FL$1,Trig!$B$4:$B$144,Trig!$F$4:$F$144,""), FL3&lt;0, (-1)*_xlfn.XLOOKUP(FL$1,Trig!$B$4:$B$144,Trig!$E$4:$E$144,""), TRUE, 0)</f>
        <v>2</v>
      </c>
      <c r="NI3" s="90" cm="1">
        <f t="array" ref="NI3">_xlfn.IFS(FM3=0,0,$FM3&gt;_xlfn.XLOOKUP(FM$1,Trig!$B$4:$B$144,Trig!$D$4:$D$144,""), _xlfn.XLOOKUP(FM$1,Trig!$B$4:$B$144,Trig!$G$4:$G$144,""), $FM3&gt;_xlfn.XLOOKUP(FM$1,Trig!$B$4:$B$144,Trig!$C$4:$C$144,""), _xlfn.XLOOKUP(FM$1,Trig!$B$4:$B$144,Trig!$F$4:$F$144,""), FM3&gt;0, _xlfn.XLOOKUP(FM$1,Trig!$B$4:$B$144,Trig!$E$4:$E$144,""),
$FM3&lt;(-1)*_xlfn.XLOOKUP(FM$1,Trig!$B$4:$B$144,Trig!$D$4:$D$144,""), (-1)*_xlfn.XLOOKUP(FM$1,Trig!$B$4:$B$144,Trig!$G$4:$G$144,""), $FM3&lt;(-1)*_xlfn.XLOOKUP(FM$1,Trig!$B$4:$B$144,Trig!$C$4:$C$144,""), (-1)*_xlfn.XLOOKUP(FM$1,Trig!$B$4:$B$144,Trig!$F$4:$F$144,""), FM3&lt;0, (-1)*_xlfn.XLOOKUP(FM$1,Trig!$B$4:$B$144,Trig!$E$4:$E$144,""), TRUE, 0)</f>
        <v>2</v>
      </c>
      <c r="NJ3" s="90" cm="1">
        <f t="array" aca="1" ref="NJ3" ca="1">_xlfn.IFS(AND(NF3&gt;2,NG3&gt;0,NH3&gt;2,NI3&gt;2),3,AND(NF3&gt;2,NG3&gt;0,NH3&lt;=2,NI3&gt;=2),2,AND(NF3&lt;-2,NG3&gt;0,NH3&gt;2,NI3&gt;2),-3,AND(NF3&lt;-2,NG3&gt;0,NH3&lt;=2,NI3&gt;=2),-2,TRUE,0)</f>
        <v>0</v>
      </c>
      <c r="NK3" s="90" cm="1">
        <f t="array" aca="1" ref="NK3" ca="1">_xlfn.IFS(OR(H3=0,AD3=0),0,(H3/$AD3)&gt;_xlfn.XLOOKUP(NK$1,Trig!$B$4:$B$144,Trig!$D$4:$D$144,""), _xlfn.XLOOKUP(NK$1,Trig!$B$4:$B$144,Trig!$G$4:$G$144,""), (H3/$AD3)&gt;_xlfn.XLOOKUP(NK$1,Trig!$B$4:$B$144,Trig!$C$4:$C$144,""), _xlfn.XLOOKUP(NK$1,Trig!$B$4:$B$144,Trig!$F$4:$F$144,""), (H3/$AD3)&gt;0, _xlfn.XLOOKUP(NK$1,Trig!$B$4:$B$144,Trig!$E$4:$E$144,""),
(H3/$AD3)&lt;(-1)*_xlfn.XLOOKUP(NK$1,Trig!$B$4:$B$144,Trig!$D$4:$D$144,""), (-1)*_xlfn.XLOOKUP(NK$1,Trig!$B$4:$B$144,Trig!$G$4:$G$144,""), (H3/$AD3)&lt;(-1)*_xlfn.XLOOKUP(NK$1,Trig!$B$4:$B$144,Trig!$C$4:$C$144,""), (-1)*_xlfn.XLOOKUP(NK$1,Trig!$B$4:$B$144,Trig!$F$4:$F$144,""), (H3/$AD3)&lt;0, (-1)*_xlfn.XLOOKUP(NK$1,Trig!$B$4:$B$144,Trig!$E$4:$E$144,""), TRUE, 0)</f>
        <v>-1</v>
      </c>
      <c r="NL3" s="90" cm="1">
        <f t="array" ref="NL3">_xlfn.IFS(GB3=0,0,$GB3&gt;_xlfn.XLOOKUP(NL$1,Trig!$B$4:$B$144,Trig!$D$4:$D$144,""), _xlfn.XLOOKUP(NL$1,Trig!$B$4:$B$144,Trig!$G$4:$G$144,""), $GB3&gt;_xlfn.XLOOKUP(NL$1,Trig!$B$4:$B$144,Trig!$C$4:$C$144,""), _xlfn.XLOOKUP(NL$1,Trig!$B$4:$B$144,Trig!$F$4:$F$144,""), GB3&gt;0, _xlfn.XLOOKUP(NL$1,Trig!$B$4:$B$144,Trig!$E$4:$E$144,""),
$GB3&lt;(-1/4)*_xlfn.XLOOKUP(NL$1,Trig!$B$4:$B$144,Trig!$D$4:$D$144,""), (-1)*_xlfn.XLOOKUP(NL$1,Trig!$B$4:$B$144,Trig!$G$4:$G$144,""), $GB3&lt;(-1/4)*_xlfn.XLOOKUP(NL$1,Trig!$B$4:$B$144,Trig!$C$4:$C$144,""), (-1)*_xlfn.XLOOKUP(NL$1,Trig!$B$4:$B$144,Trig!$F$4:$F$144,""), GB3&lt;0, (-1)*_xlfn.XLOOKUP(NL$1,Trig!$B$4:$B$144,Trig!$E$4:$E$144,""), TRUE, 0)</f>
        <v>-3</v>
      </c>
      <c r="NM3" s="90" cm="1">
        <f t="array" aca="1" ref="NM3" ca="1">_xlfn.IFS(DT3=0,0,$DT3&gt;_xlfn.XLOOKUP(NM$1,Trig!$B$4:$B$144,Trig!$D$4:$D$144,""), _xlfn.XLOOKUP(NM$1,Trig!$B$4:$B$144,Trig!$G$4:$G$144,""), $DT3&gt;_xlfn.XLOOKUP(NM$1,Trig!$B$4:$B$144,Trig!$C$4:$C$144,""), _xlfn.XLOOKUP(NM$1,Trig!$B$4:$B$144,Trig!$F$4:$F$144,""), DT3&gt;0, _xlfn.XLOOKUP(NM$1,Trig!$B$4:$B$144,Trig!$E$4:$E$144,""),
$DT3&lt;(-1)*_xlfn.XLOOKUP(NM$1,Trig!$B$4:$B$144,Trig!$D$4:$D$144,""), (-1)*_xlfn.XLOOKUP(NM$1,Trig!$B$4:$B$144,Trig!$G$4:$G$144,""), $DT3&lt;(-1)*_xlfn.XLOOKUP(NM$1,Trig!$B$4:$B$144,Trig!$C$4:$C$144,""), (-1)*_xlfn.XLOOKUP(NM$1,Trig!$B$4:$B$144,Trig!$F$4:$F$144,""), DT3&lt;0, (-1)*_xlfn.XLOOKUP(NM$1,Trig!$B$4:$B$144,Trig!$E$4:$E$144,""), TRUE, 0)</f>
        <v>2</v>
      </c>
      <c r="NN3" s="90" cm="1">
        <f t="array" aca="1" ref="NN3" ca="1">_xlfn.IFS(AND(NK3&gt;2,NL3&gt;2,NM3&lt;2),3,AND(NK3&gt;2,NL3&gt;2),2,AND(NK3&lt;-2,NL3&gt;2,NM3&lt;2),-3,AND(NK3&lt;-2,NL3&gt;2),-2,
AND(NK3&gt;2,NL3&lt;-2,NM3&lt;2),1,AND(NK3&gt;2,NL3&lt;-2),1,AND(NK3&lt;-2,NL3&lt;-2,NM3&gt;2),2,AND(NK3&lt;-2,NL3&lt;-2),3,TRUE,0)</f>
        <v>0</v>
      </c>
      <c r="NO3" s="90" cm="1">
        <f t="array" aca="1" ref="NO3" ca="1">_xlfn.IFS(AND(NK3&gt;2,NL3&gt;2,NM3&lt;2),3,AND(NK3&gt;2,NL3&gt;2),2,AND(NK3&lt;-2,NL3&gt;2,NM3&lt;2),-3,AND(NK3&lt;-2,NL3&gt;2),-2,
AND(NK3&gt;2,NL3&lt;-2,NM3&lt;2),-3,AND(NK3&gt;2,NL3&lt;-2),-2,AND(NK3&lt;-2,NL3&lt;-2,NM3&gt;2),-2,AND(NK3&lt;-2,NL3&lt;-2),-1,TRUE,0)</f>
        <v>0</v>
      </c>
      <c r="NQ3" s="107" cm="1">
        <f t="array" aca="1" ref="NQ3" ca="1">Trig!$O$2-SUMPRODUCT(--(JF3:NP3&lt;=TRANSPOSE(Trig!$O$4:$O$118)), (TRANSPOSE(Trig!$P$4:$P$118)))</f>
        <v>30</v>
      </c>
      <c r="NR3" s="107" cm="1">
        <f t="array" aca="1" ref="NR3" ca="1">Trig!$Q$2-SUMPRODUCT(--(JF3:NP3&lt;=TRANSPOSE(Trig!$Q$4:$Q$118)), (TRANSPOSE(Trig!$R$4:$R$118)))</f>
        <v>50</v>
      </c>
      <c r="NS3" s="107" cm="1">
        <f t="array" aca="1" ref="NS3" ca="1">Trig!$S$2-SUMPRODUCT(--(JF3:NP3&lt;=TRANSPOSE(Trig!$S$4:$S$118)), (TRANSPOSE(Trig!$T$4:$T$118)))</f>
        <v>10</v>
      </c>
      <c r="NT3" s="107" cm="1">
        <f t="array" aca="1" ref="NT3" ca="1">Trig!$U$2-SUMPRODUCT(--(JF3:NP3&lt;=TRANSPOSE(Trig!$U$4:$U$118)), (TRANSPOSE(Trig!$V$4:$V$118)))</f>
        <v>20</v>
      </c>
      <c r="NU3" s="107" cm="1">
        <f t="array" aca="1" ref="NU3" ca="1">Trig!$W$2-SUMPRODUCT(--(JF3:NP3&lt;=TRANSPOSE(Trig!$W$4:$W$118)), (TRANSPOSE(Trig!$X$4:$X$118)))</f>
        <v>20</v>
      </c>
      <c r="NV3" s="107" cm="1">
        <f t="array" aca="1" ref="NV3" ca="1">Trig!$Y$2-SUMPRODUCT(--(JF3:NP3&lt;=TRANSPOSE(Trig!$Y$4:$Y$118)), (TRANSPOSE(Trig!$Z$4:$Z$118)))</f>
        <v>20</v>
      </c>
      <c r="NW3" s="107" cm="1">
        <f t="array" aca="1" ref="NW3" ca="1">Trig!$AA$2-SUMPRODUCT(--(JF3:NP3&lt;=TRANSPOSE(Trig!$AA$4:$AA$118)), (TRANSPOSE(Trig!$AB$4:$AB$118)))</f>
        <v>20</v>
      </c>
      <c r="NX3" s="107" cm="1">
        <f t="array" aca="1" ref="NX3" ca="1">Trig!$AC$2-SUMPRODUCT(--(JF3:NP3&lt;=TRANSPOSE(Trig!$AC$4:$AC$118)), (TRANSPOSE(Trig!$AD$4:$AD$118)))</f>
        <v>40</v>
      </c>
      <c r="NY3" s="107" cm="1">
        <f t="array" aca="1" ref="NY3" ca="1">Trig!$AE$2-SUMPRODUCT(--(JF3:NP3&lt;=TRANSPOSE(Trig!$AE$4:$AE$118)), (TRANSPOSE(Trig!$AF$4:$AF$118)))</f>
        <v>30</v>
      </c>
      <c r="NZ3" s="107" cm="1">
        <f t="array" aca="1" ref="NZ3" ca="1">Trig!$AG$2-SUMPRODUCT(--(JF3:NP3&lt;=TRANSPOSE(Trig!$AG$4:$AG$118)), (TRANSPOSE(Trig!$AH$4:$AH$118)))</f>
        <v>30</v>
      </c>
      <c r="OA3" s="107" cm="1">
        <f t="array" aca="1" ref="OA3" ca="1">Trig!$AI$2-SUMPRODUCT(--(JF3:NP3&lt;=TRANSPOSE(Trig!$AI$4:$AI$118)), (TRANSPOSE(Trig!$AJ$4:$AJ$118)))</f>
        <v>40</v>
      </c>
      <c r="OB3" s="107" cm="1">
        <f t="array" aca="1" ref="OB3" ca="1">Trig!$AK$2-SUMPRODUCT(--(JF3:NP3&lt;=TRANSPOSE(Trig!$AK$4:$AK$118)), (TRANSPOSE(Trig!$AL$4:$AL$118)))</f>
        <v>40</v>
      </c>
      <c r="OC3" s="107" cm="1">
        <f t="array" aca="1" ref="OC3" ca="1">Trig!$AM$2-SUMPRODUCT(--(JF3:NP3&lt;=TRANSPOSE(Trig!$AM$4:$AM$118)), (TRANSPOSE(Trig!$AN$4:$AN$118)))</f>
        <v>20</v>
      </c>
      <c r="OD3" s="107" cm="1">
        <f t="array" aca="1" ref="OD3" ca="1">Trig!$AO$2-SUMPRODUCT(--(JF3:NP3&lt;=TRANSPOSE(Trig!$AO$4:$AO$118)), (TRANSPOSE(Trig!$AP$4:$AP$118)))</f>
        <v>20</v>
      </c>
      <c r="OE3" s="107" cm="1">
        <f t="array" aca="1" ref="OE3" ca="1">Trig!$AQ$2-SUMPRODUCT(--(JF3:NP3&lt;=TRANSPOSE(Trig!$AQ$4:$AQ$118)), (TRANSPOSE(Trig!$AR$4:$AR$118)))</f>
        <v>20</v>
      </c>
      <c r="OF3" s="107" cm="1">
        <f t="array" aca="1" ref="OF3" ca="1">Trig!$AS$2-SUMPRODUCT(--(JF3:NP3&lt;=TRANSPOSE(Trig!$AS$4:$AS$118)), (TRANSPOSE(Trig!$AT$4:$AT$118)))</f>
        <v>30</v>
      </c>
      <c r="OG3" s="107" cm="1">
        <f t="array" aca="1" ref="OG3" ca="1">Trig!$AU$2-SUMPRODUCT(--(JF3:NP3&lt;=TRANSPOSE(Trig!$AU$4:$AU$118)), (TRANSPOSE(Trig!$AV$4:$AV$118)))</f>
        <v>30</v>
      </c>
      <c r="OH3" s="107" cm="1">
        <f t="array" aca="1" ref="OH3" ca="1">Trig!$AW$2-SUMPRODUCT(--(JF3:NP3&lt;=TRANSPOSE(Trig!$AW$4:$AW$118)), (TRANSPOSE(Trig!$AX$4:$AX$118)))</f>
        <v>0</v>
      </c>
      <c r="OI3" s="107" cm="1">
        <f t="array" aca="1" ref="OI3" ca="1">Trig!$AY$2-SUMPRODUCT(--(JF3:NP3&lt;=TRANSPOSE(Trig!$AY$4:$AY$118)), (TRANSPOSE(Trig!$AZ$4:$AZ$118)))</f>
        <v>30</v>
      </c>
      <c r="OJ3" s="107" cm="1">
        <f t="array" aca="1" ref="OJ3" ca="1">Trig!$BA$2-SUMPRODUCT(--(JF3:NP3&lt;=TRANSPOSE(Trig!$BA$4:$BA$118)), (TRANSPOSE(Trig!$BB$4:$BB$118)))</f>
        <v>10</v>
      </c>
      <c r="OK3" s="107" cm="1">
        <f t="array" aca="1" ref="OK3" ca="1">Trig!$BC$2-SUMPRODUCT(--(JF3:NP3&lt;=TRANSPOSE(Trig!$BC$4:$BC$118)), (TRANSPOSE(Trig!$BD$4:$BD$118)))</f>
        <v>20</v>
      </c>
      <c r="OL3" s="107" cm="1">
        <f t="array" aca="1" ref="OL3" ca="1">Trig!$BE$2-SUMPRODUCT(--(JF3:NP3&lt;=TRANSPOSE(Trig!$BE$4:$BE$118)), (TRANSPOSE(Trig!$BF$4:$BF$118)))</f>
        <v>50</v>
      </c>
      <c r="OM3" s="107" cm="1">
        <f t="array" aca="1" ref="OM3" ca="1">Trig!$BG$2-SUMPRODUCT(--(JF3:NP3&lt;=TRANSPOSE(Trig!$BG$4:$BG$118)), (TRANSPOSE(Trig!$BH$4:$BH$118)))</f>
        <v>30</v>
      </c>
      <c r="ON3" s="107" cm="1">
        <f t="array" aca="1" ref="ON3" ca="1">Trig!$BI$2-SUMPRODUCT(--(JF3:NP3&lt;=TRANSPOSE(Trig!$BI$4:$BI$118)), (TRANSPOSE(Trig!$BJ$4:$BJ$118)))</f>
        <v>50</v>
      </c>
      <c r="OO3" s="107" cm="1">
        <f t="array" aca="1" ref="OO3" ca="1">Trig!$BK$2-SUMPRODUCT(--(JF3:NP3&lt;=TRANSPOSE(Trig!$BK$4:$BK$118)), (TRANSPOSE(Trig!$BL$4:$BL$118)))</f>
        <v>10</v>
      </c>
      <c r="OP3" s="107" cm="1">
        <f t="array" aca="1" ref="OP3" ca="1">Trig!$BM$2-SUMPRODUCT(--(JF3:NP3&lt;=TRANSPOSE(Trig!$BM$4:$BM$118)), (TRANSPOSE(Trig!$BN$4:$BN$118)))</f>
        <v>30</v>
      </c>
      <c r="OQ3" s="107" cm="1">
        <f t="array" aca="1" ref="OQ3" ca="1">Trig!$BO$2-SUMPRODUCT(--(JF3:NP3&lt;=TRANSPOSE(Trig!$BO$4:$BO$118)), (TRANSPOSE(Trig!$BP$4:$BP$118)))</f>
        <v>10</v>
      </c>
      <c r="OR3" s="107" cm="1">
        <f t="array" aca="1" ref="OR3" ca="1">Trig!$BQ$2-SUMPRODUCT(--(JF3:NP3&lt;=TRANSPOSE(Trig!$BQ$4:$BQ$118)), (TRANSPOSE(Trig!$BR$4:$BR$118)))</f>
        <v>10</v>
      </c>
      <c r="OS3" s="107" cm="1">
        <f t="array" aca="1" ref="OS3" ca="1">Trig!$BS$2-SUMPRODUCT(--(JF3:NP3&lt;=TRANSPOSE(Trig!$BS$4:$BS$118)), (TRANSPOSE(Trig!$BT$4:$BT$118)))</f>
        <v>10</v>
      </c>
      <c r="OT3" s="107" cm="1">
        <f t="array" aca="1" ref="OT3" ca="1">Trig!$BU$2-SUMPRODUCT(--(JF3:NP3&lt;=TRANSPOSE(Trig!$BU$4:$BU$118)), (TRANSPOSE(Trig!$BV$4:$BV$118)))</f>
        <v>10</v>
      </c>
      <c r="OU3" s="107" cm="1">
        <f t="array" aca="1" ref="OU3" ca="1">Trig!$BW$2-SUMPRODUCT(--(JF3:NP3&gt;=TRANSPOSE(Trig!$BW$4:$BW$118)), (TRANSPOSE(Trig!$BX$4:$BX$118)))</f>
        <v>41</v>
      </c>
      <c r="OV3" s="107" cm="1">
        <f t="array" aca="1" ref="OV3" ca="1">Trig!$BY$2-SUMPRODUCT(--(JF3:NP3&gt;=TRANSPOSE(Trig!$BY$4:$BY$118)), (TRANSPOSE(Trig!$BZ$4:$BZ$118)))</f>
        <v>30</v>
      </c>
      <c r="OW3" s="107" cm="1">
        <f t="array" aca="1" ref="OW3" ca="1">Trig!$CA$2-SUMPRODUCT(--(JF3:NP3&gt;=TRANSPOSE(Trig!$CA$4:$CA$118)), (TRANSPOSE(Trig!$CB$4:$CB$118)))</f>
        <v>41</v>
      </c>
      <c r="OX3" s="107" cm="1">
        <f t="array" aca="1" ref="OX3" ca="1">Trig!$CC$2-SUMPRODUCT(--(JF3:NP3&gt;=TRANSPOSE(Trig!$CC$4:$CC$118)), (TRANSPOSE(Trig!$CD$4:$CD$118)))</f>
        <v>41</v>
      </c>
      <c r="OY3" s="107" cm="1">
        <f t="array" aca="1" ref="OY3" ca="1">Trig!$CE$2-SUMPRODUCT(--(JF3:NP3&gt;=TRANSPOSE(Trig!$CE$4:$CE$118)), (TRANSPOSE(Trig!$CF$4:$CF$118)))</f>
        <v>21</v>
      </c>
      <c r="OZ3" s="107" cm="1">
        <f t="array" aca="1" ref="OZ3" ca="1">Trig!$CG$2-SUMPRODUCT(--(JF3:NP3&gt;=TRANSPOSE(Trig!$CG$4:$CG$118)), (TRANSPOSE(Trig!$CH$4:$CH$118)))</f>
        <v>30</v>
      </c>
      <c r="PA3" s="107" cm="1">
        <f t="array" aca="1" ref="PA3" ca="1">Trig!$CI$2-SUMPRODUCT(--(JF3:NP3&gt;=TRANSPOSE(Trig!$CI$4:$CI$118)), (TRANSPOSE(Trig!$CJ$4:$CJ$118)))</f>
        <v>20</v>
      </c>
      <c r="PB3" s="107" cm="1">
        <f t="array" aca="1" ref="PB3" ca="1">Trig!$CK$2-SUMPRODUCT(--(JF3:NP3&gt;=TRANSPOSE(Trig!$CK$4:$CK$118)), (TRANSPOSE(Trig!$CL$4:$CL$118)))</f>
        <v>30</v>
      </c>
      <c r="PC3" s="107" cm="1">
        <f t="array" aca="1" ref="PC3" ca="1">Trig!$CM$2-SUMPRODUCT(--(JF3:NP3&gt;=TRANSPOSE(Trig!$CM$4:$CM$118)), (TRANSPOSE(Trig!$CN$4:$CN$118)))</f>
        <v>42</v>
      </c>
      <c r="PD3" s="107" cm="1">
        <f t="array" aca="1" ref="PD3" ca="1">Trig!$CO$2-SUMPRODUCT(--(JF3:NP3&gt;=TRANSPOSE(Trig!$CO$4:$CO$118)), (TRANSPOSE(Trig!$CP$4:$CP$118)))</f>
        <v>51</v>
      </c>
      <c r="PE3" s="107" cm="1">
        <f t="array" aca="1" ref="PE3" ca="1">Trig!$CQ$2-SUMPRODUCT(--(JF3:NP3&gt;=TRANSPOSE(Trig!$CQ$4:$CQ$118)), (TRANSPOSE(Trig!$CR$4:$CR$118)))</f>
        <v>32</v>
      </c>
      <c r="PF3" s="107" cm="1">
        <f t="array" aca="1" ref="PF3" ca="1">Trig!$CS$2-SUMPRODUCT(--(JF3:NP3&gt;=TRANSPOSE(Trig!$CS$4:$CS$118)), (TRANSPOSE(Trig!$CT$4:$CT$118)))</f>
        <v>41</v>
      </c>
      <c r="PG3" s="107" cm="1">
        <f t="array" aca="1" ref="PG3" ca="1">Trig!$CU$2-SUMPRODUCT(--(JF3:NP3&gt;=TRANSPOSE(Trig!$CU$4:$CU$118)), (TRANSPOSE(Trig!$CV$4:$CV$118)))</f>
        <v>31</v>
      </c>
      <c r="PH3" s="107" cm="1">
        <f t="array" aca="1" ref="PH3" ca="1">Trig!$CW$2-SUMPRODUCT(--(JF3:NP3&gt;=TRANSPOSE(Trig!$CW$4:$CW$118)), TRANSPOSE(Trig!$CX$4:$CX$118))</f>
        <v>71</v>
      </c>
      <c r="PI3" s="107" cm="1">
        <f t="array" aca="1" ref="PI3" ca="1">Trig!$CY$2-SUMPRODUCT(--(JF3:NP3&gt;=TRANSPOSE(Trig!$CY$4:$CY$118)), TRANSPOSE(Trig!$CZ$4:$CZ$118))</f>
        <v>51</v>
      </c>
      <c r="PJ3" s="107" cm="1">
        <f t="array" aca="1" ref="PJ3" ca="1">Trig!$DA$2-SUMPRODUCT(--(JF3:NP3&gt;=TRANSPOSE(Trig!$DA$4:$DA$118)), (TRANSPOSE(Trig!$DB$4:$DB$118)))</f>
        <v>41</v>
      </c>
      <c r="PK3" s="107" cm="1">
        <f t="array" aca="1" ref="PK3" ca="1">Trig!$DC$2-SUMPRODUCT(--(JF3:NP3&gt;=TRANSPOSE(Trig!$DC$4:$DC$118)), (TRANSPOSE(Trig!$DD$4:$DD$118)))</f>
        <v>61</v>
      </c>
      <c r="PL3" s="107" cm="1">
        <f t="array" aca="1" ref="PL3" ca="1">Trig!$DE$2-SUMPRODUCT(--(JF3:NP3&gt;=TRANSPOSE(Trig!$DE$4:$DE$118)), (TRANSPOSE(Trig!$DF$4:$DF$118)))</f>
        <v>51</v>
      </c>
      <c r="PM3" s="107" cm="1">
        <f t="array" aca="1" ref="PM3" ca="1">Trig!$DG$2-SUMPRODUCT(--(JF3:NP3&gt;=TRANSPOSE(Trig!$DG$4:$DG$118)), (TRANSPOSE(Trig!$DH$4:$DH$118)))</f>
        <v>61</v>
      </c>
      <c r="PN3" s="107" cm="1">
        <f t="array" aca="1" ref="PN3" ca="1">Trig!$DI$2-SUMPRODUCT(--(JF3:NP3&gt;=TRANSPOSE(Trig!$DI$4:$DI$118)), (TRANSPOSE(Trig!$DJ$4:$DJ$118)))</f>
        <v>31</v>
      </c>
      <c r="PO3" s="107" cm="1">
        <f t="array" aca="1" ref="PO3" ca="1">Trig!$DK$2-SUMPRODUCT(--(JF3:NP3&gt;=TRANSPOSE(Trig!$DK$4:$DK$118)), (TRANSPOSE(Trig!$DL$4:$DL$118)))</f>
        <v>61</v>
      </c>
      <c r="PP3" s="107" cm="1">
        <f t="array" aca="1" ref="PP3" ca="1">Trig!$DM$2-SUMPRODUCT(--(JF3:NP3&gt;=TRANSPOSE(Trig!$DM$4:$DM$118)), (TRANSPOSE(Trig!$DN$4:$DN$118)))</f>
        <v>32</v>
      </c>
      <c r="PQ3" s="107" cm="1">
        <f t="array" aca="1" ref="PQ3" ca="1">Trig!$DO$2-SUMPRODUCT(--(JF3:NP3&gt;=TRANSPOSE(Trig!$DO$4:$DO$118)), (TRANSPOSE(Trig!$DP$4:$DP$118)))</f>
        <v>61</v>
      </c>
      <c r="PR3" s="107" cm="1">
        <f t="array" aca="1" ref="PR3" ca="1">Trig!$DQ$2-SUMPRODUCT(--(JF3:NP3&gt;=TRANSPOSE(Trig!$DQ$4:$DQ$118)), (TRANSPOSE(Trig!$DR$4:$DR$118)))</f>
        <v>52</v>
      </c>
      <c r="PS3" s="107" cm="1">
        <f t="array" aca="1" ref="PS3" ca="1">Trig!$DS$2-SUMPRODUCT(--(JF3:NP3&gt;=TRANSPOSE(Trig!$DS$4:$DS$118)), (TRANSPOSE(Trig!$DT$4:$DT$118)))</f>
        <v>53</v>
      </c>
      <c r="PT3" s="107" cm="1">
        <f t="array" aca="1" ref="PT3" ca="1">Trig!$DU$2-SUMPRODUCT(--(JF3:NP3&gt;=TRANSPOSE(Trig!$DU$4:$DU$118)), (TRANSPOSE(Trig!$DV$4:$DV$118)))</f>
        <v>50</v>
      </c>
      <c r="PU3" s="107" cm="1">
        <f t="array" aca="1" ref="PU3" ca="1">Trig!$DW$2-SUMPRODUCT(--(JF3:NP3&gt;=TRANSPOSE(Trig!$DW$4:$DW$118)), (TRANSPOSE(Trig!$DX$4:$DX$118)))</f>
        <v>50</v>
      </c>
      <c r="PV3" s="107" cm="1">
        <f t="array" aca="1" ref="PV3" ca="1">Trig!$DY$2-SUMPRODUCT(--(JF3:NP3&gt;=TRANSPOSE(Trig!$DY$4:$DY$118)), (TRANSPOSE(Trig!$DZ$4:$DZ$118)))</f>
        <v>60</v>
      </c>
      <c r="PW3" s="107" cm="1">
        <f t="array" aca="1" ref="PW3" ca="1">Trig!$EA$2-SUMPRODUCT(--(JF3:NP3&gt;=TRANSPOSE(Trig!$EA$4:$EA$118)), (TRANSPOSE(Trig!$EB$4:$EB$118)))</f>
        <v>30</v>
      </c>
      <c r="PX3" s="107" cm="1">
        <f t="array" aca="1" ref="PX3" ca="1">Trig!$EC$2-SUMPRODUCT(--(JF3:NP3&gt;=TRANSPOSE(Trig!$EC$4:$EC$118)), (TRANSPOSE(Trig!$ED$4:$ED$118)))</f>
        <v>43</v>
      </c>
      <c r="PY3" s="107" cm="1">
        <f t="array" aca="1" ref="PY3" ca="1">Trig!$EE$2-SUMPRODUCT(--(JF3:NP3&gt;=TRANSPOSE(Trig!$EE$4:$EE$118)), (TRANSPOSE(Trig!$EF$4:$EF$118)))</f>
        <v>30</v>
      </c>
      <c r="PZ3" s="107" cm="1">
        <f t="array" aca="1" ref="PZ3" ca="1">Trig!$EG$2-SUMPRODUCT(--(JF3:NP3&gt;=TRANSPOSE(Trig!$EG$4:$EG$118)), (TRANSPOSE(Trig!$EH$4:$EH$118)))</f>
        <v>0</v>
      </c>
      <c r="QA3" s="107" cm="1">
        <f t="array" aca="1" ref="QA3" ca="1">Trig!$EI$2-SUMPRODUCT(--(JF3:NP3&gt;=TRANSPOSE(Trig!$EI$4:$EI$118)), (TRANSPOSE(Trig!$EJ$4:$EJ$118)))</f>
        <v>0</v>
      </c>
      <c r="QB3" s="107" cm="1">
        <f t="array" aca="1" ref="QB3" ca="1">Trig!$EK$2-SUMPRODUCT(--(JF3:NP3&gt;=TRANSPOSE(Trig!$EK$4:$EK$118)), (TRANSPOSE(Trig!$EL$4:$EL$118)))</f>
        <v>0</v>
      </c>
      <c r="QC3" s="107" cm="1">
        <f t="array" aca="1" ref="QC3" ca="1">Trig!$EM$2-SUMPRODUCT(--(JF3:NP3&gt;=TRANSPOSE(Trig!$EM$4:$EM$118)), (TRANSPOSE(Trig!$EN$4:$EN$118)))</f>
        <v>10</v>
      </c>
      <c r="QD3" s="107" cm="1">
        <f t="array" aca="1" ref="QD3" ca="1">Trig!$EO$2-SUMPRODUCT(--(JF3:NP3&gt;=TRANSPOSE(Trig!$EO$4:$EO$118)), (TRANSPOSE(Trig!$EP$4:$EP$118)))</f>
        <v>10</v>
      </c>
      <c r="QE3" s="90" cm="1">
        <f t="array" aca="1" ref="QE3" ca="1">_xlfn.IFS(AND(AG3&lt;0,AH3&lt;0),-2,AND(AI3&lt;0,AH3&lt;1),-1,AND(AG3&gt;0,AH3&gt;0,OR(AI3&gt;2,MAX(AG3,AH3)&gt;4)),4,AND(AG3&gt;0,AH3&gt;0),3,AND(AG3&lt;0,AH3&gt;0),2,TRUE,1)</f>
        <v>2</v>
      </c>
      <c r="QF3" s="90">
        <f ca="1">_xlfn.XLOOKUP(QE3,Parm!$BS$26:$BS$31,Parm!$BV$26:$BV$31)</f>
        <v>0</v>
      </c>
      <c r="QG3" s="90" t="str">
        <f ca="1">_xlfn.XLOOKUP(QE3,Parm!$BS$26:$BS$31,Parm!$BT$26:$BT$31)</f>
        <v>&lt;Tn&gt;Td</v>
      </c>
      <c r="QH3" s="218">
        <f>_xlfn.XLOOKUP($M3&amp;$B3,TD!$D:$D,TD!$BI:$BI,"")</f>
        <v>0</v>
      </c>
      <c r="QI3" s="218">
        <f>_xlfn.XLOOKUP($M3&amp;$B3,TD!$D:$D,TD!$BH:$BH,"")</f>
        <v>-0.1</v>
      </c>
      <c r="QJ3" s="90" cm="1">
        <f t="array" ref="QJ3">_xlfn.IFS(
    AND(QI3 &gt;= 3, QH3 &gt;= 3), 4,
    AND(QI3 &lt;= -3, QH3 &lt;= -3), -4,
    AND(QI3 &gt;= 2, QH3 &gt;= 2), 3,
    AND(QI3 &lt;= -2, QH3 &lt;= -2), -3,
    AND(QH3 &gt;= 2, QI3 &lt; 2), 1,
    AND(QI3 &lt;= -3, QH3 &gt; -2), -1,
    AND(QI3 &gt;= 3, QI3 &gt; QH3), 2,
    AND(QH3 &lt;= -2, QH3 &lt; QI3), -2,
    TRUE, 0
)</f>
        <v>0</v>
      </c>
      <c r="QK3" s="90">
        <f>_xlfn.XLOOKUP(QJ3,Parm!$BS$51:$BS$59,Parm!$BV$51:$BV$59,"")</f>
        <v>0</v>
      </c>
      <c r="QL3" s="90" t="str">
        <f>_xlfn.XLOOKUP(QJ3,Parm!$BS$51:$BS$59,Parm!$BT$51:$BT$59,"")</f>
        <v>Neutral</v>
      </c>
      <c r="QM3" s="107" cm="1">
        <f t="array" aca="1" ref="QM3" ca="1">_xlfn.IFS(AND(LH3&gt;0,KK3=1,KJ3=-1,JG3&gt;0),6,AND(LH3=-1,KJ3=1),5,AND(LH3&gt;0,KK3=0),4,AND(LH3&gt;0,KK3=1,KJ3=-1,JG3&lt;0),3,AND(LH3&lt;0,KK3=0,JN3&gt;0),2,AND(LH3&gt;=0,KJ3=0),1,AND(LH3&lt;=-1,KJ3=-1,KK3=1),-1,TRUE,"")</f>
        <v>5</v>
      </c>
      <c r="QN3" s="107" cm="1">
        <f t="array" aca="1" ref="QN3" ca="1">_xlfn.IFS(AND(LH3&gt;0,KK3=1,KJ3&lt;=0,JG3&gt;0),5,AND(LH3&gt;0,KK3=0),4,AND(LH3&lt;0,KK3=0,JN3&gt;0,JQ3&gt;0),3,AND(LH3&gt;0,KK3=1,KJ3&lt;=0,JG3&lt;0),2,AND(KI3&gt;=0),-1,TRUE,"")</f>
        <v>-1</v>
      </c>
      <c r="QO3" s="107">
        <f ca="1">IF(QJ3&gt;=2,_xlfn.XLOOKUP(QM3,Parm!$BS$34:$BS$40,Parm!$BV$34:$BV$40,""),IF(QJ3&gt;=0,_xlfn.XLOOKUP(QN3,Parm!$BS$43:$BS$48,Parm!$BV$43:$BV$48,""),""))</f>
        <v>-8</v>
      </c>
      <c r="QP3" s="107" t="str">
        <f t="shared" ca="1" si="118"/>
        <v>!B</v>
      </c>
      <c r="QQ3" s="107" t="str">
        <f ca="1">IF(QJ3&gt;=2,_xlfn.XLOOKUP(QM3,Parm!$BS$34:$BS$40,Parm!$BT$34:$BT$40,""),IF(QJ3&gt;=0,_xlfn.XLOOKUP(QN3,Parm!$BS$43:$BS$48,Parm!$BT$43:$BT$48,""),""))</f>
        <v>&gt;=T</v>
      </c>
      <c r="QR3" s="215" t="str" cm="1">
        <f t="array" aca="1" ref="QR3" ca="1">_xlfn.IFS(QF3&lt;0,QF3,QF3&gt;0,IF(QK3&lt;0,QK3,QO3),TRUE,"")</f>
        <v/>
      </c>
      <c r="QS3" s="107" t="str">
        <f ca="1">_xlfn.XLOOKUP(QR3,Parm!$AO$2:$AO$21,Parm!$AQ$2:$AQ$21,"")</f>
        <v/>
      </c>
      <c r="QT3" s="107" t="str">
        <f ca="1">_xlfn.XLOOKUP(QR3,Parm!$AO$2:$AO$21,Parm!$AR$2:$AR$21,"")</f>
        <v/>
      </c>
      <c r="QU3" s="215" t="str">
        <f>_xlfn.XLOOKUP(B3,ps!A:A,ps!Z:Z,"")</f>
        <v/>
      </c>
      <c r="QV3" s="90" t="str" cm="1">
        <f t="array" ref="QV3">_xlfn.IFS(QU3="","",QU3&gt;0,3,QU3&lt;0,-3,TRUE,0)</f>
        <v/>
      </c>
      <c r="QW3" s="218" t="str">
        <f>_xlfn.XLOOKUP(B3,ps!A:A,ps!AA:AA,"")</f>
        <v/>
      </c>
      <c r="QX3" s="215" t="str">
        <f>_xlfn.XLOOKUP(B3,etfchg!C:C,etfchg!F:F,_xlfn.XLOOKUP(U3&amp;B3,etf!A:A,etf!G:G,""))</f>
        <v/>
      </c>
      <c r="QY3" s="215" t="str">
        <f>_xlfn.XLOOKUP(T3&amp;B3,II!A:A,II!E:E,"")</f>
        <v/>
      </c>
      <c r="QZ3" s="215" t="str">
        <f>_xlfn.XLOOKUP(B3,IIchg!C:C,IIchg!E:E,"")</f>
        <v/>
      </c>
      <c r="RA3" s="107" t="str">
        <f t="shared" si="119"/>
        <v/>
      </c>
      <c r="RB3" s="215" t="str">
        <f ca="1">_xlfn.XLOOKUP(B3,call!H:H,call!I:I,"")</f>
        <v/>
      </c>
      <c r="RC3" s="215" t="str">
        <f ca="1">_xlfn.XLOOKUP(B3,call!H:H,call!J:J,"")</f>
        <v/>
      </c>
      <c r="RD3" s="215" t="str">
        <f>_xlfn.XLOOKUP(B3,RR!F:F,RR!J:J,"")</f>
        <v/>
      </c>
      <c r="RE3" s="215" t="str">
        <f>_xlfn.XLOOKUP(B3,ssL!C:C,ssL!D:D,"")</f>
        <v/>
      </c>
      <c r="RF3" s="215" t="str">
        <f>_xlfn.XLOOKUP(B3,ssL!C:C,ssL!E:E,"")</f>
        <v/>
      </c>
      <c r="RG3" s="218" t="str">
        <f>_xlfn.XLOOKUP(B3,sss!B:B,sss!Q:Q,"")</f>
        <v/>
      </c>
      <c r="RH3" s="216" t="str">
        <f>_xlfn.XLOOKUP(B3,ssL!C:C,ssL!F:F,"")</f>
        <v/>
      </c>
      <c r="RI3" s="218" t="str">
        <f>_xlfn.XLOOKUP(B3,sss!B:B,sss!U:U,"")</f>
        <v/>
      </c>
      <c r="RJ3" s="215" t="str" cm="1">
        <f t="array" ref="RJ3">_xlfn.IFS(RH3="","",_xlfn.NUMBERVALUE(RH3)&gt;=0,3,_xlfn.NUMBERVALUE(RH3)&lt;0,-3,TRUE,"")</f>
        <v/>
      </c>
      <c r="RK3" s="215">
        <f t="shared" ca="1" si="120"/>
        <v>0</v>
      </c>
      <c r="RL3" s="90" t="str" cm="1">
        <f t="array" aca="1" ref="RL3" ca="1">_xlfn.IFS(QV3&lt;&gt;"",QV3,QX3&lt;&gt;"",QX3,RD3&lt;&gt;"",RD3,RA3&lt;&gt;"",RA3,RB3&lt;&gt;"",RB3,RJ3&lt;&gt;"",RJ3,TRUE,"")</f>
        <v/>
      </c>
      <c r="RM3" s="215" t="str">
        <f>_xlfn.XLOOKUP(B3,sss!V:V,sss!X:X,"")</f>
        <v/>
      </c>
      <c r="RN3" s="289" t="str">
        <f>_xlfn.XLOOKUP(B3,ps!AB:AB,ps!AG:AG,"")</f>
        <v/>
      </c>
      <c r="RO3" s="289" t="str">
        <f>_xlfn.XLOOKUP(B3,etfchg!C:C,etfchg!E:E,_xlfn.XLOOKUP(B3,etf!I:I,etf!N:N,""))</f>
        <v/>
      </c>
      <c r="RP3" s="289" t="str">
        <f>_xlfn.XLOOKUP(B3,II!G:G,II!L:L,"")</f>
        <v/>
      </c>
      <c r="RQ3" s="289" t="str">
        <f ca="1">_xlfn.XLOOKUP(B3,call!H:H,call!C:C,"")</f>
        <v/>
      </c>
      <c r="RR3" s="289" t="str">
        <f>_xlfn.XLOOKUP(B3,RR!F:F,RR!D:D,"")</f>
        <v/>
      </c>
      <c r="RS3" s="215" t="str">
        <f>_xlfn.XLOOKUP(B3,ps!AB:AB,ps!AD:AD,"")</f>
        <v/>
      </c>
      <c r="RT3" s="215" t="str">
        <f>_xlfn.XLOOKUP(B3,etfchg!C:C,etfchg!D:D,_xlfn.XLOOKUP(B3,etf!I:I,etf!K:K,""))</f>
        <v/>
      </c>
      <c r="RU3" s="107" t="str">
        <f>_xlfn.XLOOKUP(B3,II!G:G,II!I:I,"")</f>
        <v/>
      </c>
      <c r="RV3" s="215" t="str">
        <f ca="1">_xlfn.XLOOKUP(B3,call!H:H,call!L:L,"")</f>
        <v/>
      </c>
      <c r="RW3" s="215" t="str">
        <f>_xlfn.XLOOKUP(B3,RR!F:F,RR!O:O,"")</f>
        <v/>
      </c>
      <c r="RX3" s="215" t="str">
        <f t="shared" ca="1" si="121"/>
        <v/>
      </c>
      <c r="RY3" s="289" t="str">
        <f>_xlfn.XLOOKUP(B3,sss!V:V,sss!AA:AA,"")</f>
        <v/>
      </c>
      <c r="RZ3" s="215" t="str">
        <f t="shared" ca="1" si="122"/>
        <v/>
      </c>
      <c r="SA3" s="215" t="str">
        <f t="shared" ca="1" si="123"/>
        <v/>
      </c>
      <c r="SB3" s="215" t="str">
        <f>_xlfn.XLOOKUP(B3,ps!AB:AB,ps!AF:AF,"")</f>
        <v/>
      </c>
      <c r="SC3" s="215" t="str">
        <f>_xlfn.XLOOKUP(B3,etfchg!C:C,etfchg!D:D,_xlfn.XLOOKUP(B3,etf!I:I,etf!M:M,""))</f>
        <v/>
      </c>
      <c r="SD3" s="107" t="str">
        <f>_xlfn.XLOOKUP(B3,II!G:G,II!K:K,"")</f>
        <v/>
      </c>
      <c r="SE3" s="215" t="str">
        <f ca="1">_xlfn.XLOOKUP(B3,call!H:H,call!N:N,"")</f>
        <v/>
      </c>
      <c r="SF3" s="215" t="str">
        <f>_xlfn.XLOOKUP(B3,RR!F:F,RR!Q:Q,"")</f>
        <v/>
      </c>
      <c r="SG3" s="215" t="str">
        <f t="shared" ca="1" si="124"/>
        <v/>
      </c>
      <c r="SH3" s="215" t="str">
        <f t="shared" ca="1" si="125"/>
        <v/>
      </c>
      <c r="SI3" s="215" t="str">
        <f>_xlfn.XLOOKUP(B3,sss!V:V,sss!Z:Z,"")</f>
        <v/>
      </c>
      <c r="SJ3" s="90" cm="1">
        <f t="array" aca="1" ref="SJ3" ca="1">IF(XG3="","",_xlfn.XLOOKUP((IF(XG3&lt;&gt;"",INDEX(_xlfn.TEXTSPLIT(XG3,"-"),2),"") &amp; IF(RIGHT(XG3,5)="Watch","W","")),Parm!$AM$1:$AM$23,Parm!$AO$1:$AO$23))</f>
        <v>-9</v>
      </c>
      <c r="SK3" s="90" t="str" cm="1">
        <f t="array" ref="SK3">IF(XH3="","",_xlfn.XLOOKUP((IF(XH3&lt;&gt;"",INDEX(_xlfn.TEXTSPLIT(XH3,"-"),2),"") &amp; IF(RIGHT(XH3,5)="Watch","W","")),Parm!$AM$1:$AM$23,Parm!$AO$1:$AO$23))</f>
        <v/>
      </c>
      <c r="SL3" s="90" t="str" cm="1">
        <f t="array" ref="SL3">IF(XI3="","",_xlfn.XLOOKUP((IF(XI3&lt;&gt;"",INDEX(_xlfn.TEXTSPLIT(XI3,"-"),2),"") &amp; IF(RIGHT(XI3,5)="Watch","W","")),Parm!$AM$1:$AM$23,Parm!$AO$1:$AO$23))</f>
        <v/>
      </c>
      <c r="SM3" s="90" t="str" cm="1">
        <f t="array" ref="SM3">IF(XJ3="","",_xlfn.XLOOKUP((IF(XJ3&lt;&gt;"",INDEX(_xlfn.TEXTSPLIT(XJ3,"-"),2),"") &amp; IF(RIGHT(XJ3,5)="Watch","W","")),Parm!$AM$1:$AM$23,Parm!$AO$1:$AO$23))</f>
        <v/>
      </c>
      <c r="SN3" s="90" t="str" cm="1">
        <f t="array" ref="SN3">IF(XK3="","",_xlfn.XLOOKUP((IF(XK3&lt;&gt;"",INDEX(_xlfn.TEXTSPLIT(XK3,"-"),2),"") &amp; IF(RIGHT(XK3,5)="Watch","W","")),Parm!$AM$1:$AM$23,Parm!$AO$1:$AO$23))</f>
        <v/>
      </c>
      <c r="SO3" s="90" t="str" cm="1">
        <f t="array" ref="SO3">IF(XL3="","",_xlfn.XLOOKUP((IF(XL3&lt;&gt;"",INDEX(_xlfn.TEXTSPLIT(XL3,"-"),2),"") &amp; IF(RIGHT(XL3,5)="Watch","W","")),Parm!$AM$1:$AM$23,Parm!$AO$1:$AO$23))</f>
        <v/>
      </c>
      <c r="SP3" s="90" t="str" cm="1">
        <f t="array" ref="SP3">IF(XM3="","",_xlfn.XLOOKUP((IF(XM3&lt;&gt;"",INDEX(_xlfn.TEXTSPLIT(XM3,"-"),2),"") &amp; IF(RIGHT(XM3,5)="Watch","W","")),Parm!$AM$1:$AM$23,Parm!$AO$1:$AO$23))</f>
        <v/>
      </c>
      <c r="SQ3" s="90" t="str" cm="1">
        <f t="array" ref="SQ3">IF(XN3="","",_xlfn.XLOOKUP((IF(XN3&lt;&gt;"",INDEX(_xlfn.TEXTSPLIT(XN3,"-"),2),"") &amp; IF(RIGHT(XN3,5)="Watch","W","")),Parm!$AM$1:$AM$23,Parm!$AO$1:$AO$23))</f>
        <v/>
      </c>
      <c r="SR3" s="90" t="str" cm="1">
        <f t="array" ref="SR3">IF(XO3="","",_xlfn.XLOOKUP((IF(XO3&lt;&gt;"",INDEX(_xlfn.TEXTSPLIT(XO3,"-"),2),"") &amp; IF(RIGHT(XO3,5)="Watch","W","")),Parm!$AM$1:$AM$23,Parm!$AO$1:$AO$23))</f>
        <v/>
      </c>
      <c r="SS3" s="90" t="str" cm="1">
        <f t="array" ref="SS3">IF(XP3="","",_xlfn.XLOOKUP((IF(XP3&lt;&gt;"",INDEX(_xlfn.TEXTSPLIT(XP3,"-"),2),"") &amp; IF(RIGHT(XP3,5)="Watch","W","")),Parm!$AM$1:$AM$23,Parm!$AO$1:$AO$23))</f>
        <v/>
      </c>
      <c r="ST3" s="90" t="str" cm="1">
        <f t="array" ref="ST3">IF(XQ3="","",_xlfn.XLOOKUP((IF(XQ3&lt;&gt;"",INDEX(_xlfn.TEXTSPLIT(XQ3,"-"),2),"") &amp; IF(RIGHT(XQ3,5)="Watch","W","")),Parm!$AM$1:$AM$23,Parm!$AO$1:$AO$23))</f>
        <v/>
      </c>
      <c r="SU3" s="90">
        <f t="shared" ca="1" si="126"/>
        <v>10</v>
      </c>
      <c r="SV3" s="90">
        <f t="shared" ca="1" si="127"/>
        <v>1</v>
      </c>
      <c r="SW3" s="90">
        <f t="shared" ca="1" si="128"/>
        <v>0</v>
      </c>
      <c r="SX3" s="90">
        <f t="shared" ca="1" si="129"/>
        <v>-9</v>
      </c>
      <c r="SY3" s="90" t="str">
        <f t="shared" ca="1" si="130"/>
        <v/>
      </c>
      <c r="SZ3" s="90" cm="1">
        <f t="array" aca="1" ref="SZ3" ca="1">_xlfn.IFS(SU3=11,"",AND(SX3&lt;&gt;"",SY3&lt;&gt;""),SX3,SX3&lt;&gt;"",SX3,SY3&lt;&gt;"",SY3)</f>
        <v>-9</v>
      </c>
      <c r="TA3" s="215" t="str">
        <f t="shared" ca="1" si="131"/>
        <v/>
      </c>
      <c r="TB3" s="215" t="str">
        <f t="shared" ca="1" si="132"/>
        <v/>
      </c>
      <c r="TC3" s="215" t="str">
        <f t="shared" ca="1" si="133"/>
        <v/>
      </c>
      <c r="TD3" s="215" t="str">
        <f t="shared" si="134"/>
        <v/>
      </c>
      <c r="TE3" s="90">
        <f t="shared" ca="1" si="135"/>
        <v>-9</v>
      </c>
      <c r="TF3" s="90">
        <f t="shared" ca="1" si="136"/>
        <v>4</v>
      </c>
      <c r="TG3" s="90">
        <f t="shared" ca="1" si="137"/>
        <v>1</v>
      </c>
      <c r="TH3" s="90">
        <f t="shared" ca="1" si="138"/>
        <v>0</v>
      </c>
      <c r="TI3" s="90">
        <f t="shared" ca="1" si="139"/>
        <v>-9</v>
      </c>
      <c r="TJ3" s="90" t="str">
        <f t="shared" ca="1" si="140"/>
        <v/>
      </c>
      <c r="TK3" s="90" cm="1">
        <f t="array" aca="1" ref="TK3" ca="1">_xlfn.IFS(TF3=5,"",AND(TI3&lt;&gt;"",TJ3&lt;&gt;""),TI3,TI3&lt;&gt;"",TI3,TJ3&lt;&gt;"",TJ3,TRUE,0)</f>
        <v>-9</v>
      </c>
      <c r="TL3" s="215" t="str">
        <f t="shared" ca="1" si="141"/>
        <v/>
      </c>
      <c r="TM3" s="215" t="str">
        <f t="shared" si="142"/>
        <v/>
      </c>
      <c r="TN3" s="90">
        <f t="shared" ca="1" si="143"/>
        <v>-9</v>
      </c>
      <c r="TO3" s="90">
        <f t="shared" ca="1" si="144"/>
        <v>2</v>
      </c>
      <c r="TP3" s="90">
        <f t="shared" ca="1" si="145"/>
        <v>1</v>
      </c>
      <c r="TQ3" s="90">
        <f t="shared" ca="1" si="146"/>
        <v>0</v>
      </c>
      <c r="TR3" s="90">
        <f t="shared" ca="1" si="147"/>
        <v>-9</v>
      </c>
      <c r="TS3" s="90" t="str">
        <f t="shared" ca="1" si="148"/>
        <v/>
      </c>
      <c r="TT3" s="90" cm="1">
        <f t="array" aca="1" ref="TT3" ca="1">_xlfn.IFS(TO3=3,"",AND(TR3&lt;&gt;"",TS3&lt;&gt;""),TR3,TR3&lt;&gt;"",TR3,TS3&lt;&gt;"",TS3,TRUE,0)</f>
        <v>-9</v>
      </c>
      <c r="TU3" s="90">
        <f t="shared" ca="1" si="149"/>
        <v>-9</v>
      </c>
      <c r="TW3" s="90" t="str">
        <f ca="1">_xlfn.XLOOKUP(TU3,Parm!$AO$2:$AO$25,Parm!$AS$2:$AS$25,"")</f>
        <v>S</v>
      </c>
      <c r="TX3" s="90" cm="1">
        <f t="array" aca="1" ref="TX3" ca="1">_xlfn.IFS(AND(WQ3&lt;&gt;"",WR3=""),-1,AND(UI3=0,_xlfn.NUMBERVALUE(TU3)&lt;0),99,
AND(_xlfn.NUMBERVALUE(WX3)=0,_xlfn.NUMBERVALUE(TU3)&gt;=0),98,
TW3="W",97,
AND(UI3&gt;0,TN3=""),96,
TRUE,0)</f>
        <v>99</v>
      </c>
      <c r="TY3" s="90" cm="1">
        <f t="array" aca="1" ref="TY3" ca="1">_xlfn.IFS(AND(UI3&gt;0,_xlfn.NUMBERVALUE(TU3)&lt;0,TW3&lt;&gt;"W"),1,
AND(_xlfn.NUMBERVALUE(TU3)&gt;0,_xlfn.NUMBERVALUE(SJ3)&gt;0),2,
AND(UI3&gt;0,_xlfn.NUMBERVALUE(TU3)&lt;0,TW3="W"),3,
AND(UI3=0,_xlfn.NUMBERVALUE(TU3)&gt;0),4,
TRUE,0)</f>
        <v>0</v>
      </c>
      <c r="TZ3" s="90">
        <f t="shared" ca="1" si="150"/>
        <v>791</v>
      </c>
      <c r="UA3" s="215">
        <f t="shared" ca="1" si="151"/>
        <v>0</v>
      </c>
      <c r="UB3" s="215" t="str">
        <f t="shared" si="152"/>
        <v>N</v>
      </c>
      <c r="UC3" s="107" t="str">
        <f t="shared" ca="1" si="153"/>
        <v/>
      </c>
      <c r="UD3" s="107" t="str">
        <f t="shared" ca="1" si="154"/>
        <v/>
      </c>
      <c r="UE3" s="90">
        <f>_xlfn.XLOOKUP(W3&amp;C3,F!A:A,F!G:G,0)</f>
        <v>0</v>
      </c>
      <c r="UF3" s="90">
        <f>_xlfn.XLOOKUP(X3&amp;C3,CS!A:A,CS!G:G,0)</f>
        <v>0</v>
      </c>
      <c r="UG3" s="90">
        <f t="shared" si="155"/>
        <v>0</v>
      </c>
      <c r="UI3" s="215">
        <f t="shared" si="156"/>
        <v>0</v>
      </c>
      <c r="UJ3" s="215">
        <f t="shared" si="157"/>
        <v>0</v>
      </c>
      <c r="UK3" s="90" t="str">
        <f>_xlfn.XLOOKUP(C3,My!A:A,My!B:B,"")</f>
        <v/>
      </c>
      <c r="UL3" s="107" t="str" cm="1">
        <f t="array" aca="1" ref="UL3" ca="1">_xlfn.IFS(AND(_xlfn.NUMBERVALUE(RA3)&gt;0,OR(_xlfn.NUMBERVALUE(RB3)&gt;0,_xlfn.NUMBERVALUE(RJ3)&gt;0)),"IICAllorSig",AND(_xlfn.NUMBERVALUE(RB3)&gt;0,_xlfn.NUMBERVALUE(RJ3)&gt;0),"CAllSig",_xlfn.NUMBERVALUE(QV3)&gt;0,"PS",_xlfn.NUMBERVALUE(QX3)&gt;0,"ETF",_xlfn.NUMBERVALUE(RA3)&gt;0,"II",AND(_xlfn.NUMBERVALUE(RB3)&gt;0,_xlfn.NUMBERVALUE(RD3)&gt;0),"CAllRR",_xlfn.NUMBERVALUE(RB3)&gt;0,"CAll",_xlfn.NUMBERVALUE(RJ3)&gt;0,"Sig",_xlfn.NUMBERVALUE(RD3)&gt;0,"RR",_xlfn.NUMBERVALUE(UK3)&gt;0,"My",SA3&lt;0,"Negative",AND(RD3&lt;&gt;"",_xlfn.NUMBERVALUE(RD3)=0),"Neutral",AND(RB3&lt;&gt;"",_xlfn.NUMBERVALUE(RB3)=0),"Neutral",TRUE,"Other")</f>
        <v>Other</v>
      </c>
      <c r="UM3" s="107">
        <f ca="1">IF(UL3&lt;&gt;"",_xlfn.XLOOKUP(UL3,Parm!$AF$2:$AF$24,Parm!$AK$2:$AK$24,0),0)</f>
        <v>500</v>
      </c>
      <c r="UN3" s="107">
        <f ca="1">IF(UL3&lt;&gt;"",_xlfn.XLOOKUP(UL3,Parm!$AF$2:$AF$24,Parm!$AI$2:$AI$24,0),0)</f>
        <v>500</v>
      </c>
      <c r="UO3" s="107">
        <f ca="1">IF(UL3&lt;&gt;"",_xlfn.XLOOKUP(UL3,Parm!$AF$2:$AF$24,Parm!$AJ$2:$AJ$24,0),0)</f>
        <v>1000</v>
      </c>
      <c r="UP3" s="107" cm="1">
        <f t="array" aca="1" ref="UP3" ca="1">_xlfn.IFS(QE3&gt;=4,UO3,QE3&gt;=0,UN3,TRUE,0)</f>
        <v>500</v>
      </c>
      <c r="UQ3" s="107">
        <f t="shared" ca="1" si="158"/>
        <v>500</v>
      </c>
      <c r="UR3" s="215" t="str">
        <f ca="1">_xlfn.XLOOKUP(TU3,Parm!$AO$1:$AO$25,Parm!$AQ$1:$AQ$25,IF(AND(TU3&gt;=0,UQ3&lt;0),"SO",""))</f>
        <v>STM</v>
      </c>
      <c r="US3" s="215" t="str" cm="1">
        <f t="array" aca="1" ref="US3" ca="1">_xlfn.IFS(UR3="SA",IF(UI3&gt;0,UI3,""),UR3="S",UI3,UR3="STM",IF(UI3&gt;UN3,UI3-UN3,""),UR3="SS",IF(UI3&gt;UM3,UM3,""),UQ3&lt;0,UQ3,UR3="BR",UM3,UR3="BMN",UM3,UR3="BS",UM3,UR3="BM",UN3,UR3="B",UN3,TRUE,"")</f>
        <v/>
      </c>
      <c r="UT3" s="215" t="str">
        <f t="shared" ca="1" si="159"/>
        <v/>
      </c>
      <c r="UU3" s="215" t="str">
        <f t="shared" ca="1" si="160"/>
        <v/>
      </c>
      <c r="UV3" s="215" t="str" cm="1">
        <f t="array" aca="1" ref="UV3" ca="1">_xlfn.IFS(UU3="SA",IF(UI3&gt;0,UI3,""),UU3="S",UI3,UU3="STM",IF(UI3&gt;UN3,UI3-UN3,""),UU3="SS",IF(UI3&gt;UM3,UM3,""),UQ3&lt;0,UQ3,UU3="BR",UM3,UU3="BMN",UM3,UU3="BS",UM3,UU3="BM",UN3,UU3="B",UN3,TRUE,"")</f>
        <v/>
      </c>
      <c r="UW3" s="215" t="str">
        <f t="shared" ca="1" si="161"/>
        <v/>
      </c>
      <c r="UX3" s="215" t="str" cm="1">
        <f t="array" aca="1" ref="UX3" ca="1">_xlfn.IFS(AND(NK3&gt;2,NL3&gt;2,NM3&lt;2),"B",AND(NK3&gt;2,NL3&gt;2),"BS",AND(NK3&lt;-2,NL3&gt;2,NM3&lt;2),"SA",AND(NK3&lt;-2,NL3&gt;2),"SS",
AND(NK3&gt;2,NL3&lt;-2,NM3&lt;2),"",AND(NK3&gt;2,NL3&lt;-2),"",AND(NK3&lt;-2,NL3&lt;-2,NM3&gt;2),"BS",AND(NK3&lt;-2,NL3&lt;-2),"B",TRUE,"")</f>
        <v/>
      </c>
      <c r="UY3" s="215" cm="1">
        <f t="array" aca="1" ref="UY3" ca="1">_xlfn.IFS(AND(UI3=0,TU3=""),0,UB3="Y",0,_xlfn.NUMBERVALUE(UI3)&lt;&gt;0,1,_xlfn.NUMBERVALUE(UJ3)&lt;&gt;0,1,_xlfn.NUMBERVALUE(UK3)&lt;&gt;0,1,AND(_xlfn.NUMBERVALUE(RL3)&gt;0,TU3&lt;&gt;""),1,TRUE,0)</f>
        <v>0</v>
      </c>
      <c r="UZ3" s="215">
        <f t="shared" ca="1" si="162"/>
        <v>0</v>
      </c>
      <c r="VA3" s="215">
        <f t="shared" ca="1" si="163"/>
        <v>0</v>
      </c>
      <c r="VB3" s="215">
        <f t="shared" si="164"/>
        <v>0</v>
      </c>
      <c r="VC3" s="215">
        <f t="shared" si="165"/>
        <v>0</v>
      </c>
      <c r="VD3" s="215">
        <f t="shared" ca="1" si="166"/>
        <v>99</v>
      </c>
      <c r="VE3" s="215">
        <f t="shared" ca="1" si="167"/>
        <v>0</v>
      </c>
      <c r="VF3" s="215">
        <f t="shared" si="168"/>
        <v>0</v>
      </c>
      <c r="VG3" s="215">
        <f t="shared" ca="1" si="169"/>
        <v>791</v>
      </c>
      <c r="VH3" s="215" t="str">
        <f t="shared" si="170"/>
        <v/>
      </c>
      <c r="VI3" s="215">
        <f t="shared" si="171"/>
        <v>0</v>
      </c>
      <c r="VJ3" s="215">
        <f t="shared" si="172"/>
        <v>0</v>
      </c>
      <c r="VK3" s="215">
        <f t="shared" ca="1" si="173"/>
        <v>500</v>
      </c>
      <c r="VL3" s="215" t="str">
        <f t="shared" ca="1" si="174"/>
        <v/>
      </c>
      <c r="VM3" s="249">
        <f t="shared" ca="1" si="175"/>
        <v>-4.3003048780487818</v>
      </c>
      <c r="VN3" s="249">
        <f t="shared" ca="1" si="176"/>
        <v>3.0640243902439019</v>
      </c>
      <c r="VO3" s="249">
        <f t="shared" si="177"/>
        <v>-7.3643292682926838</v>
      </c>
      <c r="VP3" s="215" t="str">
        <f t="shared" ca="1" si="178"/>
        <v/>
      </c>
      <c r="VQ3" s="215">
        <f t="shared" ca="1" si="179"/>
        <v>2</v>
      </c>
      <c r="VR3" s="215" t="str">
        <f t="shared" si="180"/>
        <v/>
      </c>
      <c r="VS3" s="215" t="str">
        <f>IF(OR(HH3&lt;&gt;"Equities",HJ3=""),"",_xlfn.XLOOKUP(HJ3,HQuad!B:B,HQuad!C:C,""))</f>
        <v>XLK</v>
      </c>
      <c r="VT3" s="215" t="str">
        <f>_xlfn.XLOOKUP(VS3,B:B,VP:VP,"")</f>
        <v/>
      </c>
      <c r="VU3" s="215" t="str">
        <f>_xlfn.XLOOKUP(VS3,B:B,VQ:VQ,"")</f>
        <v/>
      </c>
      <c r="VV3" s="215" t="str">
        <f>_xlfn.XLOOKUP(VS3,B:B,VR:VR,"")</f>
        <v/>
      </c>
      <c r="VW3" s="215">
        <f t="shared" si="181"/>
        <v>0</v>
      </c>
      <c r="VX3" s="215">
        <f t="shared" si="182"/>
        <v>3</v>
      </c>
      <c r="VY3" s="215">
        <f t="shared" ca="1" si="183"/>
        <v>1</v>
      </c>
      <c r="VZ3" s="215">
        <f t="shared" ca="1" si="184"/>
        <v>0</v>
      </c>
      <c r="WA3" s="215">
        <f t="shared" si="185"/>
        <v>3</v>
      </c>
      <c r="WB3" s="215">
        <f t="shared" si="186"/>
        <v>3</v>
      </c>
      <c r="WC3" s="215">
        <f t="shared" ca="1" si="187"/>
        <v>0</v>
      </c>
      <c r="WD3" s="215">
        <f t="shared" ca="1" si="188"/>
        <v>1</v>
      </c>
      <c r="WE3" s="215" t="str">
        <f t="shared" ca="1" si="189"/>
        <v xml:space="preserve"> </v>
      </c>
      <c r="WF3" s="215">
        <f t="shared" ca="1" si="190"/>
        <v>0</v>
      </c>
      <c r="WG3" s="215" t="str">
        <f t="shared" si="191"/>
        <v>IVPXtrm</v>
      </c>
      <c r="WH3" s="215" t="str">
        <f t="shared" si="192"/>
        <v/>
      </c>
      <c r="WI3" s="215" t="str">
        <f t="shared" si="193"/>
        <v>Cmprsn</v>
      </c>
      <c r="WJ3" s="215" t="str">
        <f t="shared" si="194"/>
        <v>BW</v>
      </c>
      <c r="WK3" s="215" t="str">
        <f t="shared" si="195"/>
        <v>&lt;avg+falln</v>
      </c>
      <c r="WL3" s="215" t="str">
        <f t="shared" ca="1" si="196"/>
        <v>Lo vlt</v>
      </c>
      <c r="WM3" s="215" t="str">
        <f t="shared" ca="1" si="197"/>
        <v>&lt;Tn&gt;Td</v>
      </c>
      <c r="WN3" s="215" t="str">
        <f t="shared" si="198"/>
        <v>Neutral</v>
      </c>
      <c r="WO3" s="215" t="str">
        <f t="shared" ca="1" si="199"/>
        <v>!B</v>
      </c>
      <c r="WP3" s="215" t="str">
        <f t="shared" ca="1" si="200"/>
        <v>&gt;=T</v>
      </c>
      <c r="WQ3" s="215" t="str">
        <f t="shared" ca="1" si="201"/>
        <v/>
      </c>
      <c r="WR3" s="90" t="str">
        <f t="shared" ca="1" si="202"/>
        <v/>
      </c>
      <c r="WS3" s="215">
        <f t="shared" si="203"/>
        <v>0</v>
      </c>
      <c r="WT3" s="90" t="str">
        <f t="shared" si="204"/>
        <v>ZS</v>
      </c>
      <c r="WU3" s="215" t="str">
        <f t="shared" ca="1" si="205"/>
        <v/>
      </c>
      <c r="WV3" s="215" t="str">
        <f t="shared" ca="1" si="206"/>
        <v/>
      </c>
      <c r="WW3" s="215" t="str">
        <f t="shared" ca="1" si="207"/>
        <v>STM</v>
      </c>
      <c r="WX3" s="215" t="str">
        <f t="shared" ca="1" si="208"/>
        <v/>
      </c>
      <c r="WY3" s="215" t="str">
        <f ca="1">IF(TA3=0,"",_xlfn.XLOOKUP(TA3,Parm!$AO$1:$AO$20,Parm!$AQ$1:$AQ$20,""))</f>
        <v/>
      </c>
      <c r="WZ3" s="215" t="str">
        <f ca="1">IF(TB3=0,"",_xlfn.XLOOKUP(TB3,Parm!$AO$1:$AO$20,Parm!$AQ$1:$AQ$20,""))</f>
        <v/>
      </c>
      <c r="XA3" s="215" t="str">
        <f ca="1">IF(TC3=0,"",_xlfn.XLOOKUP(TC3,Parm!$AO$1:$AO$20,Parm!$AQ$1:$AQ$20,""))</f>
        <v/>
      </c>
      <c r="XB3" s="215" t="str">
        <f>IF(TD3=0,"",_xlfn.XLOOKUP(TD3,Parm!$AO$1:$AO$20,Parm!$AQ$1:$AQ$20,""))</f>
        <v/>
      </c>
      <c r="XC3" s="215" t="str">
        <f ca="1">IF(TE3=0,"",_xlfn.XLOOKUP(TE3,Parm!$AO$1:$AO$20,Parm!$AQ$1:$AQ$20,""))</f>
        <v>STM</v>
      </c>
      <c r="XD3" s="215" t="str">
        <f ca="1">IF(TK3=0,"",_xlfn.XLOOKUP(TK3,Parm!$AO$1:$AO$20,Parm!$AQ$1:$AQ$20,""))</f>
        <v>STM</v>
      </c>
      <c r="XE3" s="215" t="str">
        <f ca="1">IF(TT3=0,"",_xlfn.XLOOKUP(TT3,Parm!$AO$1:$AO$20,Parm!$AQ$1:$AQ$20,""))</f>
        <v>STM</v>
      </c>
      <c r="XF3" s="215" t="str">
        <f ca="1">IF(TU3=0,"",_xlfn.XLOOKUP(TU3,Parm!$AO$1:$AO$20,Parm!$AQ$1:$AQ$20,""))</f>
        <v>STM</v>
      </c>
      <c r="XG3" s="217" t="str" cm="1">
        <f t="array" aca="1" ref="XG3" ca="1">_xlfn._xlws.FILTER($NQ$1:$PY$1,NQ3:PY3=0, IF(_xlfn._xlws.FILTER($OU$1:$PY$1,OU3:PY3&lt;10,"") &lt;&gt; "",_xlfn._xlws.FILTER($OU$1:$PY$1,OU3:PY3&lt;10,"") &amp; "-Watch",""))</f>
        <v>791-STM-!Bull-HighAbvTRR</v>
      </c>
    </row>
  </sheetData>
  <autoFilter ref="A1:XQ3" xr:uid="{96C8F34A-468F-4A6B-A6B6-19F6AFAED8CC}"/>
  <customSheetViews>
    <customSheetView guid="{52D1722A-E00E-455D-B18E-AA205BA79E79}" scale="80" showAutoFilter="1">
      <pane xSplit="6" ySplit="1" topLeftCell="IF2" activePane="bottomRight" state="frozen"/>
      <selection pane="bottomRight" activeCell="IK1" sqref="IK1:IQ1"/>
      <pageMargins left="0.7" right="0.7" top="0.75" bottom="0.75" header="0.3" footer="0.3"/>
      <pageSetup orientation="portrait" r:id="rId1"/>
      <autoFilter ref="A1:IQ491" xr:uid="{0123F900-67D6-49EF-A2A2-6B53EE32F247}"/>
    </customSheetView>
  </customSheetViews>
  <phoneticPr fontId="90" type="noConversion"/>
  <pageMargins left="0.7" right="0.7" top="0.75" bottom="0.75" header="0.3" footer="0.3"/>
  <pageSetup orientation="portrait"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9652-5F2B-4853-BD65-E3A58D3CE804}">
  <sheetPr codeName="Sheet16"/>
  <dimension ref="A1:CS2"/>
  <sheetViews>
    <sheetView zoomScale="80" zoomScaleNormal="80" workbookViewId="0">
      <pane ySplit="1" topLeftCell="A2" activePane="bottomLeft" state="frozen"/>
      <selection pane="bottomLeft" activeCell="A2" sqref="A2"/>
    </sheetView>
  </sheetViews>
  <sheetFormatPr defaultRowHeight="12.75" x14ac:dyDescent="0.2"/>
  <cols>
    <col min="1" max="5" width="4.85546875" style="90" customWidth="1"/>
    <col min="6" max="6" width="5" style="215" customWidth="1"/>
    <col min="7" max="7" width="4.5703125" style="90" customWidth="1"/>
    <col min="8" max="8" width="5" style="215" customWidth="1"/>
    <col min="9" max="9" width="5.140625" style="215" customWidth="1"/>
    <col min="10" max="10" width="6.28515625" style="215" customWidth="1"/>
    <col min="11" max="11" width="6.5703125" style="215" customWidth="1"/>
    <col min="12" max="12" width="7.7109375" style="215" customWidth="1"/>
    <col min="13" max="14" width="4.42578125" style="215" customWidth="1"/>
    <col min="15" max="15" width="4.28515625" style="215" customWidth="1"/>
    <col min="16" max="18" width="5.140625" style="90" customWidth="1"/>
    <col min="19" max="20" width="4.28515625" style="90" customWidth="1"/>
    <col min="21" max="21" width="3.7109375" style="90" customWidth="1"/>
    <col min="22" max="22" width="3.85546875" style="215" customWidth="1"/>
    <col min="23" max="31" width="4.7109375" style="215" customWidth="1"/>
    <col min="32" max="32" width="21.5703125" style="215" customWidth="1"/>
    <col min="33" max="33" width="5.5703125" style="215" customWidth="1"/>
    <col min="34" max="34" width="8.42578125" style="215" customWidth="1"/>
    <col min="35" max="35" width="10.5703125" style="215" customWidth="1"/>
    <col min="36" max="36" width="11.42578125" style="215" customWidth="1"/>
    <col min="37" max="37" width="5.28515625" style="215" customWidth="1"/>
    <col min="38" max="38" width="10.42578125" style="215" customWidth="1"/>
    <col min="39" max="39" width="9.5703125" style="215" customWidth="1"/>
    <col min="40" max="40" width="8.42578125" style="215" customWidth="1"/>
    <col min="41" max="41" width="8" style="215" customWidth="1"/>
    <col min="42" max="42" width="3.140625" style="215" customWidth="1"/>
    <col min="43" max="43" width="10.140625" style="215" customWidth="1"/>
    <col min="44" max="44" width="8.140625" style="90" customWidth="1"/>
    <col min="45" max="45" width="8.7109375" style="90" customWidth="1"/>
    <col min="46" max="46" width="6.42578125" style="90" customWidth="1"/>
    <col min="47" max="47" width="6.5703125" style="90" customWidth="1"/>
    <col min="48" max="48" width="4.85546875" style="90" customWidth="1"/>
    <col min="49" max="49" width="6" style="90" customWidth="1"/>
    <col min="50" max="50" width="5" style="90" customWidth="1"/>
    <col min="51" max="51" width="6.42578125" style="90" customWidth="1"/>
    <col min="52" max="59" width="4.5703125" style="90" customWidth="1"/>
    <col min="60" max="60" width="32.140625" style="215" customWidth="1"/>
    <col min="61" max="61" width="31.140625" style="246" customWidth="1"/>
    <col min="62" max="62" width="29.140625" style="246" customWidth="1"/>
    <col min="63" max="63" width="22.28515625" style="246" customWidth="1"/>
    <col min="64" max="64" width="22.85546875" style="246" customWidth="1"/>
    <col min="65" max="65" width="8.85546875" style="246" customWidth="1"/>
    <col min="66" max="70" width="8.28515625" style="246" customWidth="1"/>
    <col min="71" max="16384" width="9.140625" style="90"/>
  </cols>
  <sheetData>
    <row r="1" spans="1:97" x14ac:dyDescent="0.2">
      <c r="A1" s="206" t="s">
        <v>2077</v>
      </c>
      <c r="B1" s="206" t="s">
        <v>3449</v>
      </c>
      <c r="C1" s="206" t="s">
        <v>2074</v>
      </c>
      <c r="D1" s="206" t="s">
        <v>2078</v>
      </c>
      <c r="E1" s="206" t="s">
        <v>1920</v>
      </c>
      <c r="F1" s="206" t="s">
        <v>1921</v>
      </c>
      <c r="G1" s="322" t="s">
        <v>2071</v>
      </c>
      <c r="H1" s="206" t="s">
        <v>1922</v>
      </c>
      <c r="I1" s="213" t="s">
        <v>132</v>
      </c>
      <c r="J1" s="242" t="s">
        <v>942</v>
      </c>
      <c r="K1" s="242" t="s">
        <v>1206</v>
      </c>
      <c r="L1" s="245" t="s">
        <v>1682</v>
      </c>
      <c r="M1" s="243" t="s">
        <v>1337</v>
      </c>
      <c r="N1" s="400" t="s">
        <v>3334</v>
      </c>
      <c r="O1" s="400" t="s">
        <v>3335</v>
      </c>
      <c r="P1" s="400" t="s">
        <v>3336</v>
      </c>
      <c r="Q1" s="204" t="s">
        <v>1746</v>
      </c>
      <c r="R1" s="208" t="s">
        <v>3333</v>
      </c>
      <c r="S1" s="244" t="s">
        <v>895</v>
      </c>
      <c r="T1" s="207" t="s">
        <v>3170</v>
      </c>
      <c r="U1" s="204" t="s">
        <v>3371</v>
      </c>
      <c r="V1" s="208" t="s">
        <v>3372</v>
      </c>
      <c r="W1" s="244" t="s">
        <v>3373</v>
      </c>
      <c r="X1" s="430" t="s">
        <v>3353</v>
      </c>
      <c r="Y1" s="231" t="s">
        <v>3379</v>
      </c>
      <c r="Z1" s="428" t="s">
        <v>3375</v>
      </c>
      <c r="AA1" s="428" t="s">
        <v>3376</v>
      </c>
      <c r="AB1" s="430" t="s">
        <v>3354</v>
      </c>
      <c r="AC1" s="231" t="s">
        <v>3380</v>
      </c>
      <c r="AD1" s="428" t="s">
        <v>3377</v>
      </c>
      <c r="AE1" s="428" t="s">
        <v>3378</v>
      </c>
      <c r="AF1" s="231" t="s">
        <v>3247</v>
      </c>
      <c r="AG1" s="231" t="s">
        <v>3384</v>
      </c>
      <c r="AH1" s="368" t="s">
        <v>2069</v>
      </c>
      <c r="AI1" s="368" t="s">
        <v>2068</v>
      </c>
      <c r="AJ1" s="355" t="s">
        <v>3280</v>
      </c>
      <c r="AK1" s="355" t="s">
        <v>3289</v>
      </c>
      <c r="AL1" s="205" t="s">
        <v>3209</v>
      </c>
      <c r="AM1" s="205" t="s">
        <v>3214</v>
      </c>
      <c r="AN1" s="438" t="s">
        <v>3333</v>
      </c>
      <c r="AO1" s="207" t="s">
        <v>3402</v>
      </c>
      <c r="AP1" s="439" t="s">
        <v>3453</v>
      </c>
      <c r="AQ1" s="439" t="s">
        <v>3454</v>
      </c>
      <c r="AR1" s="324" t="s">
        <v>1923</v>
      </c>
      <c r="AS1" s="209" t="s">
        <v>843</v>
      </c>
      <c r="AT1" s="200" t="s">
        <v>1207</v>
      </c>
      <c r="AU1" s="199" t="s">
        <v>28</v>
      </c>
      <c r="AV1" s="440" t="s">
        <v>3446</v>
      </c>
      <c r="AW1" s="209" t="s">
        <v>1447</v>
      </c>
      <c r="AX1" s="320" t="s">
        <v>1884</v>
      </c>
      <c r="AY1" s="209" t="s">
        <v>1447</v>
      </c>
      <c r="AZ1" s="203" t="s">
        <v>1877</v>
      </c>
      <c r="BA1" s="203" t="s">
        <v>1878</v>
      </c>
      <c r="BB1" s="318" t="s">
        <v>1902</v>
      </c>
      <c r="BC1" s="318" t="s">
        <v>1903</v>
      </c>
      <c r="BD1" s="201" t="s">
        <v>1905</v>
      </c>
      <c r="BE1" s="322" t="s">
        <v>1825</v>
      </c>
      <c r="BF1" s="399" t="s">
        <v>1826</v>
      </c>
      <c r="BG1" s="322" t="s">
        <v>1936</v>
      </c>
      <c r="BH1" s="325" t="s">
        <v>1239</v>
      </c>
      <c r="BI1" s="210" t="s">
        <v>1624</v>
      </c>
      <c r="BJ1" s="210" t="s">
        <v>1625</v>
      </c>
      <c r="BK1" s="210" t="s">
        <v>1626</v>
      </c>
      <c r="BL1" s="210" t="s">
        <v>1627</v>
      </c>
      <c r="BM1" s="210" t="s">
        <v>1628</v>
      </c>
      <c r="BN1" s="210" t="s">
        <v>1629</v>
      </c>
      <c r="BO1" s="210" t="s">
        <v>1728</v>
      </c>
      <c r="BP1" s="210" t="s">
        <v>1729</v>
      </c>
      <c r="BQ1" s="210" t="s">
        <v>1730</v>
      </c>
      <c r="BR1" s="210" t="s">
        <v>1731</v>
      </c>
      <c r="BS1" s="215"/>
      <c r="CM1" s="215"/>
      <c r="CN1" s="215"/>
      <c r="CO1" s="215"/>
      <c r="CP1" s="215"/>
      <c r="CQ1" s="215"/>
      <c r="CR1" s="215"/>
      <c r="CS1" s="215"/>
    </row>
    <row r="2" spans="1:97" x14ac:dyDescent="0.2">
      <c r="A2" s="215" t="e" cm="1" vm="1">
        <f t="array" aca="1" ref="A2" ca="1">_xlfn._xlws.SORT(_xlfn._xlws.FILTER(MA!UZ2:XQ408,((MA!UY2:UY408=1)*(MA!WW2:WW408&lt;&gt;""))),{2,7,5,6,8,7,29},{-1,-1,1,1,-1,-1,1})</f>
        <v>#VALUE!</v>
      </c>
      <c r="B2" s="215"/>
      <c r="C2" s="215"/>
      <c r="D2" s="215"/>
      <c r="E2" s="215"/>
      <c r="BR2" s="217"/>
      <c r="BS2" s="215"/>
      <c r="CM2" s="215"/>
      <c r="CN2" s="215"/>
      <c r="CO2" s="215"/>
      <c r="CP2" s="215"/>
      <c r="CQ2" s="215"/>
      <c r="CR2" s="215"/>
      <c r="CS2" s="215"/>
    </row>
  </sheetData>
  <autoFilter ref="A1:BR157" xr:uid="{6CAA9652-5F2B-4853-BD65-E3A58D3CE804}"/>
  <phoneticPr fontId="90" type="noConversion"/>
  <conditionalFormatting sqref="O1:R1048576 S2:V1048576">
    <cfRule type="cellIs" dxfId="36" priority="20" operator="lessThan">
      <formula>0</formula>
    </cfRule>
  </conditionalFormatting>
  <conditionalFormatting sqref="O1:S1 O2:O1048576 S2:V1048576">
    <cfRule type="containsBlanks" priority="18" stopIfTrue="1">
      <formula>LEN(TRIM(O1))=0</formula>
    </cfRule>
    <cfRule type="cellIs" dxfId="35" priority="19" operator="equal">
      <formula>0</formula>
    </cfRule>
    <cfRule type="cellIs" dxfId="34" priority="21" operator="equal">
      <formula>1</formula>
    </cfRule>
    <cfRule type="cellIs" dxfId="33" priority="22" operator="equal">
      <formula>2</formula>
    </cfRule>
    <cfRule type="cellIs" dxfId="32" priority="23" operator="equal">
      <formula>3</formula>
    </cfRule>
  </conditionalFormatting>
  <conditionalFormatting sqref="P2:R1048576">
    <cfRule type="cellIs" dxfId="31" priority="25" operator="greaterThan">
      <formula>0</formula>
    </cfRule>
  </conditionalFormatting>
  <conditionalFormatting sqref="V1 S1">
    <cfRule type="cellIs" dxfId="30" priority="28" operator="lessThan">
      <formula>0</formula>
    </cfRule>
  </conditionalFormatting>
  <conditionalFormatting sqref="V1">
    <cfRule type="containsBlanks" priority="26" stopIfTrue="1">
      <formula>LEN(TRIM(V1))=0</formula>
    </cfRule>
    <cfRule type="cellIs" dxfId="29" priority="27" operator="equal">
      <formula>0</formula>
    </cfRule>
    <cfRule type="cellIs" dxfId="28" priority="29" operator="equal">
      <formula>1</formula>
    </cfRule>
    <cfRule type="cellIs" dxfId="27" priority="30" operator="equal">
      <formula>2</formula>
    </cfRule>
    <cfRule type="cellIs" dxfId="26" priority="31" operator="equal">
      <formula>3</formula>
    </cfRule>
  </conditionalFormatting>
  <conditionalFormatting sqref="AV2:BR902">
    <cfRule type="containsText" dxfId="23" priority="1" stopIfTrue="1" operator="containsText" text="SW">
      <formula>NOT(ISERROR(SEARCH("SW",AV2)))</formula>
    </cfRule>
    <cfRule type="containsText" dxfId="22" priority="2" stopIfTrue="1" operator="containsText" text="BW">
      <formula>NOT(ISERROR(SEARCH("BW",AV2)))</formula>
    </cfRule>
    <cfRule type="beginsWith" dxfId="21" priority="3" stopIfTrue="1" operator="beginsWith" text="S">
      <formula>LEFT(AV2,LEN("S"))="S"</formula>
    </cfRule>
    <cfRule type="expression" dxfId="20" priority="4" stopIfTrue="1">
      <formula>SEARCH("-S", AV2)</formula>
    </cfRule>
    <cfRule type="beginsWith" dxfId="19" priority="5" stopIfTrue="1" operator="beginsWith" text="B">
      <formula>LEFT(AV2,LEN("B"))="B"</formula>
    </cfRule>
    <cfRule type="expression" dxfId="18" priority="6" stopIfTrue="1">
      <formula>SEARCH("-B", AV2)</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beginsWith" priority="40" stopIfTrue="1" operator="beginsWith" id="{6F1546B0-4BE0-4504-B62A-182D9A26CFD7}">
            <xm:f>LEFT(AN1,LEN("-"))="-"</xm:f>
            <xm:f>"-"</xm:f>
            <x14:dxf>
              <fill>
                <patternFill>
                  <bgColor theme="5" tint="0.79998168889431442"/>
                </patternFill>
              </fill>
            </x14:dxf>
          </x14:cfRule>
          <x14:cfRule type="beginsWith" priority="41" stopIfTrue="1" operator="beginsWith" id="{F7F6460D-034D-48EB-999C-C4FEBE9A8A6D}">
            <xm:f>LEFT(AN1,LEN("+"))="+"</xm:f>
            <xm:f>"+"</xm:f>
            <x14:dxf>
              <fill>
                <patternFill>
                  <bgColor theme="9" tint="0.79998168889431442"/>
                </patternFill>
              </fill>
            </x14:dxf>
          </x14:cfRule>
          <xm:sqref>AN1:AN1048576 AR1:AS1048576</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49923-1271-438E-9DC4-2359D23CBBC8}">
  <sheetPr codeName="Sheet19"/>
  <dimension ref="A1:A11"/>
  <sheetViews>
    <sheetView workbookViewId="0">
      <selection activeCell="A2" sqref="A2"/>
    </sheetView>
  </sheetViews>
  <sheetFormatPr defaultRowHeight="15" x14ac:dyDescent="0.25"/>
  <cols>
    <col min="1" max="1" width="11.28515625" customWidth="1"/>
  </cols>
  <sheetData>
    <row r="1" spans="1:1" x14ac:dyDescent="0.25">
      <c r="A1" t="str" cm="1">
        <f t="array" aca="1" ref="A1:A11" ca="1">_xlfn.UNIQUE(_xlfn.VSTACK(_xlfn.UNIQUE(ssL!N:N),_xlfn.UNIQUE(RR!T:T),_xlfn.UNIQUE(etf!Q:Q),_xlfn.UNIQUE(call!O:O),_xlfn.UNIQUE(ps!AL:AL),_xlfn.UNIQUE(sss!AB:AB),_xlfn.UNIQUE(F!S:S),_xlfn.UNIQUE(CS!T:T)))</f>
        <v>Miss MA</v>
      </c>
    </row>
    <row r="2" spans="1:1" x14ac:dyDescent="0.25">
      <c r="A2" t="str">
        <f ca="1"/>
        <v>AS</v>
      </c>
    </row>
    <row r="3" spans="1:1" x14ac:dyDescent="0.25">
      <c r="A3">
        <f ca="1"/>
        <v>0</v>
      </c>
    </row>
    <row r="4" spans="1:1" x14ac:dyDescent="0.25">
      <c r="A4" t="str">
        <f ca="1"/>
        <v>M TOS</v>
      </c>
    </row>
    <row r="5" spans="1:1" x14ac:dyDescent="0.25">
      <c r="A5" t="str">
        <f ca="1"/>
        <v/>
      </c>
    </row>
    <row r="6" spans="1:1" x14ac:dyDescent="0.25">
      <c r="A6" t="str">
        <f ca="1"/>
        <v>MA</v>
      </c>
    </row>
    <row r="7" spans="1:1" x14ac:dyDescent="0.25">
      <c r="A7" t="str">
        <f ca="1"/>
        <v>Miss</v>
      </c>
    </row>
    <row r="8" spans="1:1" x14ac:dyDescent="0.25">
      <c r="A8" t="str">
        <f ca="1"/>
        <v>META</v>
      </c>
    </row>
    <row r="9" spans="1:1" x14ac:dyDescent="0.25">
      <c r="A9" t="str">
        <f ca="1"/>
        <v>BNO</v>
      </c>
    </row>
    <row r="10" spans="1:1" x14ac:dyDescent="0.25">
      <c r="A10">
        <f ca="1"/>
        <v>0</v>
      </c>
    </row>
    <row r="11" spans="1:1" x14ac:dyDescent="0.25">
      <c r="A11" t="str">
        <f ca="1"/>
        <v>XTL</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0049C-89DB-49E7-8768-CF128064B497}">
  <sheetPr codeName="Sheet20"/>
  <dimension ref="A1:AS100"/>
  <sheetViews>
    <sheetView zoomScale="80" zoomScaleNormal="80" workbookViewId="0">
      <pane xSplit="1" ySplit="1" topLeftCell="B2" activePane="bottomRight" state="frozen"/>
      <selection pane="topRight" activeCell="B1" sqref="B1"/>
      <selection pane="bottomLeft" activeCell="A2" sqref="A2"/>
      <selection pane="bottomRight" activeCell="D2" sqref="D2"/>
    </sheetView>
  </sheetViews>
  <sheetFormatPr defaultRowHeight="15" x14ac:dyDescent="0.25"/>
  <cols>
    <col min="2" max="14" width="9.140625" style="7"/>
    <col min="15" max="15" width="11.42578125" style="1" customWidth="1"/>
    <col min="16" max="16" width="17.5703125" customWidth="1"/>
    <col min="17" max="18" width="9.140625" style="11"/>
    <col min="30" max="30" width="4.42578125" customWidth="1"/>
    <col min="31" max="31" width="14" customWidth="1"/>
    <col min="32" max="32" width="5" customWidth="1"/>
    <col min="33" max="33" width="12" style="1" customWidth="1"/>
  </cols>
  <sheetData>
    <row r="1" spans="1:45" x14ac:dyDescent="0.25">
      <c r="A1" s="10" t="s">
        <v>1136</v>
      </c>
      <c r="B1" s="43" t="s">
        <v>1145</v>
      </c>
      <c r="C1" s="43" t="s">
        <v>1146</v>
      </c>
      <c r="D1" s="43" t="s">
        <v>1147</v>
      </c>
      <c r="E1" s="43" t="s">
        <v>1148</v>
      </c>
      <c r="F1" s="43" t="s">
        <v>1149</v>
      </c>
      <c r="G1" s="43" t="s">
        <v>1154</v>
      </c>
      <c r="H1" s="43" t="s">
        <v>1155</v>
      </c>
      <c r="I1" s="43" t="s">
        <v>1139</v>
      </c>
      <c r="J1" s="43" t="s">
        <v>1140</v>
      </c>
      <c r="K1" s="43" t="s">
        <v>1141</v>
      </c>
      <c r="L1" s="43" t="s">
        <v>1177</v>
      </c>
      <c r="M1" s="43" t="s">
        <v>1178</v>
      </c>
      <c r="N1" s="43" t="s">
        <v>1179</v>
      </c>
      <c r="O1" s="16" t="s">
        <v>1125</v>
      </c>
      <c r="P1" s="10" t="s">
        <v>1126</v>
      </c>
      <c r="Q1" s="40" t="s">
        <v>1127</v>
      </c>
      <c r="R1" s="40" t="s">
        <v>1128</v>
      </c>
      <c r="S1" s="45" t="s">
        <v>1166</v>
      </c>
      <c r="T1" s="45" t="s">
        <v>1167</v>
      </c>
      <c r="U1" s="45" t="s">
        <v>1168</v>
      </c>
      <c r="V1" s="45" t="s">
        <v>1169</v>
      </c>
      <c r="W1" s="45" t="s">
        <v>1170</v>
      </c>
      <c r="X1" s="45" t="s">
        <v>1172</v>
      </c>
      <c r="Y1" s="45" t="s">
        <v>1182</v>
      </c>
      <c r="Z1" s="45" t="s">
        <v>1184</v>
      </c>
      <c r="AA1" s="45" t="s">
        <v>1183</v>
      </c>
      <c r="AB1" s="45" t="s">
        <v>6</v>
      </c>
      <c r="AC1" s="45" t="s">
        <v>1808</v>
      </c>
      <c r="AD1" s="45" t="s">
        <v>1821</v>
      </c>
      <c r="AE1" s="45" t="s">
        <v>1800</v>
      </c>
      <c r="AF1" s="45" t="s">
        <v>1822</v>
      </c>
      <c r="AG1" s="287" t="s">
        <v>3479</v>
      </c>
      <c r="AH1" s="45" t="s">
        <v>1451</v>
      </c>
      <c r="AI1" s="45" t="s">
        <v>1452</v>
      </c>
      <c r="AJ1" s="45" t="s">
        <v>1453</v>
      </c>
      <c r="AK1" s="45" t="s">
        <v>1617</v>
      </c>
      <c r="AL1" s="140" t="s">
        <v>1791</v>
      </c>
      <c r="AM1" s="53" t="s">
        <v>1243</v>
      </c>
      <c r="AN1" s="53" t="s">
        <v>284</v>
      </c>
      <c r="AO1" s="53" t="s">
        <v>597</v>
      </c>
    </row>
    <row r="2" spans="1:45" x14ac:dyDescent="0.25">
      <c r="A2" s="444" t="str">
        <f>psTn!B3</f>
        <v>BNO</v>
      </c>
      <c r="B2" s="33">
        <f>psTn!C3</f>
        <v>28</v>
      </c>
      <c r="C2" s="33">
        <f>psTn!D3</f>
        <v>25</v>
      </c>
      <c r="D2" s="44">
        <f>psTn!E3</f>
        <v>25</v>
      </c>
      <c r="E2" s="44">
        <f>psTn!F3</f>
        <v>17</v>
      </c>
      <c r="F2" s="33">
        <f>psTn!G3</f>
        <v>0</v>
      </c>
      <c r="G2" s="44">
        <f>_xlfn.XLOOKUP(A2,'ps5'!B:B,'ps5'!C:C,"")</f>
        <v>28</v>
      </c>
      <c r="H2" s="44">
        <f>_xlfn.XLOOKUP(A2,'ps5'!B:B,'ps5'!D:D,"")</f>
        <v>25</v>
      </c>
      <c r="I2" s="44">
        <f>_xlfn.XLOOKUP(A2,'ps5'!B:B,'ps5'!E:E,"")</f>
        <v>26</v>
      </c>
      <c r="J2" s="44">
        <f>_xlfn.XLOOKUP(A2,'ps5'!B:B,'ps5'!F:F,"")</f>
        <v>27</v>
      </c>
      <c r="K2" s="44">
        <f>_xlfn.XLOOKUP(A2,'ps5'!B:B,'ps5'!G:G,"")</f>
        <v>27</v>
      </c>
      <c r="L2" s="44">
        <f t="shared" ref="L2:N52" si="0">D2</f>
        <v>25</v>
      </c>
      <c r="M2" s="44">
        <f t="shared" si="0"/>
        <v>17</v>
      </c>
      <c r="N2" s="44">
        <f t="shared" si="0"/>
        <v>0</v>
      </c>
      <c r="O2" s="50" t="str">
        <f>_xlfn.XLOOKUP(A2,psRk!C:C,psRk!F:F,"")</f>
        <v>2026-02-13 00:00:00</v>
      </c>
      <c r="P2" s="33" t="str">
        <f>_xlfn.XLOOKUP(A2,psRk!C:C,psRk!G:G,"")</f>
        <v>Commodities</v>
      </c>
      <c r="Q2" s="41">
        <f>_xlfn.XLOOKUP(A2,psRk!C:C,psRk!H:H,"")</f>
        <v>0.01</v>
      </c>
      <c r="R2" s="41">
        <f>_xlfn.XLOOKUP(A2,psRk!C:C,psRk!I:I,"")</f>
        <v>0.04</v>
      </c>
      <c r="S2" s="27">
        <f t="shared" ref="S2:S65" si="1">IF(AND(G2&lt;&gt;"",G2&gt;0),IF(AND(G2&gt;0,H2&gt;0),H2-$G2,MAX(G:G)+1-G2)*$AS$2,"")</f>
        <v>-3</v>
      </c>
      <c r="T2" s="27">
        <f t="shared" ref="T2:T65" si="2">IF(AND(H2&lt;&gt;"",H2&gt;0),IF(AND(H2&gt;0,I2&gt;0),I2-$H2,MAX(H:H)+1-H2)*$AS$3,"")</f>
        <v>0.6</v>
      </c>
      <c r="U2" s="27">
        <f t="shared" ref="U2:U65" si="3">IF(AND(I2&lt;&gt;"",I2&gt;0),IF(AND(I2&gt;0,J2&gt;0),J2-$I2,MAX(I:I)+1-I2)*$AS$4,"")</f>
        <v>0.4</v>
      </c>
      <c r="V2" s="27">
        <f t="shared" ref="V2:V65" si="4">IF(AND(J2&lt;&gt;"",J2&gt;0),IF(AND(J2&gt;0,K2&gt;0),K2-$J2,MAX(J:J)+1-J2)*$AS$5,"")</f>
        <v>0</v>
      </c>
      <c r="W2" s="27">
        <f t="shared" ref="W2:W65" si="5">IF(AND(K2&lt;&gt;"",K2&gt;0),IF(AND(K2&gt;0,L2&gt;0),L2-$K2,MAX(K:K)+1-K2)*$AS$6,"")</f>
        <v>-0.4</v>
      </c>
      <c r="X2" s="27">
        <f t="shared" ref="X2:X65" si="6">IF(AND(L2&lt;&gt;"",L2&gt;0),IF(AND(L2&gt;0,M2&gt;0),M2-$L2,MAX(L:L)+1-L2)*$AS$7,"")</f>
        <v>-0.4</v>
      </c>
      <c r="Y2" s="27">
        <f t="shared" ref="Y2:Y65" si="7">IF(AND(M2&lt;&gt;"",M2&gt;0),IF(AND(M2&gt;0,N2&gt;0),N2-$M2,MAX(M:M)+1-M2)*$AS$8,"")</f>
        <v>2.5000000000000001E-2</v>
      </c>
      <c r="Z2" s="47">
        <f>IF(B2,B2,IF(OR(SUM(B2:F2)&gt;0,SUM(S2:Y2)&lt;&gt;0),-100,""))</f>
        <v>28</v>
      </c>
      <c r="AA2" s="49">
        <f t="shared" ref="AA2:AA65" si="8">IF(AND(G2&lt;&gt;"",G2&gt;0),SUM(S2:Y2),IF(OR(N2&gt;0,SUM(S2:Y2)&lt;&gt;0),-100,""))</f>
        <v>-2.7749999999999999</v>
      </c>
      <c r="AB2" s="49" t="str">
        <f>A2</f>
        <v>BNO</v>
      </c>
      <c r="AC2" s="49" t="str">
        <f t="shared" ref="AC2:AC65" si="9">IF(Z2="","",IF(Z2&gt;0,"BuySome",IF(Z2&lt;0,"SellAll","")))</f>
        <v>BuySome</v>
      </c>
      <c r="AD2" s="47">
        <f>_xlfn.XLOOKUP(AC2,Parm!$AN$2:$AN$25,Parm!$AO$2:$AO$25,"")</f>
        <v>9</v>
      </c>
      <c r="AE2" s="49" t="str">
        <f t="shared" ref="AE2:AE65" si="10">IF(Z2="","",IF(AA2&lt;-99,"SellAll",IF(AA2=0,"",IF(AA2&gt;0,"BuySome",IF(AA2&lt;-10,"SellToMin","SellSome")))))</f>
        <v>SellSome</v>
      </c>
      <c r="AF2" s="47">
        <f>_xlfn.XLOOKUP(AE2,Parm!$AN$2:$AN$25,Parm!$AO$2:$AO$25,"")</f>
        <v>-8</v>
      </c>
      <c r="AG2" s="286">
        <f>psTn!A3</f>
        <v>46146</v>
      </c>
      <c r="AH2" s="49" cm="1">
        <f t="array" aca="1" ref="AH2" ca="1">_xlfn.IFS(Z2="","",AND(Z2&gt;1,Z2&lt;$AS$12),MROUND($AS$13*($AS$12-Z2+1)/SUMPRODUCT($AS$12-ROW(INDIRECT("1:" &amp; $AS$12 ))),1000),TRUE,0)</f>
        <v>0</v>
      </c>
      <c r="AI2" s="49">
        <f t="shared" ref="AI2:AI65" si="11">IF(Z2&gt;0,R2*$AS$13,0)</f>
        <v>16000</v>
      </c>
      <c r="AJ2" s="150">
        <f ca="1">IF(B2&gt;0,MAX(MIN(AH2:AI2),1000),-100)</f>
        <v>1000</v>
      </c>
      <c r="AK2" s="49"/>
      <c r="AL2" s="49" t="str">
        <f t="shared" ref="AL2:AL65" si="12">IF(A2="FDRXX","",IF(ISNA(AO2),A2,""))</f>
        <v>BNO</v>
      </c>
      <c r="AM2" s="52" t="e">
        <f>IF(A2&lt;=0,"",_xlfn.XLOOKUP(A2,TL!C:C,TL!C:C))</f>
        <v>#N/A</v>
      </c>
      <c r="AN2" s="52" t="e">
        <f>IF(A2&lt;=0,"",_xlfn.XLOOKUP(A2,Y!C:C,Y!C:C))</f>
        <v>#N/A</v>
      </c>
      <c r="AO2" s="52" t="e">
        <f>IF(A2&lt;=0,"",_xlfn.XLOOKUP(A2,MA!B:B,MA!B:B))</f>
        <v>#N/A</v>
      </c>
      <c r="AR2" s="27" t="s">
        <v>1166</v>
      </c>
      <c r="AS2" s="27">
        <v>1</v>
      </c>
    </row>
    <row r="3" spans="1:45" x14ac:dyDescent="0.25">
      <c r="A3" s="444">
        <f>psTn!B4</f>
        <v>0</v>
      </c>
      <c r="B3" s="33">
        <f>psTn!C4</f>
        <v>0</v>
      </c>
      <c r="C3" s="33">
        <f>psTn!D4</f>
        <v>0</v>
      </c>
      <c r="D3" s="33">
        <f>psTn!E4</f>
        <v>0</v>
      </c>
      <c r="E3" s="33">
        <f>psTn!F4</f>
        <v>0</v>
      </c>
      <c r="F3" s="33">
        <f>psTn!G4</f>
        <v>0</v>
      </c>
      <c r="G3" s="44" t="str">
        <f>_xlfn.XLOOKUP(A3,'ps5'!B:B,'ps5'!C:C,"")</f>
        <v/>
      </c>
      <c r="H3" s="44" t="str">
        <f>_xlfn.XLOOKUP(A3,'ps5'!B:B,'ps5'!D:D,"")</f>
        <v/>
      </c>
      <c r="I3" s="44" t="str">
        <f>_xlfn.XLOOKUP(A3,'ps5'!B:B,'ps5'!E:E,"")</f>
        <v/>
      </c>
      <c r="J3" s="44" t="str">
        <f>_xlfn.XLOOKUP(A3,'ps5'!B:B,'ps5'!F:F,"")</f>
        <v/>
      </c>
      <c r="K3" s="44" t="str">
        <f>_xlfn.XLOOKUP(A3,'ps5'!B:B,'ps5'!G:G,"")</f>
        <v/>
      </c>
      <c r="L3" s="44">
        <f t="shared" si="0"/>
        <v>0</v>
      </c>
      <c r="M3" s="44">
        <f t="shared" si="0"/>
        <v>0</v>
      </c>
      <c r="N3" s="44">
        <f t="shared" si="0"/>
        <v>0</v>
      </c>
      <c r="O3" s="50" t="str">
        <f>_xlfn.XLOOKUP(A3,psRk!C:C,psRk!F:F,"")</f>
        <v/>
      </c>
      <c r="P3" s="33" t="str">
        <f>_xlfn.XLOOKUP(A3,psRk!C:C,psRk!G:G,"")</f>
        <v/>
      </c>
      <c r="Q3" s="41" t="str">
        <f>_xlfn.XLOOKUP(A3,psRk!C:C,psRk!H:H,"")</f>
        <v/>
      </c>
      <c r="R3" s="41" t="str">
        <f>_xlfn.XLOOKUP(A3,psRk!C:C,psRk!I:I,"")</f>
        <v/>
      </c>
      <c r="S3" s="27" t="str">
        <f t="shared" si="1"/>
        <v/>
      </c>
      <c r="T3" s="27" t="str">
        <f t="shared" si="2"/>
        <v/>
      </c>
      <c r="U3" s="27" t="str">
        <f t="shared" si="3"/>
        <v/>
      </c>
      <c r="V3" s="27" t="str">
        <f t="shared" si="4"/>
        <v/>
      </c>
      <c r="W3" s="27" t="str">
        <f t="shared" si="5"/>
        <v/>
      </c>
      <c r="X3" s="27" t="str">
        <f t="shared" si="6"/>
        <v/>
      </c>
      <c r="Y3" s="27" t="str">
        <f t="shared" si="7"/>
        <v/>
      </c>
      <c r="Z3" s="47" t="str">
        <f t="shared" ref="Z3:Z66" si="13">IF(B3,B3,IF(OR(SUM(B3:F3)&gt;0,SUM(S3:Y3)&lt;&gt;0),-100,""))</f>
        <v/>
      </c>
      <c r="AA3" s="49" t="str">
        <f t="shared" si="8"/>
        <v/>
      </c>
      <c r="AB3" s="49">
        <f t="shared" ref="AB3:AB66" si="14">A3</f>
        <v>0</v>
      </c>
      <c r="AC3" s="49" t="str">
        <f t="shared" si="9"/>
        <v/>
      </c>
      <c r="AD3" s="47" t="str">
        <f>_xlfn.XLOOKUP(AC3,Parm!$AN$2:$AN$25,Parm!$AO$2:$AO$25,"")</f>
        <v/>
      </c>
      <c r="AE3" s="49" t="str">
        <f t="shared" si="10"/>
        <v/>
      </c>
      <c r="AF3" s="47" t="str">
        <f>_xlfn.XLOOKUP(AE3,Parm!$AN$2:$AN$25,Parm!$AO$2:$AO$25,"")</f>
        <v/>
      </c>
      <c r="AG3" s="286">
        <f>psTn!A4</f>
        <v>0</v>
      </c>
      <c r="AH3" s="49" t="str" cm="1">
        <f t="array" aca="1" ref="AH3" ca="1">_xlfn.IFS(Z3="","",AND(Z3&gt;0,Z3&lt;$AS$12),MROUND($AS$13*($AS$12-Z3+1)/SUMPRODUCT($AS$12-ROW(INDIRECT("1:" &amp; $AS$12 ))),1000),TRUE,0)</f>
        <v/>
      </c>
      <c r="AI3" s="49" t="e">
        <f t="shared" si="11"/>
        <v>#VALUE!</v>
      </c>
      <c r="AJ3" s="49">
        <f t="shared" ref="AJ3:AJ66" si="15">IF(B3&gt;0,AI3,-100)</f>
        <v>-100</v>
      </c>
      <c r="AK3" s="49"/>
      <c r="AL3" s="49" t="str">
        <f t="shared" si="12"/>
        <v/>
      </c>
      <c r="AM3" s="52" t="str">
        <f>IF(A3&lt;=0,"",_xlfn.XLOOKUP(A3,TL!C:C,TL!C:C))</f>
        <v/>
      </c>
      <c r="AN3" s="52" t="str">
        <f>IF(A3&lt;=0,"",_xlfn.XLOOKUP(A3,Y!C:C,Y!C:C))</f>
        <v/>
      </c>
      <c r="AO3" s="52" t="str">
        <f>IF(A3&lt;=0,"",_xlfn.XLOOKUP(A3,MA!B:B,MA!B:B))</f>
        <v/>
      </c>
      <c r="AR3" s="27" t="s">
        <v>1167</v>
      </c>
      <c r="AS3" s="27">
        <v>0.6</v>
      </c>
    </row>
    <row r="4" spans="1:45" x14ac:dyDescent="0.25">
      <c r="A4" s="444">
        <f>psTn!B5</f>
        <v>0</v>
      </c>
      <c r="B4" s="33">
        <f>psTn!C5</f>
        <v>0</v>
      </c>
      <c r="C4" s="33">
        <f>psTn!D5</f>
        <v>0</v>
      </c>
      <c r="D4" s="33">
        <f>psTn!E5</f>
        <v>0</v>
      </c>
      <c r="E4" s="33">
        <f>psTn!F5</f>
        <v>0</v>
      </c>
      <c r="F4" s="33">
        <f>psTn!G5</f>
        <v>0</v>
      </c>
      <c r="G4" s="44" t="str">
        <f>_xlfn.XLOOKUP(A4,'ps5'!B:B,'ps5'!C:C,"")</f>
        <v/>
      </c>
      <c r="H4" s="44" t="str">
        <f>_xlfn.XLOOKUP(A4,'ps5'!B:B,'ps5'!D:D,"")</f>
        <v/>
      </c>
      <c r="I4" s="44" t="str">
        <f>_xlfn.XLOOKUP(A4,'ps5'!B:B,'ps5'!E:E,"")</f>
        <v/>
      </c>
      <c r="J4" s="44" t="str">
        <f>_xlfn.XLOOKUP(A4,'ps5'!B:B,'ps5'!F:F,"")</f>
        <v/>
      </c>
      <c r="K4" s="44" t="str">
        <f>_xlfn.XLOOKUP(A4,'ps5'!B:B,'ps5'!G:G,"")</f>
        <v/>
      </c>
      <c r="L4" s="44">
        <f t="shared" si="0"/>
        <v>0</v>
      </c>
      <c r="M4" s="44">
        <f t="shared" si="0"/>
        <v>0</v>
      </c>
      <c r="N4" s="44">
        <f t="shared" si="0"/>
        <v>0</v>
      </c>
      <c r="O4" s="50" t="str">
        <f>_xlfn.XLOOKUP(A4,psRk!C:C,psRk!F:F,"")</f>
        <v/>
      </c>
      <c r="P4" s="33" t="str">
        <f>_xlfn.XLOOKUP(A4,psRk!C:C,psRk!G:G,"")</f>
        <v/>
      </c>
      <c r="Q4" s="41" t="str">
        <f>_xlfn.XLOOKUP(A4,psRk!C:C,psRk!H:H,"")</f>
        <v/>
      </c>
      <c r="R4" s="41" t="str">
        <f>_xlfn.XLOOKUP(A4,psRk!C:C,psRk!I:I,"")</f>
        <v/>
      </c>
      <c r="S4" s="27" t="str">
        <f t="shared" si="1"/>
        <v/>
      </c>
      <c r="T4" s="27" t="str">
        <f t="shared" si="2"/>
        <v/>
      </c>
      <c r="U4" s="27" t="str">
        <f t="shared" si="3"/>
        <v/>
      </c>
      <c r="V4" s="27" t="str">
        <f t="shared" si="4"/>
        <v/>
      </c>
      <c r="W4" s="27" t="str">
        <f t="shared" si="5"/>
        <v/>
      </c>
      <c r="X4" s="27" t="str">
        <f t="shared" si="6"/>
        <v/>
      </c>
      <c r="Y4" s="27" t="str">
        <f t="shared" si="7"/>
        <v/>
      </c>
      <c r="Z4" s="47" t="str">
        <f t="shared" si="13"/>
        <v/>
      </c>
      <c r="AA4" s="49" t="str">
        <f t="shared" si="8"/>
        <v/>
      </c>
      <c r="AB4" s="49">
        <f t="shared" si="14"/>
        <v>0</v>
      </c>
      <c r="AC4" s="49" t="str">
        <f t="shared" si="9"/>
        <v/>
      </c>
      <c r="AD4" s="47" t="str">
        <f>_xlfn.XLOOKUP(AC4,Parm!$AN$2:$AN$25,Parm!$AO$2:$AO$25,"")</f>
        <v/>
      </c>
      <c r="AE4" s="49" t="str">
        <f t="shared" si="10"/>
        <v/>
      </c>
      <c r="AF4" s="47" t="str">
        <f>_xlfn.XLOOKUP(AE4,Parm!$AN$2:$AN$25,Parm!$AO$2:$AO$25,"")</f>
        <v/>
      </c>
      <c r="AG4" s="286">
        <f>psTn!A5</f>
        <v>0</v>
      </c>
      <c r="AH4" s="49" t="str" cm="1">
        <f t="array" aca="1" ref="AH4" ca="1">_xlfn.IFS(Z4="","",AND(Z4&gt;0,Z4&lt;$AS$12),MROUND($AS$13*($AS$12-Z4+1)/SUMPRODUCT($AS$12-ROW(INDIRECT("1:" &amp; $AS$12 ))),1000),TRUE,0)</f>
        <v/>
      </c>
      <c r="AI4" s="49" t="e">
        <f t="shared" si="11"/>
        <v>#VALUE!</v>
      </c>
      <c r="AJ4" s="49">
        <f t="shared" si="15"/>
        <v>-100</v>
      </c>
      <c r="AK4" s="49"/>
      <c r="AL4" s="49" t="str">
        <f t="shared" si="12"/>
        <v/>
      </c>
      <c r="AM4" s="52" t="str">
        <f>IF(A4&lt;=0,"",_xlfn.XLOOKUP(A4,TL!C:C,TL!C:C))</f>
        <v/>
      </c>
      <c r="AN4" s="52" t="str">
        <f>IF(A4&lt;=0,"",_xlfn.XLOOKUP(A4,Y!C:C,Y!C:C))</f>
        <v/>
      </c>
      <c r="AO4" s="52" t="str">
        <f>IF(A4&lt;=0,"",_xlfn.XLOOKUP(A4,MA!B:B,MA!B:B))</f>
        <v/>
      </c>
      <c r="AR4" s="27" t="s">
        <v>1168</v>
      </c>
      <c r="AS4" s="27">
        <v>0.4</v>
      </c>
    </row>
    <row r="5" spans="1:45" x14ac:dyDescent="0.25">
      <c r="A5" s="444">
        <f>psTn!B6</f>
        <v>0</v>
      </c>
      <c r="B5" s="33">
        <f>psTn!C6</f>
        <v>0</v>
      </c>
      <c r="C5" s="33">
        <f>psTn!D6</f>
        <v>0</v>
      </c>
      <c r="D5" s="33">
        <f>psTn!E6</f>
        <v>0</v>
      </c>
      <c r="E5" s="33">
        <f>psTn!F6</f>
        <v>0</v>
      </c>
      <c r="F5" s="33">
        <f>psTn!G6</f>
        <v>0</v>
      </c>
      <c r="G5" s="44" t="str">
        <f>_xlfn.XLOOKUP(A5,'ps5'!B:B,'ps5'!C:C,"")</f>
        <v/>
      </c>
      <c r="H5" s="44" t="str">
        <f>_xlfn.XLOOKUP(A5,'ps5'!B:B,'ps5'!D:D,"")</f>
        <v/>
      </c>
      <c r="I5" s="44" t="str">
        <f>_xlfn.XLOOKUP(A5,'ps5'!B:B,'ps5'!E:E,"")</f>
        <v/>
      </c>
      <c r="J5" s="44" t="str">
        <f>_xlfn.XLOOKUP(A5,'ps5'!B:B,'ps5'!F:F,"")</f>
        <v/>
      </c>
      <c r="K5" s="44" t="str">
        <f>_xlfn.XLOOKUP(A5,'ps5'!B:B,'ps5'!G:G,"")</f>
        <v/>
      </c>
      <c r="L5" s="44">
        <f t="shared" si="0"/>
        <v>0</v>
      </c>
      <c r="M5" s="44">
        <f t="shared" si="0"/>
        <v>0</v>
      </c>
      <c r="N5" s="44">
        <f t="shared" si="0"/>
        <v>0</v>
      </c>
      <c r="O5" s="50" t="str">
        <f>_xlfn.XLOOKUP(A5,psRk!C:C,psRk!F:F,"")</f>
        <v/>
      </c>
      <c r="P5" s="33" t="str">
        <f>_xlfn.XLOOKUP(A5,psRk!C:C,psRk!G:G,"")</f>
        <v/>
      </c>
      <c r="Q5" s="41" t="str">
        <f>_xlfn.XLOOKUP(A5,psRk!C:C,psRk!H:H,"")</f>
        <v/>
      </c>
      <c r="R5" s="41" t="str">
        <f>_xlfn.XLOOKUP(A5,psRk!C:C,psRk!I:I,"")</f>
        <v/>
      </c>
      <c r="S5" s="27" t="str">
        <f t="shared" si="1"/>
        <v/>
      </c>
      <c r="T5" s="27" t="str">
        <f t="shared" si="2"/>
        <v/>
      </c>
      <c r="U5" s="27" t="str">
        <f t="shared" si="3"/>
        <v/>
      </c>
      <c r="V5" s="27" t="str">
        <f t="shared" si="4"/>
        <v/>
      </c>
      <c r="W5" s="27" t="str">
        <f t="shared" si="5"/>
        <v/>
      </c>
      <c r="X5" s="27" t="str">
        <f t="shared" si="6"/>
        <v/>
      </c>
      <c r="Y5" s="27" t="str">
        <f t="shared" si="7"/>
        <v/>
      </c>
      <c r="Z5" s="47" t="str">
        <f t="shared" si="13"/>
        <v/>
      </c>
      <c r="AA5" s="49" t="str">
        <f t="shared" si="8"/>
        <v/>
      </c>
      <c r="AB5" s="49">
        <f t="shared" si="14"/>
        <v>0</v>
      </c>
      <c r="AC5" s="49" t="str">
        <f t="shared" si="9"/>
        <v/>
      </c>
      <c r="AD5" s="47" t="str">
        <f>_xlfn.XLOOKUP(AC5,Parm!$AN$2:$AN$25,Parm!$AO$2:$AO$25,"")</f>
        <v/>
      </c>
      <c r="AE5" s="49" t="str">
        <f t="shared" si="10"/>
        <v/>
      </c>
      <c r="AF5" s="47" t="str">
        <f>_xlfn.XLOOKUP(AE5,Parm!$AN$2:$AN$25,Parm!$AO$2:$AO$25,"")</f>
        <v/>
      </c>
      <c r="AG5" s="286">
        <f>psTn!A6</f>
        <v>0</v>
      </c>
      <c r="AH5" s="49" t="str" cm="1">
        <f t="array" aca="1" ref="AH5" ca="1">_xlfn.IFS(Z5="","",AND(Z5&gt;0,Z5&lt;$AS$12),MROUND($AS$13*($AS$12-Z5+1)/SUMPRODUCT($AS$12-ROW(INDIRECT("1:" &amp; $AS$12 ))),1000),TRUE,0)</f>
        <v/>
      </c>
      <c r="AI5" s="49" t="e">
        <f t="shared" si="11"/>
        <v>#VALUE!</v>
      </c>
      <c r="AJ5" s="49">
        <f t="shared" si="15"/>
        <v>-100</v>
      </c>
      <c r="AK5" s="49"/>
      <c r="AL5" s="49" t="str">
        <f t="shared" si="12"/>
        <v/>
      </c>
      <c r="AM5" s="52" t="str">
        <f>IF(A5&lt;=0,"",_xlfn.XLOOKUP(A5,TL!C:C,TL!C:C))</f>
        <v/>
      </c>
      <c r="AN5" s="52" t="str">
        <f>IF(A5&lt;=0,"",_xlfn.XLOOKUP(A5,Y!C:C,Y!C:C))</f>
        <v/>
      </c>
      <c r="AO5" s="52" t="str">
        <f>IF(A5&lt;=0,"",_xlfn.XLOOKUP(A5,MA!B:B,MA!B:B))</f>
        <v/>
      </c>
      <c r="AR5" s="27" t="s">
        <v>1169</v>
      </c>
      <c r="AS5" s="27">
        <v>0.3</v>
      </c>
    </row>
    <row r="6" spans="1:45" x14ac:dyDescent="0.25">
      <c r="A6" s="444">
        <f>psTn!B7</f>
        <v>0</v>
      </c>
      <c r="B6" s="33">
        <f>psTn!C7</f>
        <v>0</v>
      </c>
      <c r="C6" s="33">
        <f>psTn!D7</f>
        <v>0</v>
      </c>
      <c r="D6" s="33">
        <f>psTn!E7</f>
        <v>0</v>
      </c>
      <c r="E6" s="33">
        <f>psTn!F7</f>
        <v>0</v>
      </c>
      <c r="F6" s="33">
        <f>psTn!G7</f>
        <v>0</v>
      </c>
      <c r="G6" s="44" t="str">
        <f>_xlfn.XLOOKUP(A6,'ps5'!B:B,'ps5'!C:C,"")</f>
        <v/>
      </c>
      <c r="H6" s="44" t="str">
        <f>_xlfn.XLOOKUP(A6,'ps5'!B:B,'ps5'!D:D,"")</f>
        <v/>
      </c>
      <c r="I6" s="44" t="str">
        <f>_xlfn.XLOOKUP(A6,'ps5'!B:B,'ps5'!E:E,"")</f>
        <v/>
      </c>
      <c r="J6" s="44" t="str">
        <f>_xlfn.XLOOKUP(A6,'ps5'!B:B,'ps5'!F:F,"")</f>
        <v/>
      </c>
      <c r="K6" s="44" t="str">
        <f>_xlfn.XLOOKUP(A6,'ps5'!B:B,'ps5'!G:G,"")</f>
        <v/>
      </c>
      <c r="L6" s="44">
        <f t="shared" si="0"/>
        <v>0</v>
      </c>
      <c r="M6" s="44">
        <f t="shared" si="0"/>
        <v>0</v>
      </c>
      <c r="N6" s="44">
        <f t="shared" si="0"/>
        <v>0</v>
      </c>
      <c r="O6" s="50" t="str">
        <f>_xlfn.XLOOKUP(A6,psRk!C:C,psRk!F:F,"")</f>
        <v/>
      </c>
      <c r="P6" s="33" t="str">
        <f>_xlfn.XLOOKUP(A6,psRk!C:C,psRk!G:G,"")</f>
        <v/>
      </c>
      <c r="Q6" s="41" t="str">
        <f>_xlfn.XLOOKUP(A6,psRk!C:C,psRk!H:H,"")</f>
        <v/>
      </c>
      <c r="R6" s="41" t="str">
        <f>_xlfn.XLOOKUP(A6,psRk!C:C,psRk!I:I,"")</f>
        <v/>
      </c>
      <c r="S6" s="27" t="str">
        <f t="shared" si="1"/>
        <v/>
      </c>
      <c r="T6" s="27" t="str">
        <f t="shared" si="2"/>
        <v/>
      </c>
      <c r="U6" s="27" t="str">
        <f t="shared" si="3"/>
        <v/>
      </c>
      <c r="V6" s="27" t="str">
        <f t="shared" si="4"/>
        <v/>
      </c>
      <c r="W6" s="27" t="str">
        <f t="shared" si="5"/>
        <v/>
      </c>
      <c r="X6" s="27" t="str">
        <f t="shared" si="6"/>
        <v/>
      </c>
      <c r="Y6" s="27" t="str">
        <f t="shared" si="7"/>
        <v/>
      </c>
      <c r="Z6" s="47" t="str">
        <f t="shared" si="13"/>
        <v/>
      </c>
      <c r="AA6" s="49" t="str">
        <f t="shared" si="8"/>
        <v/>
      </c>
      <c r="AB6" s="49">
        <f t="shared" si="14"/>
        <v>0</v>
      </c>
      <c r="AC6" s="49" t="str">
        <f t="shared" si="9"/>
        <v/>
      </c>
      <c r="AD6" s="47" t="str">
        <f>_xlfn.XLOOKUP(AC6,Parm!$AN$2:$AN$25,Parm!$AO$2:$AO$25,"")</f>
        <v/>
      </c>
      <c r="AE6" s="49" t="str">
        <f t="shared" si="10"/>
        <v/>
      </c>
      <c r="AF6" s="47" t="str">
        <f>_xlfn.XLOOKUP(AE6,Parm!$AN$2:$AN$25,Parm!$AO$2:$AO$25,"")</f>
        <v/>
      </c>
      <c r="AG6" s="286">
        <f>psTn!A7</f>
        <v>0</v>
      </c>
      <c r="AH6" s="49" t="str" cm="1">
        <f t="array" aca="1" ref="AH6" ca="1">_xlfn.IFS(Z6="","",AND(Z6&gt;0,Z6&lt;$AS$12),MROUND($AS$13*($AS$12-Z6+1)/SUMPRODUCT($AS$12-ROW(INDIRECT("1:" &amp; $AS$12 ))),1000),TRUE,0)</f>
        <v/>
      </c>
      <c r="AI6" s="49" t="e">
        <f t="shared" si="11"/>
        <v>#VALUE!</v>
      </c>
      <c r="AJ6" s="49">
        <f t="shared" si="15"/>
        <v>-100</v>
      </c>
      <c r="AK6" s="49"/>
      <c r="AL6" s="49" t="str">
        <f t="shared" si="12"/>
        <v/>
      </c>
      <c r="AM6" s="52" t="str">
        <f>IF(A6&lt;=0,"",_xlfn.XLOOKUP(A6,TL!C:C,TL!C:C))</f>
        <v/>
      </c>
      <c r="AN6" s="52" t="str">
        <f>IF(A6&lt;=0,"",_xlfn.XLOOKUP(A6,Y!C:C,Y!C:C))</f>
        <v/>
      </c>
      <c r="AO6" s="52" t="str">
        <f>IF(A6&lt;=0,"",_xlfn.XLOOKUP(A6,MA!B:B,MA!B:B))</f>
        <v/>
      </c>
      <c r="AR6" s="27" t="s">
        <v>1173</v>
      </c>
      <c r="AS6" s="27">
        <v>0.2</v>
      </c>
    </row>
    <row r="7" spans="1:45" x14ac:dyDescent="0.25">
      <c r="A7" s="444">
        <f>psTn!B8</f>
        <v>0</v>
      </c>
      <c r="B7" s="33">
        <f>psTn!C8</f>
        <v>0</v>
      </c>
      <c r="C7" s="33">
        <f>psTn!D8</f>
        <v>0</v>
      </c>
      <c r="D7" s="33">
        <f>psTn!E8</f>
        <v>0</v>
      </c>
      <c r="E7" s="33">
        <f>psTn!F8</f>
        <v>0</v>
      </c>
      <c r="F7" s="33">
        <f>psTn!G8</f>
        <v>0</v>
      </c>
      <c r="G7" s="44" t="str">
        <f>_xlfn.XLOOKUP(A7,'ps5'!B:B,'ps5'!C:C,"")</f>
        <v/>
      </c>
      <c r="H7" s="44" t="str">
        <f>_xlfn.XLOOKUP(A7,'ps5'!B:B,'ps5'!D:D,"")</f>
        <v/>
      </c>
      <c r="I7" s="44" t="str">
        <f>_xlfn.XLOOKUP(A7,'ps5'!B:B,'ps5'!E:E,"")</f>
        <v/>
      </c>
      <c r="J7" s="44" t="str">
        <f>_xlfn.XLOOKUP(A7,'ps5'!B:B,'ps5'!F:F,"")</f>
        <v/>
      </c>
      <c r="K7" s="44" t="str">
        <f>_xlfn.XLOOKUP(A7,'ps5'!B:B,'ps5'!G:G,"")</f>
        <v/>
      </c>
      <c r="L7" s="44">
        <f t="shared" si="0"/>
        <v>0</v>
      </c>
      <c r="M7" s="44">
        <f t="shared" si="0"/>
        <v>0</v>
      </c>
      <c r="N7" s="44">
        <f t="shared" si="0"/>
        <v>0</v>
      </c>
      <c r="O7" s="50" t="str">
        <f>_xlfn.XLOOKUP(A7,psRk!C:C,psRk!F:F,"")</f>
        <v/>
      </c>
      <c r="P7" s="33" t="str">
        <f>_xlfn.XLOOKUP(A7,psRk!C:C,psRk!G:G,"")</f>
        <v/>
      </c>
      <c r="Q7" s="41" t="str">
        <f>_xlfn.XLOOKUP(A7,psRk!C:C,psRk!H:H,"")</f>
        <v/>
      </c>
      <c r="R7" s="41" t="str">
        <f>_xlfn.XLOOKUP(A7,psRk!C:C,psRk!I:I,"")</f>
        <v/>
      </c>
      <c r="S7" s="27" t="str">
        <f t="shared" si="1"/>
        <v/>
      </c>
      <c r="T7" s="27" t="str">
        <f t="shared" si="2"/>
        <v/>
      </c>
      <c r="U7" s="27" t="str">
        <f t="shared" si="3"/>
        <v/>
      </c>
      <c r="V7" s="27" t="str">
        <f t="shared" si="4"/>
        <v/>
      </c>
      <c r="W7" s="27" t="str">
        <f t="shared" si="5"/>
        <v/>
      </c>
      <c r="X7" s="27" t="str">
        <f t="shared" si="6"/>
        <v/>
      </c>
      <c r="Y7" s="27" t="str">
        <f t="shared" si="7"/>
        <v/>
      </c>
      <c r="Z7" s="47" t="str">
        <f t="shared" si="13"/>
        <v/>
      </c>
      <c r="AA7" s="49" t="str">
        <f t="shared" si="8"/>
        <v/>
      </c>
      <c r="AB7" s="49">
        <f t="shared" si="14"/>
        <v>0</v>
      </c>
      <c r="AC7" s="49" t="str">
        <f t="shared" si="9"/>
        <v/>
      </c>
      <c r="AD7" s="47" t="str">
        <f>_xlfn.XLOOKUP(AC7,Parm!$AN$2:$AN$25,Parm!$AO$2:$AO$25,"")</f>
        <v/>
      </c>
      <c r="AE7" s="49" t="str">
        <f t="shared" si="10"/>
        <v/>
      </c>
      <c r="AF7" s="47" t="str">
        <f>_xlfn.XLOOKUP(AE7,Parm!$AN$2:$AN$25,Parm!$AO$2:$AO$25,"")</f>
        <v/>
      </c>
      <c r="AG7" s="286">
        <f>psTn!A8</f>
        <v>0</v>
      </c>
      <c r="AH7" s="49" t="str" cm="1">
        <f t="array" aca="1" ref="AH7" ca="1">_xlfn.IFS(Z7="","",AND(Z7&gt;0,Z7&lt;$AS$12),MROUND($AS$13*($AS$12-Z7+1)/SUMPRODUCT($AS$12-ROW(INDIRECT("1:" &amp; $AS$12 ))),1000),TRUE,0)</f>
        <v/>
      </c>
      <c r="AI7" s="49" t="e">
        <f t="shared" si="11"/>
        <v>#VALUE!</v>
      </c>
      <c r="AJ7" s="49">
        <f t="shared" si="15"/>
        <v>-100</v>
      </c>
      <c r="AK7" s="49"/>
      <c r="AL7" s="49" t="str">
        <f t="shared" si="12"/>
        <v/>
      </c>
      <c r="AM7" s="52" t="str">
        <f>IF(A7&lt;=0,"",_xlfn.XLOOKUP(A7,TL!C:C,TL!C:C))</f>
        <v/>
      </c>
      <c r="AN7" s="52" t="str">
        <f>IF(A7&lt;=0,"",_xlfn.XLOOKUP(A7,Y!C:C,Y!C:C))</f>
        <v/>
      </c>
      <c r="AO7" s="52" t="str">
        <f>IF(A7&lt;=0,"",_xlfn.XLOOKUP(A7,MA!B:B,MA!B:B))</f>
        <v/>
      </c>
      <c r="AR7" s="27" t="s">
        <v>1174</v>
      </c>
      <c r="AS7" s="27">
        <v>0.05</v>
      </c>
    </row>
    <row r="8" spans="1:45" x14ac:dyDescent="0.25">
      <c r="A8" s="444">
        <f>psTn!B9</f>
        <v>0</v>
      </c>
      <c r="B8" s="33">
        <f>psTn!C9</f>
        <v>0</v>
      </c>
      <c r="C8" s="33">
        <f>psTn!D9</f>
        <v>0</v>
      </c>
      <c r="D8" s="33">
        <f>psTn!E9</f>
        <v>0</v>
      </c>
      <c r="E8" s="33">
        <f>psTn!F9</f>
        <v>0</v>
      </c>
      <c r="F8" s="33">
        <f>psTn!G9</f>
        <v>0</v>
      </c>
      <c r="G8" s="44" t="str">
        <f>_xlfn.XLOOKUP(A8,'ps5'!B:B,'ps5'!C:C,"")</f>
        <v/>
      </c>
      <c r="H8" s="44" t="str">
        <f>_xlfn.XLOOKUP(A8,'ps5'!B:B,'ps5'!D:D,"")</f>
        <v/>
      </c>
      <c r="I8" s="44" t="str">
        <f>_xlfn.XLOOKUP(A8,'ps5'!B:B,'ps5'!E:E,"")</f>
        <v/>
      </c>
      <c r="J8" s="44" t="str">
        <f>_xlfn.XLOOKUP(A8,'ps5'!B:B,'ps5'!F:F,"")</f>
        <v/>
      </c>
      <c r="K8" s="44" t="str">
        <f>_xlfn.XLOOKUP(A8,'ps5'!B:B,'ps5'!G:G,"")</f>
        <v/>
      </c>
      <c r="L8" s="44">
        <f t="shared" si="0"/>
        <v>0</v>
      </c>
      <c r="M8" s="44">
        <f t="shared" si="0"/>
        <v>0</v>
      </c>
      <c r="N8" s="44">
        <f t="shared" si="0"/>
        <v>0</v>
      </c>
      <c r="O8" s="50" t="str">
        <f>_xlfn.XLOOKUP(A8,psRk!C:C,psRk!F:F,"")</f>
        <v/>
      </c>
      <c r="P8" s="33" t="str">
        <f>_xlfn.XLOOKUP(A8,psRk!C:C,psRk!G:G,"")</f>
        <v/>
      </c>
      <c r="Q8" s="41" t="str">
        <f>_xlfn.XLOOKUP(A8,psRk!C:C,psRk!H:H,"")</f>
        <v/>
      </c>
      <c r="R8" s="41" t="str">
        <f>_xlfn.XLOOKUP(A8,psRk!C:C,psRk!I:I,"")</f>
        <v/>
      </c>
      <c r="S8" s="27" t="str">
        <f t="shared" si="1"/>
        <v/>
      </c>
      <c r="T8" s="27" t="str">
        <f t="shared" si="2"/>
        <v/>
      </c>
      <c r="U8" s="27" t="str">
        <f t="shared" si="3"/>
        <v/>
      </c>
      <c r="V8" s="27" t="str">
        <f t="shared" si="4"/>
        <v/>
      </c>
      <c r="W8" s="27" t="str">
        <f t="shared" si="5"/>
        <v/>
      </c>
      <c r="X8" s="27" t="str">
        <f t="shared" si="6"/>
        <v/>
      </c>
      <c r="Y8" s="27" t="str">
        <f t="shared" si="7"/>
        <v/>
      </c>
      <c r="Z8" s="47" t="str">
        <f t="shared" si="13"/>
        <v/>
      </c>
      <c r="AA8" s="49" t="str">
        <f t="shared" si="8"/>
        <v/>
      </c>
      <c r="AB8" s="49">
        <f t="shared" si="14"/>
        <v>0</v>
      </c>
      <c r="AC8" s="49" t="str">
        <f t="shared" si="9"/>
        <v/>
      </c>
      <c r="AD8" s="47" t="str">
        <f>_xlfn.XLOOKUP(AC8,Parm!$AN$2:$AN$25,Parm!$AO$2:$AO$25,"")</f>
        <v/>
      </c>
      <c r="AE8" s="49" t="str">
        <f t="shared" si="10"/>
        <v/>
      </c>
      <c r="AF8" s="47" t="str">
        <f>_xlfn.XLOOKUP(AE8,Parm!$AN$2:$AN$25,Parm!$AO$2:$AO$25,"")</f>
        <v/>
      </c>
      <c r="AG8" s="286">
        <f>psTn!A9</f>
        <v>0</v>
      </c>
      <c r="AH8" s="49" t="str" cm="1">
        <f t="array" aca="1" ref="AH8" ca="1">_xlfn.IFS(Z8="","",AND(Z8&gt;0,Z8&lt;$AS$12),MROUND($AS$13*($AS$12-Z8+1)/SUMPRODUCT($AS$12-ROW(INDIRECT("1:" &amp; $AS$12 ))),1000),TRUE,0)</f>
        <v/>
      </c>
      <c r="AI8" s="49" t="e">
        <f t="shared" si="11"/>
        <v>#VALUE!</v>
      </c>
      <c r="AJ8" s="49">
        <f t="shared" si="15"/>
        <v>-100</v>
      </c>
      <c r="AK8" s="49"/>
      <c r="AL8" s="49" t="str">
        <f t="shared" si="12"/>
        <v/>
      </c>
      <c r="AM8" s="52" t="str">
        <f>IF(A8&lt;=0,"",_xlfn.XLOOKUP(A8,TL!C:C,TL!C:C))</f>
        <v/>
      </c>
      <c r="AN8" s="52" t="str">
        <f>IF(A8&lt;=0,"",_xlfn.XLOOKUP(A8,Y!C:C,Y!C:C))</f>
        <v/>
      </c>
      <c r="AO8" s="52" t="str">
        <f>IF(A8&lt;=0,"",_xlfn.XLOOKUP(A8,MA!B:B,MA!B:B))</f>
        <v/>
      </c>
      <c r="AR8" s="27" t="s">
        <v>1175</v>
      </c>
      <c r="AS8" s="27">
        <v>2.5000000000000001E-2</v>
      </c>
    </row>
    <row r="9" spans="1:45" x14ac:dyDescent="0.25">
      <c r="A9" s="444">
        <f>psTn!B10</f>
        <v>0</v>
      </c>
      <c r="B9" s="33">
        <f>psTn!C10</f>
        <v>0</v>
      </c>
      <c r="C9" s="33">
        <f>psTn!D10</f>
        <v>0</v>
      </c>
      <c r="D9" s="33">
        <f>psTn!E10</f>
        <v>0</v>
      </c>
      <c r="E9" s="33">
        <f>psTn!F10</f>
        <v>0</v>
      </c>
      <c r="F9" s="33">
        <f>psTn!G10</f>
        <v>0</v>
      </c>
      <c r="G9" s="44" t="str">
        <f>_xlfn.XLOOKUP(A9,'ps5'!B:B,'ps5'!C:C,"")</f>
        <v/>
      </c>
      <c r="H9" s="44" t="str">
        <f>_xlfn.XLOOKUP(A9,'ps5'!B:B,'ps5'!D:D,"")</f>
        <v/>
      </c>
      <c r="I9" s="44" t="str">
        <f>_xlfn.XLOOKUP(A9,'ps5'!B:B,'ps5'!E:E,"")</f>
        <v/>
      </c>
      <c r="J9" s="44" t="str">
        <f>_xlfn.XLOOKUP(A9,'ps5'!B:B,'ps5'!F:F,"")</f>
        <v/>
      </c>
      <c r="K9" s="44" t="str">
        <f>_xlfn.XLOOKUP(A9,'ps5'!B:B,'ps5'!G:G,"")</f>
        <v/>
      </c>
      <c r="L9" s="44">
        <f t="shared" si="0"/>
        <v>0</v>
      </c>
      <c r="M9" s="44">
        <f t="shared" si="0"/>
        <v>0</v>
      </c>
      <c r="N9" s="44">
        <f t="shared" si="0"/>
        <v>0</v>
      </c>
      <c r="O9" s="50" t="str">
        <f>_xlfn.XLOOKUP(A9,psRk!C:C,psRk!F:F,"")</f>
        <v/>
      </c>
      <c r="P9" s="33" t="str">
        <f>_xlfn.XLOOKUP(A9,psRk!C:C,psRk!G:G,"")</f>
        <v/>
      </c>
      <c r="Q9" s="41" t="str">
        <f>_xlfn.XLOOKUP(A9,psRk!C:C,psRk!H:H,"")</f>
        <v/>
      </c>
      <c r="R9" s="41" t="str">
        <f>_xlfn.XLOOKUP(A9,psRk!C:C,psRk!I:I,"")</f>
        <v/>
      </c>
      <c r="S9" s="27" t="str">
        <f t="shared" si="1"/>
        <v/>
      </c>
      <c r="T9" s="27" t="str">
        <f t="shared" si="2"/>
        <v/>
      </c>
      <c r="U9" s="27" t="str">
        <f t="shared" si="3"/>
        <v/>
      </c>
      <c r="V9" s="27" t="str">
        <f t="shared" si="4"/>
        <v/>
      </c>
      <c r="W9" s="27" t="str">
        <f t="shared" si="5"/>
        <v/>
      </c>
      <c r="X9" s="27" t="str">
        <f t="shared" si="6"/>
        <v/>
      </c>
      <c r="Y9" s="27" t="str">
        <f t="shared" si="7"/>
        <v/>
      </c>
      <c r="Z9" s="47" t="str">
        <f t="shared" si="13"/>
        <v/>
      </c>
      <c r="AA9" s="49" t="str">
        <f t="shared" si="8"/>
        <v/>
      </c>
      <c r="AB9" s="49">
        <f t="shared" si="14"/>
        <v>0</v>
      </c>
      <c r="AC9" s="49" t="str">
        <f t="shared" si="9"/>
        <v/>
      </c>
      <c r="AD9" s="47" t="str">
        <f>_xlfn.XLOOKUP(AC9,Parm!$AN$2:$AN$25,Parm!$AO$2:$AO$25,"")</f>
        <v/>
      </c>
      <c r="AE9" s="49" t="str">
        <f t="shared" si="10"/>
        <v/>
      </c>
      <c r="AF9" s="47" t="str">
        <f>_xlfn.XLOOKUP(AE9,Parm!$AN$2:$AN$25,Parm!$AO$2:$AO$25,"")</f>
        <v/>
      </c>
      <c r="AG9" s="286">
        <f>psTn!A10</f>
        <v>0</v>
      </c>
      <c r="AH9" s="49" t="str" cm="1">
        <f t="array" aca="1" ref="AH9" ca="1">_xlfn.IFS(Z9="","",AND(Z9&gt;0,Z9&lt;$AS$12),MROUND($AS$13*($AS$12-Z9+1)/SUMPRODUCT($AS$12-ROW(INDIRECT("1:" &amp; $AS$12 ))),1000),TRUE,0)</f>
        <v/>
      </c>
      <c r="AI9" s="49" t="e">
        <f t="shared" si="11"/>
        <v>#VALUE!</v>
      </c>
      <c r="AJ9" s="49">
        <f t="shared" si="15"/>
        <v>-100</v>
      </c>
      <c r="AK9" s="49"/>
      <c r="AL9" s="49" t="str">
        <f t="shared" si="12"/>
        <v/>
      </c>
      <c r="AM9" s="52" t="str">
        <f>IF(A9&lt;=0,"",_xlfn.XLOOKUP(A9,TL!C:C,TL!C:C))</f>
        <v/>
      </c>
      <c r="AN9" s="52" t="str">
        <f>IF(A9&lt;=0,"",_xlfn.XLOOKUP(A9,Y!C:C,Y!C:C))</f>
        <v/>
      </c>
      <c r="AO9" s="52" t="str">
        <f>IF(A9&lt;=0,"",_xlfn.XLOOKUP(A9,MA!B:B,MA!B:B))</f>
        <v/>
      </c>
    </row>
    <row r="10" spans="1:45" x14ac:dyDescent="0.25">
      <c r="A10" s="444">
        <f>psTn!B11</f>
        <v>0</v>
      </c>
      <c r="B10" s="33">
        <f>psTn!C11</f>
        <v>0</v>
      </c>
      <c r="C10" s="33">
        <f>psTn!D11</f>
        <v>0</v>
      </c>
      <c r="D10" s="33">
        <f>psTn!E11</f>
        <v>0</v>
      </c>
      <c r="E10" s="33">
        <f>psTn!F11</f>
        <v>0</v>
      </c>
      <c r="F10" s="33">
        <f>psTn!G11</f>
        <v>0</v>
      </c>
      <c r="G10" s="44" t="str">
        <f>_xlfn.XLOOKUP(A10,'ps5'!B:B,'ps5'!C:C,"")</f>
        <v/>
      </c>
      <c r="H10" s="44" t="str">
        <f>_xlfn.XLOOKUP(A10,'ps5'!B:B,'ps5'!D:D,"")</f>
        <v/>
      </c>
      <c r="I10" s="44" t="str">
        <f>_xlfn.XLOOKUP(A10,'ps5'!B:B,'ps5'!E:E,"")</f>
        <v/>
      </c>
      <c r="J10" s="44" t="str">
        <f>_xlfn.XLOOKUP(A10,'ps5'!B:B,'ps5'!F:F,"")</f>
        <v/>
      </c>
      <c r="K10" s="44" t="str">
        <f>_xlfn.XLOOKUP(A10,'ps5'!B:B,'ps5'!G:G,"")</f>
        <v/>
      </c>
      <c r="L10" s="44">
        <f t="shared" si="0"/>
        <v>0</v>
      </c>
      <c r="M10" s="44">
        <f t="shared" si="0"/>
        <v>0</v>
      </c>
      <c r="N10" s="44">
        <f t="shared" si="0"/>
        <v>0</v>
      </c>
      <c r="O10" s="50" t="str">
        <f>_xlfn.XLOOKUP(A10,psRk!C:C,psRk!F:F,"")</f>
        <v/>
      </c>
      <c r="P10" s="33" t="str">
        <f>_xlfn.XLOOKUP(A10,psRk!C:C,psRk!G:G,"")</f>
        <v/>
      </c>
      <c r="Q10" s="41" t="str">
        <f>_xlfn.XLOOKUP(A10,psRk!C:C,psRk!H:H,"")</f>
        <v/>
      </c>
      <c r="R10" s="41" t="str">
        <f>_xlfn.XLOOKUP(A10,psRk!C:C,psRk!I:I,"")</f>
        <v/>
      </c>
      <c r="S10" s="27" t="str">
        <f t="shared" si="1"/>
        <v/>
      </c>
      <c r="T10" s="27" t="str">
        <f t="shared" si="2"/>
        <v/>
      </c>
      <c r="U10" s="27" t="str">
        <f t="shared" si="3"/>
        <v/>
      </c>
      <c r="V10" s="27" t="str">
        <f t="shared" si="4"/>
        <v/>
      </c>
      <c r="W10" s="27" t="str">
        <f t="shared" si="5"/>
        <v/>
      </c>
      <c r="X10" s="27" t="str">
        <f t="shared" si="6"/>
        <v/>
      </c>
      <c r="Y10" s="27" t="str">
        <f t="shared" si="7"/>
        <v/>
      </c>
      <c r="Z10" s="47" t="str">
        <f t="shared" si="13"/>
        <v/>
      </c>
      <c r="AA10" s="49" t="str">
        <f t="shared" si="8"/>
        <v/>
      </c>
      <c r="AB10" s="49">
        <f t="shared" si="14"/>
        <v>0</v>
      </c>
      <c r="AC10" s="49" t="str">
        <f t="shared" si="9"/>
        <v/>
      </c>
      <c r="AD10" s="47" t="str">
        <f>_xlfn.XLOOKUP(AC10,Parm!$AN$2:$AN$25,Parm!$AO$2:$AO$25,"")</f>
        <v/>
      </c>
      <c r="AE10" s="49" t="str">
        <f t="shared" si="10"/>
        <v/>
      </c>
      <c r="AF10" s="47" t="str">
        <f>_xlfn.XLOOKUP(AE10,Parm!$AN$2:$AN$25,Parm!$AO$2:$AO$25,"")</f>
        <v/>
      </c>
      <c r="AG10" s="286">
        <f>psTn!A11</f>
        <v>0</v>
      </c>
      <c r="AH10" s="49" t="str" cm="1">
        <f t="array" aca="1" ref="AH10" ca="1">_xlfn.IFS(Z10="","",AND(Z10&gt;0,Z10&lt;$AS$12),MROUND($AS$13*($AS$12-Z10+1)/SUMPRODUCT($AS$12-ROW(INDIRECT("1:" &amp; $AS$12 ))),1000),TRUE,0)</f>
        <v/>
      </c>
      <c r="AI10" s="49" t="e">
        <f t="shared" si="11"/>
        <v>#VALUE!</v>
      </c>
      <c r="AJ10" s="49">
        <f t="shared" si="15"/>
        <v>-100</v>
      </c>
      <c r="AK10" s="49"/>
      <c r="AL10" s="49" t="str">
        <f t="shared" si="12"/>
        <v/>
      </c>
      <c r="AM10" s="52" t="str">
        <f>IF(A10&lt;=0,"",_xlfn.XLOOKUP(A10,TL!C:C,TL!C:C))</f>
        <v/>
      </c>
      <c r="AN10" s="52" t="str">
        <f>IF(A10&lt;=0,"",_xlfn.XLOOKUP(A10,Y!C:C,Y!C:C))</f>
        <v/>
      </c>
      <c r="AO10" s="52" t="str">
        <f>IF(A10&lt;=0,"",_xlfn.XLOOKUP(A10,MA!B:B,MA!B:B))</f>
        <v/>
      </c>
      <c r="AR10" s="27" t="s">
        <v>1176</v>
      </c>
      <c r="AS10" s="27">
        <v>100</v>
      </c>
    </row>
    <row r="11" spans="1:45" x14ac:dyDescent="0.25">
      <c r="A11" s="444">
        <f>psTn!B12</f>
        <v>0</v>
      </c>
      <c r="B11" s="33">
        <f>psTn!C12</f>
        <v>0</v>
      </c>
      <c r="C11" s="33">
        <f>psTn!D12</f>
        <v>0</v>
      </c>
      <c r="D11" s="33">
        <f>psTn!E12</f>
        <v>0</v>
      </c>
      <c r="E11" s="33">
        <f>psTn!F12</f>
        <v>0</v>
      </c>
      <c r="F11" s="33">
        <f>psTn!G12</f>
        <v>0</v>
      </c>
      <c r="G11" s="44" t="str">
        <f>_xlfn.XLOOKUP(A11,'ps5'!B:B,'ps5'!C:C,"")</f>
        <v/>
      </c>
      <c r="H11" s="44" t="str">
        <f>_xlfn.XLOOKUP(A11,'ps5'!B:B,'ps5'!D:D,"")</f>
        <v/>
      </c>
      <c r="I11" s="44" t="str">
        <f>_xlfn.XLOOKUP(A11,'ps5'!B:B,'ps5'!E:E,"")</f>
        <v/>
      </c>
      <c r="J11" s="44" t="str">
        <f>_xlfn.XLOOKUP(A11,'ps5'!B:B,'ps5'!F:F,"")</f>
        <v/>
      </c>
      <c r="K11" s="44" t="str">
        <f>_xlfn.XLOOKUP(A11,'ps5'!B:B,'ps5'!G:G,"")</f>
        <v/>
      </c>
      <c r="L11" s="44">
        <f t="shared" si="0"/>
        <v>0</v>
      </c>
      <c r="M11" s="44">
        <f t="shared" si="0"/>
        <v>0</v>
      </c>
      <c r="N11" s="44">
        <f t="shared" si="0"/>
        <v>0</v>
      </c>
      <c r="O11" s="50" t="str">
        <f>_xlfn.XLOOKUP(A11,psRk!C:C,psRk!F:F,"")</f>
        <v/>
      </c>
      <c r="P11" s="33" t="str">
        <f>_xlfn.XLOOKUP(A11,psRk!C:C,psRk!G:G,"")</f>
        <v/>
      </c>
      <c r="Q11" s="41" t="str">
        <f>_xlfn.XLOOKUP(A11,psRk!C:C,psRk!H:H,"")</f>
        <v/>
      </c>
      <c r="R11" s="41" t="str">
        <f>_xlfn.XLOOKUP(A11,psRk!C:C,psRk!I:I,"")</f>
        <v/>
      </c>
      <c r="S11" s="27" t="str">
        <f t="shared" si="1"/>
        <v/>
      </c>
      <c r="T11" s="27" t="str">
        <f t="shared" si="2"/>
        <v/>
      </c>
      <c r="U11" s="27" t="str">
        <f t="shared" si="3"/>
        <v/>
      </c>
      <c r="V11" s="27" t="str">
        <f t="shared" si="4"/>
        <v/>
      </c>
      <c r="W11" s="27" t="str">
        <f t="shared" si="5"/>
        <v/>
      </c>
      <c r="X11" s="27" t="str">
        <f t="shared" si="6"/>
        <v/>
      </c>
      <c r="Y11" s="27" t="str">
        <f t="shared" si="7"/>
        <v/>
      </c>
      <c r="Z11" s="47" t="str">
        <f t="shared" si="13"/>
        <v/>
      </c>
      <c r="AA11" s="49" t="str">
        <f t="shared" si="8"/>
        <v/>
      </c>
      <c r="AB11" s="49">
        <f t="shared" si="14"/>
        <v>0</v>
      </c>
      <c r="AC11" s="49" t="str">
        <f t="shared" si="9"/>
        <v/>
      </c>
      <c r="AD11" s="47" t="str">
        <f>_xlfn.XLOOKUP(AC11,Parm!$AN$2:$AN$25,Parm!$AO$2:$AO$25,"")</f>
        <v/>
      </c>
      <c r="AE11" s="49" t="str">
        <f t="shared" si="10"/>
        <v/>
      </c>
      <c r="AF11" s="47" t="str">
        <f>_xlfn.XLOOKUP(AE11,Parm!$AN$2:$AN$25,Parm!$AO$2:$AO$25,"")</f>
        <v/>
      </c>
      <c r="AG11" s="286">
        <f>psTn!A12</f>
        <v>0</v>
      </c>
      <c r="AH11" s="49" t="str" cm="1">
        <f t="array" aca="1" ref="AH11" ca="1">_xlfn.IFS(Z11="","",AND(Z11&gt;0,Z11&lt;$AS$12),MROUND($AS$13*($AS$12-Z11+1)/SUMPRODUCT($AS$12-ROW(INDIRECT("1:" &amp; $AS$12 ))),1000),TRUE,0)</f>
        <v/>
      </c>
      <c r="AI11" s="49" t="e">
        <f t="shared" si="11"/>
        <v>#VALUE!</v>
      </c>
      <c r="AJ11" s="49">
        <f t="shared" si="15"/>
        <v>-100</v>
      </c>
      <c r="AK11" s="49"/>
      <c r="AL11" s="49" t="str">
        <f t="shared" si="12"/>
        <v/>
      </c>
      <c r="AM11" s="52" t="str">
        <f>IF(A11&lt;=0,"",_xlfn.XLOOKUP(A11,TL!C:C,TL!C:C))</f>
        <v/>
      </c>
      <c r="AN11" s="52" t="str">
        <f>IF(A11&lt;=0,"",_xlfn.XLOOKUP(A11,Y!C:C,Y!C:C))</f>
        <v/>
      </c>
      <c r="AO11" s="52" t="str">
        <f>IF(A11&lt;=0,"",_xlfn.XLOOKUP(A11,MA!B:B,MA!B:B))</f>
        <v/>
      </c>
    </row>
    <row r="12" spans="1:45" x14ac:dyDescent="0.25">
      <c r="A12" s="444">
        <f>psTn!B13</f>
        <v>0</v>
      </c>
      <c r="B12" s="33">
        <f>psTn!C13</f>
        <v>0</v>
      </c>
      <c r="C12" s="33">
        <f>psTn!D13</f>
        <v>0</v>
      </c>
      <c r="D12" s="33">
        <f>psTn!E13</f>
        <v>0</v>
      </c>
      <c r="E12" s="33">
        <f>psTn!F13</f>
        <v>0</v>
      </c>
      <c r="F12" s="33">
        <f>psTn!G13</f>
        <v>0</v>
      </c>
      <c r="G12" s="44" t="str">
        <f>_xlfn.XLOOKUP(A12,'ps5'!B:B,'ps5'!C:C,"")</f>
        <v/>
      </c>
      <c r="H12" s="44" t="str">
        <f>_xlfn.XLOOKUP(A12,'ps5'!B:B,'ps5'!D:D,"")</f>
        <v/>
      </c>
      <c r="I12" s="44" t="str">
        <f>_xlfn.XLOOKUP(A12,'ps5'!B:B,'ps5'!E:E,"")</f>
        <v/>
      </c>
      <c r="J12" s="44" t="str">
        <f>_xlfn.XLOOKUP(A12,'ps5'!B:B,'ps5'!F:F,"")</f>
        <v/>
      </c>
      <c r="K12" s="44" t="str">
        <f>_xlfn.XLOOKUP(A12,'ps5'!B:B,'ps5'!G:G,"")</f>
        <v/>
      </c>
      <c r="L12" s="44">
        <f t="shared" si="0"/>
        <v>0</v>
      </c>
      <c r="M12" s="44">
        <f t="shared" si="0"/>
        <v>0</v>
      </c>
      <c r="N12" s="44">
        <f t="shared" si="0"/>
        <v>0</v>
      </c>
      <c r="O12" s="50" t="str">
        <f>_xlfn.XLOOKUP(A12,psRk!C:C,psRk!F:F,"")</f>
        <v/>
      </c>
      <c r="P12" s="33" t="str">
        <f>_xlfn.XLOOKUP(A12,psRk!C:C,psRk!G:G,"")</f>
        <v/>
      </c>
      <c r="Q12" s="41" t="str">
        <f>_xlfn.XLOOKUP(A12,psRk!C:C,psRk!H:H,"")</f>
        <v/>
      </c>
      <c r="R12" s="41" t="str">
        <f>_xlfn.XLOOKUP(A12,psRk!C:C,psRk!I:I,"")</f>
        <v/>
      </c>
      <c r="S12" s="27" t="str">
        <f t="shared" si="1"/>
        <v/>
      </c>
      <c r="T12" s="27" t="str">
        <f t="shared" si="2"/>
        <v/>
      </c>
      <c r="U12" s="27" t="str">
        <f t="shared" si="3"/>
        <v/>
      </c>
      <c r="V12" s="27" t="str">
        <f t="shared" si="4"/>
        <v/>
      </c>
      <c r="W12" s="27" t="str">
        <f t="shared" si="5"/>
        <v/>
      </c>
      <c r="X12" s="27" t="str">
        <f t="shared" si="6"/>
        <v/>
      </c>
      <c r="Y12" s="27" t="str">
        <f t="shared" si="7"/>
        <v/>
      </c>
      <c r="Z12" s="47" t="str">
        <f t="shared" si="13"/>
        <v/>
      </c>
      <c r="AA12" s="49" t="str">
        <f t="shared" si="8"/>
        <v/>
      </c>
      <c r="AB12" s="49">
        <f t="shared" si="14"/>
        <v>0</v>
      </c>
      <c r="AC12" s="49" t="str">
        <f t="shared" si="9"/>
        <v/>
      </c>
      <c r="AD12" s="47" t="str">
        <f>_xlfn.XLOOKUP(AC12,Parm!$AN$2:$AN$25,Parm!$AO$2:$AO$25,"")</f>
        <v/>
      </c>
      <c r="AE12" s="49" t="str">
        <f t="shared" si="10"/>
        <v/>
      </c>
      <c r="AF12" s="47" t="str">
        <f>_xlfn.XLOOKUP(AE12,Parm!$AN$2:$AN$25,Parm!$AO$2:$AO$25,"")</f>
        <v/>
      </c>
      <c r="AG12" s="286">
        <f>psTn!A13</f>
        <v>0</v>
      </c>
      <c r="AH12" s="49" t="str" cm="1">
        <f t="array" aca="1" ref="AH12" ca="1">_xlfn.IFS(Z12="","",AND(Z12&gt;0,Z12&lt;$AS$12),MROUND($AS$13*($AS$12-Z12+1)/SUMPRODUCT($AS$12-ROW(INDIRECT("1:" &amp; $AS$12 ))),1000),TRUE,0)</f>
        <v/>
      </c>
      <c r="AI12" s="49" t="e">
        <f t="shared" si="11"/>
        <v>#VALUE!</v>
      </c>
      <c r="AJ12" s="49">
        <f t="shared" si="15"/>
        <v>-100</v>
      </c>
      <c r="AK12" s="49"/>
      <c r="AL12" s="49" t="str">
        <f t="shared" si="12"/>
        <v/>
      </c>
      <c r="AM12" s="52" t="str">
        <f>IF(A12&lt;=0,"",_xlfn.XLOOKUP(A12,TL!C:C,TL!C:C))</f>
        <v/>
      </c>
      <c r="AN12" s="52" t="str">
        <f>IF(A12&lt;=0,"",_xlfn.XLOOKUP(A12,Y!C:C,Y!C:C))</f>
        <v/>
      </c>
      <c r="AO12" s="52" t="str">
        <f>IF(A12&lt;=0,"",_xlfn.XLOOKUP(A12,MA!B:B,MA!B:B))</f>
        <v/>
      </c>
      <c r="AR12" s="27" t="s">
        <v>1448</v>
      </c>
      <c r="AS12" s="138">
        <v>21</v>
      </c>
    </row>
    <row r="13" spans="1:45" x14ac:dyDescent="0.25">
      <c r="A13" s="444">
        <f>psTn!B14</f>
        <v>0</v>
      </c>
      <c r="B13" s="33">
        <f>psTn!C14</f>
        <v>0</v>
      </c>
      <c r="C13" s="33">
        <f>psTn!D14</f>
        <v>0</v>
      </c>
      <c r="D13" s="33">
        <f>psTn!E14</f>
        <v>0</v>
      </c>
      <c r="E13" s="33">
        <f>psTn!F14</f>
        <v>0</v>
      </c>
      <c r="F13" s="33">
        <f>psTn!G14</f>
        <v>0</v>
      </c>
      <c r="G13" s="44" t="str">
        <f>_xlfn.XLOOKUP(A13,'ps5'!B:B,'ps5'!C:C,"")</f>
        <v/>
      </c>
      <c r="H13" s="44" t="str">
        <f>_xlfn.XLOOKUP(A13,'ps5'!B:B,'ps5'!D:D,"")</f>
        <v/>
      </c>
      <c r="I13" s="44" t="str">
        <f>_xlfn.XLOOKUP(A13,'ps5'!B:B,'ps5'!E:E,"")</f>
        <v/>
      </c>
      <c r="J13" s="44" t="str">
        <f>_xlfn.XLOOKUP(A13,'ps5'!B:B,'ps5'!F:F,"")</f>
        <v/>
      </c>
      <c r="K13" s="44" t="str">
        <f>_xlfn.XLOOKUP(A13,'ps5'!B:B,'ps5'!G:G,"")</f>
        <v/>
      </c>
      <c r="L13" s="44">
        <f t="shared" si="0"/>
        <v>0</v>
      </c>
      <c r="M13" s="44">
        <f t="shared" si="0"/>
        <v>0</v>
      </c>
      <c r="N13" s="44">
        <f t="shared" si="0"/>
        <v>0</v>
      </c>
      <c r="O13" s="50" t="str">
        <f>_xlfn.XLOOKUP(A13,psRk!C:C,psRk!F:F,"")</f>
        <v/>
      </c>
      <c r="P13" s="33" t="str">
        <f>_xlfn.XLOOKUP(A13,psRk!C:C,psRk!G:G,"")</f>
        <v/>
      </c>
      <c r="Q13" s="41" t="str">
        <f>_xlfn.XLOOKUP(A13,psRk!C:C,psRk!H:H,"")</f>
        <v/>
      </c>
      <c r="R13" s="41" t="str">
        <f>_xlfn.XLOOKUP(A13,psRk!C:C,psRk!I:I,"")</f>
        <v/>
      </c>
      <c r="S13" s="27" t="str">
        <f t="shared" si="1"/>
        <v/>
      </c>
      <c r="T13" s="27" t="str">
        <f t="shared" si="2"/>
        <v/>
      </c>
      <c r="U13" s="27" t="str">
        <f t="shared" si="3"/>
        <v/>
      </c>
      <c r="V13" s="27" t="str">
        <f t="shared" si="4"/>
        <v/>
      </c>
      <c r="W13" s="27" t="str">
        <f t="shared" si="5"/>
        <v/>
      </c>
      <c r="X13" s="27" t="str">
        <f t="shared" si="6"/>
        <v/>
      </c>
      <c r="Y13" s="27" t="str">
        <f t="shared" si="7"/>
        <v/>
      </c>
      <c r="Z13" s="47" t="str">
        <f t="shared" si="13"/>
        <v/>
      </c>
      <c r="AA13" s="49" t="str">
        <f t="shared" si="8"/>
        <v/>
      </c>
      <c r="AB13" s="49">
        <f t="shared" si="14"/>
        <v>0</v>
      </c>
      <c r="AC13" s="49" t="str">
        <f t="shared" si="9"/>
        <v/>
      </c>
      <c r="AD13" s="47" t="str">
        <f>_xlfn.XLOOKUP(AC13,Parm!$AN$2:$AN$25,Parm!$AO$2:$AO$25,"")</f>
        <v/>
      </c>
      <c r="AE13" s="49" t="str">
        <f t="shared" si="10"/>
        <v/>
      </c>
      <c r="AF13" s="47" t="str">
        <f>_xlfn.XLOOKUP(AE13,Parm!$AN$2:$AN$25,Parm!$AO$2:$AO$25,"")</f>
        <v/>
      </c>
      <c r="AG13" s="286">
        <f>psTn!A14</f>
        <v>0</v>
      </c>
      <c r="AH13" s="49" t="str" cm="1">
        <f t="array" aca="1" ref="AH13" ca="1">_xlfn.IFS(Z13="","",AND(Z13&gt;0,Z13&lt;$AS$12),MROUND($AS$13*($AS$12-Z13+1)/SUMPRODUCT($AS$12-ROW(INDIRECT("1:" &amp; $AS$12 ))),1000),TRUE,0)</f>
        <v/>
      </c>
      <c r="AI13" s="49" t="e">
        <f t="shared" si="11"/>
        <v>#VALUE!</v>
      </c>
      <c r="AJ13" s="49">
        <f t="shared" si="15"/>
        <v>-100</v>
      </c>
      <c r="AK13" s="49"/>
      <c r="AL13" s="49" t="str">
        <f t="shared" si="12"/>
        <v/>
      </c>
      <c r="AM13" s="52" t="str">
        <f>IF(A13&lt;=0,"",_xlfn.XLOOKUP(A13,TL!C:C,TL!C:C))</f>
        <v/>
      </c>
      <c r="AN13" s="52" t="str">
        <f>IF(A13&lt;=0,"",_xlfn.XLOOKUP(A13,Y!C:C,Y!C:C))</f>
        <v/>
      </c>
      <c r="AO13" s="52" t="str">
        <f>IF(A13&lt;=0,"",_xlfn.XLOOKUP(A13,MA!B:B,MA!B:B))</f>
        <v/>
      </c>
      <c r="AR13" s="27" t="s">
        <v>1449</v>
      </c>
      <c r="AS13" s="27">
        <f>Dash!$AK$3</f>
        <v>400000</v>
      </c>
    </row>
    <row r="14" spans="1:45" x14ac:dyDescent="0.25">
      <c r="A14" s="444">
        <f>psTn!B15</f>
        <v>0</v>
      </c>
      <c r="B14" s="33">
        <f>psTn!C15</f>
        <v>0</v>
      </c>
      <c r="C14" s="33">
        <f>psTn!D15</f>
        <v>0</v>
      </c>
      <c r="D14" s="33">
        <f>psTn!E15</f>
        <v>0</v>
      </c>
      <c r="E14" s="33">
        <f>psTn!F15</f>
        <v>0</v>
      </c>
      <c r="F14" s="33">
        <f>psTn!G15</f>
        <v>0</v>
      </c>
      <c r="G14" s="44" t="str">
        <f>_xlfn.XLOOKUP(A14,'ps5'!B:B,'ps5'!C:C,"")</f>
        <v/>
      </c>
      <c r="H14" s="44" t="str">
        <f>_xlfn.XLOOKUP(A14,'ps5'!B:B,'ps5'!D:D,"")</f>
        <v/>
      </c>
      <c r="I14" s="44" t="str">
        <f>_xlfn.XLOOKUP(A14,'ps5'!B:B,'ps5'!E:E,"")</f>
        <v/>
      </c>
      <c r="J14" s="44" t="str">
        <f>_xlfn.XLOOKUP(A14,'ps5'!B:B,'ps5'!F:F,"")</f>
        <v/>
      </c>
      <c r="K14" s="44" t="str">
        <f>_xlfn.XLOOKUP(A14,'ps5'!B:B,'ps5'!G:G,"")</f>
        <v/>
      </c>
      <c r="L14" s="44">
        <f t="shared" si="0"/>
        <v>0</v>
      </c>
      <c r="M14" s="44">
        <f t="shared" si="0"/>
        <v>0</v>
      </c>
      <c r="N14" s="44">
        <f t="shared" si="0"/>
        <v>0</v>
      </c>
      <c r="O14" s="50" t="str">
        <f>_xlfn.XLOOKUP(A14,psRk!C:C,psRk!F:F,"")</f>
        <v/>
      </c>
      <c r="P14" s="33" t="str">
        <f>_xlfn.XLOOKUP(A14,psRk!C:C,psRk!G:G,"")</f>
        <v/>
      </c>
      <c r="Q14" s="41" t="str">
        <f>_xlfn.XLOOKUP(A14,psRk!C:C,psRk!H:H,"")</f>
        <v/>
      </c>
      <c r="R14" s="41" t="str">
        <f>_xlfn.XLOOKUP(A14,psRk!C:C,psRk!I:I,"")</f>
        <v/>
      </c>
      <c r="S14" s="27" t="str">
        <f t="shared" si="1"/>
        <v/>
      </c>
      <c r="T14" s="27" t="str">
        <f t="shared" si="2"/>
        <v/>
      </c>
      <c r="U14" s="27" t="str">
        <f t="shared" si="3"/>
        <v/>
      </c>
      <c r="V14" s="27" t="str">
        <f t="shared" si="4"/>
        <v/>
      </c>
      <c r="W14" s="27" t="str">
        <f t="shared" si="5"/>
        <v/>
      </c>
      <c r="X14" s="27" t="str">
        <f t="shared" si="6"/>
        <v/>
      </c>
      <c r="Y14" s="27" t="str">
        <f t="shared" si="7"/>
        <v/>
      </c>
      <c r="Z14" s="47" t="str">
        <f t="shared" si="13"/>
        <v/>
      </c>
      <c r="AA14" s="49" t="str">
        <f t="shared" si="8"/>
        <v/>
      </c>
      <c r="AB14" s="49">
        <f t="shared" si="14"/>
        <v>0</v>
      </c>
      <c r="AC14" s="49" t="str">
        <f t="shared" si="9"/>
        <v/>
      </c>
      <c r="AD14" s="47" t="str">
        <f>_xlfn.XLOOKUP(AC14,Parm!$AN$2:$AN$25,Parm!$AO$2:$AO$25,"")</f>
        <v/>
      </c>
      <c r="AE14" s="49" t="str">
        <f t="shared" si="10"/>
        <v/>
      </c>
      <c r="AF14" s="47" t="str">
        <f>_xlfn.XLOOKUP(AE14,Parm!$AN$2:$AN$25,Parm!$AO$2:$AO$25,"")</f>
        <v/>
      </c>
      <c r="AG14" s="286">
        <f>psTn!A15</f>
        <v>0</v>
      </c>
      <c r="AH14" s="49" t="str" cm="1">
        <f t="array" aca="1" ref="AH14" ca="1">_xlfn.IFS(Z14="","",AND(Z14&gt;0,Z14&lt;$AS$12),MROUND($AS$13*($AS$12-Z14+1)/SUMPRODUCT($AS$12-ROW(INDIRECT("1:" &amp; $AS$12 ))),1000),TRUE,0)</f>
        <v/>
      </c>
      <c r="AI14" s="49" t="e">
        <f t="shared" si="11"/>
        <v>#VALUE!</v>
      </c>
      <c r="AJ14" s="49">
        <f t="shared" si="15"/>
        <v>-100</v>
      </c>
      <c r="AK14" s="49"/>
      <c r="AL14" s="49" t="str">
        <f t="shared" si="12"/>
        <v/>
      </c>
      <c r="AM14" s="52" t="str">
        <f>IF(A14&lt;=0,"",_xlfn.XLOOKUP(A14,TL!C:C,TL!C:C))</f>
        <v/>
      </c>
      <c r="AN14" s="52" t="str">
        <f>IF(A14&lt;=0,"",_xlfn.XLOOKUP(A14,Y!C:C,Y!C:C))</f>
        <v/>
      </c>
      <c r="AO14" s="52" t="str">
        <f>IF(A14&lt;=0,"",_xlfn.XLOOKUP(A14,MA!B:B,MA!B:B))</f>
        <v/>
      </c>
    </row>
    <row r="15" spans="1:45" x14ac:dyDescent="0.25">
      <c r="A15" s="444">
        <f>psTn!B16</f>
        <v>0</v>
      </c>
      <c r="B15" s="33">
        <f>psTn!C16</f>
        <v>0</v>
      </c>
      <c r="C15" s="33">
        <f>psTn!D16</f>
        <v>0</v>
      </c>
      <c r="D15" s="33">
        <f>psTn!E16</f>
        <v>0</v>
      </c>
      <c r="E15" s="33">
        <f>psTn!F16</f>
        <v>0</v>
      </c>
      <c r="F15" s="33">
        <f>psTn!G16</f>
        <v>0</v>
      </c>
      <c r="G15" s="44" t="str">
        <f>_xlfn.XLOOKUP(A15,'ps5'!B:B,'ps5'!C:C,"")</f>
        <v/>
      </c>
      <c r="H15" s="44" t="str">
        <f>_xlfn.XLOOKUP(A15,'ps5'!B:B,'ps5'!D:D,"")</f>
        <v/>
      </c>
      <c r="I15" s="44" t="str">
        <f>_xlfn.XLOOKUP(A15,'ps5'!B:B,'ps5'!E:E,"")</f>
        <v/>
      </c>
      <c r="J15" s="44" t="str">
        <f>_xlfn.XLOOKUP(A15,'ps5'!B:B,'ps5'!F:F,"")</f>
        <v/>
      </c>
      <c r="K15" s="44" t="str">
        <f>_xlfn.XLOOKUP(A15,'ps5'!B:B,'ps5'!G:G,"")</f>
        <v/>
      </c>
      <c r="L15" s="44">
        <f t="shared" si="0"/>
        <v>0</v>
      </c>
      <c r="M15" s="44">
        <f t="shared" si="0"/>
        <v>0</v>
      </c>
      <c r="N15" s="44">
        <f t="shared" si="0"/>
        <v>0</v>
      </c>
      <c r="O15" s="50" t="str">
        <f>_xlfn.XLOOKUP(A15,psRk!C:C,psRk!F:F,"")</f>
        <v/>
      </c>
      <c r="P15" s="33" t="str">
        <f>_xlfn.XLOOKUP(A15,psRk!C:C,psRk!G:G,"")</f>
        <v/>
      </c>
      <c r="Q15" s="41" t="str">
        <f>_xlfn.XLOOKUP(A15,psRk!C:C,psRk!H:H,"")</f>
        <v/>
      </c>
      <c r="R15" s="41" t="str">
        <f>_xlfn.XLOOKUP(A15,psRk!C:C,psRk!I:I,"")</f>
        <v/>
      </c>
      <c r="S15" s="27" t="str">
        <f t="shared" si="1"/>
        <v/>
      </c>
      <c r="T15" s="27" t="str">
        <f t="shared" si="2"/>
        <v/>
      </c>
      <c r="U15" s="27" t="str">
        <f t="shared" si="3"/>
        <v/>
      </c>
      <c r="V15" s="27" t="str">
        <f t="shared" si="4"/>
        <v/>
      </c>
      <c r="W15" s="27" t="str">
        <f t="shared" si="5"/>
        <v/>
      </c>
      <c r="X15" s="27" t="str">
        <f t="shared" si="6"/>
        <v/>
      </c>
      <c r="Y15" s="27" t="str">
        <f t="shared" si="7"/>
        <v/>
      </c>
      <c r="Z15" s="47" t="str">
        <f t="shared" si="13"/>
        <v/>
      </c>
      <c r="AA15" s="49" t="str">
        <f t="shared" si="8"/>
        <v/>
      </c>
      <c r="AB15" s="49">
        <f t="shared" si="14"/>
        <v>0</v>
      </c>
      <c r="AC15" s="49" t="str">
        <f t="shared" si="9"/>
        <v/>
      </c>
      <c r="AD15" s="47" t="str">
        <f>_xlfn.XLOOKUP(AC15,Parm!$AN$2:$AN$25,Parm!$AO$2:$AO$25,"")</f>
        <v/>
      </c>
      <c r="AE15" s="49" t="str">
        <f t="shared" si="10"/>
        <v/>
      </c>
      <c r="AF15" s="47" t="str">
        <f>_xlfn.XLOOKUP(AE15,Parm!$AN$2:$AN$25,Parm!$AO$2:$AO$25,"")</f>
        <v/>
      </c>
      <c r="AG15" s="286">
        <f>psTn!A16</f>
        <v>0</v>
      </c>
      <c r="AH15" s="49" t="str" cm="1">
        <f t="array" aca="1" ref="AH15" ca="1">_xlfn.IFS(Z15="","",AND(Z15&gt;0,Z15&lt;$AS$12),MROUND($AS$13*($AS$12-Z15+1)/SUMPRODUCT($AS$12-ROW(INDIRECT("1:" &amp; $AS$12 ))),1000),TRUE,0)</f>
        <v/>
      </c>
      <c r="AI15" s="49" t="e">
        <f t="shared" si="11"/>
        <v>#VALUE!</v>
      </c>
      <c r="AJ15" s="49">
        <f t="shared" si="15"/>
        <v>-100</v>
      </c>
      <c r="AK15" s="49"/>
      <c r="AL15" s="49" t="str">
        <f t="shared" si="12"/>
        <v/>
      </c>
      <c r="AM15" s="52" t="str">
        <f>IF(A15&lt;=0,"",_xlfn.XLOOKUP(A15,TL!C:C,TL!C:C))</f>
        <v/>
      </c>
      <c r="AN15" s="52" t="str">
        <f>IF(A15&lt;=0,"",_xlfn.XLOOKUP(A15,Y!C:C,Y!C:C))</f>
        <v/>
      </c>
      <c r="AO15" s="52" t="str">
        <f>IF(A15&lt;=0,"",_xlfn.XLOOKUP(A15,MA!B:B,MA!B:B))</f>
        <v/>
      </c>
    </row>
    <row r="16" spans="1:45" x14ac:dyDescent="0.25">
      <c r="A16" s="444">
        <f>psTn!B17</f>
        <v>0</v>
      </c>
      <c r="B16" s="33">
        <f>psTn!C17</f>
        <v>0</v>
      </c>
      <c r="C16" s="33">
        <f>psTn!D17</f>
        <v>0</v>
      </c>
      <c r="D16" s="33">
        <f>psTn!E17</f>
        <v>0</v>
      </c>
      <c r="E16" s="33">
        <f>psTn!F17</f>
        <v>0</v>
      </c>
      <c r="F16" s="33">
        <f>psTn!G17</f>
        <v>0</v>
      </c>
      <c r="G16" s="44" t="str">
        <f>_xlfn.XLOOKUP(A16,'ps5'!B:B,'ps5'!C:C,"")</f>
        <v/>
      </c>
      <c r="H16" s="44" t="str">
        <f>_xlfn.XLOOKUP(A16,'ps5'!B:B,'ps5'!D:D,"")</f>
        <v/>
      </c>
      <c r="I16" s="44" t="str">
        <f>_xlfn.XLOOKUP(A16,'ps5'!B:B,'ps5'!E:E,"")</f>
        <v/>
      </c>
      <c r="J16" s="44" t="str">
        <f>_xlfn.XLOOKUP(A16,'ps5'!B:B,'ps5'!F:F,"")</f>
        <v/>
      </c>
      <c r="K16" s="44" t="str">
        <f>_xlfn.XLOOKUP(A16,'ps5'!B:B,'ps5'!G:G,"")</f>
        <v/>
      </c>
      <c r="L16" s="44">
        <f t="shared" si="0"/>
        <v>0</v>
      </c>
      <c r="M16" s="44">
        <f t="shared" si="0"/>
        <v>0</v>
      </c>
      <c r="N16" s="44">
        <f t="shared" si="0"/>
        <v>0</v>
      </c>
      <c r="O16" s="50" t="str">
        <f>_xlfn.XLOOKUP(A16,psRk!C:C,psRk!F:F,"")</f>
        <v/>
      </c>
      <c r="P16" s="33" t="str">
        <f>_xlfn.XLOOKUP(A16,psRk!C:C,psRk!G:G,"")</f>
        <v/>
      </c>
      <c r="Q16" s="41" t="str">
        <f>_xlfn.XLOOKUP(A16,psRk!C:C,psRk!H:H,"")</f>
        <v/>
      </c>
      <c r="R16" s="41" t="str">
        <f>_xlfn.XLOOKUP(A16,psRk!C:C,psRk!I:I,"")</f>
        <v/>
      </c>
      <c r="S16" s="27" t="str">
        <f t="shared" si="1"/>
        <v/>
      </c>
      <c r="T16" s="27" t="str">
        <f t="shared" si="2"/>
        <v/>
      </c>
      <c r="U16" s="27" t="str">
        <f t="shared" si="3"/>
        <v/>
      </c>
      <c r="V16" s="27" t="str">
        <f t="shared" si="4"/>
        <v/>
      </c>
      <c r="W16" s="27" t="str">
        <f t="shared" si="5"/>
        <v/>
      </c>
      <c r="X16" s="27" t="str">
        <f t="shared" si="6"/>
        <v/>
      </c>
      <c r="Y16" s="27" t="str">
        <f t="shared" si="7"/>
        <v/>
      </c>
      <c r="Z16" s="47" t="str">
        <f t="shared" si="13"/>
        <v/>
      </c>
      <c r="AA16" s="49" t="str">
        <f t="shared" si="8"/>
        <v/>
      </c>
      <c r="AB16" s="49">
        <f t="shared" si="14"/>
        <v>0</v>
      </c>
      <c r="AC16" s="49" t="str">
        <f t="shared" si="9"/>
        <v/>
      </c>
      <c r="AD16" s="47" t="str">
        <f>_xlfn.XLOOKUP(AC16,Parm!$AN$2:$AN$25,Parm!$AO$2:$AO$25,"")</f>
        <v/>
      </c>
      <c r="AE16" s="49" t="str">
        <f t="shared" si="10"/>
        <v/>
      </c>
      <c r="AF16" s="47" t="str">
        <f>_xlfn.XLOOKUP(AE16,Parm!$AN$2:$AN$25,Parm!$AO$2:$AO$25,"")</f>
        <v/>
      </c>
      <c r="AG16" s="286">
        <f>psTn!A17</f>
        <v>0</v>
      </c>
      <c r="AH16" s="49" t="str" cm="1">
        <f t="array" aca="1" ref="AH16" ca="1">_xlfn.IFS(Z16="","",AND(Z16&gt;0,Z16&lt;$AS$12),MROUND($AS$13*($AS$12-Z16+1)/SUMPRODUCT($AS$12-ROW(INDIRECT("1:" &amp; $AS$12 ))),1000),TRUE,0)</f>
        <v/>
      </c>
      <c r="AI16" s="49" t="e">
        <f t="shared" si="11"/>
        <v>#VALUE!</v>
      </c>
      <c r="AJ16" s="49">
        <f t="shared" si="15"/>
        <v>-100</v>
      </c>
      <c r="AK16" s="49"/>
      <c r="AL16" s="49" t="str">
        <f t="shared" si="12"/>
        <v/>
      </c>
      <c r="AM16" s="52" t="str">
        <f>IF(A16&lt;=0,"",_xlfn.XLOOKUP(A16,TL!C:C,TL!C:C))</f>
        <v/>
      </c>
      <c r="AN16" s="52" t="str">
        <f>IF(A16&lt;=0,"",_xlfn.XLOOKUP(A16,Y!C:C,Y!C:C))</f>
        <v/>
      </c>
      <c r="AO16" s="52" t="str">
        <f>IF(A16&lt;=0,"",_xlfn.XLOOKUP(A16,MA!B:B,MA!B:B))</f>
        <v/>
      </c>
    </row>
    <row r="17" spans="1:42" x14ac:dyDescent="0.25">
      <c r="A17" s="444">
        <f>psTn!B18</f>
        <v>0</v>
      </c>
      <c r="B17" s="33">
        <f>psTn!C18</f>
        <v>0</v>
      </c>
      <c r="C17" s="33">
        <f>psTn!D18</f>
        <v>0</v>
      </c>
      <c r="D17" s="33">
        <f>psTn!E18</f>
        <v>0</v>
      </c>
      <c r="E17" s="33">
        <f>psTn!F18</f>
        <v>0</v>
      </c>
      <c r="F17" s="33">
        <f>psTn!G18</f>
        <v>0</v>
      </c>
      <c r="G17" s="44" t="str">
        <f>_xlfn.XLOOKUP(A17,'ps5'!B:B,'ps5'!C:C,"")</f>
        <v/>
      </c>
      <c r="H17" s="44" t="str">
        <f>_xlfn.XLOOKUP(A17,'ps5'!B:B,'ps5'!D:D,"")</f>
        <v/>
      </c>
      <c r="I17" s="44" t="str">
        <f>_xlfn.XLOOKUP(A17,'ps5'!B:B,'ps5'!E:E,"")</f>
        <v/>
      </c>
      <c r="J17" s="44" t="str">
        <f>_xlfn.XLOOKUP(A17,'ps5'!B:B,'ps5'!F:F,"")</f>
        <v/>
      </c>
      <c r="K17" s="44" t="str">
        <f>_xlfn.XLOOKUP(A17,'ps5'!B:B,'ps5'!G:G,"")</f>
        <v/>
      </c>
      <c r="L17" s="44">
        <f t="shared" si="0"/>
        <v>0</v>
      </c>
      <c r="M17" s="44">
        <f t="shared" si="0"/>
        <v>0</v>
      </c>
      <c r="N17" s="44">
        <f t="shared" si="0"/>
        <v>0</v>
      </c>
      <c r="O17" s="50" t="str">
        <f>_xlfn.XLOOKUP(A17,psRk!C:C,psRk!F:F,"")</f>
        <v/>
      </c>
      <c r="P17" s="33" t="str">
        <f>_xlfn.XLOOKUP(A17,psRk!C:C,psRk!G:G,"")</f>
        <v/>
      </c>
      <c r="Q17" s="41" t="str">
        <f>_xlfn.XLOOKUP(A17,psRk!C:C,psRk!H:H,"")</f>
        <v/>
      </c>
      <c r="R17" s="41" t="str">
        <f>_xlfn.XLOOKUP(A17,psRk!C:C,psRk!I:I,"")</f>
        <v/>
      </c>
      <c r="S17" s="27" t="str">
        <f t="shared" si="1"/>
        <v/>
      </c>
      <c r="T17" s="27" t="str">
        <f t="shared" si="2"/>
        <v/>
      </c>
      <c r="U17" s="27" t="str">
        <f t="shared" si="3"/>
        <v/>
      </c>
      <c r="V17" s="27" t="str">
        <f t="shared" si="4"/>
        <v/>
      </c>
      <c r="W17" s="27" t="str">
        <f t="shared" si="5"/>
        <v/>
      </c>
      <c r="X17" s="27" t="str">
        <f t="shared" si="6"/>
        <v/>
      </c>
      <c r="Y17" s="27" t="str">
        <f t="shared" si="7"/>
        <v/>
      </c>
      <c r="Z17" s="47" t="str">
        <f t="shared" si="13"/>
        <v/>
      </c>
      <c r="AA17" s="49" t="str">
        <f t="shared" si="8"/>
        <v/>
      </c>
      <c r="AB17" s="49">
        <f t="shared" si="14"/>
        <v>0</v>
      </c>
      <c r="AC17" s="49" t="str">
        <f t="shared" si="9"/>
        <v/>
      </c>
      <c r="AD17" s="47" t="str">
        <f>_xlfn.XLOOKUP(AC17,Parm!$AN$2:$AN$25,Parm!$AO$2:$AO$25,"")</f>
        <v/>
      </c>
      <c r="AE17" s="49" t="str">
        <f t="shared" si="10"/>
        <v/>
      </c>
      <c r="AF17" s="47" t="str">
        <f>_xlfn.XLOOKUP(AE17,Parm!$AN$2:$AN$25,Parm!$AO$2:$AO$25,"")</f>
        <v/>
      </c>
      <c r="AG17" s="286">
        <f>psTn!A18</f>
        <v>0</v>
      </c>
      <c r="AH17" s="49" t="str" cm="1">
        <f t="array" aca="1" ref="AH17" ca="1">_xlfn.IFS(Z17="","",AND(Z17&gt;0,Z17&lt;$AS$12),MROUND($AS$13*($AS$12-Z17+1)/SUMPRODUCT($AS$12-ROW(INDIRECT("1:" &amp; $AS$12 ))),1000),TRUE,0)</f>
        <v/>
      </c>
      <c r="AI17" s="49" t="e">
        <f t="shared" si="11"/>
        <v>#VALUE!</v>
      </c>
      <c r="AJ17" s="49">
        <f t="shared" si="15"/>
        <v>-100</v>
      </c>
      <c r="AK17" s="49"/>
      <c r="AL17" s="49" t="str">
        <f t="shared" si="12"/>
        <v/>
      </c>
      <c r="AM17" s="52" t="str">
        <f>IF(A17&lt;=0,"",_xlfn.XLOOKUP(A17,TL!C:C,TL!C:C))</f>
        <v/>
      </c>
      <c r="AN17" s="52" t="str">
        <f>IF(A17&lt;=0,"",_xlfn.XLOOKUP(A17,Y!C:C,Y!C:C))</f>
        <v/>
      </c>
      <c r="AO17" s="52" t="str">
        <f>IF(A17&lt;=0,"",_xlfn.XLOOKUP(A17,MA!B:B,MA!B:B))</f>
        <v/>
      </c>
    </row>
    <row r="18" spans="1:42" x14ac:dyDescent="0.25">
      <c r="A18" s="444">
        <f>psTn!B19</f>
        <v>0</v>
      </c>
      <c r="B18" s="33">
        <f>psTn!C19</f>
        <v>0</v>
      </c>
      <c r="C18" s="33">
        <f>psTn!D19</f>
        <v>0</v>
      </c>
      <c r="D18" s="33">
        <f>psTn!E19</f>
        <v>0</v>
      </c>
      <c r="E18" s="33">
        <f>psTn!F19</f>
        <v>0</v>
      </c>
      <c r="F18" s="33">
        <f>psTn!G19</f>
        <v>0</v>
      </c>
      <c r="G18" s="44" t="str">
        <f>_xlfn.XLOOKUP(A18,'ps5'!B:B,'ps5'!C:C,"")</f>
        <v/>
      </c>
      <c r="H18" s="44" t="str">
        <f>_xlfn.XLOOKUP(A18,'ps5'!B:B,'ps5'!D:D,"")</f>
        <v/>
      </c>
      <c r="I18" s="44" t="str">
        <f>_xlfn.XLOOKUP(A18,'ps5'!B:B,'ps5'!E:E,"")</f>
        <v/>
      </c>
      <c r="J18" s="44" t="str">
        <f>_xlfn.XLOOKUP(A18,'ps5'!B:B,'ps5'!F:F,"")</f>
        <v/>
      </c>
      <c r="K18" s="44" t="str">
        <f>_xlfn.XLOOKUP(A18,'ps5'!B:B,'ps5'!G:G,"")</f>
        <v/>
      </c>
      <c r="L18" s="44">
        <f t="shared" si="0"/>
        <v>0</v>
      </c>
      <c r="M18" s="44">
        <f t="shared" si="0"/>
        <v>0</v>
      </c>
      <c r="N18" s="44">
        <f t="shared" si="0"/>
        <v>0</v>
      </c>
      <c r="O18" s="50" t="str">
        <f>_xlfn.XLOOKUP(A18,psRk!C:C,psRk!F:F,"")</f>
        <v/>
      </c>
      <c r="P18" s="33" t="str">
        <f>_xlfn.XLOOKUP(A18,psRk!C:C,psRk!G:G,"")</f>
        <v/>
      </c>
      <c r="Q18" s="41" t="str">
        <f>_xlfn.XLOOKUP(A18,psRk!C:C,psRk!H:H,"")</f>
        <v/>
      </c>
      <c r="R18" s="41" t="str">
        <f>_xlfn.XLOOKUP(A18,psRk!C:C,psRk!I:I,"")</f>
        <v/>
      </c>
      <c r="S18" s="27" t="str">
        <f t="shared" si="1"/>
        <v/>
      </c>
      <c r="T18" s="27" t="str">
        <f t="shared" si="2"/>
        <v/>
      </c>
      <c r="U18" s="27" t="str">
        <f t="shared" si="3"/>
        <v/>
      </c>
      <c r="V18" s="27" t="str">
        <f t="shared" si="4"/>
        <v/>
      </c>
      <c r="W18" s="27" t="str">
        <f t="shared" si="5"/>
        <v/>
      </c>
      <c r="X18" s="27" t="str">
        <f t="shared" si="6"/>
        <v/>
      </c>
      <c r="Y18" s="27" t="str">
        <f t="shared" si="7"/>
        <v/>
      </c>
      <c r="Z18" s="47" t="str">
        <f t="shared" si="13"/>
        <v/>
      </c>
      <c r="AA18" s="49" t="str">
        <f t="shared" si="8"/>
        <v/>
      </c>
      <c r="AB18" s="49">
        <f t="shared" si="14"/>
        <v>0</v>
      </c>
      <c r="AC18" s="49" t="str">
        <f t="shared" si="9"/>
        <v/>
      </c>
      <c r="AD18" s="47" t="str">
        <f>_xlfn.XLOOKUP(AC18,Parm!$AN$2:$AN$25,Parm!$AO$2:$AO$25,"")</f>
        <v/>
      </c>
      <c r="AE18" s="49" t="str">
        <f t="shared" si="10"/>
        <v/>
      </c>
      <c r="AF18" s="47" t="str">
        <f>_xlfn.XLOOKUP(AE18,Parm!$AN$2:$AN$25,Parm!$AO$2:$AO$25,"")</f>
        <v/>
      </c>
      <c r="AG18" s="286">
        <f>psTn!A19</f>
        <v>0</v>
      </c>
      <c r="AH18" s="49" t="str" cm="1">
        <f t="array" aca="1" ref="AH18" ca="1">_xlfn.IFS(Z18="","",AND(Z18&gt;0,Z18&lt;$AS$12),MROUND($AS$13*($AS$12-Z18+1)/SUMPRODUCT($AS$12-ROW(INDIRECT("1:" &amp; $AS$12 ))),1000),TRUE,0)</f>
        <v/>
      </c>
      <c r="AI18" s="49" t="e">
        <f t="shared" si="11"/>
        <v>#VALUE!</v>
      </c>
      <c r="AJ18" s="49">
        <f t="shared" si="15"/>
        <v>-100</v>
      </c>
      <c r="AK18" s="49"/>
      <c r="AL18" s="49" t="str">
        <f t="shared" si="12"/>
        <v/>
      </c>
      <c r="AM18" s="52" t="str">
        <f>IF(A18&lt;=0,"",_xlfn.XLOOKUP(A18,TL!C:C,TL!C:C))</f>
        <v/>
      </c>
      <c r="AN18" s="52" t="str">
        <f>IF(A18&lt;=0,"",_xlfn.XLOOKUP(A18,Y!C:C,Y!C:C))</f>
        <v/>
      </c>
      <c r="AO18" s="52" t="str">
        <f>IF(A18&lt;=0,"",_xlfn.XLOOKUP(A18,MA!B:B,MA!B:B))</f>
        <v/>
      </c>
    </row>
    <row r="19" spans="1:42" x14ac:dyDescent="0.25">
      <c r="A19" s="444">
        <f>psTn!B20</f>
        <v>0</v>
      </c>
      <c r="B19" s="33">
        <f>psTn!C20</f>
        <v>0</v>
      </c>
      <c r="C19" s="33">
        <f>psTn!D20</f>
        <v>0</v>
      </c>
      <c r="D19" s="33">
        <f>psTn!E20</f>
        <v>0</v>
      </c>
      <c r="E19" s="33">
        <f>psTn!F20</f>
        <v>0</v>
      </c>
      <c r="F19" s="33">
        <f>psTn!G20</f>
        <v>0</v>
      </c>
      <c r="G19" s="44" t="str">
        <f>_xlfn.XLOOKUP(A19,'ps5'!B:B,'ps5'!C:C,"")</f>
        <v/>
      </c>
      <c r="H19" s="44" t="str">
        <f>_xlfn.XLOOKUP(A19,'ps5'!B:B,'ps5'!D:D,"")</f>
        <v/>
      </c>
      <c r="I19" s="44" t="str">
        <f>_xlfn.XLOOKUP(A19,'ps5'!B:B,'ps5'!E:E,"")</f>
        <v/>
      </c>
      <c r="J19" s="44" t="str">
        <f>_xlfn.XLOOKUP(A19,'ps5'!B:B,'ps5'!F:F,"")</f>
        <v/>
      </c>
      <c r="K19" s="44" t="str">
        <f>_xlfn.XLOOKUP(A19,'ps5'!B:B,'ps5'!G:G,"")</f>
        <v/>
      </c>
      <c r="L19" s="44">
        <f t="shared" si="0"/>
        <v>0</v>
      </c>
      <c r="M19" s="44">
        <f t="shared" si="0"/>
        <v>0</v>
      </c>
      <c r="N19" s="44">
        <f t="shared" si="0"/>
        <v>0</v>
      </c>
      <c r="O19" s="50" t="str">
        <f>_xlfn.XLOOKUP(A19,psRk!C:C,psRk!F:F,"")</f>
        <v/>
      </c>
      <c r="P19" s="33" t="str">
        <f>_xlfn.XLOOKUP(A19,psRk!C:C,psRk!G:G,"")</f>
        <v/>
      </c>
      <c r="Q19" s="41" t="str">
        <f>_xlfn.XLOOKUP(A19,psRk!C:C,psRk!H:H,"")</f>
        <v/>
      </c>
      <c r="R19" s="41" t="str">
        <f>_xlfn.XLOOKUP(A19,psRk!C:C,psRk!I:I,"")</f>
        <v/>
      </c>
      <c r="S19" s="27" t="str">
        <f t="shared" si="1"/>
        <v/>
      </c>
      <c r="T19" s="27" t="str">
        <f t="shared" si="2"/>
        <v/>
      </c>
      <c r="U19" s="27" t="str">
        <f t="shared" si="3"/>
        <v/>
      </c>
      <c r="V19" s="27" t="str">
        <f t="shared" si="4"/>
        <v/>
      </c>
      <c r="W19" s="27" t="str">
        <f t="shared" si="5"/>
        <v/>
      </c>
      <c r="X19" s="27" t="str">
        <f t="shared" si="6"/>
        <v/>
      </c>
      <c r="Y19" s="27" t="str">
        <f t="shared" si="7"/>
        <v/>
      </c>
      <c r="Z19" s="47" t="str">
        <f t="shared" si="13"/>
        <v/>
      </c>
      <c r="AA19" s="49" t="str">
        <f t="shared" si="8"/>
        <v/>
      </c>
      <c r="AB19" s="49">
        <f t="shared" si="14"/>
        <v>0</v>
      </c>
      <c r="AC19" s="49" t="str">
        <f t="shared" si="9"/>
        <v/>
      </c>
      <c r="AD19" s="47" t="str">
        <f>_xlfn.XLOOKUP(AC19,Parm!$AN$2:$AN$25,Parm!$AO$2:$AO$25,"")</f>
        <v/>
      </c>
      <c r="AE19" s="49" t="str">
        <f t="shared" si="10"/>
        <v/>
      </c>
      <c r="AF19" s="47" t="str">
        <f>_xlfn.XLOOKUP(AE19,Parm!$AN$2:$AN$25,Parm!$AO$2:$AO$25,"")</f>
        <v/>
      </c>
      <c r="AG19" s="286">
        <f>psTn!A20</f>
        <v>0</v>
      </c>
      <c r="AH19" s="49" t="str" cm="1">
        <f t="array" aca="1" ref="AH19" ca="1">_xlfn.IFS(Z19="","",AND(Z19&gt;0,Z19&lt;$AS$12),MROUND($AS$13*($AS$12-Z19+1)/SUMPRODUCT($AS$12-ROW(INDIRECT("1:" &amp; $AS$12 ))),1000),TRUE,0)</f>
        <v/>
      </c>
      <c r="AI19" s="49" t="e">
        <f t="shared" si="11"/>
        <v>#VALUE!</v>
      </c>
      <c r="AJ19" s="49">
        <f t="shared" si="15"/>
        <v>-100</v>
      </c>
      <c r="AK19" s="49"/>
      <c r="AL19" s="49" t="str">
        <f t="shared" si="12"/>
        <v/>
      </c>
      <c r="AM19" s="52" t="str">
        <f>IF(A19&lt;=0,"",_xlfn.XLOOKUP(A19,TL!C:C,TL!C:C))</f>
        <v/>
      </c>
      <c r="AN19" s="52" t="str">
        <f>IF(A19&lt;=0,"",_xlfn.XLOOKUP(A19,Y!C:C,Y!C:C))</f>
        <v/>
      </c>
      <c r="AO19" s="52" t="str">
        <f>IF(A19&lt;=0,"",_xlfn.XLOOKUP(A19,MA!B:B,MA!B:B))</f>
        <v/>
      </c>
    </row>
    <row r="20" spans="1:42" x14ac:dyDescent="0.25">
      <c r="A20" s="444">
        <f>psTn!B21</f>
        <v>0</v>
      </c>
      <c r="B20" s="33">
        <f>psTn!C21</f>
        <v>0</v>
      </c>
      <c r="C20" s="33">
        <f>psTn!D21</f>
        <v>0</v>
      </c>
      <c r="D20" s="33">
        <f>psTn!E21</f>
        <v>0</v>
      </c>
      <c r="E20" s="33">
        <f>psTn!F21</f>
        <v>0</v>
      </c>
      <c r="F20" s="33">
        <f>psTn!G21</f>
        <v>0</v>
      </c>
      <c r="G20" s="44" t="str">
        <f>_xlfn.XLOOKUP(A20,'ps5'!B:B,'ps5'!C:C,"")</f>
        <v/>
      </c>
      <c r="H20" s="44" t="str">
        <f>_xlfn.XLOOKUP(A20,'ps5'!B:B,'ps5'!D:D,"")</f>
        <v/>
      </c>
      <c r="I20" s="44" t="str">
        <f>_xlfn.XLOOKUP(A20,'ps5'!B:B,'ps5'!E:E,"")</f>
        <v/>
      </c>
      <c r="J20" s="44" t="str">
        <f>_xlfn.XLOOKUP(A20,'ps5'!B:B,'ps5'!F:F,"")</f>
        <v/>
      </c>
      <c r="K20" s="44" t="str">
        <f>_xlfn.XLOOKUP(A20,'ps5'!B:B,'ps5'!G:G,"")</f>
        <v/>
      </c>
      <c r="L20" s="44">
        <f t="shared" si="0"/>
        <v>0</v>
      </c>
      <c r="M20" s="44">
        <f t="shared" si="0"/>
        <v>0</v>
      </c>
      <c r="N20" s="44">
        <f t="shared" si="0"/>
        <v>0</v>
      </c>
      <c r="O20" s="50" t="str">
        <f>_xlfn.XLOOKUP(A20,psRk!C:C,psRk!F:F,"")</f>
        <v/>
      </c>
      <c r="P20" s="33" t="str">
        <f>_xlfn.XLOOKUP(A20,psRk!C:C,psRk!G:G,"")</f>
        <v/>
      </c>
      <c r="Q20" s="41" t="str">
        <f>_xlfn.XLOOKUP(A20,psRk!C:C,psRk!H:H,"")</f>
        <v/>
      </c>
      <c r="R20" s="41" t="str">
        <f>_xlfn.XLOOKUP(A20,psRk!C:C,psRk!I:I,"")</f>
        <v/>
      </c>
      <c r="S20" s="27" t="str">
        <f t="shared" si="1"/>
        <v/>
      </c>
      <c r="T20" s="27" t="str">
        <f t="shared" si="2"/>
        <v/>
      </c>
      <c r="U20" s="27" t="str">
        <f t="shared" si="3"/>
        <v/>
      </c>
      <c r="V20" s="27" t="str">
        <f t="shared" si="4"/>
        <v/>
      </c>
      <c r="W20" s="27" t="str">
        <f t="shared" si="5"/>
        <v/>
      </c>
      <c r="X20" s="27" t="str">
        <f t="shared" si="6"/>
        <v/>
      </c>
      <c r="Y20" s="27" t="str">
        <f t="shared" si="7"/>
        <v/>
      </c>
      <c r="Z20" s="47" t="str">
        <f t="shared" si="13"/>
        <v/>
      </c>
      <c r="AA20" s="49" t="str">
        <f t="shared" si="8"/>
        <v/>
      </c>
      <c r="AB20" s="49">
        <f t="shared" si="14"/>
        <v>0</v>
      </c>
      <c r="AC20" s="49" t="str">
        <f t="shared" si="9"/>
        <v/>
      </c>
      <c r="AD20" s="47" t="str">
        <f>_xlfn.XLOOKUP(AC20,Parm!$AN$2:$AN$25,Parm!$AO$2:$AO$25,"")</f>
        <v/>
      </c>
      <c r="AE20" s="49" t="str">
        <f t="shared" si="10"/>
        <v/>
      </c>
      <c r="AF20" s="47" t="str">
        <f>_xlfn.XLOOKUP(AE20,Parm!$AN$2:$AN$25,Parm!$AO$2:$AO$25,"")</f>
        <v/>
      </c>
      <c r="AG20" s="286">
        <f>psTn!A21</f>
        <v>0</v>
      </c>
      <c r="AH20" s="49" t="str" cm="1">
        <f t="array" aca="1" ref="AH20" ca="1">_xlfn.IFS(Z20="","",AND(Z20&gt;0,Z20&lt;$AS$12),MROUND($AS$13*($AS$12-Z20+1)/SUMPRODUCT($AS$12-ROW(INDIRECT("1:" &amp; $AS$12 ))),1000),TRUE,0)</f>
        <v/>
      </c>
      <c r="AI20" s="49" t="e">
        <f t="shared" si="11"/>
        <v>#VALUE!</v>
      </c>
      <c r="AJ20" s="49">
        <f t="shared" si="15"/>
        <v>-100</v>
      </c>
      <c r="AK20" s="49"/>
      <c r="AL20" s="49" t="str">
        <f t="shared" si="12"/>
        <v/>
      </c>
      <c r="AM20" s="52" t="str">
        <f>IF(A20&lt;=0,"",_xlfn.XLOOKUP(A20,TL!C:C,TL!C:C))</f>
        <v/>
      </c>
      <c r="AN20" s="52" t="str">
        <f>IF(A20&lt;=0,"",_xlfn.XLOOKUP(A20,Y!C:C,Y!C:C))</f>
        <v/>
      </c>
      <c r="AO20" s="52" t="str">
        <f>IF(A20&lt;=0,"",_xlfn.XLOOKUP(A20,MA!B:B,MA!B:B))</f>
        <v/>
      </c>
      <c r="AP20" s="7"/>
    </row>
    <row r="21" spans="1:42" x14ac:dyDescent="0.25">
      <c r="A21" s="444">
        <f>psTn!B22</f>
        <v>0</v>
      </c>
      <c r="B21" s="33">
        <f>psTn!C22</f>
        <v>0</v>
      </c>
      <c r="C21" s="33">
        <f>psTn!D22</f>
        <v>0</v>
      </c>
      <c r="D21" s="33">
        <f>psTn!E22</f>
        <v>0</v>
      </c>
      <c r="E21" s="33">
        <f>psTn!F22</f>
        <v>0</v>
      </c>
      <c r="F21" s="33">
        <f>psTn!G22</f>
        <v>0</v>
      </c>
      <c r="G21" s="44" t="str">
        <f>_xlfn.XLOOKUP(A21,'ps5'!B:B,'ps5'!C:C,"")</f>
        <v/>
      </c>
      <c r="H21" s="44" t="str">
        <f>_xlfn.XLOOKUP(A21,'ps5'!B:B,'ps5'!D:D,"")</f>
        <v/>
      </c>
      <c r="I21" s="44" t="str">
        <f>_xlfn.XLOOKUP(A21,'ps5'!B:B,'ps5'!E:E,"")</f>
        <v/>
      </c>
      <c r="J21" s="44" t="str">
        <f>_xlfn.XLOOKUP(A21,'ps5'!B:B,'ps5'!F:F,"")</f>
        <v/>
      </c>
      <c r="K21" s="44" t="str">
        <f>_xlfn.XLOOKUP(A21,'ps5'!B:B,'ps5'!G:G,"")</f>
        <v/>
      </c>
      <c r="L21" s="44">
        <f t="shared" si="0"/>
        <v>0</v>
      </c>
      <c r="M21" s="44">
        <f t="shared" si="0"/>
        <v>0</v>
      </c>
      <c r="N21" s="44">
        <f t="shared" si="0"/>
        <v>0</v>
      </c>
      <c r="O21" s="50" t="str">
        <f>_xlfn.XLOOKUP(A21,psRk!C:C,psRk!F:F,"")</f>
        <v/>
      </c>
      <c r="P21" s="33" t="str">
        <f>_xlfn.XLOOKUP(A21,psRk!C:C,psRk!G:G,"")</f>
        <v/>
      </c>
      <c r="Q21" s="41" t="str">
        <f>_xlfn.XLOOKUP(A21,psRk!C:C,psRk!H:H,"")</f>
        <v/>
      </c>
      <c r="R21" s="41" t="str">
        <f>_xlfn.XLOOKUP(A21,psRk!C:C,psRk!I:I,"")</f>
        <v/>
      </c>
      <c r="S21" s="27" t="str">
        <f t="shared" si="1"/>
        <v/>
      </c>
      <c r="T21" s="27" t="str">
        <f t="shared" si="2"/>
        <v/>
      </c>
      <c r="U21" s="27" t="str">
        <f t="shared" si="3"/>
        <v/>
      </c>
      <c r="V21" s="27" t="str">
        <f t="shared" si="4"/>
        <v/>
      </c>
      <c r="W21" s="27" t="str">
        <f t="shared" si="5"/>
        <v/>
      </c>
      <c r="X21" s="27" t="str">
        <f t="shared" si="6"/>
        <v/>
      </c>
      <c r="Y21" s="27" t="str">
        <f t="shared" si="7"/>
        <v/>
      </c>
      <c r="Z21" s="47" t="str">
        <f t="shared" si="13"/>
        <v/>
      </c>
      <c r="AA21" s="49" t="str">
        <f t="shared" si="8"/>
        <v/>
      </c>
      <c r="AB21" s="49">
        <f t="shared" si="14"/>
        <v>0</v>
      </c>
      <c r="AC21" s="49" t="str">
        <f t="shared" si="9"/>
        <v/>
      </c>
      <c r="AD21" s="47" t="str">
        <f>_xlfn.XLOOKUP(AC21,Parm!$AN$2:$AN$25,Parm!$AO$2:$AO$25,"")</f>
        <v/>
      </c>
      <c r="AE21" s="49" t="str">
        <f t="shared" si="10"/>
        <v/>
      </c>
      <c r="AF21" s="47" t="str">
        <f>_xlfn.XLOOKUP(AE21,Parm!$AN$2:$AN$25,Parm!$AO$2:$AO$25,"")</f>
        <v/>
      </c>
      <c r="AG21" s="286">
        <f>psTn!A22</f>
        <v>0</v>
      </c>
      <c r="AH21" s="49" t="str" cm="1">
        <f t="array" aca="1" ref="AH21" ca="1">_xlfn.IFS(Z21="","",AND(Z21&gt;0,Z21&lt;$AS$12),MROUND($AS$13*($AS$12-Z21+1)/SUMPRODUCT($AS$12-ROW(INDIRECT("1:" &amp; $AS$12 ))),1000),TRUE,0)</f>
        <v/>
      </c>
      <c r="AI21" s="49" t="e">
        <f t="shared" si="11"/>
        <v>#VALUE!</v>
      </c>
      <c r="AJ21" s="49">
        <f t="shared" si="15"/>
        <v>-100</v>
      </c>
      <c r="AK21" s="49"/>
      <c r="AL21" s="49" t="str">
        <f t="shared" si="12"/>
        <v/>
      </c>
      <c r="AM21" s="52" t="str">
        <f>IF(A21&lt;=0,"",_xlfn.XLOOKUP(A21,TL!C:C,TL!C:C))</f>
        <v/>
      </c>
      <c r="AN21" s="52" t="str">
        <f>IF(A21&lt;=0,"",_xlfn.XLOOKUP(A21,Y!C:C,Y!C:C))</f>
        <v/>
      </c>
      <c r="AO21" s="52" t="str">
        <f>IF(A21&lt;=0,"",_xlfn.XLOOKUP(A21,MA!B:B,MA!B:B))</f>
        <v/>
      </c>
    </row>
    <row r="22" spans="1:42" x14ac:dyDescent="0.25">
      <c r="A22" s="444">
        <f>psTn!B23</f>
        <v>0</v>
      </c>
      <c r="B22" s="33">
        <f>psTn!C23</f>
        <v>0</v>
      </c>
      <c r="C22" s="33">
        <f>psTn!D23</f>
        <v>0</v>
      </c>
      <c r="D22" s="33">
        <f>psTn!E23</f>
        <v>0</v>
      </c>
      <c r="E22" s="33">
        <f>psTn!F23</f>
        <v>0</v>
      </c>
      <c r="F22" s="33">
        <f>psTn!G23</f>
        <v>0</v>
      </c>
      <c r="G22" s="44" t="str">
        <f>_xlfn.XLOOKUP(A22,'ps5'!B:B,'ps5'!C:C,"")</f>
        <v/>
      </c>
      <c r="H22" s="44" t="str">
        <f>_xlfn.XLOOKUP(A22,'ps5'!B:B,'ps5'!D:D,"")</f>
        <v/>
      </c>
      <c r="I22" s="44" t="str">
        <f>_xlfn.XLOOKUP(A22,'ps5'!B:B,'ps5'!E:E,"")</f>
        <v/>
      </c>
      <c r="J22" s="44" t="str">
        <f>_xlfn.XLOOKUP(A22,'ps5'!B:B,'ps5'!F:F,"")</f>
        <v/>
      </c>
      <c r="K22" s="44" t="str">
        <f>_xlfn.XLOOKUP(A22,'ps5'!B:B,'ps5'!G:G,"")</f>
        <v/>
      </c>
      <c r="L22" s="44">
        <f t="shared" si="0"/>
        <v>0</v>
      </c>
      <c r="M22" s="44">
        <f t="shared" si="0"/>
        <v>0</v>
      </c>
      <c r="N22" s="44">
        <f t="shared" si="0"/>
        <v>0</v>
      </c>
      <c r="O22" s="50" t="str">
        <f>_xlfn.XLOOKUP(A22,psRk!C:C,psRk!F:F,"")</f>
        <v/>
      </c>
      <c r="P22" s="33" t="str">
        <f>_xlfn.XLOOKUP(A22,psRk!C:C,psRk!G:G,"")</f>
        <v/>
      </c>
      <c r="Q22" s="41" t="str">
        <f>_xlfn.XLOOKUP(A22,psRk!C:C,psRk!H:H,"")</f>
        <v/>
      </c>
      <c r="R22" s="41" t="str">
        <f>_xlfn.XLOOKUP(A22,psRk!C:C,psRk!I:I,"")</f>
        <v/>
      </c>
      <c r="S22" s="27" t="str">
        <f t="shared" si="1"/>
        <v/>
      </c>
      <c r="T22" s="27" t="str">
        <f t="shared" si="2"/>
        <v/>
      </c>
      <c r="U22" s="27" t="str">
        <f t="shared" si="3"/>
        <v/>
      </c>
      <c r="V22" s="27" t="str">
        <f t="shared" si="4"/>
        <v/>
      </c>
      <c r="W22" s="27" t="str">
        <f t="shared" si="5"/>
        <v/>
      </c>
      <c r="X22" s="27" t="str">
        <f t="shared" si="6"/>
        <v/>
      </c>
      <c r="Y22" s="27" t="str">
        <f t="shared" si="7"/>
        <v/>
      </c>
      <c r="Z22" s="47" t="str">
        <f t="shared" si="13"/>
        <v/>
      </c>
      <c r="AA22" s="49" t="str">
        <f t="shared" si="8"/>
        <v/>
      </c>
      <c r="AB22" s="49">
        <f t="shared" si="14"/>
        <v>0</v>
      </c>
      <c r="AC22" s="49" t="str">
        <f t="shared" si="9"/>
        <v/>
      </c>
      <c r="AD22" s="47" t="str">
        <f>_xlfn.XLOOKUP(AC22,Parm!$AN$2:$AN$25,Parm!$AO$2:$AO$25,"")</f>
        <v/>
      </c>
      <c r="AE22" s="49" t="str">
        <f t="shared" si="10"/>
        <v/>
      </c>
      <c r="AF22" s="47" t="str">
        <f>_xlfn.XLOOKUP(AE22,Parm!$AN$2:$AN$25,Parm!$AO$2:$AO$25,"")</f>
        <v/>
      </c>
      <c r="AG22" s="286">
        <f>psTn!A23</f>
        <v>0</v>
      </c>
      <c r="AH22" s="49" t="str" cm="1">
        <f t="array" aca="1" ref="AH22" ca="1">_xlfn.IFS(Z22="","",AND(Z22&gt;0,Z22&lt;$AS$12),MROUND($AS$13*($AS$12-Z22+1)/SUMPRODUCT($AS$12-ROW(INDIRECT("1:" &amp; $AS$12 ))),1000),TRUE,0)</f>
        <v/>
      </c>
      <c r="AI22" s="49" t="e">
        <f t="shared" si="11"/>
        <v>#VALUE!</v>
      </c>
      <c r="AJ22" s="49">
        <f t="shared" si="15"/>
        <v>-100</v>
      </c>
      <c r="AK22" s="49"/>
      <c r="AL22" s="49" t="str">
        <f t="shared" si="12"/>
        <v/>
      </c>
      <c r="AM22" s="52" t="str">
        <f>IF(A22&lt;=0,"",_xlfn.XLOOKUP(A22,TL!C:C,TL!C:C))</f>
        <v/>
      </c>
      <c r="AN22" s="52" t="str">
        <f>IF(A22&lt;=0,"",_xlfn.XLOOKUP(A22,Y!C:C,Y!C:C))</f>
        <v/>
      </c>
      <c r="AO22" s="52" t="str">
        <f>IF(A22&lt;=0,"",_xlfn.XLOOKUP(A22,MA!B:B,MA!B:B))</f>
        <v/>
      </c>
    </row>
    <row r="23" spans="1:42" x14ac:dyDescent="0.25">
      <c r="A23" s="444">
        <f>psTn!B24</f>
        <v>0</v>
      </c>
      <c r="B23" s="33">
        <f>psTn!C24</f>
        <v>0</v>
      </c>
      <c r="C23" s="33">
        <f>psTn!D24</f>
        <v>0</v>
      </c>
      <c r="D23" s="33">
        <f>psTn!E24</f>
        <v>0</v>
      </c>
      <c r="E23" s="33">
        <f>psTn!F24</f>
        <v>0</v>
      </c>
      <c r="F23" s="33">
        <f>psTn!G24</f>
        <v>0</v>
      </c>
      <c r="G23" s="44" t="str">
        <f>_xlfn.XLOOKUP(A23,'ps5'!B:B,'ps5'!C:C,"")</f>
        <v/>
      </c>
      <c r="H23" s="44" t="str">
        <f>_xlfn.XLOOKUP(A23,'ps5'!B:B,'ps5'!D:D,"")</f>
        <v/>
      </c>
      <c r="I23" s="44" t="str">
        <f>_xlfn.XLOOKUP(A23,'ps5'!B:B,'ps5'!E:E,"")</f>
        <v/>
      </c>
      <c r="J23" s="44" t="str">
        <f>_xlfn.XLOOKUP(A23,'ps5'!B:B,'ps5'!F:F,"")</f>
        <v/>
      </c>
      <c r="K23" s="44" t="str">
        <f>_xlfn.XLOOKUP(A23,'ps5'!B:B,'ps5'!G:G,"")</f>
        <v/>
      </c>
      <c r="L23" s="44">
        <f t="shared" si="0"/>
        <v>0</v>
      </c>
      <c r="M23" s="44">
        <f t="shared" si="0"/>
        <v>0</v>
      </c>
      <c r="N23" s="44">
        <f t="shared" si="0"/>
        <v>0</v>
      </c>
      <c r="O23" s="50" t="str">
        <f>_xlfn.XLOOKUP(A23,psRk!C:C,psRk!F:F,"")</f>
        <v/>
      </c>
      <c r="P23" s="33" t="str">
        <f>_xlfn.XLOOKUP(A23,psRk!C:C,psRk!G:G,"")</f>
        <v/>
      </c>
      <c r="Q23" s="41" t="str">
        <f>_xlfn.XLOOKUP(A23,psRk!C:C,psRk!H:H,"")</f>
        <v/>
      </c>
      <c r="R23" s="41" t="str">
        <f>_xlfn.XLOOKUP(A23,psRk!C:C,psRk!I:I,"")</f>
        <v/>
      </c>
      <c r="S23" s="27" t="str">
        <f t="shared" si="1"/>
        <v/>
      </c>
      <c r="T23" s="27" t="str">
        <f t="shared" si="2"/>
        <v/>
      </c>
      <c r="U23" s="27" t="str">
        <f t="shared" si="3"/>
        <v/>
      </c>
      <c r="V23" s="27" t="str">
        <f t="shared" si="4"/>
        <v/>
      </c>
      <c r="W23" s="27" t="str">
        <f t="shared" si="5"/>
        <v/>
      </c>
      <c r="X23" s="27" t="str">
        <f t="shared" si="6"/>
        <v/>
      </c>
      <c r="Y23" s="27" t="str">
        <f t="shared" si="7"/>
        <v/>
      </c>
      <c r="Z23" s="47" t="str">
        <f t="shared" si="13"/>
        <v/>
      </c>
      <c r="AA23" s="49" t="str">
        <f t="shared" si="8"/>
        <v/>
      </c>
      <c r="AB23" s="49">
        <f t="shared" si="14"/>
        <v>0</v>
      </c>
      <c r="AC23" s="49" t="str">
        <f t="shared" si="9"/>
        <v/>
      </c>
      <c r="AD23" s="47" t="str">
        <f>_xlfn.XLOOKUP(AC23,Parm!$AN$2:$AN$25,Parm!$AO$2:$AO$25,"")</f>
        <v/>
      </c>
      <c r="AE23" s="49" t="str">
        <f t="shared" si="10"/>
        <v/>
      </c>
      <c r="AF23" s="47" t="str">
        <f>_xlfn.XLOOKUP(AE23,Parm!$AN$2:$AN$25,Parm!$AO$2:$AO$25,"")</f>
        <v/>
      </c>
      <c r="AG23" s="286">
        <f>psTn!A24</f>
        <v>0</v>
      </c>
      <c r="AH23" s="49" t="str" cm="1">
        <f t="array" aca="1" ref="AH23" ca="1">_xlfn.IFS(Z23="","",AND(Z23&gt;0,Z23&lt;$AS$12),MROUND($AS$13*($AS$12-Z23+1)/SUMPRODUCT($AS$12-ROW(INDIRECT("1:" &amp; $AS$12 ))),1000),TRUE,0)</f>
        <v/>
      </c>
      <c r="AI23" s="49" t="e">
        <f t="shared" si="11"/>
        <v>#VALUE!</v>
      </c>
      <c r="AJ23" s="49">
        <f t="shared" si="15"/>
        <v>-100</v>
      </c>
      <c r="AK23" s="49"/>
      <c r="AL23" s="49" t="str">
        <f t="shared" si="12"/>
        <v/>
      </c>
      <c r="AM23" s="52" t="str">
        <f>IF(A23&lt;=0,"",_xlfn.XLOOKUP(A23,TL!C:C,TL!C:C))</f>
        <v/>
      </c>
      <c r="AN23" s="52" t="str">
        <f>IF(A23&lt;=0,"",_xlfn.XLOOKUP(A23,Y!C:C,Y!C:C))</f>
        <v/>
      </c>
      <c r="AO23" s="52" t="str">
        <f>IF(A23&lt;=0,"",_xlfn.XLOOKUP(A23,MA!B:B,MA!B:B))</f>
        <v/>
      </c>
    </row>
    <row r="24" spans="1:42" x14ac:dyDescent="0.25">
      <c r="A24" s="444">
        <f>psTn!B25</f>
        <v>0</v>
      </c>
      <c r="B24" s="33">
        <f>psTn!C25</f>
        <v>0</v>
      </c>
      <c r="C24" s="33">
        <f>psTn!D25</f>
        <v>0</v>
      </c>
      <c r="D24" s="33">
        <f>psTn!E25</f>
        <v>0</v>
      </c>
      <c r="E24" s="33">
        <f>psTn!F25</f>
        <v>0</v>
      </c>
      <c r="F24" s="33">
        <f>psTn!G25</f>
        <v>0</v>
      </c>
      <c r="G24" s="44" t="str">
        <f>_xlfn.XLOOKUP(A24,'ps5'!B:B,'ps5'!C:C,"")</f>
        <v/>
      </c>
      <c r="H24" s="44" t="str">
        <f>_xlfn.XLOOKUP(A24,'ps5'!B:B,'ps5'!D:D,"")</f>
        <v/>
      </c>
      <c r="I24" s="44" t="str">
        <f>_xlfn.XLOOKUP(A24,'ps5'!B:B,'ps5'!E:E,"")</f>
        <v/>
      </c>
      <c r="J24" s="44" t="str">
        <f>_xlfn.XLOOKUP(A24,'ps5'!B:B,'ps5'!F:F,"")</f>
        <v/>
      </c>
      <c r="K24" s="44" t="str">
        <f>_xlfn.XLOOKUP(A24,'ps5'!B:B,'ps5'!G:G,"")</f>
        <v/>
      </c>
      <c r="L24" s="44">
        <f t="shared" si="0"/>
        <v>0</v>
      </c>
      <c r="M24" s="44">
        <f t="shared" si="0"/>
        <v>0</v>
      </c>
      <c r="N24" s="44">
        <f t="shared" si="0"/>
        <v>0</v>
      </c>
      <c r="O24" s="50" t="str">
        <f>_xlfn.XLOOKUP(A24,psRk!C:C,psRk!F:F,"")</f>
        <v/>
      </c>
      <c r="P24" s="33" t="str">
        <f>_xlfn.XLOOKUP(A24,psRk!C:C,psRk!G:G,"")</f>
        <v/>
      </c>
      <c r="Q24" s="41" t="str">
        <f>_xlfn.XLOOKUP(A24,psRk!C:C,psRk!H:H,"")</f>
        <v/>
      </c>
      <c r="R24" s="41" t="str">
        <f>_xlfn.XLOOKUP(A24,psRk!C:C,psRk!I:I,"")</f>
        <v/>
      </c>
      <c r="S24" s="27" t="str">
        <f t="shared" si="1"/>
        <v/>
      </c>
      <c r="T24" s="27" t="str">
        <f t="shared" si="2"/>
        <v/>
      </c>
      <c r="U24" s="27" t="str">
        <f t="shared" si="3"/>
        <v/>
      </c>
      <c r="V24" s="27" t="str">
        <f t="shared" si="4"/>
        <v/>
      </c>
      <c r="W24" s="27" t="str">
        <f t="shared" si="5"/>
        <v/>
      </c>
      <c r="X24" s="27" t="str">
        <f t="shared" si="6"/>
        <v/>
      </c>
      <c r="Y24" s="27" t="str">
        <f t="shared" si="7"/>
        <v/>
      </c>
      <c r="Z24" s="47" t="str">
        <f t="shared" si="13"/>
        <v/>
      </c>
      <c r="AA24" s="49" t="str">
        <f t="shared" si="8"/>
        <v/>
      </c>
      <c r="AB24" s="49">
        <f t="shared" si="14"/>
        <v>0</v>
      </c>
      <c r="AC24" s="49" t="str">
        <f t="shared" si="9"/>
        <v/>
      </c>
      <c r="AD24" s="47" t="str">
        <f>_xlfn.XLOOKUP(AC24,Parm!$AN$2:$AN$25,Parm!$AO$2:$AO$25,"")</f>
        <v/>
      </c>
      <c r="AE24" s="49" t="str">
        <f t="shared" si="10"/>
        <v/>
      </c>
      <c r="AF24" s="47" t="str">
        <f>_xlfn.XLOOKUP(AE24,Parm!$AN$2:$AN$25,Parm!$AO$2:$AO$25,"")</f>
        <v/>
      </c>
      <c r="AG24" s="286">
        <f>psTn!A25</f>
        <v>0</v>
      </c>
      <c r="AH24" s="49" t="str" cm="1">
        <f t="array" aca="1" ref="AH24" ca="1">_xlfn.IFS(Z24="","",AND(Z24&gt;0,Z24&lt;$AS$12),MROUND($AS$13*($AS$12-Z24+1)/SUMPRODUCT($AS$12-ROW(INDIRECT("1:" &amp; $AS$12 ))),1000),TRUE,0)</f>
        <v/>
      </c>
      <c r="AI24" s="49" t="e">
        <f t="shared" si="11"/>
        <v>#VALUE!</v>
      </c>
      <c r="AJ24" s="49">
        <f t="shared" si="15"/>
        <v>-100</v>
      </c>
      <c r="AK24" s="49"/>
      <c r="AL24" s="49" t="str">
        <f t="shared" si="12"/>
        <v/>
      </c>
      <c r="AM24" s="52" t="str">
        <f>IF(A24&lt;=0,"",_xlfn.XLOOKUP(A24,TL!C:C,TL!C:C))</f>
        <v/>
      </c>
      <c r="AN24" s="52" t="str">
        <f>IF(A24&lt;=0,"",_xlfn.XLOOKUP(A24,Y!C:C,Y!C:C))</f>
        <v/>
      </c>
      <c r="AO24" s="52" t="str">
        <f>IF(A24&lt;=0,"",_xlfn.XLOOKUP(A24,MA!B:B,MA!B:B))</f>
        <v/>
      </c>
    </row>
    <row r="25" spans="1:42" x14ac:dyDescent="0.25">
      <c r="A25" s="444">
        <f>psTn!B26</f>
        <v>0</v>
      </c>
      <c r="B25" s="33">
        <f>psTn!C26</f>
        <v>0</v>
      </c>
      <c r="C25" s="33">
        <f>psTn!D26</f>
        <v>0</v>
      </c>
      <c r="D25" s="33">
        <f>psTn!E26</f>
        <v>0</v>
      </c>
      <c r="E25" s="33">
        <f>psTn!F26</f>
        <v>0</v>
      </c>
      <c r="F25" s="33">
        <f>psTn!G26</f>
        <v>0</v>
      </c>
      <c r="G25" s="44" t="str">
        <f>_xlfn.XLOOKUP(A25,'ps5'!B:B,'ps5'!C:C,"")</f>
        <v/>
      </c>
      <c r="H25" s="44" t="str">
        <f>_xlfn.XLOOKUP(A25,'ps5'!B:B,'ps5'!D:D,"")</f>
        <v/>
      </c>
      <c r="I25" s="44" t="str">
        <f>_xlfn.XLOOKUP(A25,'ps5'!B:B,'ps5'!E:E,"")</f>
        <v/>
      </c>
      <c r="J25" s="44" t="str">
        <f>_xlfn.XLOOKUP(A25,'ps5'!B:B,'ps5'!F:F,"")</f>
        <v/>
      </c>
      <c r="K25" s="44" t="str">
        <f>_xlfn.XLOOKUP(A25,'ps5'!B:B,'ps5'!G:G,"")</f>
        <v/>
      </c>
      <c r="L25" s="44">
        <f t="shared" si="0"/>
        <v>0</v>
      </c>
      <c r="M25" s="44">
        <f t="shared" si="0"/>
        <v>0</v>
      </c>
      <c r="N25" s="44">
        <f t="shared" si="0"/>
        <v>0</v>
      </c>
      <c r="O25" s="50" t="str">
        <f>_xlfn.XLOOKUP(A25,psRk!C:C,psRk!F:F,"")</f>
        <v/>
      </c>
      <c r="P25" s="33" t="str">
        <f>_xlfn.XLOOKUP(A25,psRk!C:C,psRk!G:G,"")</f>
        <v/>
      </c>
      <c r="Q25" s="41" t="str">
        <f>_xlfn.XLOOKUP(A25,psRk!C:C,psRk!H:H,"")</f>
        <v/>
      </c>
      <c r="R25" s="41" t="str">
        <f>_xlfn.XLOOKUP(A25,psRk!C:C,psRk!I:I,"")</f>
        <v/>
      </c>
      <c r="S25" s="27" t="str">
        <f t="shared" si="1"/>
        <v/>
      </c>
      <c r="T25" s="27" t="str">
        <f t="shared" si="2"/>
        <v/>
      </c>
      <c r="U25" s="27" t="str">
        <f t="shared" si="3"/>
        <v/>
      </c>
      <c r="V25" s="27" t="str">
        <f t="shared" si="4"/>
        <v/>
      </c>
      <c r="W25" s="27" t="str">
        <f t="shared" si="5"/>
        <v/>
      </c>
      <c r="X25" s="27" t="str">
        <f t="shared" si="6"/>
        <v/>
      </c>
      <c r="Y25" s="27" t="str">
        <f t="shared" si="7"/>
        <v/>
      </c>
      <c r="Z25" s="47" t="str">
        <f t="shared" si="13"/>
        <v/>
      </c>
      <c r="AA25" s="49" t="str">
        <f t="shared" si="8"/>
        <v/>
      </c>
      <c r="AB25" s="49">
        <f t="shared" si="14"/>
        <v>0</v>
      </c>
      <c r="AC25" s="49" t="str">
        <f t="shared" si="9"/>
        <v/>
      </c>
      <c r="AD25" s="47" t="str">
        <f>_xlfn.XLOOKUP(AC25,Parm!$AN$2:$AN$25,Parm!$AO$2:$AO$25,"")</f>
        <v/>
      </c>
      <c r="AE25" s="49" t="str">
        <f t="shared" si="10"/>
        <v/>
      </c>
      <c r="AF25" s="47" t="str">
        <f>_xlfn.XLOOKUP(AE25,Parm!$AN$2:$AN$25,Parm!$AO$2:$AO$25,"")</f>
        <v/>
      </c>
      <c r="AG25" s="286">
        <f>psTn!A26</f>
        <v>0</v>
      </c>
      <c r="AH25" s="49" t="str" cm="1">
        <f t="array" aca="1" ref="AH25" ca="1">_xlfn.IFS(Z25="","",AND(Z25&gt;0,Z25&lt;$AS$12),MROUND($AS$13*($AS$12-Z25+1)/SUMPRODUCT($AS$12-ROW(INDIRECT("1:" &amp; $AS$12 ))),1000),TRUE,0)</f>
        <v/>
      </c>
      <c r="AI25" s="49" t="e">
        <f t="shared" si="11"/>
        <v>#VALUE!</v>
      </c>
      <c r="AJ25" s="49">
        <f t="shared" si="15"/>
        <v>-100</v>
      </c>
      <c r="AK25" s="49"/>
      <c r="AL25" s="49" t="str">
        <f t="shared" si="12"/>
        <v/>
      </c>
      <c r="AM25" s="52" t="str">
        <f>IF(A25&lt;=0,"",_xlfn.XLOOKUP(A25,TL!C:C,TL!C:C))</f>
        <v/>
      </c>
      <c r="AN25" s="52" t="str">
        <f>IF(A25&lt;=0,"",_xlfn.XLOOKUP(A25,Y!C:C,Y!C:C))</f>
        <v/>
      </c>
      <c r="AO25" s="52" t="str">
        <f>IF(A25&lt;=0,"",_xlfn.XLOOKUP(A25,MA!B:B,MA!B:B))</f>
        <v/>
      </c>
    </row>
    <row r="26" spans="1:42" x14ac:dyDescent="0.25">
      <c r="A26" s="444">
        <f>psTn!B27</f>
        <v>0</v>
      </c>
      <c r="B26" s="33">
        <f>psTn!C27</f>
        <v>0</v>
      </c>
      <c r="C26" s="33">
        <f>psTn!D27</f>
        <v>0</v>
      </c>
      <c r="D26" s="33">
        <f>psTn!E27</f>
        <v>0</v>
      </c>
      <c r="E26" s="33">
        <f>psTn!F27</f>
        <v>0</v>
      </c>
      <c r="F26" s="33">
        <f>psTn!G27</f>
        <v>0</v>
      </c>
      <c r="G26" s="44" t="str">
        <f>_xlfn.XLOOKUP(A26,'ps5'!B:B,'ps5'!C:C,"")</f>
        <v/>
      </c>
      <c r="H26" s="44" t="str">
        <f>_xlfn.XLOOKUP(A26,'ps5'!B:B,'ps5'!D:D,"")</f>
        <v/>
      </c>
      <c r="I26" s="44" t="str">
        <f>_xlfn.XLOOKUP(A26,'ps5'!B:B,'ps5'!E:E,"")</f>
        <v/>
      </c>
      <c r="J26" s="44" t="str">
        <f>_xlfn.XLOOKUP(A26,'ps5'!B:B,'ps5'!F:F,"")</f>
        <v/>
      </c>
      <c r="K26" s="44" t="str">
        <f>_xlfn.XLOOKUP(A26,'ps5'!B:B,'ps5'!G:G,"")</f>
        <v/>
      </c>
      <c r="L26" s="44">
        <f t="shared" si="0"/>
        <v>0</v>
      </c>
      <c r="M26" s="44">
        <f t="shared" si="0"/>
        <v>0</v>
      </c>
      <c r="N26" s="44">
        <f t="shared" si="0"/>
        <v>0</v>
      </c>
      <c r="O26" s="50" t="str">
        <f>_xlfn.XLOOKUP(A26,psRk!C:C,psRk!F:F,"")</f>
        <v/>
      </c>
      <c r="P26" s="33" t="str">
        <f>_xlfn.XLOOKUP(A26,psRk!C:C,psRk!G:G,"")</f>
        <v/>
      </c>
      <c r="Q26" s="41" t="str">
        <f>_xlfn.XLOOKUP(A26,psRk!C:C,psRk!H:H,"")</f>
        <v/>
      </c>
      <c r="R26" s="41" t="str">
        <f>_xlfn.XLOOKUP(A26,psRk!C:C,psRk!I:I,"")</f>
        <v/>
      </c>
      <c r="S26" s="27" t="str">
        <f t="shared" si="1"/>
        <v/>
      </c>
      <c r="T26" s="27" t="str">
        <f t="shared" si="2"/>
        <v/>
      </c>
      <c r="U26" s="27" t="str">
        <f t="shared" si="3"/>
        <v/>
      </c>
      <c r="V26" s="27" t="str">
        <f t="shared" si="4"/>
        <v/>
      </c>
      <c r="W26" s="27" t="str">
        <f t="shared" si="5"/>
        <v/>
      </c>
      <c r="X26" s="27" t="str">
        <f t="shared" si="6"/>
        <v/>
      </c>
      <c r="Y26" s="27" t="str">
        <f t="shared" si="7"/>
        <v/>
      </c>
      <c r="Z26" s="47" t="str">
        <f t="shared" si="13"/>
        <v/>
      </c>
      <c r="AA26" s="49" t="str">
        <f t="shared" si="8"/>
        <v/>
      </c>
      <c r="AB26" s="49">
        <f t="shared" si="14"/>
        <v>0</v>
      </c>
      <c r="AC26" s="49" t="str">
        <f t="shared" si="9"/>
        <v/>
      </c>
      <c r="AD26" s="47" t="str">
        <f>_xlfn.XLOOKUP(AC26,Parm!$AN$2:$AN$25,Parm!$AO$2:$AO$25,"")</f>
        <v/>
      </c>
      <c r="AE26" s="49" t="str">
        <f t="shared" si="10"/>
        <v/>
      </c>
      <c r="AF26" s="47" t="str">
        <f>_xlfn.XLOOKUP(AE26,Parm!$AN$2:$AN$25,Parm!$AO$2:$AO$25,"")</f>
        <v/>
      </c>
      <c r="AG26" s="286">
        <f>psTn!A27</f>
        <v>0</v>
      </c>
      <c r="AH26" s="49" t="str" cm="1">
        <f t="array" aca="1" ref="AH26" ca="1">_xlfn.IFS(Z26="","",AND(Z26&gt;0,Z26&lt;$AS$12),MROUND($AS$13*($AS$12-Z26+1)/SUMPRODUCT($AS$12-ROW(INDIRECT("1:" &amp; $AS$12 ))),1000),TRUE,0)</f>
        <v/>
      </c>
      <c r="AI26" s="49" t="e">
        <f t="shared" si="11"/>
        <v>#VALUE!</v>
      </c>
      <c r="AJ26" s="49">
        <f t="shared" si="15"/>
        <v>-100</v>
      </c>
      <c r="AK26" s="49"/>
      <c r="AL26" s="49" t="str">
        <f t="shared" si="12"/>
        <v/>
      </c>
      <c r="AM26" s="52" t="str">
        <f>IF(A26&lt;=0,"",_xlfn.XLOOKUP(A26,TL!C:C,TL!C:C))</f>
        <v/>
      </c>
      <c r="AN26" s="52" t="str">
        <f>IF(A26&lt;=0,"",_xlfn.XLOOKUP(A26,Y!C:C,Y!C:C))</f>
        <v/>
      </c>
      <c r="AO26" s="52" t="str">
        <f>IF(A26&lt;=0,"",_xlfn.XLOOKUP(A26,MA!B:B,MA!B:B))</f>
        <v/>
      </c>
    </row>
    <row r="27" spans="1:42" x14ac:dyDescent="0.25">
      <c r="A27" s="444">
        <f>psTn!B28</f>
        <v>0</v>
      </c>
      <c r="B27" s="33">
        <f>psTn!C28</f>
        <v>0</v>
      </c>
      <c r="C27" s="33">
        <f>psTn!D28</f>
        <v>0</v>
      </c>
      <c r="D27" s="33">
        <f>psTn!E28</f>
        <v>0</v>
      </c>
      <c r="E27" s="33">
        <f>psTn!F28</f>
        <v>0</v>
      </c>
      <c r="F27" s="33">
        <f>psTn!G28</f>
        <v>0</v>
      </c>
      <c r="G27" s="44" t="str">
        <f>_xlfn.XLOOKUP(A27,'ps5'!B:B,'ps5'!C:C,"")</f>
        <v/>
      </c>
      <c r="H27" s="44" t="str">
        <f>_xlfn.XLOOKUP(A27,'ps5'!B:B,'ps5'!D:D,"")</f>
        <v/>
      </c>
      <c r="I27" s="44" t="str">
        <f>_xlfn.XLOOKUP(A27,'ps5'!B:B,'ps5'!E:E,"")</f>
        <v/>
      </c>
      <c r="J27" s="44" t="str">
        <f>_xlfn.XLOOKUP(A27,'ps5'!B:B,'ps5'!F:F,"")</f>
        <v/>
      </c>
      <c r="K27" s="44" t="str">
        <f>_xlfn.XLOOKUP(A27,'ps5'!B:B,'ps5'!G:G,"")</f>
        <v/>
      </c>
      <c r="L27" s="44">
        <f t="shared" si="0"/>
        <v>0</v>
      </c>
      <c r="M27" s="44">
        <f t="shared" si="0"/>
        <v>0</v>
      </c>
      <c r="N27" s="44">
        <f t="shared" si="0"/>
        <v>0</v>
      </c>
      <c r="O27" s="50" t="str">
        <f>_xlfn.XLOOKUP(A27,psRk!C:C,psRk!F:F,"")</f>
        <v/>
      </c>
      <c r="P27" s="33" t="str">
        <f>_xlfn.XLOOKUP(A27,psRk!C:C,psRk!G:G,"")</f>
        <v/>
      </c>
      <c r="Q27" s="41" t="str">
        <f>_xlfn.XLOOKUP(A27,psRk!C:C,psRk!H:H,"")</f>
        <v/>
      </c>
      <c r="R27" s="41" t="str">
        <f>_xlfn.XLOOKUP(A27,psRk!C:C,psRk!I:I,"")</f>
        <v/>
      </c>
      <c r="S27" s="27" t="str">
        <f t="shared" si="1"/>
        <v/>
      </c>
      <c r="T27" s="27" t="str">
        <f t="shared" si="2"/>
        <v/>
      </c>
      <c r="U27" s="27" t="str">
        <f t="shared" si="3"/>
        <v/>
      </c>
      <c r="V27" s="27" t="str">
        <f t="shared" si="4"/>
        <v/>
      </c>
      <c r="W27" s="27" t="str">
        <f t="shared" si="5"/>
        <v/>
      </c>
      <c r="X27" s="27" t="str">
        <f t="shared" si="6"/>
        <v/>
      </c>
      <c r="Y27" s="27" t="str">
        <f t="shared" si="7"/>
        <v/>
      </c>
      <c r="Z27" s="47" t="str">
        <f t="shared" si="13"/>
        <v/>
      </c>
      <c r="AA27" s="49" t="str">
        <f t="shared" si="8"/>
        <v/>
      </c>
      <c r="AB27" s="49">
        <f t="shared" si="14"/>
        <v>0</v>
      </c>
      <c r="AC27" s="49" t="str">
        <f t="shared" si="9"/>
        <v/>
      </c>
      <c r="AD27" s="47" t="str">
        <f>_xlfn.XLOOKUP(AC27,Parm!$AN$2:$AN$25,Parm!$AO$2:$AO$25,"")</f>
        <v/>
      </c>
      <c r="AE27" s="49" t="str">
        <f t="shared" si="10"/>
        <v/>
      </c>
      <c r="AF27" s="47" t="str">
        <f>_xlfn.XLOOKUP(AE27,Parm!$AN$2:$AN$25,Parm!$AO$2:$AO$25,"")</f>
        <v/>
      </c>
      <c r="AG27" s="286">
        <f>psTn!A28</f>
        <v>0</v>
      </c>
      <c r="AH27" s="49" t="str" cm="1">
        <f t="array" aca="1" ref="AH27" ca="1">_xlfn.IFS(Z27="","",AND(Z27&gt;0,Z27&lt;$AS$12),MROUND($AS$13*($AS$12-Z27+1)/SUMPRODUCT($AS$12-ROW(INDIRECT("1:" &amp; $AS$12 ))),1000),TRUE,0)</f>
        <v/>
      </c>
      <c r="AI27" s="49" t="e">
        <f t="shared" si="11"/>
        <v>#VALUE!</v>
      </c>
      <c r="AJ27" s="49">
        <f t="shared" si="15"/>
        <v>-100</v>
      </c>
      <c r="AK27" s="49"/>
      <c r="AL27" s="49" t="str">
        <f t="shared" si="12"/>
        <v/>
      </c>
      <c r="AM27" s="52" t="str">
        <f>IF(A27&lt;=0,"",_xlfn.XLOOKUP(A27,TL!C:C,TL!C:C))</f>
        <v/>
      </c>
      <c r="AN27" s="52" t="str">
        <f>IF(A27&lt;=0,"",_xlfn.XLOOKUP(A27,Y!C:C,Y!C:C))</f>
        <v/>
      </c>
      <c r="AO27" s="52" t="str">
        <f>IF(A27&lt;=0,"",_xlfn.XLOOKUP(A27,MA!B:B,MA!B:B))</f>
        <v/>
      </c>
    </row>
    <row r="28" spans="1:42" x14ac:dyDescent="0.25">
      <c r="A28" s="444">
        <f>psTn!B29</f>
        <v>0</v>
      </c>
      <c r="B28" s="33">
        <f>psTn!C29</f>
        <v>0</v>
      </c>
      <c r="C28" s="33">
        <f>psTn!D29</f>
        <v>0</v>
      </c>
      <c r="D28" s="33">
        <f>psTn!E29</f>
        <v>0</v>
      </c>
      <c r="E28" s="33">
        <f>psTn!F29</f>
        <v>0</v>
      </c>
      <c r="F28" s="33">
        <f>psTn!G29</f>
        <v>0</v>
      </c>
      <c r="G28" s="44" t="str">
        <f>_xlfn.XLOOKUP(A28,'ps5'!B:B,'ps5'!C:C,"")</f>
        <v/>
      </c>
      <c r="H28" s="44" t="str">
        <f>_xlfn.XLOOKUP(A28,'ps5'!B:B,'ps5'!D:D,"")</f>
        <v/>
      </c>
      <c r="I28" s="44" t="str">
        <f>_xlfn.XLOOKUP(A28,'ps5'!B:B,'ps5'!E:E,"")</f>
        <v/>
      </c>
      <c r="J28" s="44" t="str">
        <f>_xlfn.XLOOKUP(A28,'ps5'!B:B,'ps5'!F:F,"")</f>
        <v/>
      </c>
      <c r="K28" s="44" t="str">
        <f>_xlfn.XLOOKUP(A28,'ps5'!B:B,'ps5'!G:G,"")</f>
        <v/>
      </c>
      <c r="L28" s="44">
        <f t="shared" si="0"/>
        <v>0</v>
      </c>
      <c r="M28" s="44">
        <f t="shared" si="0"/>
        <v>0</v>
      </c>
      <c r="N28" s="44">
        <f t="shared" si="0"/>
        <v>0</v>
      </c>
      <c r="O28" s="50" t="str">
        <f>_xlfn.XLOOKUP(A28,psRk!C:C,psRk!F:F,"")</f>
        <v/>
      </c>
      <c r="P28" s="33" t="str">
        <f>_xlfn.XLOOKUP(A28,psRk!C:C,psRk!G:G,"")</f>
        <v/>
      </c>
      <c r="Q28" s="41" t="str">
        <f>_xlfn.XLOOKUP(A28,psRk!C:C,psRk!H:H,"")</f>
        <v/>
      </c>
      <c r="R28" s="41" t="str">
        <f>_xlfn.XLOOKUP(A28,psRk!C:C,psRk!I:I,"")</f>
        <v/>
      </c>
      <c r="S28" s="27" t="str">
        <f t="shared" si="1"/>
        <v/>
      </c>
      <c r="T28" s="27" t="str">
        <f t="shared" si="2"/>
        <v/>
      </c>
      <c r="U28" s="27" t="str">
        <f t="shared" si="3"/>
        <v/>
      </c>
      <c r="V28" s="27" t="str">
        <f t="shared" si="4"/>
        <v/>
      </c>
      <c r="W28" s="27" t="str">
        <f t="shared" si="5"/>
        <v/>
      </c>
      <c r="X28" s="27" t="str">
        <f t="shared" si="6"/>
        <v/>
      </c>
      <c r="Y28" s="27" t="str">
        <f t="shared" si="7"/>
        <v/>
      </c>
      <c r="Z28" s="47" t="str">
        <f t="shared" si="13"/>
        <v/>
      </c>
      <c r="AA28" s="49" t="str">
        <f t="shared" si="8"/>
        <v/>
      </c>
      <c r="AB28" s="49">
        <f t="shared" si="14"/>
        <v>0</v>
      </c>
      <c r="AC28" s="49" t="str">
        <f t="shared" si="9"/>
        <v/>
      </c>
      <c r="AD28" s="47" t="str">
        <f>_xlfn.XLOOKUP(AC28,Parm!$AN$2:$AN$25,Parm!$AO$2:$AO$25,"")</f>
        <v/>
      </c>
      <c r="AE28" s="49" t="str">
        <f t="shared" si="10"/>
        <v/>
      </c>
      <c r="AF28" s="47" t="str">
        <f>_xlfn.XLOOKUP(AE28,Parm!$AN$2:$AN$25,Parm!$AO$2:$AO$25,"")</f>
        <v/>
      </c>
      <c r="AG28" s="286">
        <f>psTn!A29</f>
        <v>0</v>
      </c>
      <c r="AH28" s="49" t="str" cm="1">
        <f t="array" aca="1" ref="AH28" ca="1">_xlfn.IFS(Z28="","",AND(Z28&gt;0,Z28&lt;$AS$12),MROUND($AS$13*($AS$12-Z28+1)/SUMPRODUCT($AS$12-ROW(INDIRECT("1:" &amp; $AS$12 ))),1000),TRUE,0)</f>
        <v/>
      </c>
      <c r="AI28" s="49" t="e">
        <f t="shared" si="11"/>
        <v>#VALUE!</v>
      </c>
      <c r="AJ28" s="49">
        <f t="shared" si="15"/>
        <v>-100</v>
      </c>
      <c r="AK28" s="49"/>
      <c r="AL28" s="49" t="str">
        <f t="shared" si="12"/>
        <v/>
      </c>
      <c r="AM28" s="52" t="str">
        <f>IF(A28&lt;=0,"",_xlfn.XLOOKUP(A28,TL!C:C,TL!C:C))</f>
        <v/>
      </c>
      <c r="AN28" s="52" t="str">
        <f>IF(A28&lt;=0,"",_xlfn.XLOOKUP(A28,Y!C:C,Y!C:C))</f>
        <v/>
      </c>
      <c r="AO28" s="52" t="str">
        <f>IF(A28&lt;=0,"",_xlfn.XLOOKUP(A28,MA!B:B,MA!B:B))</f>
        <v/>
      </c>
    </row>
    <row r="29" spans="1:42" x14ac:dyDescent="0.25">
      <c r="A29" s="444">
        <f>psTn!B30</f>
        <v>0</v>
      </c>
      <c r="B29" s="33">
        <f>psTn!C30</f>
        <v>0</v>
      </c>
      <c r="C29" s="33">
        <f>psTn!D30</f>
        <v>0</v>
      </c>
      <c r="D29" s="33">
        <f>psTn!E30</f>
        <v>0</v>
      </c>
      <c r="E29" s="33">
        <f>psTn!F30</f>
        <v>0</v>
      </c>
      <c r="F29" s="33">
        <f>psTn!G30</f>
        <v>0</v>
      </c>
      <c r="G29" s="44" t="str">
        <f>_xlfn.XLOOKUP(A29,'ps5'!B:B,'ps5'!C:C,"")</f>
        <v/>
      </c>
      <c r="H29" s="44" t="str">
        <f>_xlfn.XLOOKUP(A29,'ps5'!B:B,'ps5'!D:D,"")</f>
        <v/>
      </c>
      <c r="I29" s="44" t="str">
        <f>_xlfn.XLOOKUP(A29,'ps5'!B:B,'ps5'!E:E,"")</f>
        <v/>
      </c>
      <c r="J29" s="44" t="str">
        <f>_xlfn.XLOOKUP(A29,'ps5'!B:B,'ps5'!F:F,"")</f>
        <v/>
      </c>
      <c r="K29" s="44" t="str">
        <f>_xlfn.XLOOKUP(A29,'ps5'!B:B,'ps5'!G:G,"")</f>
        <v/>
      </c>
      <c r="L29" s="44">
        <f t="shared" si="0"/>
        <v>0</v>
      </c>
      <c r="M29" s="44">
        <f t="shared" si="0"/>
        <v>0</v>
      </c>
      <c r="N29" s="44">
        <f t="shared" si="0"/>
        <v>0</v>
      </c>
      <c r="O29" s="50" t="str">
        <f>_xlfn.XLOOKUP(A29,psRk!C:C,psRk!F:F,"")</f>
        <v/>
      </c>
      <c r="P29" s="33" t="str">
        <f>_xlfn.XLOOKUP(A29,psRk!C:C,psRk!G:G,"")</f>
        <v/>
      </c>
      <c r="Q29" s="41" t="str">
        <f>_xlfn.XLOOKUP(A29,psRk!C:C,psRk!H:H,"")</f>
        <v/>
      </c>
      <c r="R29" s="41" t="str">
        <f>_xlfn.XLOOKUP(A29,psRk!C:C,psRk!I:I,"")</f>
        <v/>
      </c>
      <c r="S29" s="27" t="str">
        <f t="shared" si="1"/>
        <v/>
      </c>
      <c r="T29" s="27" t="str">
        <f t="shared" si="2"/>
        <v/>
      </c>
      <c r="U29" s="27" t="str">
        <f t="shared" si="3"/>
        <v/>
      </c>
      <c r="V29" s="27" t="str">
        <f t="shared" si="4"/>
        <v/>
      </c>
      <c r="W29" s="27" t="str">
        <f t="shared" si="5"/>
        <v/>
      </c>
      <c r="X29" s="27" t="str">
        <f t="shared" si="6"/>
        <v/>
      </c>
      <c r="Y29" s="27" t="str">
        <f t="shared" si="7"/>
        <v/>
      </c>
      <c r="Z29" s="47" t="str">
        <f t="shared" si="13"/>
        <v/>
      </c>
      <c r="AA29" s="49" t="str">
        <f t="shared" si="8"/>
        <v/>
      </c>
      <c r="AB29" s="49">
        <f t="shared" si="14"/>
        <v>0</v>
      </c>
      <c r="AC29" s="49" t="str">
        <f t="shared" si="9"/>
        <v/>
      </c>
      <c r="AD29" s="47" t="str">
        <f>_xlfn.XLOOKUP(AC29,Parm!$AN$2:$AN$25,Parm!$AO$2:$AO$25,"")</f>
        <v/>
      </c>
      <c r="AE29" s="49" t="str">
        <f t="shared" si="10"/>
        <v/>
      </c>
      <c r="AF29" s="47" t="str">
        <f>_xlfn.XLOOKUP(AE29,Parm!$AN$2:$AN$25,Parm!$AO$2:$AO$25,"")</f>
        <v/>
      </c>
      <c r="AG29" s="286">
        <f>psTn!A30</f>
        <v>0</v>
      </c>
      <c r="AH29" s="49" t="str" cm="1">
        <f t="array" aca="1" ref="AH29" ca="1">_xlfn.IFS(Z29="","",AND(Z29&gt;0,Z29&lt;$AS$12),MROUND($AS$13*($AS$12-Z29+1)/SUMPRODUCT($AS$12-ROW(INDIRECT("1:" &amp; $AS$12 ))),1000),TRUE,0)</f>
        <v/>
      </c>
      <c r="AI29" s="49" t="e">
        <f t="shared" si="11"/>
        <v>#VALUE!</v>
      </c>
      <c r="AJ29" s="49">
        <f t="shared" si="15"/>
        <v>-100</v>
      </c>
      <c r="AK29" s="49"/>
      <c r="AL29" s="49" t="str">
        <f t="shared" si="12"/>
        <v/>
      </c>
      <c r="AM29" s="52" t="str">
        <f>IF(A29&lt;=0,"",_xlfn.XLOOKUP(A29,TL!C:C,TL!C:C))</f>
        <v/>
      </c>
      <c r="AN29" s="52" t="str">
        <f>IF(A29&lt;=0,"",_xlfn.XLOOKUP(A29,Y!C:C,Y!C:C))</f>
        <v/>
      </c>
      <c r="AO29" s="52" t="str">
        <f>IF(A29&lt;=0,"",_xlfn.XLOOKUP(A29,MA!B:B,MA!B:B))</f>
        <v/>
      </c>
    </row>
    <row r="30" spans="1:42" x14ac:dyDescent="0.25">
      <c r="A30" s="444">
        <f>psTn!B31</f>
        <v>0</v>
      </c>
      <c r="B30" s="33">
        <f>psTn!C31</f>
        <v>0</v>
      </c>
      <c r="C30" s="33">
        <f>psTn!D31</f>
        <v>0</v>
      </c>
      <c r="D30" s="33">
        <f>psTn!E31</f>
        <v>0</v>
      </c>
      <c r="E30" s="33">
        <f>psTn!F31</f>
        <v>0</v>
      </c>
      <c r="F30" s="33">
        <f>psTn!G31</f>
        <v>0</v>
      </c>
      <c r="G30" s="44" t="str">
        <f>_xlfn.XLOOKUP(A30,'ps5'!B:B,'ps5'!C:C,"")</f>
        <v/>
      </c>
      <c r="H30" s="44" t="str">
        <f>_xlfn.XLOOKUP(A30,'ps5'!B:B,'ps5'!D:D,"")</f>
        <v/>
      </c>
      <c r="I30" s="44" t="str">
        <f>_xlfn.XLOOKUP(A30,'ps5'!B:B,'ps5'!E:E,"")</f>
        <v/>
      </c>
      <c r="J30" s="44" t="str">
        <f>_xlfn.XLOOKUP(A30,'ps5'!B:B,'ps5'!F:F,"")</f>
        <v/>
      </c>
      <c r="K30" s="44" t="str">
        <f>_xlfn.XLOOKUP(A30,'ps5'!B:B,'ps5'!G:G,"")</f>
        <v/>
      </c>
      <c r="L30" s="44">
        <f t="shared" si="0"/>
        <v>0</v>
      </c>
      <c r="M30" s="44">
        <f t="shared" si="0"/>
        <v>0</v>
      </c>
      <c r="N30" s="44">
        <f t="shared" si="0"/>
        <v>0</v>
      </c>
      <c r="O30" s="50" t="str">
        <f>_xlfn.XLOOKUP(A30,psRk!C:C,psRk!F:F,"")</f>
        <v/>
      </c>
      <c r="P30" s="33" t="str">
        <f>_xlfn.XLOOKUP(A30,psRk!C:C,psRk!G:G,"")</f>
        <v/>
      </c>
      <c r="Q30" s="41" t="str">
        <f>_xlfn.XLOOKUP(A30,psRk!C:C,psRk!H:H,"")</f>
        <v/>
      </c>
      <c r="R30" s="41" t="str">
        <f>_xlfn.XLOOKUP(A30,psRk!C:C,psRk!I:I,"")</f>
        <v/>
      </c>
      <c r="S30" s="27" t="str">
        <f t="shared" si="1"/>
        <v/>
      </c>
      <c r="T30" s="27" t="str">
        <f t="shared" si="2"/>
        <v/>
      </c>
      <c r="U30" s="27" t="str">
        <f t="shared" si="3"/>
        <v/>
      </c>
      <c r="V30" s="27" t="str">
        <f t="shared" si="4"/>
        <v/>
      </c>
      <c r="W30" s="27" t="str">
        <f t="shared" si="5"/>
        <v/>
      </c>
      <c r="X30" s="27" t="str">
        <f t="shared" si="6"/>
        <v/>
      </c>
      <c r="Y30" s="27" t="str">
        <f t="shared" si="7"/>
        <v/>
      </c>
      <c r="Z30" s="47" t="str">
        <f t="shared" si="13"/>
        <v/>
      </c>
      <c r="AA30" s="49" t="str">
        <f t="shared" si="8"/>
        <v/>
      </c>
      <c r="AB30" s="49">
        <f t="shared" si="14"/>
        <v>0</v>
      </c>
      <c r="AC30" s="49" t="str">
        <f t="shared" si="9"/>
        <v/>
      </c>
      <c r="AD30" s="47" t="str">
        <f>_xlfn.XLOOKUP(AC30,Parm!$AN$2:$AN$25,Parm!$AO$2:$AO$25,"")</f>
        <v/>
      </c>
      <c r="AE30" s="49" t="str">
        <f t="shared" si="10"/>
        <v/>
      </c>
      <c r="AF30" s="47" t="str">
        <f>_xlfn.XLOOKUP(AE30,Parm!$AN$2:$AN$25,Parm!$AO$2:$AO$25,"")</f>
        <v/>
      </c>
      <c r="AG30" s="286">
        <f>psTn!A31</f>
        <v>0</v>
      </c>
      <c r="AH30" s="49" t="str" cm="1">
        <f t="array" aca="1" ref="AH30" ca="1">_xlfn.IFS(Z30="","",AND(Z30&gt;0,Z30&lt;$AS$12),MROUND($AS$13*($AS$12-Z30+1)/SUMPRODUCT($AS$12-ROW(INDIRECT("1:" &amp; $AS$12 ))),1000),TRUE,0)</f>
        <v/>
      </c>
      <c r="AI30" s="49" t="e">
        <f t="shared" si="11"/>
        <v>#VALUE!</v>
      </c>
      <c r="AJ30" s="49">
        <f t="shared" si="15"/>
        <v>-100</v>
      </c>
      <c r="AK30" s="49"/>
      <c r="AL30" s="49" t="str">
        <f t="shared" si="12"/>
        <v/>
      </c>
      <c r="AM30" s="52" t="str">
        <f>IF(A30&lt;=0,"",_xlfn.XLOOKUP(A30,TL!C:C,TL!C:C))</f>
        <v/>
      </c>
      <c r="AN30" s="52" t="str">
        <f>IF(A30&lt;=0,"",_xlfn.XLOOKUP(A30,Y!C:C,Y!C:C))</f>
        <v/>
      </c>
      <c r="AO30" s="52" t="str">
        <f>IF(A30&lt;=0,"",_xlfn.XLOOKUP(A30,MA!B:B,MA!B:B))</f>
        <v/>
      </c>
    </row>
    <row r="31" spans="1:42" x14ac:dyDescent="0.25">
      <c r="A31" s="444">
        <f>psTn!B32</f>
        <v>0</v>
      </c>
      <c r="B31" s="33">
        <f>psTn!C32</f>
        <v>0</v>
      </c>
      <c r="C31" s="33">
        <f>psTn!D32</f>
        <v>0</v>
      </c>
      <c r="D31" s="33">
        <f>psTn!E32</f>
        <v>0</v>
      </c>
      <c r="E31" s="33">
        <f>psTn!F32</f>
        <v>0</v>
      </c>
      <c r="F31" s="33">
        <f>psTn!G32</f>
        <v>0</v>
      </c>
      <c r="G31" s="44" t="str">
        <f>_xlfn.XLOOKUP(A31,'ps5'!B:B,'ps5'!C:C,"")</f>
        <v/>
      </c>
      <c r="H31" s="44" t="str">
        <f>_xlfn.XLOOKUP(A31,'ps5'!B:B,'ps5'!D:D,"")</f>
        <v/>
      </c>
      <c r="I31" s="44" t="str">
        <f>_xlfn.XLOOKUP(A31,'ps5'!B:B,'ps5'!E:E,"")</f>
        <v/>
      </c>
      <c r="J31" s="44" t="str">
        <f>_xlfn.XLOOKUP(A31,'ps5'!B:B,'ps5'!F:F,"")</f>
        <v/>
      </c>
      <c r="K31" s="44" t="str">
        <f>_xlfn.XLOOKUP(A31,'ps5'!B:B,'ps5'!G:G,"")</f>
        <v/>
      </c>
      <c r="L31" s="44">
        <f t="shared" si="0"/>
        <v>0</v>
      </c>
      <c r="M31" s="44">
        <f t="shared" si="0"/>
        <v>0</v>
      </c>
      <c r="N31" s="44">
        <f t="shared" si="0"/>
        <v>0</v>
      </c>
      <c r="O31" s="50" t="str">
        <f>_xlfn.XLOOKUP(A31,psRk!C:C,psRk!F:F,"")</f>
        <v/>
      </c>
      <c r="P31" s="33" t="str">
        <f>_xlfn.XLOOKUP(A31,psRk!C:C,psRk!G:G,"")</f>
        <v/>
      </c>
      <c r="Q31" s="41" t="str">
        <f>_xlfn.XLOOKUP(A31,psRk!C:C,psRk!H:H,"")</f>
        <v/>
      </c>
      <c r="R31" s="41" t="str">
        <f>_xlfn.XLOOKUP(A31,psRk!C:C,psRk!I:I,"")</f>
        <v/>
      </c>
      <c r="S31" s="27" t="str">
        <f t="shared" si="1"/>
        <v/>
      </c>
      <c r="T31" s="27" t="str">
        <f t="shared" si="2"/>
        <v/>
      </c>
      <c r="U31" s="27" t="str">
        <f t="shared" si="3"/>
        <v/>
      </c>
      <c r="V31" s="27" t="str">
        <f t="shared" si="4"/>
        <v/>
      </c>
      <c r="W31" s="27" t="str">
        <f t="shared" si="5"/>
        <v/>
      </c>
      <c r="X31" s="27" t="str">
        <f t="shared" si="6"/>
        <v/>
      </c>
      <c r="Y31" s="27" t="str">
        <f t="shared" si="7"/>
        <v/>
      </c>
      <c r="Z31" s="47" t="str">
        <f t="shared" si="13"/>
        <v/>
      </c>
      <c r="AA31" s="49" t="str">
        <f t="shared" si="8"/>
        <v/>
      </c>
      <c r="AB31" s="49">
        <f t="shared" si="14"/>
        <v>0</v>
      </c>
      <c r="AC31" s="49" t="str">
        <f t="shared" si="9"/>
        <v/>
      </c>
      <c r="AD31" s="47" t="str">
        <f>_xlfn.XLOOKUP(AC31,Parm!$AN$2:$AN$25,Parm!$AO$2:$AO$25,"")</f>
        <v/>
      </c>
      <c r="AE31" s="49" t="str">
        <f t="shared" si="10"/>
        <v/>
      </c>
      <c r="AF31" s="47" t="str">
        <f>_xlfn.XLOOKUP(AE31,Parm!$AN$2:$AN$25,Parm!$AO$2:$AO$25,"")</f>
        <v/>
      </c>
      <c r="AG31" s="286">
        <f>psTn!A32</f>
        <v>0</v>
      </c>
      <c r="AH31" s="49" t="str" cm="1">
        <f t="array" aca="1" ref="AH31" ca="1">_xlfn.IFS(Z31="","",AND(Z31&gt;0,Z31&lt;$AS$12),MROUND($AS$13*($AS$12-Z31+1)/SUMPRODUCT($AS$12-ROW(INDIRECT("1:" &amp; $AS$12 ))),1000),TRUE,0)</f>
        <v/>
      </c>
      <c r="AI31" s="49" t="e">
        <f t="shared" si="11"/>
        <v>#VALUE!</v>
      </c>
      <c r="AJ31" s="49">
        <f t="shared" si="15"/>
        <v>-100</v>
      </c>
      <c r="AK31" s="49"/>
      <c r="AL31" s="49" t="str">
        <f t="shared" si="12"/>
        <v/>
      </c>
      <c r="AM31" s="52" t="str">
        <f>IF(A31&lt;=0,"",_xlfn.XLOOKUP(A31,TL!C:C,TL!C:C))</f>
        <v/>
      </c>
      <c r="AN31" s="52" t="str">
        <f>IF(A31&lt;=0,"",_xlfn.XLOOKUP(A31,Y!C:C,Y!C:C))</f>
        <v/>
      </c>
      <c r="AO31" s="52" t="str">
        <f>IF(A31&lt;=0,"",_xlfn.XLOOKUP(A31,MA!B:B,MA!B:B))</f>
        <v/>
      </c>
    </row>
    <row r="32" spans="1:42" x14ac:dyDescent="0.25">
      <c r="A32" s="444">
        <f>psTn!B33</f>
        <v>0</v>
      </c>
      <c r="B32" s="33">
        <f>psTn!C33</f>
        <v>0</v>
      </c>
      <c r="C32" s="33">
        <f>psTn!D33</f>
        <v>0</v>
      </c>
      <c r="D32" s="33">
        <f>psTn!E33</f>
        <v>0</v>
      </c>
      <c r="E32" s="33">
        <f>psTn!F33</f>
        <v>0</v>
      </c>
      <c r="F32" s="33">
        <f>psTn!G33</f>
        <v>0</v>
      </c>
      <c r="G32" s="44" t="str">
        <f>_xlfn.XLOOKUP(A32,'ps5'!B:B,'ps5'!C:C,"")</f>
        <v/>
      </c>
      <c r="H32" s="44" t="str">
        <f>_xlfn.XLOOKUP(A32,'ps5'!B:B,'ps5'!D:D,"")</f>
        <v/>
      </c>
      <c r="I32" s="44" t="str">
        <f>_xlfn.XLOOKUP(A32,'ps5'!B:B,'ps5'!E:E,"")</f>
        <v/>
      </c>
      <c r="J32" s="44" t="str">
        <f>_xlfn.XLOOKUP(A32,'ps5'!B:B,'ps5'!F:F,"")</f>
        <v/>
      </c>
      <c r="K32" s="44" t="str">
        <f>_xlfn.XLOOKUP(A32,'ps5'!B:B,'ps5'!G:G,"")</f>
        <v/>
      </c>
      <c r="L32" s="44">
        <f t="shared" si="0"/>
        <v>0</v>
      </c>
      <c r="M32" s="44">
        <f t="shared" si="0"/>
        <v>0</v>
      </c>
      <c r="N32" s="44">
        <f t="shared" si="0"/>
        <v>0</v>
      </c>
      <c r="O32" s="50" t="str">
        <f>_xlfn.XLOOKUP(A32,psRk!C:C,psRk!F:F,"")</f>
        <v/>
      </c>
      <c r="P32" s="33" t="str">
        <f>_xlfn.XLOOKUP(A32,psRk!C:C,psRk!G:G,"")</f>
        <v/>
      </c>
      <c r="Q32" s="41" t="str">
        <f>_xlfn.XLOOKUP(A32,psRk!C:C,psRk!H:H,"")</f>
        <v/>
      </c>
      <c r="R32" s="41" t="str">
        <f>_xlfn.XLOOKUP(A32,psRk!C:C,psRk!I:I,"")</f>
        <v/>
      </c>
      <c r="S32" s="27" t="str">
        <f t="shared" si="1"/>
        <v/>
      </c>
      <c r="T32" s="27" t="str">
        <f t="shared" si="2"/>
        <v/>
      </c>
      <c r="U32" s="27" t="str">
        <f t="shared" si="3"/>
        <v/>
      </c>
      <c r="V32" s="27" t="str">
        <f t="shared" si="4"/>
        <v/>
      </c>
      <c r="W32" s="27" t="str">
        <f t="shared" si="5"/>
        <v/>
      </c>
      <c r="X32" s="27" t="str">
        <f t="shared" si="6"/>
        <v/>
      </c>
      <c r="Y32" s="27" t="str">
        <f t="shared" si="7"/>
        <v/>
      </c>
      <c r="Z32" s="47" t="str">
        <f t="shared" si="13"/>
        <v/>
      </c>
      <c r="AA32" s="49" t="str">
        <f t="shared" si="8"/>
        <v/>
      </c>
      <c r="AB32" s="49">
        <f t="shared" si="14"/>
        <v>0</v>
      </c>
      <c r="AC32" s="49" t="str">
        <f t="shared" si="9"/>
        <v/>
      </c>
      <c r="AD32" s="47" t="str">
        <f>_xlfn.XLOOKUP(AC32,Parm!$AN$2:$AN$25,Parm!$AO$2:$AO$25,"")</f>
        <v/>
      </c>
      <c r="AE32" s="49" t="str">
        <f t="shared" si="10"/>
        <v/>
      </c>
      <c r="AF32" s="47" t="str">
        <f>_xlfn.XLOOKUP(AE32,Parm!$AN$2:$AN$25,Parm!$AO$2:$AO$25,"")</f>
        <v/>
      </c>
      <c r="AG32" s="286">
        <f>psTn!A33</f>
        <v>0</v>
      </c>
      <c r="AH32" s="49" t="str" cm="1">
        <f t="array" aca="1" ref="AH32" ca="1">_xlfn.IFS(Z32="","",AND(Z32&gt;0,Z32&lt;$AS$12),MROUND($AS$13*($AS$12-Z32+1)/SUMPRODUCT($AS$12-ROW(INDIRECT("1:" &amp; $AS$12 ))),1000),TRUE,0)</f>
        <v/>
      </c>
      <c r="AI32" s="49" t="e">
        <f t="shared" si="11"/>
        <v>#VALUE!</v>
      </c>
      <c r="AJ32" s="49">
        <f t="shared" si="15"/>
        <v>-100</v>
      </c>
      <c r="AK32" s="49"/>
      <c r="AL32" s="49" t="str">
        <f t="shared" si="12"/>
        <v/>
      </c>
      <c r="AM32" s="52" t="str">
        <f>IF(A32&lt;=0,"",_xlfn.XLOOKUP(A32,TL!C:C,TL!C:C))</f>
        <v/>
      </c>
      <c r="AN32" s="52" t="str">
        <f>IF(A32&lt;=0,"",_xlfn.XLOOKUP(A32,Y!C:C,Y!C:C))</f>
        <v/>
      </c>
      <c r="AO32" s="52" t="str">
        <f>IF(A32&lt;=0,"",_xlfn.XLOOKUP(A32,MA!B:B,MA!B:B))</f>
        <v/>
      </c>
    </row>
    <row r="33" spans="1:41" x14ac:dyDescent="0.25">
      <c r="A33" s="444">
        <f>psTn!B34</f>
        <v>0</v>
      </c>
      <c r="B33" s="33">
        <f>psTn!C34</f>
        <v>0</v>
      </c>
      <c r="C33" s="33">
        <f>psTn!D34</f>
        <v>0</v>
      </c>
      <c r="D33" s="33">
        <f>psTn!E34</f>
        <v>0</v>
      </c>
      <c r="E33" s="33">
        <f>psTn!F34</f>
        <v>0</v>
      </c>
      <c r="F33" s="33">
        <f>psTn!G34</f>
        <v>0</v>
      </c>
      <c r="G33" s="44" t="str">
        <f>_xlfn.XLOOKUP(A33,'ps5'!B:B,'ps5'!C:C,"")</f>
        <v/>
      </c>
      <c r="H33" s="44" t="str">
        <f>_xlfn.XLOOKUP(A33,'ps5'!B:B,'ps5'!D:D,"")</f>
        <v/>
      </c>
      <c r="I33" s="44" t="str">
        <f>_xlfn.XLOOKUP(A33,'ps5'!B:B,'ps5'!E:E,"")</f>
        <v/>
      </c>
      <c r="J33" s="44" t="str">
        <f>_xlfn.XLOOKUP(A33,'ps5'!B:B,'ps5'!F:F,"")</f>
        <v/>
      </c>
      <c r="K33" s="44" t="str">
        <f>_xlfn.XLOOKUP(A33,'ps5'!B:B,'ps5'!G:G,"")</f>
        <v/>
      </c>
      <c r="L33" s="44">
        <f t="shared" si="0"/>
        <v>0</v>
      </c>
      <c r="M33" s="44">
        <f t="shared" si="0"/>
        <v>0</v>
      </c>
      <c r="N33" s="44">
        <f t="shared" si="0"/>
        <v>0</v>
      </c>
      <c r="O33" s="50" t="str">
        <f>_xlfn.XLOOKUP(A33,psRk!C:C,psRk!F:F,"")</f>
        <v/>
      </c>
      <c r="P33" s="33" t="str">
        <f>_xlfn.XLOOKUP(A33,psRk!C:C,psRk!G:G,"")</f>
        <v/>
      </c>
      <c r="Q33" s="41" t="str">
        <f>_xlfn.XLOOKUP(A33,psRk!C:C,psRk!H:H,"")</f>
        <v/>
      </c>
      <c r="R33" s="41" t="str">
        <f>_xlfn.XLOOKUP(A33,psRk!C:C,psRk!I:I,"")</f>
        <v/>
      </c>
      <c r="S33" s="27" t="str">
        <f t="shared" si="1"/>
        <v/>
      </c>
      <c r="T33" s="27" t="str">
        <f t="shared" si="2"/>
        <v/>
      </c>
      <c r="U33" s="27" t="str">
        <f t="shared" si="3"/>
        <v/>
      </c>
      <c r="V33" s="27" t="str">
        <f t="shared" si="4"/>
        <v/>
      </c>
      <c r="W33" s="27" t="str">
        <f t="shared" si="5"/>
        <v/>
      </c>
      <c r="X33" s="27" t="str">
        <f t="shared" si="6"/>
        <v/>
      </c>
      <c r="Y33" s="27" t="str">
        <f t="shared" si="7"/>
        <v/>
      </c>
      <c r="Z33" s="47" t="str">
        <f t="shared" si="13"/>
        <v/>
      </c>
      <c r="AA33" s="49" t="str">
        <f t="shared" si="8"/>
        <v/>
      </c>
      <c r="AB33" s="49">
        <f t="shared" si="14"/>
        <v>0</v>
      </c>
      <c r="AC33" s="49" t="str">
        <f t="shared" si="9"/>
        <v/>
      </c>
      <c r="AD33" s="47" t="str">
        <f>_xlfn.XLOOKUP(AC33,Parm!$AN$2:$AN$25,Parm!$AO$2:$AO$25,"")</f>
        <v/>
      </c>
      <c r="AE33" s="49" t="str">
        <f t="shared" si="10"/>
        <v/>
      </c>
      <c r="AF33" s="47" t="str">
        <f>_xlfn.XLOOKUP(AE33,Parm!$AN$2:$AN$25,Parm!$AO$2:$AO$25,"")</f>
        <v/>
      </c>
      <c r="AG33" s="286">
        <f>psTn!A34</f>
        <v>0</v>
      </c>
      <c r="AH33" s="49" t="str" cm="1">
        <f t="array" aca="1" ref="AH33" ca="1">_xlfn.IFS(Z33="","",AND(Z33&gt;0,Z33&lt;$AS$12),MROUND($AS$13*($AS$12-Z33+1)/SUMPRODUCT($AS$12-ROW(INDIRECT("1:" &amp; $AS$12 ))),1000),TRUE,0)</f>
        <v/>
      </c>
      <c r="AI33" s="49" t="e">
        <f t="shared" si="11"/>
        <v>#VALUE!</v>
      </c>
      <c r="AJ33" s="49">
        <f t="shared" si="15"/>
        <v>-100</v>
      </c>
      <c r="AK33" s="49"/>
      <c r="AL33" s="49" t="str">
        <f t="shared" si="12"/>
        <v/>
      </c>
      <c r="AM33" s="52" t="str">
        <f>IF(A33&lt;=0,"",_xlfn.XLOOKUP(A33,TL!C:C,TL!C:C))</f>
        <v/>
      </c>
      <c r="AN33" s="52" t="str">
        <f>IF(A33&lt;=0,"",_xlfn.XLOOKUP(A33,Y!C:C,Y!C:C))</f>
        <v/>
      </c>
      <c r="AO33" s="52" t="str">
        <f>IF(A33&lt;=0,"",_xlfn.XLOOKUP(A33,MA!B:B,MA!B:B))</f>
        <v/>
      </c>
    </row>
    <row r="34" spans="1:41" x14ac:dyDescent="0.25">
      <c r="A34" s="444">
        <f>psTn!B35</f>
        <v>0</v>
      </c>
      <c r="B34" s="33">
        <f>psTn!C35</f>
        <v>0</v>
      </c>
      <c r="C34" s="33">
        <f>psTn!D35</f>
        <v>0</v>
      </c>
      <c r="D34" s="33">
        <f>psTn!E35</f>
        <v>0</v>
      </c>
      <c r="E34" s="33">
        <f>psTn!F35</f>
        <v>0</v>
      </c>
      <c r="F34" s="33">
        <f>psTn!G35</f>
        <v>0</v>
      </c>
      <c r="G34" s="44" t="str">
        <f>_xlfn.XLOOKUP(A34,'ps5'!B:B,'ps5'!C:C,"")</f>
        <v/>
      </c>
      <c r="H34" s="44" t="str">
        <f>_xlfn.XLOOKUP(A34,'ps5'!B:B,'ps5'!D:D,"")</f>
        <v/>
      </c>
      <c r="I34" s="44" t="str">
        <f>_xlfn.XLOOKUP(A34,'ps5'!B:B,'ps5'!E:E,"")</f>
        <v/>
      </c>
      <c r="J34" s="44" t="str">
        <f>_xlfn.XLOOKUP(A34,'ps5'!B:B,'ps5'!F:F,"")</f>
        <v/>
      </c>
      <c r="K34" s="44" t="str">
        <f>_xlfn.XLOOKUP(A34,'ps5'!B:B,'ps5'!G:G,"")</f>
        <v/>
      </c>
      <c r="L34" s="44">
        <f t="shared" si="0"/>
        <v>0</v>
      </c>
      <c r="M34" s="44">
        <f t="shared" si="0"/>
        <v>0</v>
      </c>
      <c r="N34" s="44">
        <f t="shared" si="0"/>
        <v>0</v>
      </c>
      <c r="O34" s="50" t="str">
        <f>_xlfn.XLOOKUP(A34,psRk!C:C,psRk!F:F,"")</f>
        <v/>
      </c>
      <c r="P34" s="33" t="str">
        <f>_xlfn.XLOOKUP(A34,psRk!C:C,psRk!G:G,"")</f>
        <v/>
      </c>
      <c r="Q34" s="41" t="str">
        <f>_xlfn.XLOOKUP(A34,psRk!C:C,psRk!H:H,"")</f>
        <v/>
      </c>
      <c r="R34" s="41" t="str">
        <f>_xlfn.XLOOKUP(A34,psRk!C:C,psRk!I:I,"")</f>
        <v/>
      </c>
      <c r="S34" s="27" t="str">
        <f t="shared" si="1"/>
        <v/>
      </c>
      <c r="T34" s="27" t="str">
        <f t="shared" si="2"/>
        <v/>
      </c>
      <c r="U34" s="27" t="str">
        <f t="shared" si="3"/>
        <v/>
      </c>
      <c r="V34" s="27" t="str">
        <f t="shared" si="4"/>
        <v/>
      </c>
      <c r="W34" s="27" t="str">
        <f t="shared" si="5"/>
        <v/>
      </c>
      <c r="X34" s="27" t="str">
        <f t="shared" si="6"/>
        <v/>
      </c>
      <c r="Y34" s="27" t="str">
        <f t="shared" si="7"/>
        <v/>
      </c>
      <c r="Z34" s="47" t="str">
        <f t="shared" si="13"/>
        <v/>
      </c>
      <c r="AA34" s="49" t="str">
        <f t="shared" si="8"/>
        <v/>
      </c>
      <c r="AB34" s="49">
        <f t="shared" si="14"/>
        <v>0</v>
      </c>
      <c r="AC34" s="49" t="str">
        <f t="shared" si="9"/>
        <v/>
      </c>
      <c r="AD34" s="47" t="str">
        <f>_xlfn.XLOOKUP(AC34,Parm!$AN$2:$AN$25,Parm!$AO$2:$AO$25,"")</f>
        <v/>
      </c>
      <c r="AE34" s="49" t="str">
        <f t="shared" si="10"/>
        <v/>
      </c>
      <c r="AF34" s="47" t="str">
        <f>_xlfn.XLOOKUP(AE34,Parm!$AN$2:$AN$25,Parm!$AO$2:$AO$25,"")</f>
        <v/>
      </c>
      <c r="AG34" s="286">
        <f>psTn!A35</f>
        <v>0</v>
      </c>
      <c r="AH34" s="49" t="str" cm="1">
        <f t="array" aca="1" ref="AH34" ca="1">_xlfn.IFS(Z34="","",AND(Z34&gt;0,Z34&lt;$AS$12),MROUND($AS$13*($AS$12-Z34+1)/SUMPRODUCT($AS$12-ROW(INDIRECT("1:" &amp; $AS$12 ))),1000),TRUE,0)</f>
        <v/>
      </c>
      <c r="AI34" s="49" t="e">
        <f t="shared" si="11"/>
        <v>#VALUE!</v>
      </c>
      <c r="AJ34" s="49">
        <f t="shared" si="15"/>
        <v>-100</v>
      </c>
      <c r="AK34" s="49"/>
      <c r="AL34" s="49" t="str">
        <f t="shared" si="12"/>
        <v/>
      </c>
      <c r="AM34" s="52" t="str">
        <f>IF(A34&lt;=0,"",_xlfn.XLOOKUP(A34,TL!C:C,TL!C:C))</f>
        <v/>
      </c>
      <c r="AN34" s="52" t="str">
        <f>IF(A34&lt;=0,"",_xlfn.XLOOKUP(A34,Y!C:C,Y!C:C))</f>
        <v/>
      </c>
      <c r="AO34" s="52" t="str">
        <f>IF(A34&lt;=0,"",_xlfn.XLOOKUP(A34,MA!B:B,MA!B:B))</f>
        <v/>
      </c>
    </row>
    <row r="35" spans="1:41" x14ac:dyDescent="0.25">
      <c r="A35" s="444">
        <f>psTn!B36</f>
        <v>0</v>
      </c>
      <c r="B35" s="33">
        <f>psTn!C36</f>
        <v>0</v>
      </c>
      <c r="C35" s="33">
        <f>psTn!D36</f>
        <v>0</v>
      </c>
      <c r="D35" s="33">
        <f>psTn!E36</f>
        <v>0</v>
      </c>
      <c r="E35" s="33">
        <f>psTn!F36</f>
        <v>0</v>
      </c>
      <c r="F35" s="33">
        <f>psTn!G36</f>
        <v>0</v>
      </c>
      <c r="G35" s="44" t="str">
        <f>_xlfn.XLOOKUP(A35,'ps5'!B:B,'ps5'!C:C,"")</f>
        <v/>
      </c>
      <c r="H35" s="44" t="str">
        <f>_xlfn.XLOOKUP(A35,'ps5'!B:B,'ps5'!D:D,"")</f>
        <v/>
      </c>
      <c r="I35" s="44" t="str">
        <f>_xlfn.XLOOKUP(A35,'ps5'!B:B,'ps5'!E:E,"")</f>
        <v/>
      </c>
      <c r="J35" s="44" t="str">
        <f>_xlfn.XLOOKUP(A35,'ps5'!B:B,'ps5'!F:F,"")</f>
        <v/>
      </c>
      <c r="K35" s="44" t="str">
        <f>_xlfn.XLOOKUP(A35,'ps5'!B:B,'ps5'!G:G,"")</f>
        <v/>
      </c>
      <c r="L35" s="44">
        <f t="shared" si="0"/>
        <v>0</v>
      </c>
      <c r="M35" s="44">
        <f t="shared" si="0"/>
        <v>0</v>
      </c>
      <c r="N35" s="44">
        <f t="shared" si="0"/>
        <v>0</v>
      </c>
      <c r="O35" s="50" t="str">
        <f>_xlfn.XLOOKUP(A35,psRk!C:C,psRk!F:F,"")</f>
        <v/>
      </c>
      <c r="P35" s="33" t="str">
        <f>_xlfn.XLOOKUP(A35,psRk!C:C,psRk!G:G,"")</f>
        <v/>
      </c>
      <c r="Q35" s="41" t="str">
        <f>_xlfn.XLOOKUP(A35,psRk!C:C,psRk!H:H,"")</f>
        <v/>
      </c>
      <c r="R35" s="41" t="str">
        <f>_xlfn.XLOOKUP(A35,psRk!C:C,psRk!I:I,"")</f>
        <v/>
      </c>
      <c r="S35" s="27" t="str">
        <f t="shared" si="1"/>
        <v/>
      </c>
      <c r="T35" s="27" t="str">
        <f t="shared" si="2"/>
        <v/>
      </c>
      <c r="U35" s="27" t="str">
        <f t="shared" si="3"/>
        <v/>
      </c>
      <c r="V35" s="27" t="str">
        <f t="shared" si="4"/>
        <v/>
      </c>
      <c r="W35" s="27" t="str">
        <f t="shared" si="5"/>
        <v/>
      </c>
      <c r="X35" s="27" t="str">
        <f t="shared" si="6"/>
        <v/>
      </c>
      <c r="Y35" s="27" t="str">
        <f t="shared" si="7"/>
        <v/>
      </c>
      <c r="Z35" s="47" t="str">
        <f t="shared" si="13"/>
        <v/>
      </c>
      <c r="AA35" s="49" t="str">
        <f t="shared" si="8"/>
        <v/>
      </c>
      <c r="AB35" s="49">
        <f t="shared" si="14"/>
        <v>0</v>
      </c>
      <c r="AC35" s="49" t="str">
        <f t="shared" si="9"/>
        <v/>
      </c>
      <c r="AD35" s="47" t="str">
        <f>_xlfn.XLOOKUP(AC35,Parm!$AN$2:$AN$25,Parm!$AO$2:$AO$25,"")</f>
        <v/>
      </c>
      <c r="AE35" s="49" t="str">
        <f t="shared" si="10"/>
        <v/>
      </c>
      <c r="AF35" s="47" t="str">
        <f>_xlfn.XLOOKUP(AE35,Parm!$AN$2:$AN$25,Parm!$AO$2:$AO$25,"")</f>
        <v/>
      </c>
      <c r="AG35" s="286">
        <f>psTn!A36</f>
        <v>0</v>
      </c>
      <c r="AH35" s="49" t="str" cm="1">
        <f t="array" aca="1" ref="AH35" ca="1">_xlfn.IFS(Z35="","",AND(Z35&gt;0,Z35&lt;$AS$12),MROUND($AS$13*($AS$12-Z35+1)/SUMPRODUCT($AS$12-ROW(INDIRECT("1:" &amp; $AS$12 ))),1000),TRUE,0)</f>
        <v/>
      </c>
      <c r="AI35" s="49" t="e">
        <f t="shared" si="11"/>
        <v>#VALUE!</v>
      </c>
      <c r="AJ35" s="49">
        <f t="shared" si="15"/>
        <v>-100</v>
      </c>
      <c r="AK35" s="49"/>
      <c r="AL35" s="49" t="str">
        <f t="shared" si="12"/>
        <v/>
      </c>
      <c r="AM35" s="52" t="str">
        <f>IF(A35&lt;=0,"",_xlfn.XLOOKUP(A35,TL!C:C,TL!C:C))</f>
        <v/>
      </c>
      <c r="AN35" s="52" t="str">
        <f>IF(A35&lt;=0,"",_xlfn.XLOOKUP(A35,Y!C:C,Y!C:C))</f>
        <v/>
      </c>
      <c r="AO35" s="52" t="str">
        <f>IF(A35&lt;=0,"",_xlfn.XLOOKUP(A35,MA!B:B,MA!B:B))</f>
        <v/>
      </c>
    </row>
    <row r="36" spans="1:41" x14ac:dyDescent="0.25">
      <c r="A36" s="444">
        <f>psTn!B37</f>
        <v>0</v>
      </c>
      <c r="B36" s="33">
        <f>psTn!C37</f>
        <v>0</v>
      </c>
      <c r="C36" s="33">
        <f>psTn!D37</f>
        <v>0</v>
      </c>
      <c r="D36" s="33">
        <f>psTn!E37</f>
        <v>0</v>
      </c>
      <c r="E36" s="33">
        <f>psTn!F37</f>
        <v>0</v>
      </c>
      <c r="F36" s="33">
        <f>psTn!G37</f>
        <v>0</v>
      </c>
      <c r="G36" s="44" t="str">
        <f>_xlfn.XLOOKUP(A36,'ps5'!B:B,'ps5'!C:C,"")</f>
        <v/>
      </c>
      <c r="H36" s="44" t="str">
        <f>_xlfn.XLOOKUP(A36,'ps5'!B:B,'ps5'!D:D,"")</f>
        <v/>
      </c>
      <c r="I36" s="44" t="str">
        <f>_xlfn.XLOOKUP(A36,'ps5'!B:B,'ps5'!E:E,"")</f>
        <v/>
      </c>
      <c r="J36" s="44" t="str">
        <f>_xlfn.XLOOKUP(A36,'ps5'!B:B,'ps5'!F:F,"")</f>
        <v/>
      </c>
      <c r="K36" s="44" t="str">
        <f>_xlfn.XLOOKUP(A36,'ps5'!B:B,'ps5'!G:G,"")</f>
        <v/>
      </c>
      <c r="L36" s="44">
        <f t="shared" si="0"/>
        <v>0</v>
      </c>
      <c r="M36" s="44">
        <f t="shared" si="0"/>
        <v>0</v>
      </c>
      <c r="N36" s="44">
        <f t="shared" si="0"/>
        <v>0</v>
      </c>
      <c r="O36" s="50" t="str">
        <f>_xlfn.XLOOKUP(A36,psRk!C:C,psRk!F:F,"")</f>
        <v/>
      </c>
      <c r="P36" s="33" t="str">
        <f>_xlfn.XLOOKUP(A36,psRk!C:C,psRk!G:G,"")</f>
        <v/>
      </c>
      <c r="Q36" s="41" t="str">
        <f>_xlfn.XLOOKUP(A36,psRk!C:C,psRk!H:H,"")</f>
        <v/>
      </c>
      <c r="R36" s="41" t="str">
        <f>_xlfn.XLOOKUP(A36,psRk!C:C,psRk!I:I,"")</f>
        <v/>
      </c>
      <c r="S36" s="27" t="str">
        <f t="shared" si="1"/>
        <v/>
      </c>
      <c r="T36" s="27" t="str">
        <f t="shared" si="2"/>
        <v/>
      </c>
      <c r="U36" s="27" t="str">
        <f t="shared" si="3"/>
        <v/>
      </c>
      <c r="V36" s="27" t="str">
        <f t="shared" si="4"/>
        <v/>
      </c>
      <c r="W36" s="27" t="str">
        <f t="shared" si="5"/>
        <v/>
      </c>
      <c r="X36" s="27" t="str">
        <f t="shared" si="6"/>
        <v/>
      </c>
      <c r="Y36" s="27" t="str">
        <f t="shared" si="7"/>
        <v/>
      </c>
      <c r="Z36" s="47" t="str">
        <f t="shared" si="13"/>
        <v/>
      </c>
      <c r="AA36" s="49" t="str">
        <f t="shared" si="8"/>
        <v/>
      </c>
      <c r="AB36" s="49">
        <f t="shared" si="14"/>
        <v>0</v>
      </c>
      <c r="AC36" s="49" t="str">
        <f t="shared" si="9"/>
        <v/>
      </c>
      <c r="AD36" s="47" t="str">
        <f>_xlfn.XLOOKUP(AC36,Parm!$AN$2:$AN$25,Parm!$AO$2:$AO$25,"")</f>
        <v/>
      </c>
      <c r="AE36" s="49" t="str">
        <f t="shared" si="10"/>
        <v/>
      </c>
      <c r="AF36" s="47" t="str">
        <f>_xlfn.XLOOKUP(AE36,Parm!$AN$2:$AN$25,Parm!$AO$2:$AO$25,"")</f>
        <v/>
      </c>
      <c r="AG36" s="286">
        <f>psTn!A37</f>
        <v>0</v>
      </c>
      <c r="AH36" s="49" t="str" cm="1">
        <f t="array" aca="1" ref="AH36" ca="1">_xlfn.IFS(Z36="","",AND(Z36&gt;0,Z36&lt;$AS$12),MROUND($AS$13*($AS$12-Z36+1)/SUMPRODUCT($AS$12-ROW(INDIRECT("1:" &amp; $AS$12 ))),1000),TRUE,0)</f>
        <v/>
      </c>
      <c r="AI36" s="49" t="e">
        <f t="shared" si="11"/>
        <v>#VALUE!</v>
      </c>
      <c r="AJ36" s="49">
        <f t="shared" si="15"/>
        <v>-100</v>
      </c>
      <c r="AK36" s="49"/>
      <c r="AL36" s="49" t="str">
        <f t="shared" si="12"/>
        <v/>
      </c>
      <c r="AM36" s="52" t="str">
        <f>IF(A36&lt;=0,"",_xlfn.XLOOKUP(A36,TL!C:C,TL!C:C))</f>
        <v/>
      </c>
      <c r="AN36" s="52" t="str">
        <f>IF(A36&lt;=0,"",_xlfn.XLOOKUP(A36,Y!C:C,Y!C:C))</f>
        <v/>
      </c>
      <c r="AO36" s="52" t="str">
        <f>IF(A36&lt;=0,"",_xlfn.XLOOKUP(A36,MA!B:B,MA!B:B))</f>
        <v/>
      </c>
    </row>
    <row r="37" spans="1:41" x14ac:dyDescent="0.25">
      <c r="A37" s="444">
        <f>psTn!B38</f>
        <v>0</v>
      </c>
      <c r="B37" s="33">
        <f>psTn!C38</f>
        <v>0</v>
      </c>
      <c r="C37" s="33">
        <f>psTn!D38</f>
        <v>0</v>
      </c>
      <c r="D37" s="33">
        <f>psTn!E38</f>
        <v>0</v>
      </c>
      <c r="E37" s="33">
        <f>psTn!F38</f>
        <v>0</v>
      </c>
      <c r="F37" s="33">
        <f>psTn!G38</f>
        <v>0</v>
      </c>
      <c r="G37" s="44" t="str">
        <f>_xlfn.XLOOKUP(A37,'ps5'!B:B,'ps5'!C:C,"")</f>
        <v/>
      </c>
      <c r="H37" s="44" t="str">
        <f>_xlfn.XLOOKUP(A37,'ps5'!B:B,'ps5'!D:D,"")</f>
        <v/>
      </c>
      <c r="I37" s="44" t="str">
        <f>_xlfn.XLOOKUP(A37,'ps5'!B:B,'ps5'!E:E,"")</f>
        <v/>
      </c>
      <c r="J37" s="44" t="str">
        <f>_xlfn.XLOOKUP(A37,'ps5'!B:B,'ps5'!F:F,"")</f>
        <v/>
      </c>
      <c r="K37" s="44" t="str">
        <f>_xlfn.XLOOKUP(A37,'ps5'!B:B,'ps5'!G:G,"")</f>
        <v/>
      </c>
      <c r="L37" s="44">
        <f t="shared" si="0"/>
        <v>0</v>
      </c>
      <c r="M37" s="44">
        <f t="shared" si="0"/>
        <v>0</v>
      </c>
      <c r="N37" s="44">
        <f t="shared" si="0"/>
        <v>0</v>
      </c>
      <c r="O37" s="50" t="str">
        <f>_xlfn.XLOOKUP(A37,psRk!C:C,psRk!F:F,"")</f>
        <v/>
      </c>
      <c r="P37" s="33" t="str">
        <f>_xlfn.XLOOKUP(A37,psRk!C:C,psRk!G:G,"")</f>
        <v/>
      </c>
      <c r="Q37" s="41" t="str">
        <f>_xlfn.XLOOKUP(A37,psRk!C:C,psRk!H:H,"")</f>
        <v/>
      </c>
      <c r="R37" s="41" t="str">
        <f>_xlfn.XLOOKUP(A37,psRk!C:C,psRk!I:I,"")</f>
        <v/>
      </c>
      <c r="S37" s="27" t="str">
        <f t="shared" si="1"/>
        <v/>
      </c>
      <c r="T37" s="27" t="str">
        <f t="shared" si="2"/>
        <v/>
      </c>
      <c r="U37" s="27" t="str">
        <f t="shared" si="3"/>
        <v/>
      </c>
      <c r="V37" s="27" t="str">
        <f t="shared" si="4"/>
        <v/>
      </c>
      <c r="W37" s="27" t="str">
        <f t="shared" si="5"/>
        <v/>
      </c>
      <c r="X37" s="27" t="str">
        <f t="shared" si="6"/>
        <v/>
      </c>
      <c r="Y37" s="27" t="str">
        <f t="shared" si="7"/>
        <v/>
      </c>
      <c r="Z37" s="47" t="str">
        <f t="shared" si="13"/>
        <v/>
      </c>
      <c r="AA37" s="49" t="str">
        <f t="shared" si="8"/>
        <v/>
      </c>
      <c r="AB37" s="49">
        <f t="shared" si="14"/>
        <v>0</v>
      </c>
      <c r="AC37" s="49" t="str">
        <f t="shared" si="9"/>
        <v/>
      </c>
      <c r="AD37" s="47" t="str">
        <f>_xlfn.XLOOKUP(AC37,Parm!$AN$2:$AN$25,Parm!$AO$2:$AO$25,"")</f>
        <v/>
      </c>
      <c r="AE37" s="49" t="str">
        <f t="shared" si="10"/>
        <v/>
      </c>
      <c r="AF37" s="47" t="str">
        <f>_xlfn.XLOOKUP(AE37,Parm!$AN$2:$AN$25,Parm!$AO$2:$AO$25,"")</f>
        <v/>
      </c>
      <c r="AG37" s="286">
        <f>psTn!A38</f>
        <v>0</v>
      </c>
      <c r="AH37" s="49" t="str" cm="1">
        <f t="array" aca="1" ref="AH37" ca="1">_xlfn.IFS(Z37="","",AND(Z37&gt;0,Z37&lt;$AS$12),MROUND($AS$13*($AS$12-Z37+1)/SUMPRODUCT($AS$12-ROW(INDIRECT("1:" &amp; $AS$12 ))),1000),TRUE,0)</f>
        <v/>
      </c>
      <c r="AI37" s="49" t="e">
        <f t="shared" si="11"/>
        <v>#VALUE!</v>
      </c>
      <c r="AJ37" s="49">
        <f t="shared" si="15"/>
        <v>-100</v>
      </c>
      <c r="AK37" s="49"/>
      <c r="AL37" s="49" t="str">
        <f t="shared" si="12"/>
        <v/>
      </c>
      <c r="AM37" s="52" t="str">
        <f>IF(A37&lt;=0,"",_xlfn.XLOOKUP(A37,TL!C:C,TL!C:C))</f>
        <v/>
      </c>
      <c r="AN37" s="52" t="str">
        <f>IF(A37&lt;=0,"",_xlfn.XLOOKUP(A37,Y!C:C,Y!C:C))</f>
        <v/>
      </c>
      <c r="AO37" s="52" t="str">
        <f>IF(A37&lt;=0,"",_xlfn.XLOOKUP(A37,MA!B:B,MA!B:B))</f>
        <v/>
      </c>
    </row>
    <row r="38" spans="1:41" x14ac:dyDescent="0.25">
      <c r="A38" s="444">
        <f>psTn!B39</f>
        <v>0</v>
      </c>
      <c r="B38" s="33">
        <f>psTn!C39</f>
        <v>0</v>
      </c>
      <c r="C38" s="33">
        <f>psTn!D39</f>
        <v>0</v>
      </c>
      <c r="D38" s="33">
        <f>psTn!E39</f>
        <v>0</v>
      </c>
      <c r="E38" s="33">
        <f>psTn!F39</f>
        <v>0</v>
      </c>
      <c r="F38" s="33">
        <f>psTn!G39</f>
        <v>0</v>
      </c>
      <c r="G38" s="44" t="str">
        <f>_xlfn.XLOOKUP(A38,'ps5'!B:B,'ps5'!C:C,"")</f>
        <v/>
      </c>
      <c r="H38" s="44" t="str">
        <f>_xlfn.XLOOKUP(A38,'ps5'!B:B,'ps5'!D:D,"")</f>
        <v/>
      </c>
      <c r="I38" s="44" t="str">
        <f>_xlfn.XLOOKUP(A38,'ps5'!B:B,'ps5'!E:E,"")</f>
        <v/>
      </c>
      <c r="J38" s="44" t="str">
        <f>_xlfn.XLOOKUP(A38,'ps5'!B:B,'ps5'!F:F,"")</f>
        <v/>
      </c>
      <c r="K38" s="44" t="str">
        <f>_xlfn.XLOOKUP(A38,'ps5'!B:B,'ps5'!G:G,"")</f>
        <v/>
      </c>
      <c r="L38" s="44">
        <f t="shared" si="0"/>
        <v>0</v>
      </c>
      <c r="M38" s="44">
        <f t="shared" si="0"/>
        <v>0</v>
      </c>
      <c r="N38" s="44">
        <f t="shared" si="0"/>
        <v>0</v>
      </c>
      <c r="O38" s="50" t="str">
        <f>_xlfn.XLOOKUP(A38,psRk!C:C,psRk!F:F,"")</f>
        <v/>
      </c>
      <c r="P38" s="33" t="str">
        <f>_xlfn.XLOOKUP(A38,psRk!C:C,psRk!G:G,"")</f>
        <v/>
      </c>
      <c r="Q38" s="41" t="str">
        <f>_xlfn.XLOOKUP(A38,psRk!C:C,psRk!H:H,"")</f>
        <v/>
      </c>
      <c r="R38" s="41" t="str">
        <f>_xlfn.XLOOKUP(A38,psRk!C:C,psRk!I:I,"")</f>
        <v/>
      </c>
      <c r="S38" s="27" t="str">
        <f t="shared" si="1"/>
        <v/>
      </c>
      <c r="T38" s="27" t="str">
        <f t="shared" si="2"/>
        <v/>
      </c>
      <c r="U38" s="27" t="str">
        <f t="shared" si="3"/>
        <v/>
      </c>
      <c r="V38" s="27" t="str">
        <f t="shared" si="4"/>
        <v/>
      </c>
      <c r="W38" s="27" t="str">
        <f t="shared" si="5"/>
        <v/>
      </c>
      <c r="X38" s="27" t="str">
        <f t="shared" si="6"/>
        <v/>
      </c>
      <c r="Y38" s="27" t="str">
        <f t="shared" si="7"/>
        <v/>
      </c>
      <c r="Z38" s="47" t="str">
        <f t="shared" si="13"/>
        <v/>
      </c>
      <c r="AA38" s="49" t="str">
        <f t="shared" si="8"/>
        <v/>
      </c>
      <c r="AB38" s="49">
        <f t="shared" si="14"/>
        <v>0</v>
      </c>
      <c r="AC38" s="49" t="str">
        <f t="shared" si="9"/>
        <v/>
      </c>
      <c r="AD38" s="47" t="str">
        <f>_xlfn.XLOOKUP(AC38,Parm!$AN$2:$AN$25,Parm!$AO$2:$AO$25,"")</f>
        <v/>
      </c>
      <c r="AE38" s="49" t="str">
        <f t="shared" si="10"/>
        <v/>
      </c>
      <c r="AF38" s="47" t="str">
        <f>_xlfn.XLOOKUP(AE38,Parm!$AN$2:$AN$25,Parm!$AO$2:$AO$25,"")</f>
        <v/>
      </c>
      <c r="AG38" s="286">
        <f>psTn!A39</f>
        <v>0</v>
      </c>
      <c r="AH38" s="49" t="str" cm="1">
        <f t="array" aca="1" ref="AH38" ca="1">_xlfn.IFS(Z38="","",AND(Z38&gt;0,Z38&lt;$AS$12),MROUND($AS$13*($AS$12-Z38+1)/SUMPRODUCT($AS$12-ROW(INDIRECT("1:" &amp; $AS$12 ))),1000),TRUE,0)</f>
        <v/>
      </c>
      <c r="AI38" s="49" t="e">
        <f t="shared" si="11"/>
        <v>#VALUE!</v>
      </c>
      <c r="AJ38" s="49">
        <f t="shared" si="15"/>
        <v>-100</v>
      </c>
      <c r="AK38" s="49"/>
      <c r="AL38" s="49" t="str">
        <f t="shared" si="12"/>
        <v/>
      </c>
      <c r="AM38" s="52" t="str">
        <f>IF(A38&lt;=0,"",_xlfn.XLOOKUP(A38,TL!C:C,TL!C:C))</f>
        <v/>
      </c>
      <c r="AN38" s="52" t="str">
        <f>IF(A38&lt;=0,"",_xlfn.XLOOKUP(A38,Y!C:C,Y!C:C))</f>
        <v/>
      </c>
      <c r="AO38" s="52" t="str">
        <f>IF(A38&lt;=0,"",_xlfn.XLOOKUP(A38,MA!B:B,MA!B:B))</f>
        <v/>
      </c>
    </row>
    <row r="39" spans="1:41" x14ac:dyDescent="0.25">
      <c r="A39" s="444">
        <f>psTn!B40</f>
        <v>0</v>
      </c>
      <c r="B39" s="33">
        <f>psTn!C40</f>
        <v>0</v>
      </c>
      <c r="C39" s="33">
        <f>psTn!D40</f>
        <v>0</v>
      </c>
      <c r="D39" s="33">
        <f>psTn!E40</f>
        <v>0</v>
      </c>
      <c r="E39" s="33">
        <f>psTn!F40</f>
        <v>0</v>
      </c>
      <c r="F39" s="33">
        <f>psTn!G40</f>
        <v>0</v>
      </c>
      <c r="G39" s="44" t="str">
        <f>_xlfn.XLOOKUP(A39,'ps5'!B:B,'ps5'!C:C,"")</f>
        <v/>
      </c>
      <c r="H39" s="44" t="str">
        <f>_xlfn.XLOOKUP(A39,'ps5'!B:B,'ps5'!D:D,"")</f>
        <v/>
      </c>
      <c r="I39" s="44" t="str">
        <f>_xlfn.XLOOKUP(A39,'ps5'!B:B,'ps5'!E:E,"")</f>
        <v/>
      </c>
      <c r="J39" s="44" t="str">
        <f>_xlfn.XLOOKUP(A39,'ps5'!B:B,'ps5'!F:F,"")</f>
        <v/>
      </c>
      <c r="K39" s="44" t="str">
        <f>_xlfn.XLOOKUP(A39,'ps5'!B:B,'ps5'!G:G,"")</f>
        <v/>
      </c>
      <c r="L39" s="44">
        <f t="shared" si="0"/>
        <v>0</v>
      </c>
      <c r="M39" s="44">
        <f t="shared" si="0"/>
        <v>0</v>
      </c>
      <c r="N39" s="44">
        <f t="shared" si="0"/>
        <v>0</v>
      </c>
      <c r="O39" s="50" t="str">
        <f>_xlfn.XLOOKUP(A39,psRk!C:C,psRk!F:F,"")</f>
        <v/>
      </c>
      <c r="P39" s="33" t="str">
        <f>_xlfn.XLOOKUP(A39,psRk!C:C,psRk!G:G,"")</f>
        <v/>
      </c>
      <c r="Q39" s="41" t="str">
        <f>_xlfn.XLOOKUP(A39,psRk!C:C,psRk!H:H,"")</f>
        <v/>
      </c>
      <c r="R39" s="41" t="str">
        <f>_xlfn.XLOOKUP(A39,psRk!C:C,psRk!I:I,"")</f>
        <v/>
      </c>
      <c r="S39" s="27" t="str">
        <f t="shared" si="1"/>
        <v/>
      </c>
      <c r="T39" s="27" t="str">
        <f t="shared" si="2"/>
        <v/>
      </c>
      <c r="U39" s="27" t="str">
        <f t="shared" si="3"/>
        <v/>
      </c>
      <c r="V39" s="27" t="str">
        <f t="shared" si="4"/>
        <v/>
      </c>
      <c r="W39" s="27" t="str">
        <f t="shared" si="5"/>
        <v/>
      </c>
      <c r="X39" s="27" t="str">
        <f t="shared" si="6"/>
        <v/>
      </c>
      <c r="Y39" s="27" t="str">
        <f t="shared" si="7"/>
        <v/>
      </c>
      <c r="Z39" s="47" t="str">
        <f t="shared" si="13"/>
        <v/>
      </c>
      <c r="AA39" s="49" t="str">
        <f t="shared" si="8"/>
        <v/>
      </c>
      <c r="AB39" s="49">
        <f t="shared" si="14"/>
        <v>0</v>
      </c>
      <c r="AC39" s="49" t="str">
        <f t="shared" si="9"/>
        <v/>
      </c>
      <c r="AD39" s="47" t="str">
        <f>_xlfn.XLOOKUP(AC39,Parm!$AN$2:$AN$25,Parm!$AO$2:$AO$25,"")</f>
        <v/>
      </c>
      <c r="AE39" s="49" t="str">
        <f t="shared" si="10"/>
        <v/>
      </c>
      <c r="AF39" s="47" t="str">
        <f>_xlfn.XLOOKUP(AE39,Parm!$AN$2:$AN$25,Parm!$AO$2:$AO$25,"")</f>
        <v/>
      </c>
      <c r="AG39" s="286">
        <f>psTn!A40</f>
        <v>0</v>
      </c>
      <c r="AH39" s="49" t="str" cm="1">
        <f t="array" aca="1" ref="AH39" ca="1">_xlfn.IFS(Z39="","",AND(Z39&gt;0,Z39&lt;$AS$12),MROUND($AS$13*($AS$12-Z39+1)/SUMPRODUCT($AS$12-ROW(INDIRECT("1:" &amp; $AS$12 ))),1000),TRUE,0)</f>
        <v/>
      </c>
      <c r="AI39" s="49" t="e">
        <f t="shared" si="11"/>
        <v>#VALUE!</v>
      </c>
      <c r="AJ39" s="49">
        <f t="shared" si="15"/>
        <v>-100</v>
      </c>
      <c r="AK39" s="49"/>
      <c r="AL39" s="49" t="str">
        <f t="shared" si="12"/>
        <v/>
      </c>
      <c r="AM39" s="52" t="str">
        <f>IF(A39&lt;=0,"",_xlfn.XLOOKUP(A39,TL!C:C,TL!C:C))</f>
        <v/>
      </c>
      <c r="AN39" s="52" t="str">
        <f>IF(A39&lt;=0,"",_xlfn.XLOOKUP(A39,Y!C:C,Y!C:C))</f>
        <v/>
      </c>
      <c r="AO39" s="52" t="str">
        <f>IF(A39&lt;=0,"",_xlfn.XLOOKUP(A39,MA!B:B,MA!B:B))</f>
        <v/>
      </c>
    </row>
    <row r="40" spans="1:41" x14ac:dyDescent="0.25">
      <c r="A40" s="444">
        <f>psTn!B41</f>
        <v>0</v>
      </c>
      <c r="B40" s="33">
        <f>psTn!C41</f>
        <v>0</v>
      </c>
      <c r="C40" s="33">
        <f>psTn!D41</f>
        <v>0</v>
      </c>
      <c r="D40" s="33">
        <f>psTn!E41</f>
        <v>0</v>
      </c>
      <c r="E40" s="33">
        <f>psTn!F41</f>
        <v>0</v>
      </c>
      <c r="F40" s="33">
        <f>psTn!G41</f>
        <v>0</v>
      </c>
      <c r="G40" s="44" t="str">
        <f>_xlfn.XLOOKUP(A40,'ps5'!B:B,'ps5'!C:C,"")</f>
        <v/>
      </c>
      <c r="H40" s="44" t="str">
        <f>_xlfn.XLOOKUP(A40,'ps5'!B:B,'ps5'!D:D,"")</f>
        <v/>
      </c>
      <c r="I40" s="44" t="str">
        <f>_xlfn.XLOOKUP(A40,'ps5'!B:B,'ps5'!E:E,"")</f>
        <v/>
      </c>
      <c r="J40" s="44" t="str">
        <f>_xlfn.XLOOKUP(A40,'ps5'!B:B,'ps5'!F:F,"")</f>
        <v/>
      </c>
      <c r="K40" s="44" t="str">
        <f>_xlfn.XLOOKUP(A40,'ps5'!B:B,'ps5'!G:G,"")</f>
        <v/>
      </c>
      <c r="L40" s="44">
        <f t="shared" si="0"/>
        <v>0</v>
      </c>
      <c r="M40" s="44">
        <f t="shared" si="0"/>
        <v>0</v>
      </c>
      <c r="N40" s="44">
        <f t="shared" si="0"/>
        <v>0</v>
      </c>
      <c r="O40" s="50" t="str">
        <f>_xlfn.XLOOKUP(A40,psRk!C:C,psRk!F:F,"")</f>
        <v/>
      </c>
      <c r="P40" s="33" t="str">
        <f>_xlfn.XLOOKUP(A40,psRk!C:C,psRk!G:G,"")</f>
        <v/>
      </c>
      <c r="Q40" s="41" t="str">
        <f>_xlfn.XLOOKUP(A40,psRk!C:C,psRk!H:H,"")</f>
        <v/>
      </c>
      <c r="R40" s="41" t="str">
        <f>_xlfn.XLOOKUP(A40,psRk!C:C,psRk!I:I,"")</f>
        <v/>
      </c>
      <c r="S40" s="27" t="str">
        <f t="shared" si="1"/>
        <v/>
      </c>
      <c r="T40" s="27" t="str">
        <f t="shared" si="2"/>
        <v/>
      </c>
      <c r="U40" s="27" t="str">
        <f t="shared" si="3"/>
        <v/>
      </c>
      <c r="V40" s="27" t="str">
        <f t="shared" si="4"/>
        <v/>
      </c>
      <c r="W40" s="27" t="str">
        <f t="shared" si="5"/>
        <v/>
      </c>
      <c r="X40" s="27" t="str">
        <f t="shared" si="6"/>
        <v/>
      </c>
      <c r="Y40" s="27" t="str">
        <f t="shared" si="7"/>
        <v/>
      </c>
      <c r="Z40" s="47" t="str">
        <f t="shared" si="13"/>
        <v/>
      </c>
      <c r="AA40" s="49" t="str">
        <f t="shared" si="8"/>
        <v/>
      </c>
      <c r="AB40" s="49">
        <f t="shared" si="14"/>
        <v>0</v>
      </c>
      <c r="AC40" s="49" t="str">
        <f t="shared" si="9"/>
        <v/>
      </c>
      <c r="AD40" s="47" t="str">
        <f>_xlfn.XLOOKUP(AC40,Parm!$AN$2:$AN$25,Parm!$AO$2:$AO$25,"")</f>
        <v/>
      </c>
      <c r="AE40" s="49" t="str">
        <f t="shared" si="10"/>
        <v/>
      </c>
      <c r="AF40" s="47" t="str">
        <f>_xlfn.XLOOKUP(AE40,Parm!$AN$2:$AN$25,Parm!$AO$2:$AO$25,"")</f>
        <v/>
      </c>
      <c r="AG40" s="286">
        <f>psTn!A41</f>
        <v>0</v>
      </c>
      <c r="AH40" s="49" t="str" cm="1">
        <f t="array" aca="1" ref="AH40" ca="1">_xlfn.IFS(Z40="","",AND(Z40&gt;0,Z40&lt;$AS$12),MROUND($AS$13*($AS$12-Z40+1)/SUMPRODUCT($AS$12-ROW(INDIRECT("1:" &amp; $AS$12 ))),1000),TRUE,0)</f>
        <v/>
      </c>
      <c r="AI40" s="49" t="e">
        <f t="shared" si="11"/>
        <v>#VALUE!</v>
      </c>
      <c r="AJ40" s="49">
        <f t="shared" si="15"/>
        <v>-100</v>
      </c>
      <c r="AK40" s="49"/>
      <c r="AL40" s="49" t="str">
        <f t="shared" si="12"/>
        <v/>
      </c>
      <c r="AM40" s="52" t="str">
        <f>IF(A40&lt;=0,"",_xlfn.XLOOKUP(A40,TL!C:C,TL!C:C))</f>
        <v/>
      </c>
      <c r="AN40" s="52" t="str">
        <f>IF(A40&lt;=0,"",_xlfn.XLOOKUP(A40,Y!C:C,Y!C:C))</f>
        <v/>
      </c>
      <c r="AO40" s="52" t="str">
        <f>IF(A40&lt;=0,"",_xlfn.XLOOKUP(A40,MA!B:B,MA!B:B))</f>
        <v/>
      </c>
    </row>
    <row r="41" spans="1:41" x14ac:dyDescent="0.25">
      <c r="A41" s="444">
        <f>psTn!B42</f>
        <v>0</v>
      </c>
      <c r="B41" s="33">
        <f>psTn!C42</f>
        <v>0</v>
      </c>
      <c r="C41" s="33">
        <f>psTn!D42</f>
        <v>0</v>
      </c>
      <c r="D41" s="33">
        <f>psTn!E42</f>
        <v>0</v>
      </c>
      <c r="E41" s="33">
        <f>psTn!F42</f>
        <v>0</v>
      </c>
      <c r="F41" s="33">
        <f>psTn!G42</f>
        <v>0</v>
      </c>
      <c r="G41" s="44" t="str">
        <f>_xlfn.XLOOKUP(A41,'ps5'!B:B,'ps5'!C:C,"")</f>
        <v/>
      </c>
      <c r="H41" s="44" t="str">
        <f>_xlfn.XLOOKUP(A41,'ps5'!B:B,'ps5'!D:D,"")</f>
        <v/>
      </c>
      <c r="I41" s="44" t="str">
        <f>_xlfn.XLOOKUP(A41,'ps5'!B:B,'ps5'!E:E,"")</f>
        <v/>
      </c>
      <c r="J41" s="44" t="str">
        <f>_xlfn.XLOOKUP(A41,'ps5'!B:B,'ps5'!F:F,"")</f>
        <v/>
      </c>
      <c r="K41" s="44" t="str">
        <f>_xlfn.XLOOKUP(A41,'ps5'!B:B,'ps5'!G:G,"")</f>
        <v/>
      </c>
      <c r="L41" s="44">
        <f t="shared" si="0"/>
        <v>0</v>
      </c>
      <c r="M41" s="44">
        <f t="shared" si="0"/>
        <v>0</v>
      </c>
      <c r="N41" s="44">
        <f t="shared" si="0"/>
        <v>0</v>
      </c>
      <c r="O41" s="50" t="str">
        <f>_xlfn.XLOOKUP(A41,psRk!C:C,psRk!F:F,"")</f>
        <v/>
      </c>
      <c r="P41" s="33" t="str">
        <f>_xlfn.XLOOKUP(A41,psRk!C:C,psRk!G:G,"")</f>
        <v/>
      </c>
      <c r="Q41" s="41" t="str">
        <f>_xlfn.XLOOKUP(A41,psRk!C:C,psRk!H:H,"")</f>
        <v/>
      </c>
      <c r="R41" s="41" t="str">
        <f>_xlfn.XLOOKUP(A41,psRk!C:C,psRk!I:I,"")</f>
        <v/>
      </c>
      <c r="S41" s="27" t="str">
        <f t="shared" si="1"/>
        <v/>
      </c>
      <c r="T41" s="27" t="str">
        <f t="shared" si="2"/>
        <v/>
      </c>
      <c r="U41" s="27" t="str">
        <f t="shared" si="3"/>
        <v/>
      </c>
      <c r="V41" s="27" t="str">
        <f t="shared" si="4"/>
        <v/>
      </c>
      <c r="W41" s="27" t="str">
        <f t="shared" si="5"/>
        <v/>
      </c>
      <c r="X41" s="27" t="str">
        <f t="shared" si="6"/>
        <v/>
      </c>
      <c r="Y41" s="27" t="str">
        <f t="shared" si="7"/>
        <v/>
      </c>
      <c r="Z41" s="47" t="str">
        <f t="shared" si="13"/>
        <v/>
      </c>
      <c r="AA41" s="49" t="str">
        <f t="shared" si="8"/>
        <v/>
      </c>
      <c r="AB41" s="49">
        <f t="shared" si="14"/>
        <v>0</v>
      </c>
      <c r="AC41" s="49" t="str">
        <f t="shared" si="9"/>
        <v/>
      </c>
      <c r="AD41" s="47" t="str">
        <f>_xlfn.XLOOKUP(AC41,Parm!$AN$2:$AN$25,Parm!$AO$2:$AO$25,"")</f>
        <v/>
      </c>
      <c r="AE41" s="49" t="str">
        <f t="shared" si="10"/>
        <v/>
      </c>
      <c r="AF41" s="47" t="str">
        <f>_xlfn.XLOOKUP(AE41,Parm!$AN$2:$AN$25,Parm!$AO$2:$AO$25,"")</f>
        <v/>
      </c>
      <c r="AG41" s="286">
        <f>psTn!A42</f>
        <v>0</v>
      </c>
      <c r="AH41" s="49" t="str" cm="1">
        <f t="array" aca="1" ref="AH41" ca="1">_xlfn.IFS(Z41="","",AND(Z41&gt;0,Z41&lt;$AS$12),MROUND($AS$13*($AS$12-Z41+1)/SUMPRODUCT($AS$12-ROW(INDIRECT("1:" &amp; $AS$12 ))),1000),TRUE,0)</f>
        <v/>
      </c>
      <c r="AI41" s="49" t="e">
        <f t="shared" si="11"/>
        <v>#VALUE!</v>
      </c>
      <c r="AJ41" s="49">
        <f t="shared" si="15"/>
        <v>-100</v>
      </c>
      <c r="AK41" s="49"/>
      <c r="AL41" s="49" t="str">
        <f t="shared" si="12"/>
        <v/>
      </c>
      <c r="AM41" s="52" t="str">
        <f>IF(A41&lt;=0,"",_xlfn.XLOOKUP(A41,TL!C:C,TL!C:C))</f>
        <v/>
      </c>
      <c r="AN41" s="52" t="str">
        <f>IF(A41&lt;=0,"",_xlfn.XLOOKUP(A41,Y!C:C,Y!C:C))</f>
        <v/>
      </c>
      <c r="AO41" s="52" t="str">
        <f>IF(A41&lt;=0,"",_xlfn.XLOOKUP(A41,MA!B:B,MA!B:B))</f>
        <v/>
      </c>
    </row>
    <row r="42" spans="1:41" x14ac:dyDescent="0.25">
      <c r="A42" s="444">
        <f>psTn!B43</f>
        <v>0</v>
      </c>
      <c r="B42" s="33">
        <f>psTn!C43</f>
        <v>0</v>
      </c>
      <c r="C42" s="33">
        <f>psTn!D43</f>
        <v>0</v>
      </c>
      <c r="D42" s="33">
        <f>psTn!E43</f>
        <v>0</v>
      </c>
      <c r="E42" s="33">
        <f>psTn!F43</f>
        <v>0</v>
      </c>
      <c r="F42" s="33">
        <f>psTn!G43</f>
        <v>0</v>
      </c>
      <c r="G42" s="44" t="str">
        <f>_xlfn.XLOOKUP(A42,'ps5'!B:B,'ps5'!C:C,"")</f>
        <v/>
      </c>
      <c r="H42" s="44" t="str">
        <f>_xlfn.XLOOKUP(A42,'ps5'!B:B,'ps5'!D:D,"")</f>
        <v/>
      </c>
      <c r="I42" s="44" t="str">
        <f>_xlfn.XLOOKUP(A42,'ps5'!B:B,'ps5'!E:E,"")</f>
        <v/>
      </c>
      <c r="J42" s="44" t="str">
        <f>_xlfn.XLOOKUP(A42,'ps5'!B:B,'ps5'!F:F,"")</f>
        <v/>
      </c>
      <c r="K42" s="44" t="str">
        <f>_xlfn.XLOOKUP(A42,'ps5'!B:B,'ps5'!G:G,"")</f>
        <v/>
      </c>
      <c r="L42" s="44">
        <f t="shared" si="0"/>
        <v>0</v>
      </c>
      <c r="M42" s="44">
        <f t="shared" si="0"/>
        <v>0</v>
      </c>
      <c r="N42" s="44">
        <f t="shared" si="0"/>
        <v>0</v>
      </c>
      <c r="O42" s="50" t="str">
        <f>_xlfn.XLOOKUP(A42,psRk!C:C,psRk!F:F,"")</f>
        <v/>
      </c>
      <c r="P42" s="33" t="str">
        <f>_xlfn.XLOOKUP(A42,psRk!C:C,psRk!G:G,"")</f>
        <v/>
      </c>
      <c r="Q42" s="41" t="str">
        <f>_xlfn.XLOOKUP(A42,psRk!C:C,psRk!H:H,"")</f>
        <v/>
      </c>
      <c r="R42" s="41" t="str">
        <f>_xlfn.XLOOKUP(A42,psRk!C:C,psRk!I:I,"")</f>
        <v/>
      </c>
      <c r="S42" s="27" t="str">
        <f t="shared" si="1"/>
        <v/>
      </c>
      <c r="T42" s="27" t="str">
        <f t="shared" si="2"/>
        <v/>
      </c>
      <c r="U42" s="27" t="str">
        <f t="shared" si="3"/>
        <v/>
      </c>
      <c r="V42" s="27" t="str">
        <f t="shared" si="4"/>
        <v/>
      </c>
      <c r="W42" s="27" t="str">
        <f t="shared" si="5"/>
        <v/>
      </c>
      <c r="X42" s="27" t="str">
        <f t="shared" si="6"/>
        <v/>
      </c>
      <c r="Y42" s="27" t="str">
        <f t="shared" si="7"/>
        <v/>
      </c>
      <c r="Z42" s="47" t="str">
        <f t="shared" si="13"/>
        <v/>
      </c>
      <c r="AA42" s="49" t="str">
        <f t="shared" si="8"/>
        <v/>
      </c>
      <c r="AB42" s="49">
        <f t="shared" si="14"/>
        <v>0</v>
      </c>
      <c r="AC42" s="49" t="str">
        <f t="shared" si="9"/>
        <v/>
      </c>
      <c r="AD42" s="47" t="str">
        <f>_xlfn.XLOOKUP(AC42,Parm!$AN$2:$AN$25,Parm!$AO$2:$AO$25,"")</f>
        <v/>
      </c>
      <c r="AE42" s="49" t="str">
        <f t="shared" si="10"/>
        <v/>
      </c>
      <c r="AF42" s="47" t="str">
        <f>_xlfn.XLOOKUP(AE42,Parm!$AN$2:$AN$25,Parm!$AO$2:$AO$25,"")</f>
        <v/>
      </c>
      <c r="AG42" s="286">
        <f>psTn!A43</f>
        <v>0</v>
      </c>
      <c r="AH42" s="49" t="str" cm="1">
        <f t="array" aca="1" ref="AH42" ca="1">_xlfn.IFS(Z42="","",AND(Z42&gt;0,Z42&lt;$AS$12),MROUND($AS$13*($AS$12-Z42+1)/SUMPRODUCT($AS$12-ROW(INDIRECT("1:" &amp; $AS$12 ))),1000),TRUE,0)</f>
        <v/>
      </c>
      <c r="AI42" s="49" t="e">
        <f t="shared" si="11"/>
        <v>#VALUE!</v>
      </c>
      <c r="AJ42" s="49">
        <f t="shared" si="15"/>
        <v>-100</v>
      </c>
      <c r="AK42" s="49"/>
      <c r="AL42" s="49" t="str">
        <f t="shared" si="12"/>
        <v/>
      </c>
      <c r="AM42" s="52" t="str">
        <f>IF(A42&lt;=0,"",_xlfn.XLOOKUP(A42,TL!C:C,TL!C:C))</f>
        <v/>
      </c>
      <c r="AN42" s="52" t="str">
        <f>IF(A42&lt;=0,"",_xlfn.XLOOKUP(A42,Y!C:C,Y!C:C))</f>
        <v/>
      </c>
      <c r="AO42" s="52" t="str">
        <f>IF(A42&lt;=0,"",_xlfn.XLOOKUP(A42,MA!B:B,MA!B:B))</f>
        <v/>
      </c>
    </row>
    <row r="43" spans="1:41" x14ac:dyDescent="0.25">
      <c r="A43" s="444">
        <f>psTn!B44</f>
        <v>0</v>
      </c>
      <c r="B43" s="33">
        <f>psTn!C44</f>
        <v>0</v>
      </c>
      <c r="C43" s="33">
        <f>psTn!D44</f>
        <v>0</v>
      </c>
      <c r="D43" s="33">
        <f>psTn!E44</f>
        <v>0</v>
      </c>
      <c r="E43" s="33">
        <f>psTn!F44</f>
        <v>0</v>
      </c>
      <c r="F43" s="33">
        <f>psTn!G44</f>
        <v>0</v>
      </c>
      <c r="G43" s="44" t="str">
        <f>_xlfn.XLOOKUP(A43,'ps5'!B:B,'ps5'!C:C,"")</f>
        <v/>
      </c>
      <c r="H43" s="44" t="str">
        <f>_xlfn.XLOOKUP(A43,'ps5'!B:B,'ps5'!D:D,"")</f>
        <v/>
      </c>
      <c r="I43" s="44" t="str">
        <f>_xlfn.XLOOKUP(A43,'ps5'!B:B,'ps5'!E:E,"")</f>
        <v/>
      </c>
      <c r="J43" s="44" t="str">
        <f>_xlfn.XLOOKUP(A43,'ps5'!B:B,'ps5'!F:F,"")</f>
        <v/>
      </c>
      <c r="K43" s="44" t="str">
        <f>_xlfn.XLOOKUP(A43,'ps5'!B:B,'ps5'!G:G,"")</f>
        <v/>
      </c>
      <c r="L43" s="44">
        <f t="shared" si="0"/>
        <v>0</v>
      </c>
      <c r="M43" s="44">
        <f t="shared" si="0"/>
        <v>0</v>
      </c>
      <c r="N43" s="44">
        <f t="shared" si="0"/>
        <v>0</v>
      </c>
      <c r="O43" s="50" t="str">
        <f>_xlfn.XLOOKUP(A43,psRk!C:C,psRk!F:F,"")</f>
        <v/>
      </c>
      <c r="P43" s="33" t="str">
        <f>_xlfn.XLOOKUP(A43,psRk!C:C,psRk!G:G,"")</f>
        <v/>
      </c>
      <c r="Q43" s="41" t="str">
        <f>_xlfn.XLOOKUP(A43,psRk!C:C,psRk!H:H,"")</f>
        <v/>
      </c>
      <c r="R43" s="41" t="str">
        <f>_xlfn.XLOOKUP(A43,psRk!C:C,psRk!I:I,"")</f>
        <v/>
      </c>
      <c r="S43" s="27" t="str">
        <f t="shared" si="1"/>
        <v/>
      </c>
      <c r="T43" s="27" t="str">
        <f t="shared" si="2"/>
        <v/>
      </c>
      <c r="U43" s="27" t="str">
        <f t="shared" si="3"/>
        <v/>
      </c>
      <c r="V43" s="27" t="str">
        <f t="shared" si="4"/>
        <v/>
      </c>
      <c r="W43" s="27" t="str">
        <f t="shared" si="5"/>
        <v/>
      </c>
      <c r="X43" s="27" t="str">
        <f t="shared" si="6"/>
        <v/>
      </c>
      <c r="Y43" s="27" t="str">
        <f t="shared" si="7"/>
        <v/>
      </c>
      <c r="Z43" s="47" t="str">
        <f t="shared" si="13"/>
        <v/>
      </c>
      <c r="AA43" s="49" t="str">
        <f t="shared" si="8"/>
        <v/>
      </c>
      <c r="AB43" s="49">
        <f t="shared" si="14"/>
        <v>0</v>
      </c>
      <c r="AC43" s="49" t="str">
        <f t="shared" si="9"/>
        <v/>
      </c>
      <c r="AD43" s="47" t="str">
        <f>_xlfn.XLOOKUP(AC43,Parm!$AN$2:$AN$25,Parm!$AO$2:$AO$25,"")</f>
        <v/>
      </c>
      <c r="AE43" s="49" t="str">
        <f t="shared" si="10"/>
        <v/>
      </c>
      <c r="AF43" s="47" t="str">
        <f>_xlfn.XLOOKUP(AE43,Parm!$AN$2:$AN$25,Parm!$AO$2:$AO$25,"")</f>
        <v/>
      </c>
      <c r="AG43" s="286">
        <f>psTn!A44</f>
        <v>0</v>
      </c>
      <c r="AH43" s="49" t="str" cm="1">
        <f t="array" aca="1" ref="AH43" ca="1">_xlfn.IFS(Z43="","",AND(Z43&gt;0,Z43&lt;$AS$12),MROUND($AS$13*($AS$12-Z43+1)/SUMPRODUCT($AS$12-ROW(INDIRECT("1:" &amp; $AS$12 ))),1000),TRUE,0)</f>
        <v/>
      </c>
      <c r="AI43" s="49" t="e">
        <f t="shared" si="11"/>
        <v>#VALUE!</v>
      </c>
      <c r="AJ43" s="49">
        <f t="shared" si="15"/>
        <v>-100</v>
      </c>
      <c r="AK43" s="49"/>
      <c r="AL43" s="49" t="str">
        <f t="shared" si="12"/>
        <v/>
      </c>
      <c r="AM43" s="52" t="str">
        <f>IF(A43&lt;=0,"",_xlfn.XLOOKUP(A43,TL!C:C,TL!C:C))</f>
        <v/>
      </c>
      <c r="AN43" s="52" t="str">
        <f>IF(A43&lt;=0,"",_xlfn.XLOOKUP(A43,Y!C:C,Y!C:C))</f>
        <v/>
      </c>
      <c r="AO43" s="52" t="str">
        <f>IF(A43&lt;=0,"",_xlfn.XLOOKUP(A43,MA!B:B,MA!B:B))</f>
        <v/>
      </c>
    </row>
    <row r="44" spans="1:41" x14ac:dyDescent="0.25">
      <c r="A44" s="444">
        <f>psTn!B45</f>
        <v>0</v>
      </c>
      <c r="B44" s="33">
        <f>psTn!C45</f>
        <v>0</v>
      </c>
      <c r="C44" s="33">
        <f>psTn!D45</f>
        <v>0</v>
      </c>
      <c r="D44" s="33">
        <f>psTn!E45</f>
        <v>0</v>
      </c>
      <c r="E44" s="33">
        <f>psTn!F45</f>
        <v>0</v>
      </c>
      <c r="F44" s="33">
        <f>psTn!G45</f>
        <v>0</v>
      </c>
      <c r="G44" s="44" t="str">
        <f>_xlfn.XLOOKUP(A44,'ps5'!B:B,'ps5'!C:C,"")</f>
        <v/>
      </c>
      <c r="H44" s="44" t="str">
        <f>_xlfn.XLOOKUP(A44,'ps5'!B:B,'ps5'!D:D,"")</f>
        <v/>
      </c>
      <c r="I44" s="44" t="str">
        <f>_xlfn.XLOOKUP(A44,'ps5'!B:B,'ps5'!E:E,"")</f>
        <v/>
      </c>
      <c r="J44" s="44" t="str">
        <f>_xlfn.XLOOKUP(A44,'ps5'!B:B,'ps5'!F:F,"")</f>
        <v/>
      </c>
      <c r="K44" s="44" t="str">
        <f>_xlfn.XLOOKUP(A44,'ps5'!B:B,'ps5'!G:G,"")</f>
        <v/>
      </c>
      <c r="L44" s="44">
        <f t="shared" si="0"/>
        <v>0</v>
      </c>
      <c r="M44" s="44">
        <f t="shared" si="0"/>
        <v>0</v>
      </c>
      <c r="N44" s="44">
        <f t="shared" si="0"/>
        <v>0</v>
      </c>
      <c r="O44" s="50" t="str">
        <f>_xlfn.XLOOKUP(A44,psRk!C:C,psRk!F:F,"")</f>
        <v/>
      </c>
      <c r="P44" s="33" t="str">
        <f>_xlfn.XLOOKUP(A44,psRk!C:C,psRk!G:G,"")</f>
        <v/>
      </c>
      <c r="Q44" s="41" t="str">
        <f>_xlfn.XLOOKUP(A44,psRk!C:C,psRk!H:H,"")</f>
        <v/>
      </c>
      <c r="R44" s="41" t="str">
        <f>_xlfn.XLOOKUP(A44,psRk!C:C,psRk!I:I,"")</f>
        <v/>
      </c>
      <c r="S44" s="27" t="str">
        <f t="shared" si="1"/>
        <v/>
      </c>
      <c r="T44" s="27" t="str">
        <f t="shared" si="2"/>
        <v/>
      </c>
      <c r="U44" s="27" t="str">
        <f t="shared" si="3"/>
        <v/>
      </c>
      <c r="V44" s="27" t="str">
        <f t="shared" si="4"/>
        <v/>
      </c>
      <c r="W44" s="27" t="str">
        <f t="shared" si="5"/>
        <v/>
      </c>
      <c r="X44" s="27" t="str">
        <f t="shared" si="6"/>
        <v/>
      </c>
      <c r="Y44" s="27" t="str">
        <f t="shared" si="7"/>
        <v/>
      </c>
      <c r="Z44" s="47" t="str">
        <f t="shared" si="13"/>
        <v/>
      </c>
      <c r="AA44" s="49" t="str">
        <f t="shared" si="8"/>
        <v/>
      </c>
      <c r="AB44" s="49">
        <f t="shared" si="14"/>
        <v>0</v>
      </c>
      <c r="AC44" s="49" t="str">
        <f t="shared" si="9"/>
        <v/>
      </c>
      <c r="AD44" s="47" t="str">
        <f>_xlfn.XLOOKUP(AC44,Parm!$AN$2:$AN$25,Parm!$AO$2:$AO$25,"")</f>
        <v/>
      </c>
      <c r="AE44" s="49" t="str">
        <f t="shared" si="10"/>
        <v/>
      </c>
      <c r="AF44" s="47" t="str">
        <f>_xlfn.XLOOKUP(AE44,Parm!$AN$2:$AN$25,Parm!$AO$2:$AO$25,"")</f>
        <v/>
      </c>
      <c r="AG44" s="286">
        <f>psTn!A45</f>
        <v>0</v>
      </c>
      <c r="AH44" s="49" t="str" cm="1">
        <f t="array" aca="1" ref="AH44" ca="1">_xlfn.IFS(Z44="","",AND(Z44&gt;0,Z44&lt;$AS$12),MROUND($AS$13*($AS$12-Z44+1)/SUMPRODUCT($AS$12-ROW(INDIRECT("1:" &amp; $AS$12 ))),1000),TRUE,0)</f>
        <v/>
      </c>
      <c r="AI44" s="49" t="e">
        <f t="shared" si="11"/>
        <v>#VALUE!</v>
      </c>
      <c r="AJ44" s="49">
        <f t="shared" si="15"/>
        <v>-100</v>
      </c>
      <c r="AK44" s="49"/>
      <c r="AL44" s="49" t="str">
        <f t="shared" si="12"/>
        <v/>
      </c>
      <c r="AM44" s="52" t="str">
        <f>IF(A44&lt;=0,"",_xlfn.XLOOKUP(A44,TL!C:C,TL!C:C))</f>
        <v/>
      </c>
      <c r="AN44" s="52" t="str">
        <f>IF(A44&lt;=0,"",_xlfn.XLOOKUP(A44,Y!C:C,Y!C:C))</f>
        <v/>
      </c>
      <c r="AO44" s="52" t="str">
        <f>IF(A44&lt;=0,"",_xlfn.XLOOKUP(A44,MA!B:B,MA!B:B))</f>
        <v/>
      </c>
    </row>
    <row r="45" spans="1:41" x14ac:dyDescent="0.25">
      <c r="A45" s="444">
        <f>psTn!B46</f>
        <v>0</v>
      </c>
      <c r="B45" s="33">
        <f>psTn!C46</f>
        <v>0</v>
      </c>
      <c r="C45" s="33">
        <f>psTn!D46</f>
        <v>0</v>
      </c>
      <c r="D45" s="33">
        <f>psTn!E46</f>
        <v>0</v>
      </c>
      <c r="E45" s="33">
        <f>psTn!F46</f>
        <v>0</v>
      </c>
      <c r="F45" s="33">
        <f>psTn!G46</f>
        <v>0</v>
      </c>
      <c r="G45" s="44" t="str">
        <f>_xlfn.XLOOKUP(A45,'ps5'!B:B,'ps5'!C:C,"")</f>
        <v/>
      </c>
      <c r="H45" s="44" t="str">
        <f>_xlfn.XLOOKUP(A45,'ps5'!B:B,'ps5'!D:D,"")</f>
        <v/>
      </c>
      <c r="I45" s="44" t="str">
        <f>_xlfn.XLOOKUP(A45,'ps5'!B:B,'ps5'!E:E,"")</f>
        <v/>
      </c>
      <c r="J45" s="44" t="str">
        <f>_xlfn.XLOOKUP(A45,'ps5'!B:B,'ps5'!F:F,"")</f>
        <v/>
      </c>
      <c r="K45" s="44" t="str">
        <f>_xlfn.XLOOKUP(A45,'ps5'!B:B,'ps5'!G:G,"")</f>
        <v/>
      </c>
      <c r="L45" s="44">
        <f t="shared" si="0"/>
        <v>0</v>
      </c>
      <c r="M45" s="44">
        <f t="shared" si="0"/>
        <v>0</v>
      </c>
      <c r="N45" s="44">
        <f t="shared" si="0"/>
        <v>0</v>
      </c>
      <c r="O45" s="50" t="str">
        <f>_xlfn.XLOOKUP(A45,psRk!C:C,psRk!F:F,"")</f>
        <v/>
      </c>
      <c r="P45" s="33" t="str">
        <f>_xlfn.XLOOKUP(A45,psRk!C:C,psRk!G:G,"")</f>
        <v/>
      </c>
      <c r="Q45" s="41" t="str">
        <f>_xlfn.XLOOKUP(A45,psRk!C:C,psRk!H:H,"")</f>
        <v/>
      </c>
      <c r="R45" s="41" t="str">
        <f>_xlfn.XLOOKUP(A45,psRk!C:C,psRk!I:I,"")</f>
        <v/>
      </c>
      <c r="S45" s="27" t="str">
        <f t="shared" si="1"/>
        <v/>
      </c>
      <c r="T45" s="27" t="str">
        <f t="shared" si="2"/>
        <v/>
      </c>
      <c r="U45" s="27" t="str">
        <f t="shared" si="3"/>
        <v/>
      </c>
      <c r="V45" s="27" t="str">
        <f t="shared" si="4"/>
        <v/>
      </c>
      <c r="W45" s="27" t="str">
        <f t="shared" si="5"/>
        <v/>
      </c>
      <c r="X45" s="27" t="str">
        <f t="shared" si="6"/>
        <v/>
      </c>
      <c r="Y45" s="27" t="str">
        <f t="shared" si="7"/>
        <v/>
      </c>
      <c r="Z45" s="47" t="str">
        <f t="shared" si="13"/>
        <v/>
      </c>
      <c r="AA45" s="49" t="str">
        <f t="shared" si="8"/>
        <v/>
      </c>
      <c r="AB45" s="49">
        <f t="shared" si="14"/>
        <v>0</v>
      </c>
      <c r="AC45" s="49" t="str">
        <f t="shared" si="9"/>
        <v/>
      </c>
      <c r="AD45" s="47" t="str">
        <f>_xlfn.XLOOKUP(AC45,Parm!$AN$2:$AN$25,Parm!$AO$2:$AO$25,"")</f>
        <v/>
      </c>
      <c r="AE45" s="49" t="str">
        <f t="shared" si="10"/>
        <v/>
      </c>
      <c r="AF45" s="47" t="str">
        <f>_xlfn.XLOOKUP(AE45,Parm!$AN$2:$AN$25,Parm!$AO$2:$AO$25,"")</f>
        <v/>
      </c>
      <c r="AG45" s="286">
        <f>psTn!A46</f>
        <v>0</v>
      </c>
      <c r="AH45" s="49" t="str" cm="1">
        <f t="array" aca="1" ref="AH45" ca="1">_xlfn.IFS(Z45="","",AND(Z45&gt;0,Z45&lt;$AS$12),MROUND($AS$13*($AS$12-Z45+1)/SUMPRODUCT($AS$12-ROW(INDIRECT("1:" &amp; $AS$12 ))),1000),TRUE,0)</f>
        <v/>
      </c>
      <c r="AI45" s="49" t="e">
        <f t="shared" si="11"/>
        <v>#VALUE!</v>
      </c>
      <c r="AJ45" s="49">
        <f t="shared" si="15"/>
        <v>-100</v>
      </c>
      <c r="AK45" s="49"/>
      <c r="AL45" s="49" t="str">
        <f t="shared" si="12"/>
        <v/>
      </c>
      <c r="AM45" s="52" t="str">
        <f>IF(A45&lt;=0,"",_xlfn.XLOOKUP(A45,TL!C:C,TL!C:C))</f>
        <v/>
      </c>
      <c r="AN45" s="52" t="str">
        <f>IF(A45&lt;=0,"",_xlfn.XLOOKUP(A45,Y!C:C,Y!C:C))</f>
        <v/>
      </c>
      <c r="AO45" s="52" t="str">
        <f>IF(A45&lt;=0,"",_xlfn.XLOOKUP(A45,MA!B:B,MA!B:B))</f>
        <v/>
      </c>
    </row>
    <row r="46" spans="1:41" x14ac:dyDescent="0.25">
      <c r="A46" s="444">
        <f>psTn!B47</f>
        <v>0</v>
      </c>
      <c r="B46" s="33">
        <f>psTn!C47</f>
        <v>0</v>
      </c>
      <c r="C46" s="33">
        <f>psTn!D47</f>
        <v>0</v>
      </c>
      <c r="D46" s="33">
        <f>psTn!E47</f>
        <v>0</v>
      </c>
      <c r="E46" s="33">
        <f>psTn!F47</f>
        <v>0</v>
      </c>
      <c r="F46" s="33">
        <f>psTn!G47</f>
        <v>0</v>
      </c>
      <c r="G46" s="44" t="str">
        <f>_xlfn.XLOOKUP(A46,'ps5'!B:B,'ps5'!C:C,"")</f>
        <v/>
      </c>
      <c r="H46" s="44" t="str">
        <f>_xlfn.XLOOKUP(A46,'ps5'!B:B,'ps5'!D:D,"")</f>
        <v/>
      </c>
      <c r="I46" s="44" t="str">
        <f>_xlfn.XLOOKUP(A46,'ps5'!B:B,'ps5'!E:E,"")</f>
        <v/>
      </c>
      <c r="J46" s="44" t="str">
        <f>_xlfn.XLOOKUP(A46,'ps5'!B:B,'ps5'!F:F,"")</f>
        <v/>
      </c>
      <c r="K46" s="44" t="str">
        <f>_xlfn.XLOOKUP(A46,'ps5'!B:B,'ps5'!G:G,"")</f>
        <v/>
      </c>
      <c r="L46" s="44">
        <f t="shared" si="0"/>
        <v>0</v>
      </c>
      <c r="M46" s="44">
        <f t="shared" si="0"/>
        <v>0</v>
      </c>
      <c r="N46" s="44">
        <f t="shared" si="0"/>
        <v>0</v>
      </c>
      <c r="O46" s="50" t="str">
        <f>_xlfn.XLOOKUP(A46,psRk!C:C,psRk!F:F,"")</f>
        <v/>
      </c>
      <c r="P46" s="33" t="str">
        <f>_xlfn.XLOOKUP(A46,psRk!C:C,psRk!G:G,"")</f>
        <v/>
      </c>
      <c r="Q46" s="41" t="str">
        <f>_xlfn.XLOOKUP(A46,psRk!C:C,psRk!H:H,"")</f>
        <v/>
      </c>
      <c r="R46" s="41" t="str">
        <f>_xlfn.XLOOKUP(A46,psRk!C:C,psRk!I:I,"")</f>
        <v/>
      </c>
      <c r="S46" s="27" t="str">
        <f t="shared" si="1"/>
        <v/>
      </c>
      <c r="T46" s="27" t="str">
        <f t="shared" si="2"/>
        <v/>
      </c>
      <c r="U46" s="27" t="str">
        <f t="shared" si="3"/>
        <v/>
      </c>
      <c r="V46" s="27" t="str">
        <f t="shared" si="4"/>
        <v/>
      </c>
      <c r="W46" s="27" t="str">
        <f t="shared" si="5"/>
        <v/>
      </c>
      <c r="X46" s="27" t="str">
        <f t="shared" si="6"/>
        <v/>
      </c>
      <c r="Y46" s="27" t="str">
        <f t="shared" si="7"/>
        <v/>
      </c>
      <c r="Z46" s="47" t="str">
        <f t="shared" si="13"/>
        <v/>
      </c>
      <c r="AA46" s="49" t="str">
        <f t="shared" si="8"/>
        <v/>
      </c>
      <c r="AB46" s="49">
        <f t="shared" si="14"/>
        <v>0</v>
      </c>
      <c r="AC46" s="49" t="str">
        <f t="shared" si="9"/>
        <v/>
      </c>
      <c r="AD46" s="47" t="str">
        <f>_xlfn.XLOOKUP(AC46,Parm!$AN$2:$AN$25,Parm!$AO$2:$AO$25,"")</f>
        <v/>
      </c>
      <c r="AE46" s="49" t="str">
        <f t="shared" si="10"/>
        <v/>
      </c>
      <c r="AF46" s="47" t="str">
        <f>_xlfn.XLOOKUP(AE46,Parm!$AN$2:$AN$25,Parm!$AO$2:$AO$25,"")</f>
        <v/>
      </c>
      <c r="AG46" s="286">
        <f>psTn!A47</f>
        <v>0</v>
      </c>
      <c r="AH46" s="49" t="str" cm="1">
        <f t="array" aca="1" ref="AH46" ca="1">_xlfn.IFS(Z46="","",AND(Z46&gt;0,Z46&lt;$AS$12),MROUND($AS$13*($AS$12-Z46+1)/SUMPRODUCT($AS$12-ROW(INDIRECT("1:" &amp; $AS$12 ))),1000),TRUE,0)</f>
        <v/>
      </c>
      <c r="AI46" s="49" t="e">
        <f t="shared" si="11"/>
        <v>#VALUE!</v>
      </c>
      <c r="AJ46" s="49">
        <f t="shared" si="15"/>
        <v>-100</v>
      </c>
      <c r="AK46" s="49"/>
      <c r="AL46" s="49" t="str">
        <f t="shared" si="12"/>
        <v/>
      </c>
      <c r="AM46" s="52" t="str">
        <f>IF(A46&lt;=0,"",_xlfn.XLOOKUP(A46,TL!C:C,TL!C:C))</f>
        <v/>
      </c>
      <c r="AN46" s="52" t="str">
        <f>IF(A46&lt;=0,"",_xlfn.XLOOKUP(A46,Y!C:C,Y!C:C))</f>
        <v/>
      </c>
      <c r="AO46" s="52" t="str">
        <f>IF(A46&lt;=0,"",_xlfn.XLOOKUP(A46,MA!B:B,MA!B:B))</f>
        <v/>
      </c>
    </row>
    <row r="47" spans="1:41" x14ac:dyDescent="0.25">
      <c r="A47" s="444">
        <f>psTn!B48</f>
        <v>0</v>
      </c>
      <c r="B47" s="33">
        <f>psTn!C48</f>
        <v>0</v>
      </c>
      <c r="C47" s="33">
        <f>psTn!D48</f>
        <v>0</v>
      </c>
      <c r="D47" s="33">
        <f>psTn!E48</f>
        <v>0</v>
      </c>
      <c r="E47" s="33">
        <f>psTn!F48</f>
        <v>0</v>
      </c>
      <c r="F47" s="33">
        <f>psTn!G48</f>
        <v>0</v>
      </c>
      <c r="G47" s="44" t="str">
        <f>_xlfn.XLOOKUP(A47,'ps5'!B:B,'ps5'!C:C,"")</f>
        <v/>
      </c>
      <c r="H47" s="44" t="str">
        <f>_xlfn.XLOOKUP(A47,'ps5'!B:B,'ps5'!D:D,"")</f>
        <v/>
      </c>
      <c r="I47" s="44" t="str">
        <f>_xlfn.XLOOKUP(A47,'ps5'!B:B,'ps5'!E:E,"")</f>
        <v/>
      </c>
      <c r="J47" s="44" t="str">
        <f>_xlfn.XLOOKUP(A47,'ps5'!B:B,'ps5'!F:F,"")</f>
        <v/>
      </c>
      <c r="K47" s="44" t="str">
        <f>_xlfn.XLOOKUP(A47,'ps5'!B:B,'ps5'!G:G,"")</f>
        <v/>
      </c>
      <c r="L47" s="44">
        <f t="shared" si="0"/>
        <v>0</v>
      </c>
      <c r="M47" s="44">
        <f t="shared" si="0"/>
        <v>0</v>
      </c>
      <c r="N47" s="44">
        <f t="shared" si="0"/>
        <v>0</v>
      </c>
      <c r="O47" s="50" t="str">
        <f>_xlfn.XLOOKUP(A47,psRk!C:C,psRk!F:F,"")</f>
        <v/>
      </c>
      <c r="P47" s="33" t="str">
        <f>_xlfn.XLOOKUP(A47,psRk!C:C,psRk!G:G,"")</f>
        <v/>
      </c>
      <c r="Q47" s="41" t="str">
        <f>_xlfn.XLOOKUP(A47,psRk!C:C,psRk!H:H,"")</f>
        <v/>
      </c>
      <c r="R47" s="41" t="str">
        <f>_xlfn.XLOOKUP(A47,psRk!C:C,psRk!I:I,"")</f>
        <v/>
      </c>
      <c r="S47" s="27" t="str">
        <f t="shared" si="1"/>
        <v/>
      </c>
      <c r="T47" s="27" t="str">
        <f t="shared" si="2"/>
        <v/>
      </c>
      <c r="U47" s="27" t="str">
        <f t="shared" si="3"/>
        <v/>
      </c>
      <c r="V47" s="27" t="str">
        <f t="shared" si="4"/>
        <v/>
      </c>
      <c r="W47" s="27" t="str">
        <f t="shared" si="5"/>
        <v/>
      </c>
      <c r="X47" s="27" t="str">
        <f t="shared" si="6"/>
        <v/>
      </c>
      <c r="Y47" s="27" t="str">
        <f t="shared" si="7"/>
        <v/>
      </c>
      <c r="Z47" s="47" t="str">
        <f t="shared" si="13"/>
        <v/>
      </c>
      <c r="AA47" s="49" t="str">
        <f t="shared" si="8"/>
        <v/>
      </c>
      <c r="AB47" s="49">
        <f t="shared" si="14"/>
        <v>0</v>
      </c>
      <c r="AC47" s="49" t="str">
        <f t="shared" si="9"/>
        <v/>
      </c>
      <c r="AD47" s="47" t="str">
        <f>_xlfn.XLOOKUP(AC47,Parm!$AN$2:$AN$25,Parm!$AO$2:$AO$25,"")</f>
        <v/>
      </c>
      <c r="AE47" s="49" t="str">
        <f t="shared" si="10"/>
        <v/>
      </c>
      <c r="AF47" s="47" t="str">
        <f>_xlfn.XLOOKUP(AE47,Parm!$AN$2:$AN$25,Parm!$AO$2:$AO$25,"")</f>
        <v/>
      </c>
      <c r="AG47" s="286">
        <f>psTn!A48</f>
        <v>0</v>
      </c>
      <c r="AH47" s="49" t="str" cm="1">
        <f t="array" aca="1" ref="AH47" ca="1">_xlfn.IFS(Z47="","",AND(Z47&gt;0,Z47&lt;$AS$12),MROUND($AS$13*($AS$12-Z47+1)/SUMPRODUCT($AS$12-ROW(INDIRECT("1:" &amp; $AS$12 ))),1000),TRUE,0)</f>
        <v/>
      </c>
      <c r="AI47" s="49" t="e">
        <f t="shared" si="11"/>
        <v>#VALUE!</v>
      </c>
      <c r="AJ47" s="49">
        <f t="shared" si="15"/>
        <v>-100</v>
      </c>
      <c r="AK47" s="49"/>
      <c r="AL47" s="49" t="str">
        <f t="shared" si="12"/>
        <v/>
      </c>
      <c r="AM47" s="52" t="str">
        <f>IF(A47&lt;=0,"",_xlfn.XLOOKUP(A47,TL!C:C,TL!C:C))</f>
        <v/>
      </c>
      <c r="AN47" s="52" t="str">
        <f>IF(A47&lt;=0,"",_xlfn.XLOOKUP(A47,Y!C:C,Y!C:C))</f>
        <v/>
      </c>
      <c r="AO47" s="52" t="str">
        <f>IF(A47&lt;=0,"",_xlfn.XLOOKUP(A47,MA!B:B,MA!B:B))</f>
        <v/>
      </c>
    </row>
    <row r="48" spans="1:41" x14ac:dyDescent="0.25">
      <c r="A48" s="444">
        <f>psTn!B49</f>
        <v>0</v>
      </c>
      <c r="B48" s="33">
        <f>psTn!C49</f>
        <v>0</v>
      </c>
      <c r="C48" s="33">
        <f>psTn!D49</f>
        <v>0</v>
      </c>
      <c r="D48" s="33">
        <f>psTn!E49</f>
        <v>0</v>
      </c>
      <c r="E48" s="33">
        <f>psTn!F49</f>
        <v>0</v>
      </c>
      <c r="F48" s="33">
        <f>psTn!G49</f>
        <v>0</v>
      </c>
      <c r="G48" s="44" t="str">
        <f>_xlfn.XLOOKUP(A48,'ps5'!B:B,'ps5'!C:C,"")</f>
        <v/>
      </c>
      <c r="H48" s="44" t="str">
        <f>_xlfn.XLOOKUP(A48,'ps5'!B:B,'ps5'!D:D,"")</f>
        <v/>
      </c>
      <c r="I48" s="44" t="str">
        <f>_xlfn.XLOOKUP(A48,'ps5'!B:B,'ps5'!E:E,"")</f>
        <v/>
      </c>
      <c r="J48" s="44" t="str">
        <f>_xlfn.XLOOKUP(A48,'ps5'!B:B,'ps5'!F:F,"")</f>
        <v/>
      </c>
      <c r="K48" s="44" t="str">
        <f>_xlfn.XLOOKUP(A48,'ps5'!B:B,'ps5'!G:G,"")</f>
        <v/>
      </c>
      <c r="L48" s="44">
        <f t="shared" si="0"/>
        <v>0</v>
      </c>
      <c r="M48" s="44">
        <f t="shared" si="0"/>
        <v>0</v>
      </c>
      <c r="N48" s="44">
        <f t="shared" si="0"/>
        <v>0</v>
      </c>
      <c r="O48" s="50" t="str">
        <f>_xlfn.XLOOKUP(A48,psRk!C:C,psRk!F:F,"")</f>
        <v/>
      </c>
      <c r="P48" s="33" t="str">
        <f>_xlfn.XLOOKUP(A48,psRk!C:C,psRk!G:G,"")</f>
        <v/>
      </c>
      <c r="Q48" s="41" t="str">
        <f>_xlfn.XLOOKUP(A48,psRk!C:C,psRk!H:H,"")</f>
        <v/>
      </c>
      <c r="R48" s="41" t="str">
        <f>_xlfn.XLOOKUP(A48,psRk!C:C,psRk!I:I,"")</f>
        <v/>
      </c>
      <c r="S48" s="27" t="str">
        <f t="shared" si="1"/>
        <v/>
      </c>
      <c r="T48" s="27" t="str">
        <f t="shared" si="2"/>
        <v/>
      </c>
      <c r="U48" s="27" t="str">
        <f t="shared" si="3"/>
        <v/>
      </c>
      <c r="V48" s="27" t="str">
        <f t="shared" si="4"/>
        <v/>
      </c>
      <c r="W48" s="27" t="str">
        <f t="shared" si="5"/>
        <v/>
      </c>
      <c r="X48" s="27" t="str">
        <f t="shared" si="6"/>
        <v/>
      </c>
      <c r="Y48" s="27" t="str">
        <f t="shared" si="7"/>
        <v/>
      </c>
      <c r="Z48" s="47" t="str">
        <f t="shared" si="13"/>
        <v/>
      </c>
      <c r="AA48" s="49" t="str">
        <f t="shared" si="8"/>
        <v/>
      </c>
      <c r="AB48" s="49">
        <f t="shared" si="14"/>
        <v>0</v>
      </c>
      <c r="AC48" s="49" t="str">
        <f t="shared" si="9"/>
        <v/>
      </c>
      <c r="AD48" s="47" t="str">
        <f>_xlfn.XLOOKUP(AC48,Parm!$AN$2:$AN$25,Parm!$AO$2:$AO$25,"")</f>
        <v/>
      </c>
      <c r="AE48" s="49" t="str">
        <f t="shared" si="10"/>
        <v/>
      </c>
      <c r="AF48" s="47" t="str">
        <f>_xlfn.XLOOKUP(AE48,Parm!$AN$2:$AN$25,Parm!$AO$2:$AO$25,"")</f>
        <v/>
      </c>
      <c r="AG48" s="286">
        <f>psTn!A49</f>
        <v>0</v>
      </c>
      <c r="AH48" s="49" t="str" cm="1">
        <f t="array" aca="1" ref="AH48" ca="1">_xlfn.IFS(Z48="","",AND(Z48&gt;0,Z48&lt;$AS$12),MROUND($AS$13*($AS$12-Z48+1)/SUMPRODUCT($AS$12-ROW(INDIRECT("1:" &amp; $AS$12 ))),1000),TRUE,0)</f>
        <v/>
      </c>
      <c r="AI48" s="49" t="e">
        <f t="shared" si="11"/>
        <v>#VALUE!</v>
      </c>
      <c r="AJ48" s="49">
        <f t="shared" si="15"/>
        <v>-100</v>
      </c>
      <c r="AK48" s="49"/>
      <c r="AL48" s="49" t="str">
        <f t="shared" si="12"/>
        <v/>
      </c>
      <c r="AM48" s="52" t="str">
        <f>IF(A48&lt;=0,"",_xlfn.XLOOKUP(A48,TL!C:C,TL!C:C))</f>
        <v/>
      </c>
      <c r="AN48" s="52" t="str">
        <f>IF(A48&lt;=0,"",_xlfn.XLOOKUP(A48,Y!C:C,Y!C:C))</f>
        <v/>
      </c>
      <c r="AO48" s="52" t="str">
        <f>IF(A48&lt;=0,"",_xlfn.XLOOKUP(A48,MA!B:B,MA!B:B))</f>
        <v/>
      </c>
    </row>
    <row r="49" spans="1:41" x14ac:dyDescent="0.25">
      <c r="A49" s="444">
        <f>psTn!B50</f>
        <v>0</v>
      </c>
      <c r="B49" s="33">
        <f>psTn!C50</f>
        <v>0</v>
      </c>
      <c r="C49" s="33">
        <f>psTn!D50</f>
        <v>0</v>
      </c>
      <c r="D49" s="33">
        <f>psTn!E50</f>
        <v>0</v>
      </c>
      <c r="E49" s="33">
        <f>psTn!F50</f>
        <v>0</v>
      </c>
      <c r="F49" s="33">
        <f>psTn!G50</f>
        <v>0</v>
      </c>
      <c r="G49" s="44" t="str">
        <f>_xlfn.XLOOKUP(A49,'ps5'!B:B,'ps5'!C:C,"")</f>
        <v/>
      </c>
      <c r="H49" s="44" t="str">
        <f>_xlfn.XLOOKUP(A49,'ps5'!B:B,'ps5'!D:D,"")</f>
        <v/>
      </c>
      <c r="I49" s="44" t="str">
        <f>_xlfn.XLOOKUP(A49,'ps5'!B:B,'ps5'!E:E,"")</f>
        <v/>
      </c>
      <c r="J49" s="44" t="str">
        <f>_xlfn.XLOOKUP(A49,'ps5'!B:B,'ps5'!F:F,"")</f>
        <v/>
      </c>
      <c r="K49" s="44" t="str">
        <f>_xlfn.XLOOKUP(A49,'ps5'!B:B,'ps5'!G:G,"")</f>
        <v/>
      </c>
      <c r="L49" s="44">
        <f t="shared" si="0"/>
        <v>0</v>
      </c>
      <c r="M49" s="44">
        <f t="shared" si="0"/>
        <v>0</v>
      </c>
      <c r="N49" s="44">
        <f t="shared" si="0"/>
        <v>0</v>
      </c>
      <c r="O49" s="50" t="str">
        <f>_xlfn.XLOOKUP(A49,psRk!C:C,psRk!F:F,"")</f>
        <v/>
      </c>
      <c r="P49" s="33" t="str">
        <f>_xlfn.XLOOKUP(A49,psRk!C:C,psRk!G:G,"")</f>
        <v/>
      </c>
      <c r="Q49" s="41" t="str">
        <f>_xlfn.XLOOKUP(A49,psRk!C:C,psRk!H:H,"")</f>
        <v/>
      </c>
      <c r="R49" s="41" t="str">
        <f>_xlfn.XLOOKUP(A49,psRk!C:C,psRk!I:I,"")</f>
        <v/>
      </c>
      <c r="S49" s="27" t="str">
        <f t="shared" si="1"/>
        <v/>
      </c>
      <c r="T49" s="27" t="str">
        <f t="shared" si="2"/>
        <v/>
      </c>
      <c r="U49" s="27" t="str">
        <f t="shared" si="3"/>
        <v/>
      </c>
      <c r="V49" s="27" t="str">
        <f t="shared" si="4"/>
        <v/>
      </c>
      <c r="W49" s="27" t="str">
        <f t="shared" si="5"/>
        <v/>
      </c>
      <c r="X49" s="27" t="str">
        <f t="shared" si="6"/>
        <v/>
      </c>
      <c r="Y49" s="27" t="str">
        <f t="shared" si="7"/>
        <v/>
      </c>
      <c r="Z49" s="47" t="str">
        <f t="shared" si="13"/>
        <v/>
      </c>
      <c r="AA49" s="49" t="str">
        <f t="shared" si="8"/>
        <v/>
      </c>
      <c r="AB49" s="49">
        <f t="shared" si="14"/>
        <v>0</v>
      </c>
      <c r="AC49" s="49" t="str">
        <f t="shared" si="9"/>
        <v/>
      </c>
      <c r="AD49" s="47" t="str">
        <f>_xlfn.XLOOKUP(AC49,Parm!$AN$2:$AN$25,Parm!$AO$2:$AO$25,"")</f>
        <v/>
      </c>
      <c r="AE49" s="49" t="str">
        <f t="shared" si="10"/>
        <v/>
      </c>
      <c r="AF49" s="47" t="str">
        <f>_xlfn.XLOOKUP(AE49,Parm!$AN$2:$AN$25,Parm!$AO$2:$AO$25,"")</f>
        <v/>
      </c>
      <c r="AG49" s="286">
        <f>psTn!A50</f>
        <v>0</v>
      </c>
      <c r="AH49" s="49" t="str" cm="1">
        <f t="array" aca="1" ref="AH49" ca="1">_xlfn.IFS(Z49="","",AND(Z49&gt;0,Z49&lt;$AS$12),MROUND($AS$13*($AS$12-Z49+1)/SUMPRODUCT($AS$12-ROW(INDIRECT("1:" &amp; $AS$12 ))),1000),TRUE,0)</f>
        <v/>
      </c>
      <c r="AI49" s="49" t="e">
        <f t="shared" si="11"/>
        <v>#VALUE!</v>
      </c>
      <c r="AJ49" s="49">
        <f t="shared" si="15"/>
        <v>-100</v>
      </c>
      <c r="AK49" s="49"/>
      <c r="AL49" s="49" t="str">
        <f t="shared" si="12"/>
        <v/>
      </c>
      <c r="AM49" s="52" t="str">
        <f>IF(A49&lt;=0,"",_xlfn.XLOOKUP(A49,TL!C:C,TL!C:C))</f>
        <v/>
      </c>
      <c r="AN49" s="52" t="str">
        <f>IF(A49&lt;=0,"",_xlfn.XLOOKUP(A49,Y!C:C,Y!C:C))</f>
        <v/>
      </c>
      <c r="AO49" s="52" t="str">
        <f>IF(A49&lt;=0,"",_xlfn.XLOOKUP(A49,MA!B:B,MA!B:B))</f>
        <v/>
      </c>
    </row>
    <row r="50" spans="1:41" x14ac:dyDescent="0.25">
      <c r="A50" s="444">
        <f>psTn!B51</f>
        <v>0</v>
      </c>
      <c r="B50" s="33">
        <f>psTn!C51</f>
        <v>0</v>
      </c>
      <c r="C50" s="33">
        <f>psTn!D51</f>
        <v>0</v>
      </c>
      <c r="D50" s="33">
        <f>psTn!E51</f>
        <v>0</v>
      </c>
      <c r="E50" s="33">
        <f>psTn!F51</f>
        <v>0</v>
      </c>
      <c r="F50" s="33">
        <f>psTn!G51</f>
        <v>0</v>
      </c>
      <c r="G50" s="44" t="str">
        <f>_xlfn.XLOOKUP(A50,'ps5'!B:B,'ps5'!C:C,"")</f>
        <v/>
      </c>
      <c r="H50" s="44" t="str">
        <f>_xlfn.XLOOKUP(A50,'ps5'!B:B,'ps5'!D:D,"")</f>
        <v/>
      </c>
      <c r="I50" s="44" t="str">
        <f>_xlfn.XLOOKUP(A50,'ps5'!B:B,'ps5'!E:E,"")</f>
        <v/>
      </c>
      <c r="J50" s="44" t="str">
        <f>_xlfn.XLOOKUP(A50,'ps5'!B:B,'ps5'!F:F,"")</f>
        <v/>
      </c>
      <c r="K50" s="44" t="str">
        <f>_xlfn.XLOOKUP(A50,'ps5'!B:B,'ps5'!G:G,"")</f>
        <v/>
      </c>
      <c r="L50" s="44">
        <f t="shared" si="0"/>
        <v>0</v>
      </c>
      <c r="M50" s="44">
        <f t="shared" si="0"/>
        <v>0</v>
      </c>
      <c r="N50" s="44">
        <f t="shared" si="0"/>
        <v>0</v>
      </c>
      <c r="O50" s="50" t="str">
        <f>_xlfn.XLOOKUP(A50,psRk!C:C,psRk!F:F,"")</f>
        <v/>
      </c>
      <c r="P50" s="33" t="str">
        <f>_xlfn.XLOOKUP(A50,psRk!C:C,psRk!G:G,"")</f>
        <v/>
      </c>
      <c r="Q50" s="41" t="str">
        <f>_xlfn.XLOOKUP(A50,psRk!C:C,psRk!H:H,"")</f>
        <v/>
      </c>
      <c r="R50" s="41" t="str">
        <f>_xlfn.XLOOKUP(A50,psRk!C:C,psRk!I:I,"")</f>
        <v/>
      </c>
      <c r="S50" s="27" t="str">
        <f t="shared" si="1"/>
        <v/>
      </c>
      <c r="T50" s="27" t="str">
        <f t="shared" si="2"/>
        <v/>
      </c>
      <c r="U50" s="27" t="str">
        <f t="shared" si="3"/>
        <v/>
      </c>
      <c r="V50" s="27" t="str">
        <f t="shared" si="4"/>
        <v/>
      </c>
      <c r="W50" s="27" t="str">
        <f t="shared" si="5"/>
        <v/>
      </c>
      <c r="X50" s="27" t="str">
        <f t="shared" si="6"/>
        <v/>
      </c>
      <c r="Y50" s="27" t="str">
        <f t="shared" si="7"/>
        <v/>
      </c>
      <c r="Z50" s="47" t="str">
        <f t="shared" si="13"/>
        <v/>
      </c>
      <c r="AA50" s="49" t="str">
        <f t="shared" si="8"/>
        <v/>
      </c>
      <c r="AB50" s="49">
        <f t="shared" si="14"/>
        <v>0</v>
      </c>
      <c r="AC50" s="49" t="str">
        <f t="shared" si="9"/>
        <v/>
      </c>
      <c r="AD50" s="47" t="str">
        <f>_xlfn.XLOOKUP(AC50,Parm!$AN$2:$AN$25,Parm!$AO$2:$AO$25,"")</f>
        <v/>
      </c>
      <c r="AE50" s="49" t="str">
        <f t="shared" si="10"/>
        <v/>
      </c>
      <c r="AF50" s="47" t="str">
        <f>_xlfn.XLOOKUP(AE50,Parm!$AN$2:$AN$25,Parm!$AO$2:$AO$25,"")</f>
        <v/>
      </c>
      <c r="AG50" s="286">
        <f>psTn!A51</f>
        <v>0</v>
      </c>
      <c r="AH50" s="49" t="str" cm="1">
        <f t="array" aca="1" ref="AH50" ca="1">_xlfn.IFS(Z50="","",AND(Z50&gt;0,Z50&lt;$AS$12),MROUND($AS$13*($AS$12-Z50+1)/SUMPRODUCT($AS$12-ROW(INDIRECT("1:" &amp; $AS$12 ))),1000),TRUE,0)</f>
        <v/>
      </c>
      <c r="AI50" s="49" t="e">
        <f t="shared" si="11"/>
        <v>#VALUE!</v>
      </c>
      <c r="AJ50" s="49">
        <f t="shared" si="15"/>
        <v>-100</v>
      </c>
      <c r="AK50" s="49"/>
      <c r="AL50" s="49" t="str">
        <f t="shared" si="12"/>
        <v/>
      </c>
      <c r="AM50" s="52" t="str">
        <f>IF(A50&lt;=0,"",_xlfn.XLOOKUP(A50,TL!C:C,TL!C:C))</f>
        <v/>
      </c>
      <c r="AN50" s="52" t="str">
        <f>IF(A50&lt;=0,"",_xlfn.XLOOKUP(A50,Y!C:C,Y!C:C))</f>
        <v/>
      </c>
      <c r="AO50" s="52" t="str">
        <f>IF(A50&lt;=0,"",_xlfn.XLOOKUP(A50,MA!B:B,MA!B:B))</f>
        <v/>
      </c>
    </row>
    <row r="51" spans="1:41" x14ac:dyDescent="0.25">
      <c r="A51" s="444">
        <f>psTn!B52</f>
        <v>0</v>
      </c>
      <c r="B51" s="33">
        <f>psTn!C52</f>
        <v>0</v>
      </c>
      <c r="C51" s="33">
        <f>psTn!D52</f>
        <v>0</v>
      </c>
      <c r="D51" s="33">
        <f>psTn!E52</f>
        <v>0</v>
      </c>
      <c r="E51" s="33">
        <f>psTn!F52</f>
        <v>0</v>
      </c>
      <c r="F51" s="33">
        <f>psTn!G52</f>
        <v>0</v>
      </c>
      <c r="G51" s="44" t="str">
        <f>_xlfn.XLOOKUP(A51,'ps5'!B:B,'ps5'!C:C,"")</f>
        <v/>
      </c>
      <c r="H51" s="44" t="str">
        <f>_xlfn.XLOOKUP(A51,'ps5'!B:B,'ps5'!D:D,"")</f>
        <v/>
      </c>
      <c r="I51" s="44" t="str">
        <f>_xlfn.XLOOKUP(A51,'ps5'!B:B,'ps5'!E:E,"")</f>
        <v/>
      </c>
      <c r="J51" s="44" t="str">
        <f>_xlfn.XLOOKUP(A51,'ps5'!B:B,'ps5'!F:F,"")</f>
        <v/>
      </c>
      <c r="K51" s="44" t="str">
        <f>_xlfn.XLOOKUP(A51,'ps5'!B:B,'ps5'!G:G,"")</f>
        <v/>
      </c>
      <c r="L51" s="44">
        <f t="shared" si="0"/>
        <v>0</v>
      </c>
      <c r="M51" s="44">
        <f t="shared" si="0"/>
        <v>0</v>
      </c>
      <c r="N51" s="44">
        <f t="shared" si="0"/>
        <v>0</v>
      </c>
      <c r="O51" s="50" t="str">
        <f>_xlfn.XLOOKUP(A51,psRk!C:C,psRk!F:F,"")</f>
        <v/>
      </c>
      <c r="P51" s="33" t="str">
        <f>_xlfn.XLOOKUP(A51,psRk!C:C,psRk!G:G,"")</f>
        <v/>
      </c>
      <c r="Q51" s="41" t="str">
        <f>_xlfn.XLOOKUP(A51,psRk!C:C,psRk!H:H,"")</f>
        <v/>
      </c>
      <c r="R51" s="41" t="str">
        <f>_xlfn.XLOOKUP(A51,psRk!C:C,psRk!I:I,"")</f>
        <v/>
      </c>
      <c r="S51" s="27" t="str">
        <f t="shared" si="1"/>
        <v/>
      </c>
      <c r="T51" s="27" t="str">
        <f t="shared" si="2"/>
        <v/>
      </c>
      <c r="U51" s="27" t="str">
        <f t="shared" si="3"/>
        <v/>
      </c>
      <c r="V51" s="27" t="str">
        <f t="shared" si="4"/>
        <v/>
      </c>
      <c r="W51" s="27" t="str">
        <f t="shared" si="5"/>
        <v/>
      </c>
      <c r="X51" s="27" t="str">
        <f t="shared" si="6"/>
        <v/>
      </c>
      <c r="Y51" s="27" t="str">
        <f t="shared" si="7"/>
        <v/>
      </c>
      <c r="Z51" s="47" t="str">
        <f t="shared" si="13"/>
        <v/>
      </c>
      <c r="AA51" s="49" t="str">
        <f t="shared" si="8"/>
        <v/>
      </c>
      <c r="AB51" s="49">
        <f t="shared" si="14"/>
        <v>0</v>
      </c>
      <c r="AC51" s="49" t="str">
        <f t="shared" si="9"/>
        <v/>
      </c>
      <c r="AD51" s="47" t="str">
        <f>_xlfn.XLOOKUP(AC51,Parm!$AN$2:$AN$25,Parm!$AO$2:$AO$25,"")</f>
        <v/>
      </c>
      <c r="AE51" s="49" t="str">
        <f t="shared" si="10"/>
        <v/>
      </c>
      <c r="AF51" s="47" t="str">
        <f>_xlfn.XLOOKUP(AE51,Parm!$AN$2:$AN$25,Parm!$AO$2:$AO$25,"")</f>
        <v/>
      </c>
      <c r="AG51" s="286">
        <f>psTn!A52</f>
        <v>0</v>
      </c>
      <c r="AH51" s="49" t="str" cm="1">
        <f t="array" aca="1" ref="AH51" ca="1">_xlfn.IFS(Z51="","",AND(Z51&gt;0,Z51&lt;$AS$12),MROUND($AS$13*($AS$12-Z51+1)/SUMPRODUCT($AS$12-ROW(INDIRECT("1:" &amp; $AS$12 ))),1000),TRUE,0)</f>
        <v/>
      </c>
      <c r="AI51" s="49" t="e">
        <f t="shared" si="11"/>
        <v>#VALUE!</v>
      </c>
      <c r="AJ51" s="49">
        <f t="shared" si="15"/>
        <v>-100</v>
      </c>
      <c r="AK51" s="49"/>
      <c r="AL51" s="49" t="str">
        <f t="shared" si="12"/>
        <v/>
      </c>
      <c r="AM51" s="52" t="str">
        <f>IF(A51&lt;=0,"",_xlfn.XLOOKUP(A51,TL!C:C,TL!C:C))</f>
        <v/>
      </c>
      <c r="AN51" s="52" t="str">
        <f>IF(A51&lt;=0,"",_xlfn.XLOOKUP(A51,Y!C:C,Y!C:C))</f>
        <v/>
      </c>
      <c r="AO51" s="52" t="str">
        <f>IF(A51&lt;=0,"",_xlfn.XLOOKUP(A51,MA!B:B,MA!B:B))</f>
        <v/>
      </c>
    </row>
    <row r="52" spans="1:41" x14ac:dyDescent="0.25">
      <c r="A52" s="444">
        <f>psTn!B53</f>
        <v>0</v>
      </c>
      <c r="B52" s="33">
        <f>psTn!C53</f>
        <v>0</v>
      </c>
      <c r="C52" s="33">
        <f>psTn!D53</f>
        <v>0</v>
      </c>
      <c r="D52" s="33">
        <f>psTn!E53</f>
        <v>0</v>
      </c>
      <c r="E52" s="33">
        <f>psTn!F53</f>
        <v>0</v>
      </c>
      <c r="F52" s="33">
        <f>psTn!G53</f>
        <v>0</v>
      </c>
      <c r="G52" s="44" t="str">
        <f>_xlfn.XLOOKUP(A52,'ps5'!B:B,'ps5'!C:C,"")</f>
        <v/>
      </c>
      <c r="H52" s="44" t="str">
        <f>_xlfn.XLOOKUP(A52,'ps5'!B:B,'ps5'!D:D,"")</f>
        <v/>
      </c>
      <c r="I52" s="44" t="str">
        <f>_xlfn.XLOOKUP(A52,'ps5'!B:B,'ps5'!E:E,"")</f>
        <v/>
      </c>
      <c r="J52" s="44" t="str">
        <f>_xlfn.XLOOKUP(A52,'ps5'!B:B,'ps5'!F:F,"")</f>
        <v/>
      </c>
      <c r="K52" s="44" t="str">
        <f>_xlfn.XLOOKUP(A52,'ps5'!B:B,'ps5'!G:G,"")</f>
        <v/>
      </c>
      <c r="L52" s="44">
        <f t="shared" si="0"/>
        <v>0</v>
      </c>
      <c r="M52" s="44">
        <f t="shared" si="0"/>
        <v>0</v>
      </c>
      <c r="N52" s="44">
        <f t="shared" si="0"/>
        <v>0</v>
      </c>
      <c r="O52" s="50" t="str">
        <f>_xlfn.XLOOKUP(A52,psRk!C:C,psRk!F:F,"")</f>
        <v/>
      </c>
      <c r="P52" s="33" t="str">
        <f>_xlfn.XLOOKUP(A52,psRk!C:C,psRk!G:G,"")</f>
        <v/>
      </c>
      <c r="Q52" s="41" t="str">
        <f>_xlfn.XLOOKUP(A52,psRk!C:C,psRk!H:H,"")</f>
        <v/>
      </c>
      <c r="R52" s="41" t="str">
        <f>_xlfn.XLOOKUP(A52,psRk!C:C,psRk!I:I,"")</f>
        <v/>
      </c>
      <c r="S52" s="27" t="str">
        <f t="shared" si="1"/>
        <v/>
      </c>
      <c r="T52" s="27" t="str">
        <f t="shared" si="2"/>
        <v/>
      </c>
      <c r="U52" s="27" t="str">
        <f t="shared" si="3"/>
        <v/>
      </c>
      <c r="V52" s="27" t="str">
        <f t="shared" si="4"/>
        <v/>
      </c>
      <c r="W52" s="27" t="str">
        <f t="shared" si="5"/>
        <v/>
      </c>
      <c r="X52" s="27" t="str">
        <f t="shared" si="6"/>
        <v/>
      </c>
      <c r="Y52" s="27" t="str">
        <f t="shared" si="7"/>
        <v/>
      </c>
      <c r="Z52" s="47" t="str">
        <f t="shared" si="13"/>
        <v/>
      </c>
      <c r="AA52" s="49" t="str">
        <f t="shared" si="8"/>
        <v/>
      </c>
      <c r="AB52" s="49">
        <f t="shared" si="14"/>
        <v>0</v>
      </c>
      <c r="AC52" s="49" t="str">
        <f t="shared" si="9"/>
        <v/>
      </c>
      <c r="AD52" s="47" t="str">
        <f>_xlfn.XLOOKUP(AC52,Parm!$AN$2:$AN$25,Parm!$AO$2:$AO$25,"")</f>
        <v/>
      </c>
      <c r="AE52" s="49" t="str">
        <f t="shared" si="10"/>
        <v/>
      </c>
      <c r="AF52" s="47" t="str">
        <f>_xlfn.XLOOKUP(AE52,Parm!$AN$2:$AN$25,Parm!$AO$2:$AO$25,"")</f>
        <v/>
      </c>
      <c r="AG52" s="286">
        <f>psTn!A53</f>
        <v>0</v>
      </c>
      <c r="AH52" s="49" t="str" cm="1">
        <f t="array" aca="1" ref="AH52" ca="1">_xlfn.IFS(Z52="","",AND(Z52&gt;0,Z52&lt;$AS$12),MROUND($AS$13*($AS$12-Z52+1)/SUMPRODUCT($AS$12-ROW(INDIRECT("1:" &amp; $AS$12 ))),1000),TRUE,0)</f>
        <v/>
      </c>
      <c r="AI52" s="49" t="e">
        <f t="shared" si="11"/>
        <v>#VALUE!</v>
      </c>
      <c r="AJ52" s="49">
        <f t="shared" si="15"/>
        <v>-100</v>
      </c>
      <c r="AK52" s="49"/>
      <c r="AL52" s="49" t="str">
        <f t="shared" si="12"/>
        <v/>
      </c>
      <c r="AM52" s="52" t="str">
        <f>IF(A52&lt;=0,"",_xlfn.XLOOKUP(A52,TL!C:C,TL!C:C))</f>
        <v/>
      </c>
      <c r="AN52" s="52" t="str">
        <f>IF(A52&lt;=0,"",_xlfn.XLOOKUP(A52,Y!C:C,Y!C:C))</f>
        <v/>
      </c>
      <c r="AO52" s="52" t="str">
        <f>IF(A52&lt;=0,"",_xlfn.XLOOKUP(A52,MA!B:B,MA!B:B))</f>
        <v/>
      </c>
    </row>
    <row r="53" spans="1:41" x14ac:dyDescent="0.25">
      <c r="A53" s="444">
        <f>psTn!B54</f>
        <v>0</v>
      </c>
      <c r="B53" s="33">
        <f>psTn!C54</f>
        <v>0</v>
      </c>
      <c r="C53" s="33">
        <f>psTn!D54</f>
        <v>0</v>
      </c>
      <c r="D53" s="33">
        <f>psTn!E54</f>
        <v>0</v>
      </c>
      <c r="E53" s="33">
        <f>psTn!F54</f>
        <v>0</v>
      </c>
      <c r="F53" s="33">
        <f>psTn!G54</f>
        <v>0</v>
      </c>
      <c r="G53" s="44" t="str">
        <f>_xlfn.XLOOKUP(A53,'ps5'!B:B,'ps5'!C:C,"")</f>
        <v/>
      </c>
      <c r="H53" s="44" t="str">
        <f>_xlfn.XLOOKUP(A53,'ps5'!B:B,'ps5'!D:D,"")</f>
        <v/>
      </c>
      <c r="I53" s="44" t="str">
        <f>_xlfn.XLOOKUP(A53,'ps5'!B:B,'ps5'!E:E,"")</f>
        <v/>
      </c>
      <c r="J53" s="44" t="str">
        <f>_xlfn.XLOOKUP(A53,'ps5'!B:B,'ps5'!F:F,"")</f>
        <v/>
      </c>
      <c r="K53" s="44" t="str">
        <f>_xlfn.XLOOKUP(A53,'ps5'!B:B,'ps5'!G:G,"")</f>
        <v/>
      </c>
      <c r="L53" s="44">
        <f t="shared" ref="L53:N96" si="16">D53</f>
        <v>0</v>
      </c>
      <c r="M53" s="44">
        <f t="shared" si="16"/>
        <v>0</v>
      </c>
      <c r="N53" s="44">
        <f t="shared" si="16"/>
        <v>0</v>
      </c>
      <c r="O53" s="50" t="str">
        <f>_xlfn.XLOOKUP(A53,psRk!C:C,psRk!F:F,"")</f>
        <v/>
      </c>
      <c r="P53" s="33" t="str">
        <f>_xlfn.XLOOKUP(A53,psRk!C:C,psRk!G:G,"")</f>
        <v/>
      </c>
      <c r="Q53" s="41" t="str">
        <f>_xlfn.XLOOKUP(A53,psRk!C:C,psRk!H:H,"")</f>
        <v/>
      </c>
      <c r="R53" s="41" t="str">
        <f>_xlfn.XLOOKUP(A53,psRk!C:C,psRk!I:I,"")</f>
        <v/>
      </c>
      <c r="S53" s="27" t="str">
        <f t="shared" si="1"/>
        <v/>
      </c>
      <c r="T53" s="27" t="str">
        <f t="shared" si="2"/>
        <v/>
      </c>
      <c r="U53" s="27" t="str">
        <f t="shared" si="3"/>
        <v/>
      </c>
      <c r="V53" s="27" t="str">
        <f t="shared" si="4"/>
        <v/>
      </c>
      <c r="W53" s="27" t="str">
        <f t="shared" si="5"/>
        <v/>
      </c>
      <c r="X53" s="27" t="str">
        <f t="shared" si="6"/>
        <v/>
      </c>
      <c r="Y53" s="27" t="str">
        <f t="shared" si="7"/>
        <v/>
      </c>
      <c r="Z53" s="47" t="str">
        <f t="shared" si="13"/>
        <v/>
      </c>
      <c r="AA53" s="49" t="str">
        <f t="shared" si="8"/>
        <v/>
      </c>
      <c r="AB53" s="49">
        <f t="shared" si="14"/>
        <v>0</v>
      </c>
      <c r="AC53" s="49" t="str">
        <f t="shared" si="9"/>
        <v/>
      </c>
      <c r="AD53" s="47" t="str">
        <f>_xlfn.XLOOKUP(AC53,Parm!$AN$2:$AN$25,Parm!$AO$2:$AO$25,"")</f>
        <v/>
      </c>
      <c r="AE53" s="49" t="str">
        <f t="shared" si="10"/>
        <v/>
      </c>
      <c r="AF53" s="47" t="str">
        <f>_xlfn.XLOOKUP(AE53,Parm!$AN$2:$AN$25,Parm!$AO$2:$AO$25,"")</f>
        <v/>
      </c>
      <c r="AG53" s="286">
        <f>psTn!A54</f>
        <v>0</v>
      </c>
      <c r="AH53" s="49" t="str" cm="1">
        <f t="array" aca="1" ref="AH53" ca="1">_xlfn.IFS(Z53="","",AND(Z53&gt;0,Z53&lt;$AS$12),MROUND($AS$13*($AS$12-Z53+1)/SUMPRODUCT($AS$12-ROW(INDIRECT("1:" &amp; $AS$12 ))),1000),TRUE,0)</f>
        <v/>
      </c>
      <c r="AI53" s="49" t="e">
        <f t="shared" si="11"/>
        <v>#VALUE!</v>
      </c>
      <c r="AJ53" s="49">
        <f t="shared" si="15"/>
        <v>-100</v>
      </c>
      <c r="AK53" s="49"/>
      <c r="AL53" s="49" t="str">
        <f t="shared" si="12"/>
        <v/>
      </c>
      <c r="AM53" s="52" t="str">
        <f>IF(A53&lt;=0,"",_xlfn.XLOOKUP(A53,TL!C:C,TL!C:C))</f>
        <v/>
      </c>
      <c r="AN53" s="52" t="str">
        <f>IF(A53&lt;=0,"",_xlfn.XLOOKUP(A53,Y!C:C,Y!C:C))</f>
        <v/>
      </c>
      <c r="AO53" s="52" t="str">
        <f>IF(A53&lt;=0,"",_xlfn.XLOOKUP(A53,MA!B:B,MA!B:B))</f>
        <v/>
      </c>
    </row>
    <row r="54" spans="1:41" x14ac:dyDescent="0.25">
      <c r="A54" s="444">
        <f>psTn!B55</f>
        <v>0</v>
      </c>
      <c r="B54" s="33">
        <f>psTn!C55</f>
        <v>0</v>
      </c>
      <c r="C54" s="33">
        <f>psTn!D55</f>
        <v>0</v>
      </c>
      <c r="D54" s="33">
        <f>psTn!E55</f>
        <v>0</v>
      </c>
      <c r="E54" s="33">
        <f>psTn!F55</f>
        <v>0</v>
      </c>
      <c r="F54" s="33">
        <f>psTn!G55</f>
        <v>0</v>
      </c>
      <c r="G54" s="44" t="str">
        <f>_xlfn.XLOOKUP(A54,'ps5'!B:B,'ps5'!C:C,"")</f>
        <v/>
      </c>
      <c r="H54" s="44" t="str">
        <f>_xlfn.XLOOKUP(A54,'ps5'!B:B,'ps5'!D:D,"")</f>
        <v/>
      </c>
      <c r="I54" s="44" t="str">
        <f>_xlfn.XLOOKUP(A54,'ps5'!B:B,'ps5'!E:E,"")</f>
        <v/>
      </c>
      <c r="J54" s="44" t="str">
        <f>_xlfn.XLOOKUP(A54,'ps5'!B:B,'ps5'!F:F,"")</f>
        <v/>
      </c>
      <c r="K54" s="44" t="str">
        <f>_xlfn.XLOOKUP(A54,'ps5'!B:B,'ps5'!G:G,"")</f>
        <v/>
      </c>
      <c r="L54" s="44">
        <f t="shared" si="16"/>
        <v>0</v>
      </c>
      <c r="M54" s="44">
        <f t="shared" si="16"/>
        <v>0</v>
      </c>
      <c r="N54" s="44">
        <f t="shared" si="16"/>
        <v>0</v>
      </c>
      <c r="O54" s="50" t="str">
        <f>_xlfn.XLOOKUP(A54,psRk!C:C,psRk!F:F,"")</f>
        <v/>
      </c>
      <c r="P54" s="33" t="str">
        <f>_xlfn.XLOOKUP(A54,psRk!C:C,psRk!G:G,"")</f>
        <v/>
      </c>
      <c r="Q54" s="41" t="str">
        <f>_xlfn.XLOOKUP(A54,psRk!C:C,psRk!H:H,"")</f>
        <v/>
      </c>
      <c r="R54" s="41" t="str">
        <f>_xlfn.XLOOKUP(A54,psRk!C:C,psRk!I:I,"")</f>
        <v/>
      </c>
      <c r="S54" s="27" t="str">
        <f t="shared" si="1"/>
        <v/>
      </c>
      <c r="T54" s="27" t="str">
        <f t="shared" si="2"/>
        <v/>
      </c>
      <c r="U54" s="27" t="str">
        <f t="shared" si="3"/>
        <v/>
      </c>
      <c r="V54" s="27" t="str">
        <f t="shared" si="4"/>
        <v/>
      </c>
      <c r="W54" s="27" t="str">
        <f t="shared" si="5"/>
        <v/>
      </c>
      <c r="X54" s="27" t="str">
        <f t="shared" si="6"/>
        <v/>
      </c>
      <c r="Y54" s="27" t="str">
        <f t="shared" si="7"/>
        <v/>
      </c>
      <c r="Z54" s="47" t="str">
        <f t="shared" si="13"/>
        <v/>
      </c>
      <c r="AA54" s="49" t="str">
        <f t="shared" si="8"/>
        <v/>
      </c>
      <c r="AB54" s="49">
        <f t="shared" si="14"/>
        <v>0</v>
      </c>
      <c r="AC54" s="49" t="str">
        <f t="shared" si="9"/>
        <v/>
      </c>
      <c r="AD54" s="47" t="str">
        <f>_xlfn.XLOOKUP(AC54,Parm!$AN$2:$AN$25,Parm!$AO$2:$AO$25,"")</f>
        <v/>
      </c>
      <c r="AE54" s="49" t="str">
        <f t="shared" si="10"/>
        <v/>
      </c>
      <c r="AF54" s="47" t="str">
        <f>_xlfn.XLOOKUP(AE54,Parm!$AN$2:$AN$25,Parm!$AO$2:$AO$25,"")</f>
        <v/>
      </c>
      <c r="AG54" s="286">
        <f>psTn!A55</f>
        <v>0</v>
      </c>
      <c r="AH54" s="49" t="str" cm="1">
        <f t="array" aca="1" ref="AH54" ca="1">_xlfn.IFS(Z54="","",AND(Z54&gt;0,Z54&lt;$AS$12),MROUND($AS$13*($AS$12-Z54+1)/SUMPRODUCT($AS$12-ROW(INDIRECT("1:" &amp; $AS$12 ))),1000),TRUE,0)</f>
        <v/>
      </c>
      <c r="AI54" s="49" t="e">
        <f t="shared" si="11"/>
        <v>#VALUE!</v>
      </c>
      <c r="AJ54" s="49">
        <f t="shared" si="15"/>
        <v>-100</v>
      </c>
      <c r="AK54" s="49"/>
      <c r="AL54" s="49" t="str">
        <f t="shared" si="12"/>
        <v/>
      </c>
      <c r="AM54" s="52" t="str">
        <f>IF(A54&lt;=0,"",_xlfn.XLOOKUP(A54,TL!C:C,TL!C:C))</f>
        <v/>
      </c>
      <c r="AN54" s="52" t="str">
        <f>IF(A54&lt;=0,"",_xlfn.XLOOKUP(A54,Y!C:C,Y!C:C))</f>
        <v/>
      </c>
      <c r="AO54" s="52" t="str">
        <f>IF(A54&lt;=0,"",_xlfn.XLOOKUP(A54,MA!B:B,MA!B:B))</f>
        <v/>
      </c>
    </row>
    <row r="55" spans="1:41" x14ac:dyDescent="0.25">
      <c r="A55" s="444">
        <f>psTn!B56</f>
        <v>0</v>
      </c>
      <c r="B55" s="33">
        <f>psTn!C56</f>
        <v>0</v>
      </c>
      <c r="C55" s="33">
        <f>psTn!D56</f>
        <v>0</v>
      </c>
      <c r="D55" s="33">
        <f>psTn!E56</f>
        <v>0</v>
      </c>
      <c r="E55" s="33">
        <f>psTn!F56</f>
        <v>0</v>
      </c>
      <c r="F55" s="33">
        <f>psTn!G56</f>
        <v>0</v>
      </c>
      <c r="G55" s="44" t="str">
        <f>_xlfn.XLOOKUP(A55,'ps5'!B:B,'ps5'!C:C,"")</f>
        <v/>
      </c>
      <c r="H55" s="44" t="str">
        <f>_xlfn.XLOOKUP(A55,'ps5'!B:B,'ps5'!D:D,"")</f>
        <v/>
      </c>
      <c r="I55" s="44" t="str">
        <f>_xlfn.XLOOKUP(A55,'ps5'!B:B,'ps5'!E:E,"")</f>
        <v/>
      </c>
      <c r="J55" s="44" t="str">
        <f>_xlfn.XLOOKUP(A55,'ps5'!B:B,'ps5'!F:F,"")</f>
        <v/>
      </c>
      <c r="K55" s="44" t="str">
        <f>_xlfn.XLOOKUP(A55,'ps5'!B:B,'ps5'!G:G,"")</f>
        <v/>
      </c>
      <c r="L55" s="44">
        <f t="shared" si="16"/>
        <v>0</v>
      </c>
      <c r="M55" s="44">
        <f t="shared" si="16"/>
        <v>0</v>
      </c>
      <c r="N55" s="44">
        <f t="shared" si="16"/>
        <v>0</v>
      </c>
      <c r="O55" s="50" t="str">
        <f>_xlfn.XLOOKUP(A55,psRk!C:C,psRk!F:F,"")</f>
        <v/>
      </c>
      <c r="P55" s="33" t="str">
        <f>_xlfn.XLOOKUP(A55,psRk!C:C,psRk!G:G,"")</f>
        <v/>
      </c>
      <c r="Q55" s="41" t="str">
        <f>_xlfn.XLOOKUP(A55,psRk!C:C,psRk!H:H,"")</f>
        <v/>
      </c>
      <c r="R55" s="41" t="str">
        <f>_xlfn.XLOOKUP(A55,psRk!C:C,psRk!I:I,"")</f>
        <v/>
      </c>
      <c r="S55" s="27" t="str">
        <f t="shared" si="1"/>
        <v/>
      </c>
      <c r="T55" s="27" t="str">
        <f t="shared" si="2"/>
        <v/>
      </c>
      <c r="U55" s="27" t="str">
        <f t="shared" si="3"/>
        <v/>
      </c>
      <c r="V55" s="27" t="str">
        <f t="shared" si="4"/>
        <v/>
      </c>
      <c r="W55" s="27" t="str">
        <f t="shared" si="5"/>
        <v/>
      </c>
      <c r="X55" s="27" t="str">
        <f t="shared" si="6"/>
        <v/>
      </c>
      <c r="Y55" s="27" t="str">
        <f t="shared" si="7"/>
        <v/>
      </c>
      <c r="Z55" s="47" t="str">
        <f t="shared" si="13"/>
        <v/>
      </c>
      <c r="AA55" s="49" t="str">
        <f t="shared" si="8"/>
        <v/>
      </c>
      <c r="AB55" s="49">
        <f t="shared" si="14"/>
        <v>0</v>
      </c>
      <c r="AC55" s="49" t="str">
        <f t="shared" si="9"/>
        <v/>
      </c>
      <c r="AD55" s="47" t="str">
        <f>_xlfn.XLOOKUP(AC55,Parm!$AN$2:$AN$25,Parm!$AO$2:$AO$25,"")</f>
        <v/>
      </c>
      <c r="AE55" s="49" t="str">
        <f t="shared" si="10"/>
        <v/>
      </c>
      <c r="AF55" s="47" t="str">
        <f>_xlfn.XLOOKUP(AE55,Parm!$AN$2:$AN$25,Parm!$AO$2:$AO$25,"")</f>
        <v/>
      </c>
      <c r="AG55" s="286">
        <f>psTn!A56</f>
        <v>0</v>
      </c>
      <c r="AH55" s="49" t="str" cm="1">
        <f t="array" aca="1" ref="AH55" ca="1">_xlfn.IFS(Z55="","",AND(Z55&gt;0,Z55&lt;$AS$12),MROUND($AS$13*($AS$12-Z55+1)/SUMPRODUCT($AS$12-ROW(INDIRECT("1:" &amp; $AS$12 ))),1000),TRUE,0)</f>
        <v/>
      </c>
      <c r="AI55" s="49" t="e">
        <f t="shared" si="11"/>
        <v>#VALUE!</v>
      </c>
      <c r="AJ55" s="49">
        <f t="shared" si="15"/>
        <v>-100</v>
      </c>
      <c r="AK55" s="49"/>
      <c r="AL55" s="49" t="str">
        <f t="shared" si="12"/>
        <v/>
      </c>
      <c r="AM55" s="52" t="str">
        <f>IF(A55&lt;=0,"",_xlfn.XLOOKUP(A55,TL!C:C,TL!C:C))</f>
        <v/>
      </c>
      <c r="AN55" s="52" t="str">
        <f>IF(A55&lt;=0,"",_xlfn.XLOOKUP(A55,Y!C:C,Y!C:C))</f>
        <v/>
      </c>
      <c r="AO55" s="52" t="str">
        <f>IF(A55&lt;=0,"",_xlfn.XLOOKUP(A55,MA!B:B,MA!B:B))</f>
        <v/>
      </c>
    </row>
    <row r="56" spans="1:41" x14ac:dyDescent="0.25">
      <c r="A56" s="444">
        <f>psTn!B57</f>
        <v>0</v>
      </c>
      <c r="B56" s="33">
        <f>psTn!C57</f>
        <v>0</v>
      </c>
      <c r="C56" s="33">
        <f>psTn!D57</f>
        <v>0</v>
      </c>
      <c r="D56" s="33">
        <f>psTn!E57</f>
        <v>0</v>
      </c>
      <c r="E56" s="33">
        <f>psTn!F57</f>
        <v>0</v>
      </c>
      <c r="F56" s="33">
        <f>psTn!G57</f>
        <v>0</v>
      </c>
      <c r="G56" s="44" t="str">
        <f>_xlfn.XLOOKUP(A56,'ps5'!B:B,'ps5'!C:C,"")</f>
        <v/>
      </c>
      <c r="H56" s="44" t="str">
        <f>_xlfn.XLOOKUP(A56,'ps5'!B:B,'ps5'!D:D,"")</f>
        <v/>
      </c>
      <c r="I56" s="44" t="str">
        <f>_xlfn.XLOOKUP(A56,'ps5'!B:B,'ps5'!E:E,"")</f>
        <v/>
      </c>
      <c r="J56" s="44" t="str">
        <f>_xlfn.XLOOKUP(A56,'ps5'!B:B,'ps5'!F:F,"")</f>
        <v/>
      </c>
      <c r="K56" s="44" t="str">
        <f>_xlfn.XLOOKUP(A56,'ps5'!B:B,'ps5'!G:G,"")</f>
        <v/>
      </c>
      <c r="L56" s="44">
        <f t="shared" si="16"/>
        <v>0</v>
      </c>
      <c r="M56" s="44">
        <f t="shared" si="16"/>
        <v>0</v>
      </c>
      <c r="N56" s="44">
        <f t="shared" si="16"/>
        <v>0</v>
      </c>
      <c r="O56" s="50" t="str">
        <f>_xlfn.XLOOKUP(A56,psRk!C:C,psRk!F:F,"")</f>
        <v/>
      </c>
      <c r="P56" s="33" t="str">
        <f>_xlfn.XLOOKUP(A56,psRk!C:C,psRk!G:G,"")</f>
        <v/>
      </c>
      <c r="Q56" s="41" t="str">
        <f>_xlfn.XLOOKUP(A56,psRk!C:C,psRk!H:H,"")</f>
        <v/>
      </c>
      <c r="R56" s="41" t="str">
        <f>_xlfn.XLOOKUP(A56,psRk!C:C,psRk!I:I,"")</f>
        <v/>
      </c>
      <c r="S56" s="27" t="str">
        <f t="shared" si="1"/>
        <v/>
      </c>
      <c r="T56" s="27" t="str">
        <f t="shared" si="2"/>
        <v/>
      </c>
      <c r="U56" s="27" t="str">
        <f t="shared" si="3"/>
        <v/>
      </c>
      <c r="V56" s="27" t="str">
        <f t="shared" si="4"/>
        <v/>
      </c>
      <c r="W56" s="27" t="str">
        <f t="shared" si="5"/>
        <v/>
      </c>
      <c r="X56" s="27" t="str">
        <f t="shared" si="6"/>
        <v/>
      </c>
      <c r="Y56" s="27" t="str">
        <f t="shared" si="7"/>
        <v/>
      </c>
      <c r="Z56" s="47" t="str">
        <f t="shared" si="13"/>
        <v/>
      </c>
      <c r="AA56" s="49" t="str">
        <f t="shared" si="8"/>
        <v/>
      </c>
      <c r="AB56" s="49">
        <f t="shared" si="14"/>
        <v>0</v>
      </c>
      <c r="AC56" s="49" t="str">
        <f t="shared" si="9"/>
        <v/>
      </c>
      <c r="AD56" s="47" t="str">
        <f>_xlfn.XLOOKUP(AC56,Parm!$AN$2:$AN$25,Parm!$AO$2:$AO$25,"")</f>
        <v/>
      </c>
      <c r="AE56" s="49" t="str">
        <f t="shared" si="10"/>
        <v/>
      </c>
      <c r="AF56" s="47" t="str">
        <f>_xlfn.XLOOKUP(AE56,Parm!$AN$2:$AN$25,Parm!$AO$2:$AO$25,"")</f>
        <v/>
      </c>
      <c r="AG56" s="286">
        <f>psTn!A57</f>
        <v>0</v>
      </c>
      <c r="AH56" s="49" t="str" cm="1">
        <f t="array" aca="1" ref="AH56" ca="1">_xlfn.IFS(Z56="","",AND(Z56&gt;0,Z56&lt;$AS$12),MROUND($AS$13*($AS$12-Z56+1)/SUMPRODUCT($AS$12-ROW(INDIRECT("1:" &amp; $AS$12 ))),1000),TRUE,0)</f>
        <v/>
      </c>
      <c r="AI56" s="49" t="e">
        <f t="shared" si="11"/>
        <v>#VALUE!</v>
      </c>
      <c r="AJ56" s="49">
        <f t="shared" si="15"/>
        <v>-100</v>
      </c>
      <c r="AK56" s="49"/>
      <c r="AL56" s="49" t="str">
        <f t="shared" si="12"/>
        <v/>
      </c>
      <c r="AM56" s="52" t="str">
        <f>IF(A56&lt;=0,"",_xlfn.XLOOKUP(A56,TL!C:C,TL!C:C))</f>
        <v/>
      </c>
      <c r="AN56" s="52" t="str">
        <f>IF(A56&lt;=0,"",_xlfn.XLOOKUP(A56,Y!C:C,Y!C:C))</f>
        <v/>
      </c>
      <c r="AO56" s="52" t="str">
        <f>IF(A56&lt;=0,"",_xlfn.XLOOKUP(A56,MA!B:B,MA!B:B))</f>
        <v/>
      </c>
    </row>
    <row r="57" spans="1:41" x14ac:dyDescent="0.25">
      <c r="A57" s="444">
        <f>psTn!B58</f>
        <v>0</v>
      </c>
      <c r="B57" s="33">
        <f>psTn!C58</f>
        <v>0</v>
      </c>
      <c r="C57" s="33">
        <f>psTn!D58</f>
        <v>0</v>
      </c>
      <c r="D57" s="33">
        <f>psTn!E58</f>
        <v>0</v>
      </c>
      <c r="E57" s="33">
        <f>psTn!F58</f>
        <v>0</v>
      </c>
      <c r="F57" s="33">
        <f>psTn!G58</f>
        <v>0</v>
      </c>
      <c r="G57" s="44" t="str">
        <f>_xlfn.XLOOKUP(A57,'ps5'!B:B,'ps5'!C:C,"")</f>
        <v/>
      </c>
      <c r="H57" s="44" t="str">
        <f>_xlfn.XLOOKUP(A57,'ps5'!B:B,'ps5'!D:D,"")</f>
        <v/>
      </c>
      <c r="I57" s="44" t="str">
        <f>_xlfn.XLOOKUP(A57,'ps5'!B:B,'ps5'!E:E,"")</f>
        <v/>
      </c>
      <c r="J57" s="44" t="str">
        <f>_xlfn.XLOOKUP(A57,'ps5'!B:B,'ps5'!F:F,"")</f>
        <v/>
      </c>
      <c r="K57" s="44" t="str">
        <f>_xlfn.XLOOKUP(A57,'ps5'!B:B,'ps5'!G:G,"")</f>
        <v/>
      </c>
      <c r="L57" s="44">
        <f t="shared" si="16"/>
        <v>0</v>
      </c>
      <c r="M57" s="44">
        <f t="shared" si="16"/>
        <v>0</v>
      </c>
      <c r="N57" s="44">
        <f t="shared" si="16"/>
        <v>0</v>
      </c>
      <c r="O57" s="50" t="str">
        <f>_xlfn.XLOOKUP(A57,psRk!C:C,psRk!F:F,"")</f>
        <v/>
      </c>
      <c r="P57" s="33" t="str">
        <f>_xlfn.XLOOKUP(A57,psRk!C:C,psRk!G:G,"")</f>
        <v/>
      </c>
      <c r="Q57" s="41" t="str">
        <f>_xlfn.XLOOKUP(A57,psRk!C:C,psRk!H:H,"")</f>
        <v/>
      </c>
      <c r="R57" s="41" t="str">
        <f>_xlfn.XLOOKUP(A57,psRk!C:C,psRk!I:I,"")</f>
        <v/>
      </c>
      <c r="S57" s="27" t="str">
        <f t="shared" si="1"/>
        <v/>
      </c>
      <c r="T57" s="27" t="str">
        <f t="shared" si="2"/>
        <v/>
      </c>
      <c r="U57" s="27" t="str">
        <f t="shared" si="3"/>
        <v/>
      </c>
      <c r="V57" s="27" t="str">
        <f t="shared" si="4"/>
        <v/>
      </c>
      <c r="W57" s="27" t="str">
        <f t="shared" si="5"/>
        <v/>
      </c>
      <c r="X57" s="27" t="str">
        <f t="shared" si="6"/>
        <v/>
      </c>
      <c r="Y57" s="27" t="str">
        <f t="shared" si="7"/>
        <v/>
      </c>
      <c r="Z57" s="47" t="str">
        <f t="shared" si="13"/>
        <v/>
      </c>
      <c r="AA57" s="49" t="str">
        <f t="shared" si="8"/>
        <v/>
      </c>
      <c r="AB57" s="49">
        <f t="shared" si="14"/>
        <v>0</v>
      </c>
      <c r="AC57" s="49" t="str">
        <f t="shared" si="9"/>
        <v/>
      </c>
      <c r="AD57" s="47" t="str">
        <f>_xlfn.XLOOKUP(AC57,Parm!$AN$2:$AN$25,Parm!$AO$2:$AO$25,"")</f>
        <v/>
      </c>
      <c r="AE57" s="49" t="str">
        <f t="shared" si="10"/>
        <v/>
      </c>
      <c r="AF57" s="47" t="str">
        <f>_xlfn.XLOOKUP(AE57,Parm!$AN$2:$AN$25,Parm!$AO$2:$AO$25,"")</f>
        <v/>
      </c>
      <c r="AG57" s="286">
        <f>psTn!A58</f>
        <v>0</v>
      </c>
      <c r="AH57" s="49" t="str" cm="1">
        <f t="array" aca="1" ref="AH57" ca="1">_xlfn.IFS(Z57="","",AND(Z57&gt;0,Z57&lt;$AS$12),MROUND($AS$13*($AS$12-Z57+1)/SUMPRODUCT($AS$12-ROW(INDIRECT("1:" &amp; $AS$12 ))),1000),TRUE,0)</f>
        <v/>
      </c>
      <c r="AI57" s="49" t="e">
        <f t="shared" si="11"/>
        <v>#VALUE!</v>
      </c>
      <c r="AJ57" s="49">
        <f t="shared" si="15"/>
        <v>-100</v>
      </c>
      <c r="AK57" s="49"/>
      <c r="AL57" s="49" t="str">
        <f t="shared" si="12"/>
        <v/>
      </c>
      <c r="AM57" s="52" t="str">
        <f>IF(A57&lt;=0,"",_xlfn.XLOOKUP(A57,TL!C:C,TL!C:C))</f>
        <v/>
      </c>
      <c r="AN57" s="52" t="str">
        <f>IF(A57&lt;=0,"",_xlfn.XLOOKUP(A57,Y!C:C,Y!C:C))</f>
        <v/>
      </c>
      <c r="AO57" s="52" t="str">
        <f>IF(A57&lt;=0,"",_xlfn.XLOOKUP(A57,MA!B:B,MA!B:B))</f>
        <v/>
      </c>
    </row>
    <row r="58" spans="1:41" x14ac:dyDescent="0.25">
      <c r="A58" s="444">
        <f>psTn!B59</f>
        <v>0</v>
      </c>
      <c r="B58" s="33">
        <f>psTn!C59</f>
        <v>0</v>
      </c>
      <c r="C58" s="33">
        <f>psTn!D59</f>
        <v>0</v>
      </c>
      <c r="D58" s="33">
        <f>psTn!E59</f>
        <v>0</v>
      </c>
      <c r="E58" s="33">
        <f>psTn!F59</f>
        <v>0</v>
      </c>
      <c r="F58" s="33">
        <f>psTn!G59</f>
        <v>0</v>
      </c>
      <c r="G58" s="44" t="str">
        <f>_xlfn.XLOOKUP(A58,'ps5'!B:B,'ps5'!C:C,"")</f>
        <v/>
      </c>
      <c r="H58" s="44" t="str">
        <f>_xlfn.XLOOKUP(A58,'ps5'!B:B,'ps5'!D:D,"")</f>
        <v/>
      </c>
      <c r="I58" s="44" t="str">
        <f>_xlfn.XLOOKUP(A58,'ps5'!B:B,'ps5'!E:E,"")</f>
        <v/>
      </c>
      <c r="J58" s="44" t="str">
        <f>_xlfn.XLOOKUP(A58,'ps5'!B:B,'ps5'!F:F,"")</f>
        <v/>
      </c>
      <c r="K58" s="44" t="str">
        <f>_xlfn.XLOOKUP(A58,'ps5'!B:B,'ps5'!G:G,"")</f>
        <v/>
      </c>
      <c r="L58" s="44">
        <f t="shared" si="16"/>
        <v>0</v>
      </c>
      <c r="M58" s="44">
        <f t="shared" si="16"/>
        <v>0</v>
      </c>
      <c r="N58" s="44">
        <f t="shared" si="16"/>
        <v>0</v>
      </c>
      <c r="O58" s="50" t="str">
        <f>_xlfn.XLOOKUP(A58,psRk!C:C,psRk!F:F,"")</f>
        <v/>
      </c>
      <c r="P58" s="33" t="str">
        <f>_xlfn.XLOOKUP(A58,psRk!C:C,psRk!G:G,"")</f>
        <v/>
      </c>
      <c r="Q58" s="41" t="str">
        <f>_xlfn.XLOOKUP(A58,psRk!C:C,psRk!H:H,"")</f>
        <v/>
      </c>
      <c r="R58" s="41" t="str">
        <f>_xlfn.XLOOKUP(A58,psRk!C:C,psRk!I:I,"")</f>
        <v/>
      </c>
      <c r="S58" s="27" t="str">
        <f t="shared" si="1"/>
        <v/>
      </c>
      <c r="T58" s="27" t="str">
        <f t="shared" si="2"/>
        <v/>
      </c>
      <c r="U58" s="27" t="str">
        <f t="shared" si="3"/>
        <v/>
      </c>
      <c r="V58" s="27" t="str">
        <f t="shared" si="4"/>
        <v/>
      </c>
      <c r="W58" s="27" t="str">
        <f t="shared" si="5"/>
        <v/>
      </c>
      <c r="X58" s="27" t="str">
        <f t="shared" si="6"/>
        <v/>
      </c>
      <c r="Y58" s="27" t="str">
        <f t="shared" si="7"/>
        <v/>
      </c>
      <c r="Z58" s="47" t="str">
        <f t="shared" si="13"/>
        <v/>
      </c>
      <c r="AA58" s="49" t="str">
        <f t="shared" si="8"/>
        <v/>
      </c>
      <c r="AB58" s="49">
        <f t="shared" si="14"/>
        <v>0</v>
      </c>
      <c r="AC58" s="49" t="str">
        <f t="shared" si="9"/>
        <v/>
      </c>
      <c r="AD58" s="47" t="str">
        <f>_xlfn.XLOOKUP(AC58,Parm!$AN$2:$AN$25,Parm!$AO$2:$AO$25,"")</f>
        <v/>
      </c>
      <c r="AE58" s="49" t="str">
        <f t="shared" si="10"/>
        <v/>
      </c>
      <c r="AF58" s="47" t="str">
        <f>_xlfn.XLOOKUP(AE58,Parm!$AN$2:$AN$25,Parm!$AO$2:$AO$25,"")</f>
        <v/>
      </c>
      <c r="AG58" s="286">
        <f>psTn!A59</f>
        <v>0</v>
      </c>
      <c r="AH58" s="49" t="str" cm="1">
        <f t="array" aca="1" ref="AH58" ca="1">_xlfn.IFS(Z58="","",AND(Z58&gt;0,Z58&lt;$AS$12),MROUND($AS$13*($AS$12-Z58+1)/SUMPRODUCT($AS$12-ROW(INDIRECT("1:" &amp; $AS$12 ))),1000),TRUE,0)</f>
        <v/>
      </c>
      <c r="AI58" s="49" t="e">
        <f t="shared" si="11"/>
        <v>#VALUE!</v>
      </c>
      <c r="AJ58" s="49">
        <f t="shared" si="15"/>
        <v>-100</v>
      </c>
      <c r="AK58" s="49"/>
      <c r="AL58" s="49" t="str">
        <f t="shared" si="12"/>
        <v/>
      </c>
      <c r="AM58" s="52" t="str">
        <f>IF(A58&lt;=0,"",_xlfn.XLOOKUP(A58,TL!C:C,TL!C:C))</f>
        <v/>
      </c>
      <c r="AN58" s="52" t="str">
        <f>IF(A58&lt;=0,"",_xlfn.XLOOKUP(A58,Y!C:C,Y!C:C))</f>
        <v/>
      </c>
      <c r="AO58" s="52" t="str">
        <f>IF(A58&lt;=0,"",_xlfn.XLOOKUP(A58,MA!B:B,MA!B:B))</f>
        <v/>
      </c>
    </row>
    <row r="59" spans="1:41" x14ac:dyDescent="0.25">
      <c r="A59" s="444">
        <f>psTn!B60</f>
        <v>0</v>
      </c>
      <c r="B59" s="33">
        <f>psTn!C60</f>
        <v>0</v>
      </c>
      <c r="C59" s="33">
        <f>psTn!D60</f>
        <v>0</v>
      </c>
      <c r="D59" s="33">
        <f>psTn!E60</f>
        <v>0</v>
      </c>
      <c r="E59" s="33">
        <f>psTn!F60</f>
        <v>0</v>
      </c>
      <c r="F59" s="33">
        <f>psTn!G60</f>
        <v>0</v>
      </c>
      <c r="G59" s="44" t="str">
        <f>_xlfn.XLOOKUP(A59,'ps5'!B:B,'ps5'!C:C,"")</f>
        <v/>
      </c>
      <c r="H59" s="44" t="str">
        <f>_xlfn.XLOOKUP(A59,'ps5'!B:B,'ps5'!D:D,"")</f>
        <v/>
      </c>
      <c r="I59" s="44" t="str">
        <f>_xlfn.XLOOKUP(A59,'ps5'!B:B,'ps5'!E:E,"")</f>
        <v/>
      </c>
      <c r="J59" s="44" t="str">
        <f>_xlfn.XLOOKUP(A59,'ps5'!B:B,'ps5'!F:F,"")</f>
        <v/>
      </c>
      <c r="K59" s="44" t="str">
        <f>_xlfn.XLOOKUP(A59,'ps5'!B:B,'ps5'!G:G,"")</f>
        <v/>
      </c>
      <c r="L59" s="44">
        <f t="shared" si="16"/>
        <v>0</v>
      </c>
      <c r="M59" s="44">
        <f t="shared" si="16"/>
        <v>0</v>
      </c>
      <c r="N59" s="44">
        <f t="shared" si="16"/>
        <v>0</v>
      </c>
      <c r="O59" s="50" t="str">
        <f>_xlfn.XLOOKUP(A59,psRk!C:C,psRk!F:F,"")</f>
        <v/>
      </c>
      <c r="P59" s="33" t="str">
        <f>_xlfn.XLOOKUP(A59,psRk!C:C,psRk!G:G,"")</f>
        <v/>
      </c>
      <c r="Q59" s="41" t="str">
        <f>_xlfn.XLOOKUP(A59,psRk!C:C,psRk!H:H,"")</f>
        <v/>
      </c>
      <c r="R59" s="41" t="str">
        <f>_xlfn.XLOOKUP(A59,psRk!C:C,psRk!I:I,"")</f>
        <v/>
      </c>
      <c r="S59" s="27" t="str">
        <f t="shared" si="1"/>
        <v/>
      </c>
      <c r="T59" s="27" t="str">
        <f t="shared" si="2"/>
        <v/>
      </c>
      <c r="U59" s="27" t="str">
        <f t="shared" si="3"/>
        <v/>
      </c>
      <c r="V59" s="27" t="str">
        <f t="shared" si="4"/>
        <v/>
      </c>
      <c r="W59" s="27" t="str">
        <f t="shared" si="5"/>
        <v/>
      </c>
      <c r="X59" s="27" t="str">
        <f t="shared" si="6"/>
        <v/>
      </c>
      <c r="Y59" s="27" t="str">
        <f t="shared" si="7"/>
        <v/>
      </c>
      <c r="Z59" s="47" t="str">
        <f t="shared" si="13"/>
        <v/>
      </c>
      <c r="AA59" s="49" t="str">
        <f t="shared" si="8"/>
        <v/>
      </c>
      <c r="AB59" s="49">
        <f t="shared" si="14"/>
        <v>0</v>
      </c>
      <c r="AC59" s="49" t="str">
        <f t="shared" si="9"/>
        <v/>
      </c>
      <c r="AD59" s="47" t="str">
        <f>_xlfn.XLOOKUP(AC59,Parm!$AN$2:$AN$25,Parm!$AO$2:$AO$25,"")</f>
        <v/>
      </c>
      <c r="AE59" s="49" t="str">
        <f t="shared" si="10"/>
        <v/>
      </c>
      <c r="AF59" s="47" t="str">
        <f>_xlfn.XLOOKUP(AE59,Parm!$AN$2:$AN$25,Parm!$AO$2:$AO$25,"")</f>
        <v/>
      </c>
      <c r="AG59" s="286">
        <f>psTn!A60</f>
        <v>0</v>
      </c>
      <c r="AH59" s="49" t="str" cm="1">
        <f t="array" aca="1" ref="AH59" ca="1">_xlfn.IFS(Z59="","",AND(Z59&gt;0,Z59&lt;$AS$12),MROUND($AS$13*($AS$12-Z59+1)/SUMPRODUCT($AS$12-ROW(INDIRECT("1:" &amp; $AS$12 ))),1000),TRUE,0)</f>
        <v/>
      </c>
      <c r="AI59" s="49" t="e">
        <f t="shared" si="11"/>
        <v>#VALUE!</v>
      </c>
      <c r="AJ59" s="49">
        <f t="shared" si="15"/>
        <v>-100</v>
      </c>
      <c r="AK59" s="49"/>
      <c r="AL59" s="49" t="str">
        <f t="shared" si="12"/>
        <v/>
      </c>
      <c r="AM59" s="52" t="str">
        <f>IF(A59&lt;=0,"",_xlfn.XLOOKUP(A59,TL!C:C,TL!C:C))</f>
        <v/>
      </c>
      <c r="AN59" s="52" t="str">
        <f>IF(A59&lt;=0,"",_xlfn.XLOOKUP(A59,Y!C:C,Y!C:C))</f>
        <v/>
      </c>
      <c r="AO59" s="52" t="str">
        <f>IF(A59&lt;=0,"",_xlfn.XLOOKUP(A59,MA!B:B,MA!B:B))</f>
        <v/>
      </c>
    </row>
    <row r="60" spans="1:41" x14ac:dyDescent="0.25">
      <c r="A60" s="444">
        <f>psTn!B61</f>
        <v>0</v>
      </c>
      <c r="B60" s="33">
        <f>psTn!C61</f>
        <v>0</v>
      </c>
      <c r="C60" s="33">
        <f>psTn!D61</f>
        <v>0</v>
      </c>
      <c r="D60" s="33">
        <f>psTn!E61</f>
        <v>0</v>
      </c>
      <c r="E60" s="33">
        <f>psTn!F61</f>
        <v>0</v>
      </c>
      <c r="F60" s="33">
        <f>psTn!G61</f>
        <v>0</v>
      </c>
      <c r="G60" s="44" t="str">
        <f>_xlfn.XLOOKUP(A60,'ps5'!B:B,'ps5'!C:C,"")</f>
        <v/>
      </c>
      <c r="H60" s="44" t="str">
        <f>_xlfn.XLOOKUP(A60,'ps5'!B:B,'ps5'!D:D,"")</f>
        <v/>
      </c>
      <c r="I60" s="44" t="str">
        <f>_xlfn.XLOOKUP(A60,'ps5'!B:B,'ps5'!E:E,"")</f>
        <v/>
      </c>
      <c r="J60" s="44" t="str">
        <f>_xlfn.XLOOKUP(A60,'ps5'!B:B,'ps5'!F:F,"")</f>
        <v/>
      </c>
      <c r="K60" s="44" t="str">
        <f>_xlfn.XLOOKUP(A60,'ps5'!B:B,'ps5'!G:G,"")</f>
        <v/>
      </c>
      <c r="L60" s="44">
        <f t="shared" si="16"/>
        <v>0</v>
      </c>
      <c r="M60" s="44">
        <f t="shared" si="16"/>
        <v>0</v>
      </c>
      <c r="N60" s="44">
        <f t="shared" si="16"/>
        <v>0</v>
      </c>
      <c r="O60" s="50" t="str">
        <f>_xlfn.XLOOKUP(A60,psRk!C:C,psRk!F:F,"")</f>
        <v/>
      </c>
      <c r="P60" s="33" t="str">
        <f>_xlfn.XLOOKUP(A60,psRk!C:C,psRk!G:G,"")</f>
        <v/>
      </c>
      <c r="Q60" s="41" t="str">
        <f>_xlfn.XLOOKUP(A60,psRk!C:C,psRk!H:H,"")</f>
        <v/>
      </c>
      <c r="R60" s="41" t="str">
        <f>_xlfn.XLOOKUP(A60,psRk!C:C,psRk!I:I,"")</f>
        <v/>
      </c>
      <c r="S60" s="27" t="str">
        <f t="shared" si="1"/>
        <v/>
      </c>
      <c r="T60" s="27" t="str">
        <f t="shared" si="2"/>
        <v/>
      </c>
      <c r="U60" s="27" t="str">
        <f t="shared" si="3"/>
        <v/>
      </c>
      <c r="V60" s="27" t="str">
        <f t="shared" si="4"/>
        <v/>
      </c>
      <c r="W60" s="27" t="str">
        <f t="shared" si="5"/>
        <v/>
      </c>
      <c r="X60" s="27" t="str">
        <f t="shared" si="6"/>
        <v/>
      </c>
      <c r="Y60" s="27" t="str">
        <f t="shared" si="7"/>
        <v/>
      </c>
      <c r="Z60" s="47" t="str">
        <f t="shared" si="13"/>
        <v/>
      </c>
      <c r="AA60" s="49" t="str">
        <f t="shared" si="8"/>
        <v/>
      </c>
      <c r="AB60" s="49">
        <f t="shared" si="14"/>
        <v>0</v>
      </c>
      <c r="AC60" s="49" t="str">
        <f t="shared" si="9"/>
        <v/>
      </c>
      <c r="AD60" s="47" t="str">
        <f>_xlfn.XLOOKUP(AC60,Parm!$AN$2:$AN$25,Parm!$AO$2:$AO$25,"")</f>
        <v/>
      </c>
      <c r="AE60" s="49" t="str">
        <f t="shared" si="10"/>
        <v/>
      </c>
      <c r="AF60" s="47" t="str">
        <f>_xlfn.XLOOKUP(AE60,Parm!$AN$2:$AN$25,Parm!$AO$2:$AO$25,"")</f>
        <v/>
      </c>
      <c r="AG60" s="286">
        <f>psTn!A61</f>
        <v>0</v>
      </c>
      <c r="AH60" s="49" t="str" cm="1">
        <f t="array" aca="1" ref="AH60" ca="1">_xlfn.IFS(Z60="","",AND(Z60&gt;0,Z60&lt;$AS$12),MROUND($AS$13*($AS$12-Z60+1)/SUMPRODUCT($AS$12-ROW(INDIRECT("1:" &amp; $AS$12 ))),1000),TRUE,0)</f>
        <v/>
      </c>
      <c r="AI60" s="49" t="e">
        <f t="shared" si="11"/>
        <v>#VALUE!</v>
      </c>
      <c r="AJ60" s="49">
        <f t="shared" si="15"/>
        <v>-100</v>
      </c>
      <c r="AK60" s="49"/>
      <c r="AL60" s="49" t="str">
        <f t="shared" si="12"/>
        <v/>
      </c>
      <c r="AM60" s="52" t="str">
        <f>IF(A60&lt;=0,"",_xlfn.XLOOKUP(A60,TL!C:C,TL!C:C))</f>
        <v/>
      </c>
      <c r="AN60" s="52" t="str">
        <f>IF(A60&lt;=0,"",_xlfn.XLOOKUP(A60,Y!C:C,Y!C:C))</f>
        <v/>
      </c>
      <c r="AO60" s="52" t="str">
        <f>IF(A60&lt;=0,"",_xlfn.XLOOKUP(A60,MA!B:B,MA!B:B))</f>
        <v/>
      </c>
    </row>
    <row r="61" spans="1:41" x14ac:dyDescent="0.25">
      <c r="A61" s="444">
        <f>psTn!B62</f>
        <v>0</v>
      </c>
      <c r="B61" s="33">
        <f>psTn!C62</f>
        <v>0</v>
      </c>
      <c r="C61" s="33">
        <f>psTn!D62</f>
        <v>0</v>
      </c>
      <c r="D61" s="33">
        <f>psTn!E62</f>
        <v>0</v>
      </c>
      <c r="E61" s="33">
        <f>psTn!F62</f>
        <v>0</v>
      </c>
      <c r="F61" s="33">
        <f>psTn!G62</f>
        <v>0</v>
      </c>
      <c r="G61" s="44" t="str">
        <f>_xlfn.XLOOKUP(A61,'ps5'!B:B,'ps5'!C:C,"")</f>
        <v/>
      </c>
      <c r="H61" s="44" t="str">
        <f>_xlfn.XLOOKUP(A61,'ps5'!B:B,'ps5'!D:D,"")</f>
        <v/>
      </c>
      <c r="I61" s="44" t="str">
        <f>_xlfn.XLOOKUP(A61,'ps5'!B:B,'ps5'!E:E,"")</f>
        <v/>
      </c>
      <c r="J61" s="44" t="str">
        <f>_xlfn.XLOOKUP(A61,'ps5'!B:B,'ps5'!F:F,"")</f>
        <v/>
      </c>
      <c r="K61" s="44" t="str">
        <f>_xlfn.XLOOKUP(A61,'ps5'!B:B,'ps5'!G:G,"")</f>
        <v/>
      </c>
      <c r="L61" s="44">
        <f t="shared" si="16"/>
        <v>0</v>
      </c>
      <c r="M61" s="44">
        <f t="shared" si="16"/>
        <v>0</v>
      </c>
      <c r="N61" s="44">
        <f t="shared" si="16"/>
        <v>0</v>
      </c>
      <c r="O61" s="50" t="str">
        <f>_xlfn.XLOOKUP(A61,psRk!C:C,psRk!F:F,"")</f>
        <v/>
      </c>
      <c r="P61" s="33" t="str">
        <f>_xlfn.XLOOKUP(A61,psRk!C:C,psRk!G:G,"")</f>
        <v/>
      </c>
      <c r="Q61" s="41" t="str">
        <f>_xlfn.XLOOKUP(A61,psRk!C:C,psRk!H:H,"")</f>
        <v/>
      </c>
      <c r="R61" s="41" t="str">
        <f>_xlfn.XLOOKUP(A61,psRk!C:C,psRk!I:I,"")</f>
        <v/>
      </c>
      <c r="S61" s="27" t="str">
        <f t="shared" si="1"/>
        <v/>
      </c>
      <c r="T61" s="27" t="str">
        <f t="shared" si="2"/>
        <v/>
      </c>
      <c r="U61" s="27" t="str">
        <f t="shared" si="3"/>
        <v/>
      </c>
      <c r="V61" s="27" t="str">
        <f t="shared" si="4"/>
        <v/>
      </c>
      <c r="W61" s="27" t="str">
        <f t="shared" si="5"/>
        <v/>
      </c>
      <c r="X61" s="27" t="str">
        <f t="shared" si="6"/>
        <v/>
      </c>
      <c r="Y61" s="27" t="str">
        <f t="shared" si="7"/>
        <v/>
      </c>
      <c r="Z61" s="47" t="str">
        <f t="shared" si="13"/>
        <v/>
      </c>
      <c r="AA61" s="49" t="str">
        <f t="shared" si="8"/>
        <v/>
      </c>
      <c r="AB61" s="49">
        <f t="shared" si="14"/>
        <v>0</v>
      </c>
      <c r="AC61" s="49" t="str">
        <f t="shared" si="9"/>
        <v/>
      </c>
      <c r="AD61" s="47" t="str">
        <f>_xlfn.XLOOKUP(AC61,Parm!$AN$2:$AN$25,Parm!$AO$2:$AO$25,"")</f>
        <v/>
      </c>
      <c r="AE61" s="49" t="str">
        <f t="shared" si="10"/>
        <v/>
      </c>
      <c r="AF61" s="47" t="str">
        <f>_xlfn.XLOOKUP(AE61,Parm!$AN$2:$AN$25,Parm!$AO$2:$AO$25,"")</f>
        <v/>
      </c>
      <c r="AG61" s="286">
        <f>psTn!A62</f>
        <v>0</v>
      </c>
      <c r="AH61" s="49" t="str" cm="1">
        <f t="array" aca="1" ref="AH61" ca="1">_xlfn.IFS(Z61="","",AND(Z61&gt;0,Z61&lt;$AS$12),MROUND($AS$13*($AS$12-Z61+1)/SUMPRODUCT($AS$12-ROW(INDIRECT("1:" &amp; $AS$12 ))),1000),TRUE,0)</f>
        <v/>
      </c>
      <c r="AI61" s="49" t="e">
        <f t="shared" si="11"/>
        <v>#VALUE!</v>
      </c>
      <c r="AJ61" s="49">
        <f t="shared" si="15"/>
        <v>-100</v>
      </c>
      <c r="AK61" s="49"/>
      <c r="AL61" s="49" t="str">
        <f t="shared" si="12"/>
        <v/>
      </c>
      <c r="AM61" s="52" t="str">
        <f>IF(A61&lt;=0,"",_xlfn.XLOOKUP(A61,TL!C:C,TL!C:C))</f>
        <v/>
      </c>
      <c r="AN61" s="52" t="str">
        <f>IF(A61&lt;=0,"",_xlfn.XLOOKUP(A61,Y!C:C,Y!C:C))</f>
        <v/>
      </c>
      <c r="AO61" s="52" t="str">
        <f>IF(A61&lt;=0,"",_xlfn.XLOOKUP(A61,MA!B:B,MA!B:B))</f>
        <v/>
      </c>
    </row>
    <row r="62" spans="1:41" x14ac:dyDescent="0.25">
      <c r="A62" s="444">
        <f>psTn!B63</f>
        <v>0</v>
      </c>
      <c r="B62" s="33">
        <f>psTn!C63</f>
        <v>0</v>
      </c>
      <c r="C62" s="33">
        <f>psTn!D63</f>
        <v>0</v>
      </c>
      <c r="D62" s="33">
        <f>psTn!E63</f>
        <v>0</v>
      </c>
      <c r="E62" s="33">
        <f>psTn!F63</f>
        <v>0</v>
      </c>
      <c r="F62" s="33">
        <f>psTn!G63</f>
        <v>0</v>
      </c>
      <c r="G62" s="44" t="str">
        <f>_xlfn.XLOOKUP(A62,'ps5'!B:B,'ps5'!C:C,"")</f>
        <v/>
      </c>
      <c r="H62" s="44" t="str">
        <f>_xlfn.XLOOKUP(A62,'ps5'!B:B,'ps5'!D:D,"")</f>
        <v/>
      </c>
      <c r="I62" s="44" t="str">
        <f>_xlfn.XLOOKUP(A62,'ps5'!B:B,'ps5'!E:E,"")</f>
        <v/>
      </c>
      <c r="J62" s="44" t="str">
        <f>_xlfn.XLOOKUP(A62,'ps5'!B:B,'ps5'!F:F,"")</f>
        <v/>
      </c>
      <c r="K62" s="44" t="str">
        <f>_xlfn.XLOOKUP(A62,'ps5'!B:B,'ps5'!G:G,"")</f>
        <v/>
      </c>
      <c r="L62" s="44">
        <f t="shared" si="16"/>
        <v>0</v>
      </c>
      <c r="M62" s="44">
        <f t="shared" si="16"/>
        <v>0</v>
      </c>
      <c r="N62" s="44">
        <f t="shared" si="16"/>
        <v>0</v>
      </c>
      <c r="O62" s="50" t="str">
        <f>_xlfn.XLOOKUP(A62,psRk!C:C,psRk!F:F,"")</f>
        <v/>
      </c>
      <c r="P62" s="33" t="str">
        <f>_xlfn.XLOOKUP(A62,psRk!C:C,psRk!G:G,"")</f>
        <v/>
      </c>
      <c r="Q62" s="41" t="str">
        <f>_xlfn.XLOOKUP(A62,psRk!C:C,psRk!H:H,"")</f>
        <v/>
      </c>
      <c r="R62" s="41" t="str">
        <f>_xlfn.XLOOKUP(A62,psRk!C:C,psRk!I:I,"")</f>
        <v/>
      </c>
      <c r="S62" s="27" t="str">
        <f t="shared" si="1"/>
        <v/>
      </c>
      <c r="T62" s="27" t="str">
        <f t="shared" si="2"/>
        <v/>
      </c>
      <c r="U62" s="27" t="str">
        <f t="shared" si="3"/>
        <v/>
      </c>
      <c r="V62" s="27" t="str">
        <f t="shared" si="4"/>
        <v/>
      </c>
      <c r="W62" s="27" t="str">
        <f t="shared" si="5"/>
        <v/>
      </c>
      <c r="X62" s="27" t="str">
        <f t="shared" si="6"/>
        <v/>
      </c>
      <c r="Y62" s="27" t="str">
        <f t="shared" si="7"/>
        <v/>
      </c>
      <c r="Z62" s="47" t="str">
        <f t="shared" si="13"/>
        <v/>
      </c>
      <c r="AA62" s="49" t="str">
        <f t="shared" si="8"/>
        <v/>
      </c>
      <c r="AB62" s="49">
        <f t="shared" si="14"/>
        <v>0</v>
      </c>
      <c r="AC62" s="49" t="str">
        <f t="shared" si="9"/>
        <v/>
      </c>
      <c r="AD62" s="47" t="str">
        <f>_xlfn.XLOOKUP(AC62,Parm!$AN$2:$AN$25,Parm!$AO$2:$AO$25,"")</f>
        <v/>
      </c>
      <c r="AE62" s="49" t="str">
        <f t="shared" si="10"/>
        <v/>
      </c>
      <c r="AF62" s="47" t="str">
        <f>_xlfn.XLOOKUP(AE62,Parm!$AN$2:$AN$25,Parm!$AO$2:$AO$25,"")</f>
        <v/>
      </c>
      <c r="AG62" s="286">
        <f>psTn!A63</f>
        <v>0</v>
      </c>
      <c r="AH62" s="49" t="str" cm="1">
        <f t="array" aca="1" ref="AH62" ca="1">_xlfn.IFS(Z62="","",AND(Z62&gt;0,Z62&lt;$AS$12),MROUND($AS$13*($AS$12-Z62+1)/SUMPRODUCT($AS$12-ROW(INDIRECT("1:" &amp; $AS$12 ))),1000),TRUE,0)</f>
        <v/>
      </c>
      <c r="AI62" s="49" t="e">
        <f t="shared" si="11"/>
        <v>#VALUE!</v>
      </c>
      <c r="AJ62" s="49">
        <f t="shared" si="15"/>
        <v>-100</v>
      </c>
      <c r="AK62" s="49"/>
      <c r="AL62" s="49" t="str">
        <f t="shared" si="12"/>
        <v/>
      </c>
      <c r="AM62" s="52" t="str">
        <f>IF(A62&lt;=0,"",_xlfn.XLOOKUP(A62,TL!C:C,TL!C:C))</f>
        <v/>
      </c>
      <c r="AN62" s="52" t="str">
        <f>IF(A62&lt;=0,"",_xlfn.XLOOKUP(A62,Y!C:C,Y!C:C))</f>
        <v/>
      </c>
      <c r="AO62" s="52" t="str">
        <f>IF(A62&lt;=0,"",_xlfn.XLOOKUP(A62,MA!B:B,MA!B:B))</f>
        <v/>
      </c>
    </row>
    <row r="63" spans="1:41" x14ac:dyDescent="0.25">
      <c r="A63" s="444">
        <f>psTn!B64</f>
        <v>0</v>
      </c>
      <c r="B63" s="33">
        <f>psTn!C64</f>
        <v>0</v>
      </c>
      <c r="C63" s="33">
        <f>psTn!D64</f>
        <v>0</v>
      </c>
      <c r="D63" s="33">
        <f>psTn!E64</f>
        <v>0</v>
      </c>
      <c r="E63" s="33">
        <f>psTn!F64</f>
        <v>0</v>
      </c>
      <c r="F63" s="33">
        <f>psTn!G64</f>
        <v>0</v>
      </c>
      <c r="G63" s="44" t="str">
        <f>_xlfn.XLOOKUP(A63,'ps5'!B:B,'ps5'!C:C,"")</f>
        <v/>
      </c>
      <c r="H63" s="44" t="str">
        <f>_xlfn.XLOOKUP(A63,'ps5'!B:B,'ps5'!D:D,"")</f>
        <v/>
      </c>
      <c r="I63" s="44" t="str">
        <f>_xlfn.XLOOKUP(A63,'ps5'!B:B,'ps5'!E:E,"")</f>
        <v/>
      </c>
      <c r="J63" s="44" t="str">
        <f>_xlfn.XLOOKUP(A63,'ps5'!B:B,'ps5'!F:F,"")</f>
        <v/>
      </c>
      <c r="K63" s="44" t="str">
        <f>_xlfn.XLOOKUP(A63,'ps5'!B:B,'ps5'!G:G,"")</f>
        <v/>
      </c>
      <c r="L63" s="44">
        <f t="shared" si="16"/>
        <v>0</v>
      </c>
      <c r="M63" s="44">
        <f t="shared" si="16"/>
        <v>0</v>
      </c>
      <c r="N63" s="44">
        <f t="shared" si="16"/>
        <v>0</v>
      </c>
      <c r="O63" s="50" t="str">
        <f>_xlfn.XLOOKUP(A63,psRk!C:C,psRk!F:F,"")</f>
        <v/>
      </c>
      <c r="P63" s="33" t="str">
        <f>_xlfn.XLOOKUP(A63,psRk!C:C,psRk!G:G,"")</f>
        <v/>
      </c>
      <c r="Q63" s="41" t="str">
        <f>_xlfn.XLOOKUP(A63,psRk!C:C,psRk!H:H,"")</f>
        <v/>
      </c>
      <c r="R63" s="41" t="str">
        <f>_xlfn.XLOOKUP(A63,psRk!C:C,psRk!I:I,"")</f>
        <v/>
      </c>
      <c r="S63" s="27" t="str">
        <f t="shared" si="1"/>
        <v/>
      </c>
      <c r="T63" s="27" t="str">
        <f t="shared" si="2"/>
        <v/>
      </c>
      <c r="U63" s="27" t="str">
        <f t="shared" si="3"/>
        <v/>
      </c>
      <c r="V63" s="27" t="str">
        <f t="shared" si="4"/>
        <v/>
      </c>
      <c r="W63" s="27" t="str">
        <f t="shared" si="5"/>
        <v/>
      </c>
      <c r="X63" s="27" t="str">
        <f t="shared" si="6"/>
        <v/>
      </c>
      <c r="Y63" s="27" t="str">
        <f t="shared" si="7"/>
        <v/>
      </c>
      <c r="Z63" s="47" t="str">
        <f t="shared" si="13"/>
        <v/>
      </c>
      <c r="AA63" s="49" t="str">
        <f t="shared" si="8"/>
        <v/>
      </c>
      <c r="AB63" s="49">
        <f t="shared" si="14"/>
        <v>0</v>
      </c>
      <c r="AC63" s="49" t="str">
        <f t="shared" si="9"/>
        <v/>
      </c>
      <c r="AD63" s="47" t="str">
        <f>_xlfn.XLOOKUP(AC63,Parm!$AN$2:$AN$25,Parm!$AO$2:$AO$25,"")</f>
        <v/>
      </c>
      <c r="AE63" s="49" t="str">
        <f t="shared" si="10"/>
        <v/>
      </c>
      <c r="AF63" s="47" t="str">
        <f>_xlfn.XLOOKUP(AE63,Parm!$AN$2:$AN$25,Parm!$AO$2:$AO$25,"")</f>
        <v/>
      </c>
      <c r="AG63" s="286">
        <f>psTn!A64</f>
        <v>0</v>
      </c>
      <c r="AH63" s="49" t="str" cm="1">
        <f t="array" aca="1" ref="AH63" ca="1">_xlfn.IFS(Z63="","",AND(Z63&gt;0,Z63&lt;$AS$12),MROUND($AS$13*($AS$12-Z63+1)/SUMPRODUCT($AS$12-ROW(INDIRECT("1:" &amp; $AS$12 ))),1000),TRUE,0)</f>
        <v/>
      </c>
      <c r="AI63" s="49" t="e">
        <f t="shared" si="11"/>
        <v>#VALUE!</v>
      </c>
      <c r="AJ63" s="49">
        <f t="shared" si="15"/>
        <v>-100</v>
      </c>
      <c r="AK63" s="49"/>
      <c r="AL63" s="49" t="str">
        <f t="shared" si="12"/>
        <v/>
      </c>
      <c r="AM63" s="52" t="str">
        <f>IF(A63&lt;=0,"",_xlfn.XLOOKUP(A63,TL!C:C,TL!C:C))</f>
        <v/>
      </c>
      <c r="AN63" s="52" t="str">
        <f>IF(A63&lt;=0,"",_xlfn.XLOOKUP(A63,Y!C:C,Y!C:C))</f>
        <v/>
      </c>
      <c r="AO63" s="52" t="str">
        <f>IF(A63&lt;=0,"",_xlfn.XLOOKUP(A63,MA!B:B,MA!B:B))</f>
        <v/>
      </c>
    </row>
    <row r="64" spans="1:41" x14ac:dyDescent="0.25">
      <c r="A64" s="444">
        <f>psTn!B65</f>
        <v>0</v>
      </c>
      <c r="B64" s="33">
        <f>psTn!C65</f>
        <v>0</v>
      </c>
      <c r="C64" s="33">
        <f>psTn!D65</f>
        <v>0</v>
      </c>
      <c r="D64" s="33">
        <f>psTn!E65</f>
        <v>0</v>
      </c>
      <c r="E64" s="33">
        <f>psTn!F65</f>
        <v>0</v>
      </c>
      <c r="F64" s="33">
        <f>psTn!G65</f>
        <v>0</v>
      </c>
      <c r="G64" s="44" t="str">
        <f>_xlfn.XLOOKUP(A64,'ps5'!B:B,'ps5'!C:C,"")</f>
        <v/>
      </c>
      <c r="H64" s="44" t="str">
        <f>_xlfn.XLOOKUP(A64,'ps5'!B:B,'ps5'!D:D,"")</f>
        <v/>
      </c>
      <c r="I64" s="44" t="str">
        <f>_xlfn.XLOOKUP(A64,'ps5'!B:B,'ps5'!E:E,"")</f>
        <v/>
      </c>
      <c r="J64" s="44" t="str">
        <f>_xlfn.XLOOKUP(A64,'ps5'!B:B,'ps5'!F:F,"")</f>
        <v/>
      </c>
      <c r="K64" s="44" t="str">
        <f>_xlfn.XLOOKUP(A64,'ps5'!B:B,'ps5'!G:G,"")</f>
        <v/>
      </c>
      <c r="L64" s="44">
        <f t="shared" si="16"/>
        <v>0</v>
      </c>
      <c r="M64" s="44">
        <f t="shared" si="16"/>
        <v>0</v>
      </c>
      <c r="N64" s="44">
        <f t="shared" si="16"/>
        <v>0</v>
      </c>
      <c r="O64" s="50" t="str">
        <f>_xlfn.XLOOKUP(A64,psRk!C:C,psRk!F:F,"")</f>
        <v/>
      </c>
      <c r="P64" s="33" t="str">
        <f>_xlfn.XLOOKUP(A64,psRk!C:C,psRk!G:G,"")</f>
        <v/>
      </c>
      <c r="Q64" s="41" t="str">
        <f>_xlfn.XLOOKUP(A64,psRk!C:C,psRk!H:H,"")</f>
        <v/>
      </c>
      <c r="R64" s="41" t="str">
        <f>_xlfn.XLOOKUP(A64,psRk!C:C,psRk!I:I,"")</f>
        <v/>
      </c>
      <c r="S64" s="27" t="str">
        <f t="shared" si="1"/>
        <v/>
      </c>
      <c r="T64" s="27" t="str">
        <f t="shared" si="2"/>
        <v/>
      </c>
      <c r="U64" s="27" t="str">
        <f t="shared" si="3"/>
        <v/>
      </c>
      <c r="V64" s="27" t="str">
        <f t="shared" si="4"/>
        <v/>
      </c>
      <c r="W64" s="27" t="str">
        <f t="shared" si="5"/>
        <v/>
      </c>
      <c r="X64" s="27" t="str">
        <f t="shared" si="6"/>
        <v/>
      </c>
      <c r="Y64" s="27" t="str">
        <f t="shared" si="7"/>
        <v/>
      </c>
      <c r="Z64" s="47" t="str">
        <f t="shared" si="13"/>
        <v/>
      </c>
      <c r="AA64" s="49" t="str">
        <f t="shared" si="8"/>
        <v/>
      </c>
      <c r="AB64" s="49">
        <f t="shared" si="14"/>
        <v>0</v>
      </c>
      <c r="AC64" s="49" t="str">
        <f t="shared" si="9"/>
        <v/>
      </c>
      <c r="AD64" s="47" t="str">
        <f>_xlfn.XLOOKUP(AC64,Parm!$AN$2:$AN$25,Parm!$AO$2:$AO$25,"")</f>
        <v/>
      </c>
      <c r="AE64" s="49" t="str">
        <f t="shared" si="10"/>
        <v/>
      </c>
      <c r="AF64" s="47" t="str">
        <f>_xlfn.XLOOKUP(AE64,Parm!$AN$2:$AN$25,Parm!$AO$2:$AO$25,"")</f>
        <v/>
      </c>
      <c r="AG64" s="286">
        <f>psTn!A65</f>
        <v>0</v>
      </c>
      <c r="AH64" s="49" t="str" cm="1">
        <f t="array" aca="1" ref="AH64" ca="1">_xlfn.IFS(Z64="","",AND(Z64&gt;0,Z64&lt;$AS$12),MROUND($AS$13*($AS$12-Z64+1)/SUMPRODUCT($AS$12-ROW(INDIRECT("1:" &amp; $AS$12 ))),1000),TRUE,0)</f>
        <v/>
      </c>
      <c r="AI64" s="49" t="e">
        <f t="shared" si="11"/>
        <v>#VALUE!</v>
      </c>
      <c r="AJ64" s="49">
        <f t="shared" si="15"/>
        <v>-100</v>
      </c>
      <c r="AK64" s="49"/>
      <c r="AL64" s="49" t="str">
        <f t="shared" si="12"/>
        <v/>
      </c>
      <c r="AM64" s="52" t="str">
        <f>IF(A64&lt;=0,"",_xlfn.XLOOKUP(A64,TL!C:C,TL!C:C))</f>
        <v/>
      </c>
      <c r="AN64" s="52" t="str">
        <f>IF(A64&lt;=0,"",_xlfn.XLOOKUP(A64,Y!C:C,Y!C:C))</f>
        <v/>
      </c>
      <c r="AO64" s="52" t="str">
        <f>IF(A64&lt;=0,"",_xlfn.XLOOKUP(A64,MA!B:B,MA!B:B))</f>
        <v/>
      </c>
    </row>
    <row r="65" spans="1:41" x14ac:dyDescent="0.25">
      <c r="A65" s="444">
        <f>psTn!B66</f>
        <v>0</v>
      </c>
      <c r="B65" s="33">
        <f>psTn!C66</f>
        <v>0</v>
      </c>
      <c r="C65" s="33">
        <f>psTn!D66</f>
        <v>0</v>
      </c>
      <c r="D65" s="33">
        <f>psTn!E66</f>
        <v>0</v>
      </c>
      <c r="E65" s="33">
        <f>psTn!F66</f>
        <v>0</v>
      </c>
      <c r="F65" s="33">
        <f>psTn!G66</f>
        <v>0</v>
      </c>
      <c r="G65" s="44" t="str">
        <f>_xlfn.XLOOKUP(A65,'ps5'!B:B,'ps5'!C:C,"")</f>
        <v/>
      </c>
      <c r="H65" s="44" t="str">
        <f>_xlfn.XLOOKUP(A65,'ps5'!B:B,'ps5'!D:D,"")</f>
        <v/>
      </c>
      <c r="I65" s="44" t="str">
        <f>_xlfn.XLOOKUP(A65,'ps5'!B:B,'ps5'!E:E,"")</f>
        <v/>
      </c>
      <c r="J65" s="44" t="str">
        <f>_xlfn.XLOOKUP(A65,'ps5'!B:B,'ps5'!F:F,"")</f>
        <v/>
      </c>
      <c r="K65" s="44" t="str">
        <f>_xlfn.XLOOKUP(A65,'ps5'!B:B,'ps5'!G:G,"")</f>
        <v/>
      </c>
      <c r="L65" s="44">
        <f t="shared" si="16"/>
        <v>0</v>
      </c>
      <c r="M65" s="44">
        <f t="shared" si="16"/>
        <v>0</v>
      </c>
      <c r="N65" s="44">
        <f t="shared" si="16"/>
        <v>0</v>
      </c>
      <c r="O65" s="50" t="str">
        <f>_xlfn.XLOOKUP(A65,psRk!C:C,psRk!F:F,"")</f>
        <v/>
      </c>
      <c r="P65" s="33" t="str">
        <f>_xlfn.XLOOKUP(A65,psRk!C:C,psRk!G:G,"")</f>
        <v/>
      </c>
      <c r="Q65" s="41" t="str">
        <f>_xlfn.XLOOKUP(A65,psRk!C:C,psRk!H:H,"")</f>
        <v/>
      </c>
      <c r="R65" s="41" t="str">
        <f>_xlfn.XLOOKUP(A65,psRk!C:C,psRk!I:I,"")</f>
        <v/>
      </c>
      <c r="S65" s="27" t="str">
        <f t="shared" si="1"/>
        <v/>
      </c>
      <c r="T65" s="27" t="str">
        <f t="shared" si="2"/>
        <v/>
      </c>
      <c r="U65" s="27" t="str">
        <f t="shared" si="3"/>
        <v/>
      </c>
      <c r="V65" s="27" t="str">
        <f t="shared" si="4"/>
        <v/>
      </c>
      <c r="W65" s="27" t="str">
        <f t="shared" si="5"/>
        <v/>
      </c>
      <c r="X65" s="27" t="str">
        <f t="shared" si="6"/>
        <v/>
      </c>
      <c r="Y65" s="27" t="str">
        <f t="shared" si="7"/>
        <v/>
      </c>
      <c r="Z65" s="47" t="str">
        <f t="shared" si="13"/>
        <v/>
      </c>
      <c r="AA65" s="49" t="str">
        <f t="shared" si="8"/>
        <v/>
      </c>
      <c r="AB65" s="49">
        <f t="shared" si="14"/>
        <v>0</v>
      </c>
      <c r="AC65" s="49" t="str">
        <f t="shared" si="9"/>
        <v/>
      </c>
      <c r="AD65" s="47" t="str">
        <f>_xlfn.XLOOKUP(AC65,Parm!$AN$2:$AN$25,Parm!$AO$2:$AO$25,"")</f>
        <v/>
      </c>
      <c r="AE65" s="49" t="str">
        <f t="shared" si="10"/>
        <v/>
      </c>
      <c r="AF65" s="47" t="str">
        <f>_xlfn.XLOOKUP(AE65,Parm!$AN$2:$AN$25,Parm!$AO$2:$AO$25,"")</f>
        <v/>
      </c>
      <c r="AG65" s="286">
        <f>psTn!A66</f>
        <v>0</v>
      </c>
      <c r="AH65" s="49" t="str" cm="1">
        <f t="array" aca="1" ref="AH65" ca="1">_xlfn.IFS(Z65="","",AND(Z65&gt;0,Z65&lt;$AS$12),MROUND($AS$13*($AS$12-Z65+1)/SUMPRODUCT($AS$12-ROW(INDIRECT("1:" &amp; $AS$12 ))),1000),TRUE,0)</f>
        <v/>
      </c>
      <c r="AI65" s="49" t="e">
        <f t="shared" si="11"/>
        <v>#VALUE!</v>
      </c>
      <c r="AJ65" s="49">
        <f t="shared" si="15"/>
        <v>-100</v>
      </c>
      <c r="AK65" s="49"/>
      <c r="AL65" s="49" t="str">
        <f t="shared" si="12"/>
        <v/>
      </c>
      <c r="AM65" s="52" t="str">
        <f>IF(A65&lt;=0,"",_xlfn.XLOOKUP(A65,TL!C:C,TL!C:C))</f>
        <v/>
      </c>
      <c r="AN65" s="52" t="str">
        <f>IF(A65&lt;=0,"",_xlfn.XLOOKUP(A65,Y!C:C,Y!C:C))</f>
        <v/>
      </c>
      <c r="AO65" s="52" t="str">
        <f>IF(A65&lt;=0,"",_xlfn.XLOOKUP(A65,MA!B:B,MA!B:B))</f>
        <v/>
      </c>
    </row>
    <row r="66" spans="1:41" x14ac:dyDescent="0.25">
      <c r="A66" s="444">
        <f>psTn!B67</f>
        <v>0</v>
      </c>
      <c r="B66" s="33">
        <f>psTn!C67</f>
        <v>0</v>
      </c>
      <c r="C66" s="33">
        <f>psTn!D67</f>
        <v>0</v>
      </c>
      <c r="D66" s="33">
        <f>psTn!E67</f>
        <v>0</v>
      </c>
      <c r="E66" s="33">
        <f>psTn!F67</f>
        <v>0</v>
      </c>
      <c r="F66" s="33">
        <f>psTn!G67</f>
        <v>0</v>
      </c>
      <c r="G66" s="44" t="str">
        <f>_xlfn.XLOOKUP(A66,'ps5'!B:B,'ps5'!C:C,"")</f>
        <v/>
      </c>
      <c r="H66" s="44" t="str">
        <f>_xlfn.XLOOKUP(A66,'ps5'!B:B,'ps5'!D:D,"")</f>
        <v/>
      </c>
      <c r="I66" s="44" t="str">
        <f>_xlfn.XLOOKUP(A66,'ps5'!B:B,'ps5'!E:E,"")</f>
        <v/>
      </c>
      <c r="J66" s="44" t="str">
        <f>_xlfn.XLOOKUP(A66,'ps5'!B:B,'ps5'!F:F,"")</f>
        <v/>
      </c>
      <c r="K66" s="44" t="str">
        <f>_xlfn.XLOOKUP(A66,'ps5'!B:B,'ps5'!G:G,"")</f>
        <v/>
      </c>
      <c r="L66" s="44">
        <f t="shared" si="16"/>
        <v>0</v>
      </c>
      <c r="M66" s="44">
        <f t="shared" si="16"/>
        <v>0</v>
      </c>
      <c r="N66" s="44">
        <f t="shared" si="16"/>
        <v>0</v>
      </c>
      <c r="O66" s="50" t="str">
        <f>_xlfn.XLOOKUP(A66,psRk!C:C,psRk!F:F,"")</f>
        <v/>
      </c>
      <c r="P66" s="33" t="str">
        <f>_xlfn.XLOOKUP(A66,psRk!C:C,psRk!G:G,"")</f>
        <v/>
      </c>
      <c r="Q66" s="41" t="str">
        <f>_xlfn.XLOOKUP(A66,psRk!C:C,psRk!H:H,"")</f>
        <v/>
      </c>
      <c r="R66" s="41" t="str">
        <f>_xlfn.XLOOKUP(A66,psRk!C:C,psRk!I:I,"")</f>
        <v/>
      </c>
      <c r="S66" s="27" t="str">
        <f t="shared" ref="S66:S100" si="17">IF(AND(G66&lt;&gt;"",G66&gt;0),IF(AND(G66&gt;0,H66&gt;0),H66-$G66,MAX(G:G)+1-G66)*$AS$2,"")</f>
        <v/>
      </c>
      <c r="T66" s="27" t="str">
        <f t="shared" ref="T66:T100" si="18">IF(AND(H66&lt;&gt;"",H66&gt;0),IF(AND(H66&gt;0,I66&gt;0),I66-$H66,MAX(H:H)+1-H66)*$AS$3,"")</f>
        <v/>
      </c>
      <c r="U66" s="27" t="str">
        <f t="shared" ref="U66:U100" si="19">IF(AND(I66&lt;&gt;"",I66&gt;0),IF(AND(I66&gt;0,J66&gt;0),J66-$I66,MAX(I:I)+1-I66)*$AS$4,"")</f>
        <v/>
      </c>
      <c r="V66" s="27" t="str">
        <f t="shared" ref="V66:V100" si="20">IF(AND(J66&lt;&gt;"",J66&gt;0),IF(AND(J66&gt;0,K66&gt;0),K66-$J66,MAX(J:J)+1-J66)*$AS$5,"")</f>
        <v/>
      </c>
      <c r="W66" s="27" t="str">
        <f t="shared" ref="W66:W100" si="21">IF(AND(K66&lt;&gt;"",K66&gt;0),IF(AND(K66&gt;0,L66&gt;0),L66-$K66,MAX(K:K)+1-K66)*$AS$6,"")</f>
        <v/>
      </c>
      <c r="X66" s="27" t="str">
        <f t="shared" ref="X66:X100" si="22">IF(AND(L66&lt;&gt;"",L66&gt;0),IF(AND(L66&gt;0,M66&gt;0),M66-$L66,MAX(L:L)+1-L66)*$AS$7,"")</f>
        <v/>
      </c>
      <c r="Y66" s="27" t="str">
        <f t="shared" ref="Y66:Y100" si="23">IF(AND(M66&lt;&gt;"",M66&gt;0),IF(AND(M66&gt;0,N66&gt;0),N66-$M66,MAX(M:M)+1-M66)*$AS$8,"")</f>
        <v/>
      </c>
      <c r="Z66" s="47" t="str">
        <f t="shared" si="13"/>
        <v/>
      </c>
      <c r="AA66" s="49" t="str">
        <f t="shared" ref="AA66:AA97" si="24">IF(AND(G66&lt;&gt;"",G66&gt;0),SUM(S66:Y66),IF(OR(N66&gt;0,SUM(S66:Y66)&lt;&gt;0),-100,""))</f>
        <v/>
      </c>
      <c r="AB66" s="49">
        <f t="shared" si="14"/>
        <v>0</v>
      </c>
      <c r="AC66" s="49" t="str">
        <f t="shared" ref="AC66:AC100" si="25">IF(Z66="","",IF(Z66&gt;0,"BuySome",IF(Z66&lt;0,"SellAll","")))</f>
        <v/>
      </c>
      <c r="AD66" s="47" t="str">
        <f>_xlfn.XLOOKUP(AC66,Parm!$AN$2:$AN$25,Parm!$AO$2:$AO$25,"")</f>
        <v/>
      </c>
      <c r="AE66" s="49" t="str">
        <f t="shared" ref="AE66:AE100" si="26">IF(Z66="","",IF(AA66&lt;-99,"SellAll",IF(AA66=0,"",IF(AA66&gt;0,"BuySome",IF(AA66&lt;-10,"SellToMin","SellSome")))))</f>
        <v/>
      </c>
      <c r="AF66" s="47" t="str">
        <f>_xlfn.XLOOKUP(AE66,Parm!$AN$2:$AN$25,Parm!$AO$2:$AO$25,"")</f>
        <v/>
      </c>
      <c r="AG66" s="286">
        <f>psTn!A67</f>
        <v>0</v>
      </c>
      <c r="AH66" s="49" t="str" cm="1">
        <f t="array" aca="1" ref="AH66" ca="1">_xlfn.IFS(Z66="","",AND(Z66&gt;0,Z66&lt;$AS$12),MROUND($AS$13*($AS$12-Z66+1)/SUMPRODUCT($AS$12-ROW(INDIRECT("1:" &amp; $AS$12 ))),1000),TRUE,0)</f>
        <v/>
      </c>
      <c r="AI66" s="49" t="e">
        <f t="shared" ref="AI66:AI100" si="27">IF(Z66&gt;0,R66*$AS$13,0)</f>
        <v>#VALUE!</v>
      </c>
      <c r="AJ66" s="49">
        <f t="shared" si="15"/>
        <v>-100</v>
      </c>
      <c r="AK66" s="49"/>
      <c r="AL66" s="49" t="str">
        <f t="shared" ref="AL66:AL100" si="28">IF(A66="FDRXX","",IF(ISNA(AO66),A66,""))</f>
        <v/>
      </c>
      <c r="AM66" s="52" t="str">
        <f>IF(A66&lt;=0,"",_xlfn.XLOOKUP(A66,TL!C:C,TL!C:C))</f>
        <v/>
      </c>
      <c r="AN66" s="52" t="str">
        <f>IF(A66&lt;=0,"",_xlfn.XLOOKUP(A66,Y!C:C,Y!C:C))</f>
        <v/>
      </c>
      <c r="AO66" s="52" t="str">
        <f>IF(A66&lt;=0,"",_xlfn.XLOOKUP(A66,MA!B:B,MA!B:B))</f>
        <v/>
      </c>
    </row>
    <row r="67" spans="1:41" x14ac:dyDescent="0.25">
      <c r="A67" s="444">
        <f>psTn!B68</f>
        <v>0</v>
      </c>
      <c r="B67" s="33">
        <f>psTn!C68</f>
        <v>0</v>
      </c>
      <c r="C67" s="33">
        <f>psTn!D68</f>
        <v>0</v>
      </c>
      <c r="D67" s="33">
        <f>psTn!E68</f>
        <v>0</v>
      </c>
      <c r="E67" s="33">
        <f>psTn!F68</f>
        <v>0</v>
      </c>
      <c r="F67" s="33">
        <f>psTn!G68</f>
        <v>0</v>
      </c>
      <c r="G67" s="44" t="str">
        <f>_xlfn.XLOOKUP(A67,'ps5'!B:B,'ps5'!C:C,"")</f>
        <v/>
      </c>
      <c r="H67" s="44" t="str">
        <f>_xlfn.XLOOKUP(A67,'ps5'!B:B,'ps5'!D:D,"")</f>
        <v/>
      </c>
      <c r="I67" s="44" t="str">
        <f>_xlfn.XLOOKUP(A67,'ps5'!B:B,'ps5'!E:E,"")</f>
        <v/>
      </c>
      <c r="J67" s="44" t="str">
        <f>_xlfn.XLOOKUP(A67,'ps5'!B:B,'ps5'!F:F,"")</f>
        <v/>
      </c>
      <c r="K67" s="44" t="str">
        <f>_xlfn.XLOOKUP(A67,'ps5'!B:B,'ps5'!G:G,"")</f>
        <v/>
      </c>
      <c r="L67" s="44">
        <f t="shared" si="16"/>
        <v>0</v>
      </c>
      <c r="M67" s="44">
        <f t="shared" si="16"/>
        <v>0</v>
      </c>
      <c r="N67" s="44">
        <f t="shared" si="16"/>
        <v>0</v>
      </c>
      <c r="O67" s="50" t="str">
        <f>_xlfn.XLOOKUP(A67,psRk!C:C,psRk!F:F,"")</f>
        <v/>
      </c>
      <c r="P67" s="33" t="str">
        <f>_xlfn.XLOOKUP(A67,psRk!C:C,psRk!G:G,"")</f>
        <v/>
      </c>
      <c r="Q67" s="41" t="str">
        <f>_xlfn.XLOOKUP(A67,psRk!C:C,psRk!H:H,"")</f>
        <v/>
      </c>
      <c r="R67" s="41" t="str">
        <f>_xlfn.XLOOKUP(A67,psRk!C:C,psRk!I:I,"")</f>
        <v/>
      </c>
      <c r="S67" s="27" t="str">
        <f t="shared" si="17"/>
        <v/>
      </c>
      <c r="T67" s="27" t="str">
        <f t="shared" si="18"/>
        <v/>
      </c>
      <c r="U67" s="27" t="str">
        <f t="shared" si="19"/>
        <v/>
      </c>
      <c r="V67" s="27" t="str">
        <f t="shared" si="20"/>
        <v/>
      </c>
      <c r="W67" s="27" t="str">
        <f t="shared" si="21"/>
        <v/>
      </c>
      <c r="X67" s="27" t="str">
        <f t="shared" si="22"/>
        <v/>
      </c>
      <c r="Y67" s="27" t="str">
        <f t="shared" si="23"/>
        <v/>
      </c>
      <c r="Z67" s="47" t="str">
        <f t="shared" ref="Z67:Z100" si="29">IF(B67,B67,IF(OR(SUM(B67:F67)&gt;0,SUM(S67:Y67)&lt;&gt;0),-100,""))</f>
        <v/>
      </c>
      <c r="AA67" s="49" t="str">
        <f t="shared" si="24"/>
        <v/>
      </c>
      <c r="AB67" s="49">
        <f t="shared" ref="AB67:AB100" si="30">A67</f>
        <v>0</v>
      </c>
      <c r="AC67" s="49" t="str">
        <f t="shared" si="25"/>
        <v/>
      </c>
      <c r="AD67" s="47" t="str">
        <f>_xlfn.XLOOKUP(AC67,Parm!$AN$2:$AN$25,Parm!$AO$2:$AO$25,"")</f>
        <v/>
      </c>
      <c r="AE67" s="49" t="str">
        <f t="shared" si="26"/>
        <v/>
      </c>
      <c r="AF67" s="47" t="str">
        <f>_xlfn.XLOOKUP(AE67,Parm!$AN$2:$AN$25,Parm!$AO$2:$AO$25,"")</f>
        <v/>
      </c>
      <c r="AG67" s="286">
        <f>psTn!A68</f>
        <v>0</v>
      </c>
      <c r="AH67" s="49" t="str" cm="1">
        <f t="array" aca="1" ref="AH67" ca="1">_xlfn.IFS(Z67="","",AND(Z67&gt;0,Z67&lt;$AS$12),MROUND($AS$13*($AS$12-Z67+1)/SUMPRODUCT($AS$12-ROW(INDIRECT("1:" &amp; $AS$12 ))),1000),TRUE,0)</f>
        <v/>
      </c>
      <c r="AI67" s="49" t="e">
        <f t="shared" si="27"/>
        <v>#VALUE!</v>
      </c>
      <c r="AJ67" s="49">
        <f t="shared" ref="AJ67:AJ98" si="31">IF(B67&gt;0,AI67,-100)</f>
        <v>-100</v>
      </c>
      <c r="AK67" s="49"/>
      <c r="AL67" s="49" t="str">
        <f t="shared" si="28"/>
        <v/>
      </c>
      <c r="AM67" s="52" t="str">
        <f>IF(A67&lt;=0,"",_xlfn.XLOOKUP(A67,TL!C:C,TL!C:C))</f>
        <v/>
      </c>
      <c r="AN67" s="52" t="str">
        <f>IF(A67&lt;=0,"",_xlfn.XLOOKUP(A67,Y!C:C,Y!C:C))</f>
        <v/>
      </c>
      <c r="AO67" s="52" t="str">
        <f>IF(A67&lt;=0,"",_xlfn.XLOOKUP(A67,MA!B:B,MA!B:B))</f>
        <v/>
      </c>
    </row>
    <row r="68" spans="1:41" x14ac:dyDescent="0.25">
      <c r="A68" s="444">
        <f>psTn!B69</f>
        <v>0</v>
      </c>
      <c r="B68" s="33">
        <f>psTn!C69</f>
        <v>0</v>
      </c>
      <c r="C68" s="33">
        <f>psTn!D69</f>
        <v>0</v>
      </c>
      <c r="D68" s="33">
        <f>psTn!E69</f>
        <v>0</v>
      </c>
      <c r="E68" s="33">
        <f>psTn!F69</f>
        <v>0</v>
      </c>
      <c r="F68" s="33">
        <f>psTn!G69</f>
        <v>0</v>
      </c>
      <c r="G68" s="44" t="str">
        <f>_xlfn.XLOOKUP(A68,'ps5'!B:B,'ps5'!C:C,"")</f>
        <v/>
      </c>
      <c r="H68" s="44" t="str">
        <f>_xlfn.XLOOKUP(A68,'ps5'!B:B,'ps5'!D:D,"")</f>
        <v/>
      </c>
      <c r="I68" s="44" t="str">
        <f>_xlfn.XLOOKUP(A68,'ps5'!B:B,'ps5'!E:E,"")</f>
        <v/>
      </c>
      <c r="J68" s="44" t="str">
        <f>_xlfn.XLOOKUP(A68,'ps5'!B:B,'ps5'!F:F,"")</f>
        <v/>
      </c>
      <c r="K68" s="44" t="str">
        <f>_xlfn.XLOOKUP(A68,'ps5'!B:B,'ps5'!G:G,"")</f>
        <v/>
      </c>
      <c r="L68" s="44">
        <f t="shared" si="16"/>
        <v>0</v>
      </c>
      <c r="M68" s="44">
        <f t="shared" si="16"/>
        <v>0</v>
      </c>
      <c r="N68" s="44">
        <f t="shared" si="16"/>
        <v>0</v>
      </c>
      <c r="O68" s="50" t="str">
        <f>_xlfn.XLOOKUP(A68,psRk!C:C,psRk!F:F,"")</f>
        <v/>
      </c>
      <c r="P68" s="33" t="str">
        <f>_xlfn.XLOOKUP(A68,psRk!C:C,psRk!G:G,"")</f>
        <v/>
      </c>
      <c r="Q68" s="41" t="str">
        <f>_xlfn.XLOOKUP(A68,psRk!C:C,psRk!H:H,"")</f>
        <v/>
      </c>
      <c r="R68" s="41" t="str">
        <f>_xlfn.XLOOKUP(A68,psRk!C:C,psRk!I:I,"")</f>
        <v/>
      </c>
      <c r="S68" s="27" t="str">
        <f t="shared" si="17"/>
        <v/>
      </c>
      <c r="T68" s="27" t="str">
        <f t="shared" si="18"/>
        <v/>
      </c>
      <c r="U68" s="27" t="str">
        <f t="shared" si="19"/>
        <v/>
      </c>
      <c r="V68" s="27" t="str">
        <f t="shared" si="20"/>
        <v/>
      </c>
      <c r="W68" s="27" t="str">
        <f t="shared" si="21"/>
        <v/>
      </c>
      <c r="X68" s="27" t="str">
        <f t="shared" si="22"/>
        <v/>
      </c>
      <c r="Y68" s="27" t="str">
        <f t="shared" si="23"/>
        <v/>
      </c>
      <c r="Z68" s="47" t="str">
        <f t="shared" si="29"/>
        <v/>
      </c>
      <c r="AA68" s="49" t="str">
        <f t="shared" si="24"/>
        <v/>
      </c>
      <c r="AB68" s="49">
        <f t="shared" si="30"/>
        <v>0</v>
      </c>
      <c r="AC68" s="49" t="str">
        <f t="shared" si="25"/>
        <v/>
      </c>
      <c r="AD68" s="47" t="str">
        <f>_xlfn.XLOOKUP(AC68,Parm!$AN$2:$AN$25,Parm!$AO$2:$AO$25,"")</f>
        <v/>
      </c>
      <c r="AE68" s="49" t="str">
        <f t="shared" si="26"/>
        <v/>
      </c>
      <c r="AF68" s="47" t="str">
        <f>_xlfn.XLOOKUP(AE68,Parm!$AN$2:$AN$25,Parm!$AO$2:$AO$25,"")</f>
        <v/>
      </c>
      <c r="AG68" s="286">
        <f>psTn!A69</f>
        <v>0</v>
      </c>
      <c r="AH68" s="49" t="str" cm="1">
        <f t="array" aca="1" ref="AH68" ca="1">_xlfn.IFS(Z68="","",AND(Z68&gt;0,Z68&lt;$AS$12),MROUND($AS$13*($AS$12-Z68+1)/SUMPRODUCT($AS$12-ROW(INDIRECT("1:" &amp; $AS$12 ))),1000),TRUE,0)</f>
        <v/>
      </c>
      <c r="AI68" s="49" t="e">
        <f t="shared" si="27"/>
        <v>#VALUE!</v>
      </c>
      <c r="AJ68" s="49">
        <f t="shared" si="31"/>
        <v>-100</v>
      </c>
      <c r="AK68" s="49"/>
      <c r="AL68" s="49" t="str">
        <f t="shared" si="28"/>
        <v/>
      </c>
      <c r="AM68" s="52" t="str">
        <f>IF(A68&lt;=0,"",_xlfn.XLOOKUP(A68,TL!C:C,TL!C:C))</f>
        <v/>
      </c>
      <c r="AN68" s="52" t="str">
        <f>IF(A68&lt;=0,"",_xlfn.XLOOKUP(A68,Y!C:C,Y!C:C))</f>
        <v/>
      </c>
      <c r="AO68" s="52" t="str">
        <f>IF(A68&lt;=0,"",_xlfn.XLOOKUP(A68,MA!B:B,MA!B:B))</f>
        <v/>
      </c>
    </row>
    <row r="69" spans="1:41" x14ac:dyDescent="0.25">
      <c r="A69" s="444">
        <f>psTn!B70</f>
        <v>0</v>
      </c>
      <c r="B69" s="33">
        <f>psTn!C70</f>
        <v>0</v>
      </c>
      <c r="C69" s="33">
        <f>psTn!D70</f>
        <v>0</v>
      </c>
      <c r="D69" s="33">
        <f>psTn!E70</f>
        <v>0</v>
      </c>
      <c r="E69" s="33">
        <f>psTn!F70</f>
        <v>0</v>
      </c>
      <c r="F69" s="33">
        <f>psTn!G70</f>
        <v>0</v>
      </c>
      <c r="G69" s="44" t="str">
        <f>_xlfn.XLOOKUP(A69,'ps5'!B:B,'ps5'!C:C,"")</f>
        <v/>
      </c>
      <c r="H69" s="44" t="str">
        <f>_xlfn.XLOOKUP(A69,'ps5'!B:B,'ps5'!D:D,"")</f>
        <v/>
      </c>
      <c r="I69" s="44" t="str">
        <f>_xlfn.XLOOKUP(A69,'ps5'!B:B,'ps5'!E:E,"")</f>
        <v/>
      </c>
      <c r="J69" s="44" t="str">
        <f>_xlfn.XLOOKUP(A69,'ps5'!B:B,'ps5'!F:F,"")</f>
        <v/>
      </c>
      <c r="K69" s="44" t="str">
        <f>_xlfn.XLOOKUP(A69,'ps5'!B:B,'ps5'!G:G,"")</f>
        <v/>
      </c>
      <c r="L69" s="44">
        <f t="shared" si="16"/>
        <v>0</v>
      </c>
      <c r="M69" s="44">
        <f t="shared" si="16"/>
        <v>0</v>
      </c>
      <c r="N69" s="44">
        <f t="shared" si="16"/>
        <v>0</v>
      </c>
      <c r="O69" s="50" t="str">
        <f>_xlfn.XLOOKUP(A69,psRk!C:C,psRk!F:F,"")</f>
        <v/>
      </c>
      <c r="P69" s="33" t="str">
        <f>_xlfn.XLOOKUP(A69,psRk!C:C,psRk!G:G,"")</f>
        <v/>
      </c>
      <c r="Q69" s="41" t="str">
        <f>_xlfn.XLOOKUP(A69,psRk!C:C,psRk!H:H,"")</f>
        <v/>
      </c>
      <c r="R69" s="41" t="str">
        <f>_xlfn.XLOOKUP(A69,psRk!C:C,psRk!I:I,"")</f>
        <v/>
      </c>
      <c r="S69" s="27" t="str">
        <f t="shared" si="17"/>
        <v/>
      </c>
      <c r="T69" s="27" t="str">
        <f t="shared" si="18"/>
        <v/>
      </c>
      <c r="U69" s="27" t="str">
        <f t="shared" si="19"/>
        <v/>
      </c>
      <c r="V69" s="27" t="str">
        <f t="shared" si="20"/>
        <v/>
      </c>
      <c r="W69" s="27" t="str">
        <f t="shared" si="21"/>
        <v/>
      </c>
      <c r="X69" s="27" t="str">
        <f t="shared" si="22"/>
        <v/>
      </c>
      <c r="Y69" s="27" t="str">
        <f t="shared" si="23"/>
        <v/>
      </c>
      <c r="Z69" s="47" t="str">
        <f t="shared" si="29"/>
        <v/>
      </c>
      <c r="AA69" s="49" t="str">
        <f t="shared" si="24"/>
        <v/>
      </c>
      <c r="AB69" s="49">
        <f t="shared" si="30"/>
        <v>0</v>
      </c>
      <c r="AC69" s="49" t="str">
        <f t="shared" si="25"/>
        <v/>
      </c>
      <c r="AD69" s="47" t="str">
        <f>_xlfn.XLOOKUP(AC69,Parm!$AN$2:$AN$25,Parm!$AO$2:$AO$25,"")</f>
        <v/>
      </c>
      <c r="AE69" s="49" t="str">
        <f t="shared" si="26"/>
        <v/>
      </c>
      <c r="AF69" s="47" t="str">
        <f>_xlfn.XLOOKUP(AE69,Parm!$AN$2:$AN$25,Parm!$AO$2:$AO$25,"")</f>
        <v/>
      </c>
      <c r="AG69" s="286">
        <f>psTn!A70</f>
        <v>0</v>
      </c>
      <c r="AH69" s="49" t="str" cm="1">
        <f t="array" aca="1" ref="AH69" ca="1">_xlfn.IFS(Z69="","",AND(Z69&gt;0,Z69&lt;$AS$12),MROUND($AS$13*($AS$12-Z69+1)/SUMPRODUCT($AS$12-ROW(INDIRECT("1:" &amp; $AS$12 ))),1000),TRUE,0)</f>
        <v/>
      </c>
      <c r="AI69" s="49" t="e">
        <f t="shared" si="27"/>
        <v>#VALUE!</v>
      </c>
      <c r="AJ69" s="49">
        <f t="shared" si="31"/>
        <v>-100</v>
      </c>
      <c r="AK69" s="49"/>
      <c r="AL69" s="49" t="str">
        <f t="shared" si="28"/>
        <v/>
      </c>
      <c r="AM69" s="52" t="str">
        <f>IF(A69&lt;=0,"",_xlfn.XLOOKUP(A69,TL!C:C,TL!C:C))</f>
        <v/>
      </c>
      <c r="AN69" s="52" t="str">
        <f>IF(A69&lt;=0,"",_xlfn.XLOOKUP(A69,Y!C:C,Y!C:C))</f>
        <v/>
      </c>
      <c r="AO69" s="52" t="str">
        <f>IF(A69&lt;=0,"",_xlfn.XLOOKUP(A69,MA!B:B,MA!B:B))</f>
        <v/>
      </c>
    </row>
    <row r="70" spans="1:41" x14ac:dyDescent="0.25">
      <c r="A70" s="444">
        <f>psTn!B71</f>
        <v>0</v>
      </c>
      <c r="B70" s="33">
        <f>psTn!C71</f>
        <v>0</v>
      </c>
      <c r="C70" s="33">
        <f>psTn!D71</f>
        <v>0</v>
      </c>
      <c r="D70" s="33">
        <f>psTn!E71</f>
        <v>0</v>
      </c>
      <c r="E70" s="33">
        <f>psTn!F71</f>
        <v>0</v>
      </c>
      <c r="F70" s="33">
        <f>psTn!G71</f>
        <v>0</v>
      </c>
      <c r="G70" s="44" t="str">
        <f>_xlfn.XLOOKUP(A70,'ps5'!B:B,'ps5'!C:C,"")</f>
        <v/>
      </c>
      <c r="H70" s="44" t="str">
        <f>_xlfn.XLOOKUP(A70,'ps5'!B:B,'ps5'!D:D,"")</f>
        <v/>
      </c>
      <c r="I70" s="44" t="str">
        <f>_xlfn.XLOOKUP(A70,'ps5'!B:B,'ps5'!E:E,"")</f>
        <v/>
      </c>
      <c r="J70" s="44" t="str">
        <f>_xlfn.XLOOKUP(A70,'ps5'!B:B,'ps5'!F:F,"")</f>
        <v/>
      </c>
      <c r="K70" s="44" t="str">
        <f>_xlfn.XLOOKUP(A70,'ps5'!B:B,'ps5'!G:G,"")</f>
        <v/>
      </c>
      <c r="L70" s="44">
        <f t="shared" si="16"/>
        <v>0</v>
      </c>
      <c r="M70" s="44">
        <f t="shared" si="16"/>
        <v>0</v>
      </c>
      <c r="N70" s="44">
        <f t="shared" si="16"/>
        <v>0</v>
      </c>
      <c r="O70" s="50" t="str">
        <f>_xlfn.XLOOKUP(A70,psRk!C:C,psRk!F:F,"")</f>
        <v/>
      </c>
      <c r="P70" s="33" t="str">
        <f>_xlfn.XLOOKUP(A70,psRk!C:C,psRk!G:G,"")</f>
        <v/>
      </c>
      <c r="Q70" s="41" t="str">
        <f>_xlfn.XLOOKUP(A70,psRk!C:C,psRk!H:H,"")</f>
        <v/>
      </c>
      <c r="R70" s="41" t="str">
        <f>_xlfn.XLOOKUP(A70,psRk!C:C,psRk!I:I,"")</f>
        <v/>
      </c>
      <c r="S70" s="27" t="str">
        <f t="shared" si="17"/>
        <v/>
      </c>
      <c r="T70" s="27" t="str">
        <f t="shared" si="18"/>
        <v/>
      </c>
      <c r="U70" s="27" t="str">
        <f t="shared" si="19"/>
        <v/>
      </c>
      <c r="V70" s="27" t="str">
        <f t="shared" si="20"/>
        <v/>
      </c>
      <c r="W70" s="27" t="str">
        <f t="shared" si="21"/>
        <v/>
      </c>
      <c r="X70" s="27" t="str">
        <f t="shared" si="22"/>
        <v/>
      </c>
      <c r="Y70" s="27" t="str">
        <f t="shared" si="23"/>
        <v/>
      </c>
      <c r="Z70" s="47" t="str">
        <f t="shared" si="29"/>
        <v/>
      </c>
      <c r="AA70" s="49" t="str">
        <f t="shared" si="24"/>
        <v/>
      </c>
      <c r="AB70" s="49">
        <f t="shared" si="30"/>
        <v>0</v>
      </c>
      <c r="AC70" s="49" t="str">
        <f t="shared" si="25"/>
        <v/>
      </c>
      <c r="AD70" s="47" t="str">
        <f>_xlfn.XLOOKUP(AC70,Parm!$AN$2:$AN$25,Parm!$AO$2:$AO$25,"")</f>
        <v/>
      </c>
      <c r="AE70" s="49" t="str">
        <f t="shared" si="26"/>
        <v/>
      </c>
      <c r="AF70" s="47" t="str">
        <f>_xlfn.XLOOKUP(AE70,Parm!$AN$2:$AN$25,Parm!$AO$2:$AO$25,"")</f>
        <v/>
      </c>
      <c r="AG70" s="286">
        <f>psTn!A71</f>
        <v>0</v>
      </c>
      <c r="AH70" s="49" t="str" cm="1">
        <f t="array" aca="1" ref="AH70" ca="1">_xlfn.IFS(Z70="","",AND(Z70&gt;0,Z70&lt;$AS$12),MROUND($AS$13*($AS$12-Z70+1)/SUMPRODUCT($AS$12-ROW(INDIRECT("1:" &amp; $AS$12 ))),1000),TRUE,0)</f>
        <v/>
      </c>
      <c r="AI70" s="49" t="e">
        <f t="shared" si="27"/>
        <v>#VALUE!</v>
      </c>
      <c r="AJ70" s="49">
        <f t="shared" si="31"/>
        <v>-100</v>
      </c>
      <c r="AK70" s="49"/>
      <c r="AL70" s="49" t="str">
        <f t="shared" si="28"/>
        <v/>
      </c>
      <c r="AM70" s="52" t="str">
        <f>IF(A70&lt;=0,"",_xlfn.XLOOKUP(A70,TL!C:C,TL!C:C))</f>
        <v/>
      </c>
      <c r="AN70" s="52" t="str">
        <f>IF(A70&lt;=0,"",_xlfn.XLOOKUP(A70,Y!C:C,Y!C:C))</f>
        <v/>
      </c>
      <c r="AO70" s="52" t="str">
        <f>IF(A70&lt;=0,"",_xlfn.XLOOKUP(A70,MA!B:B,MA!B:B))</f>
        <v/>
      </c>
    </row>
    <row r="71" spans="1:41" x14ac:dyDescent="0.25">
      <c r="A71" s="444">
        <f>psTn!B72</f>
        <v>0</v>
      </c>
      <c r="B71" s="33">
        <f>psTn!C72</f>
        <v>0</v>
      </c>
      <c r="C71" s="33">
        <f>psTn!D72</f>
        <v>0</v>
      </c>
      <c r="D71" s="33">
        <f>psTn!E72</f>
        <v>0</v>
      </c>
      <c r="E71" s="33">
        <f>psTn!F72</f>
        <v>0</v>
      </c>
      <c r="F71" s="33">
        <f>psTn!G72</f>
        <v>0</v>
      </c>
      <c r="G71" s="44" t="str">
        <f>_xlfn.XLOOKUP(A71,'ps5'!B:B,'ps5'!C:C,"")</f>
        <v/>
      </c>
      <c r="H71" s="44" t="str">
        <f>_xlfn.XLOOKUP(A71,'ps5'!B:B,'ps5'!D:D,"")</f>
        <v/>
      </c>
      <c r="I71" s="44" t="str">
        <f>_xlfn.XLOOKUP(A71,'ps5'!B:B,'ps5'!E:E,"")</f>
        <v/>
      </c>
      <c r="J71" s="44" t="str">
        <f>_xlfn.XLOOKUP(A71,'ps5'!B:B,'ps5'!F:F,"")</f>
        <v/>
      </c>
      <c r="K71" s="44" t="str">
        <f>_xlfn.XLOOKUP(A71,'ps5'!B:B,'ps5'!G:G,"")</f>
        <v/>
      </c>
      <c r="L71" s="44">
        <f t="shared" si="16"/>
        <v>0</v>
      </c>
      <c r="M71" s="44">
        <f t="shared" si="16"/>
        <v>0</v>
      </c>
      <c r="N71" s="44">
        <f t="shared" si="16"/>
        <v>0</v>
      </c>
      <c r="O71" s="50" t="str">
        <f>_xlfn.XLOOKUP(A71,psRk!C:C,psRk!F:F,"")</f>
        <v/>
      </c>
      <c r="P71" s="33" t="str">
        <f>_xlfn.XLOOKUP(A71,psRk!C:C,psRk!G:G,"")</f>
        <v/>
      </c>
      <c r="Q71" s="41" t="str">
        <f>_xlfn.XLOOKUP(A71,psRk!C:C,psRk!H:H,"")</f>
        <v/>
      </c>
      <c r="R71" s="41" t="str">
        <f>_xlfn.XLOOKUP(A71,psRk!C:C,psRk!I:I,"")</f>
        <v/>
      </c>
      <c r="S71" s="27" t="str">
        <f t="shared" si="17"/>
        <v/>
      </c>
      <c r="T71" s="27" t="str">
        <f t="shared" si="18"/>
        <v/>
      </c>
      <c r="U71" s="27" t="str">
        <f t="shared" si="19"/>
        <v/>
      </c>
      <c r="V71" s="27" t="str">
        <f t="shared" si="20"/>
        <v/>
      </c>
      <c r="W71" s="27" t="str">
        <f t="shared" si="21"/>
        <v/>
      </c>
      <c r="X71" s="27" t="str">
        <f t="shared" si="22"/>
        <v/>
      </c>
      <c r="Y71" s="27" t="str">
        <f t="shared" si="23"/>
        <v/>
      </c>
      <c r="Z71" s="47" t="str">
        <f t="shared" si="29"/>
        <v/>
      </c>
      <c r="AA71" s="49" t="str">
        <f t="shared" si="24"/>
        <v/>
      </c>
      <c r="AB71" s="49">
        <f t="shared" si="30"/>
        <v>0</v>
      </c>
      <c r="AC71" s="49" t="str">
        <f t="shared" si="25"/>
        <v/>
      </c>
      <c r="AD71" s="47" t="str">
        <f>_xlfn.XLOOKUP(AC71,Parm!$AN$2:$AN$25,Parm!$AO$2:$AO$25,"")</f>
        <v/>
      </c>
      <c r="AE71" s="49" t="str">
        <f t="shared" si="26"/>
        <v/>
      </c>
      <c r="AF71" s="47" t="str">
        <f>_xlfn.XLOOKUP(AE71,Parm!$AN$2:$AN$25,Parm!$AO$2:$AO$25,"")</f>
        <v/>
      </c>
      <c r="AG71" s="286">
        <f>psTn!A72</f>
        <v>0</v>
      </c>
      <c r="AH71" s="49" t="str" cm="1">
        <f t="array" aca="1" ref="AH71" ca="1">_xlfn.IFS(Z71="","",AND(Z71&gt;0,Z71&lt;$AS$12),MROUND($AS$13*($AS$12-Z71+1)/SUMPRODUCT($AS$12-ROW(INDIRECT("1:" &amp; $AS$12 ))),1000),TRUE,0)</f>
        <v/>
      </c>
      <c r="AI71" s="49" t="e">
        <f t="shared" si="27"/>
        <v>#VALUE!</v>
      </c>
      <c r="AJ71" s="49">
        <f t="shared" si="31"/>
        <v>-100</v>
      </c>
      <c r="AK71" s="49"/>
      <c r="AL71" s="49" t="str">
        <f t="shared" si="28"/>
        <v/>
      </c>
      <c r="AM71" s="52" t="str">
        <f>IF(A71&lt;=0,"",_xlfn.XLOOKUP(A71,TL!C:C,TL!C:C))</f>
        <v/>
      </c>
      <c r="AN71" s="52" t="str">
        <f>IF(A71&lt;=0,"",_xlfn.XLOOKUP(A71,Y!C:C,Y!C:C))</f>
        <v/>
      </c>
      <c r="AO71" s="52" t="str">
        <f>IF(A71&lt;=0,"",_xlfn.XLOOKUP(A71,MA!B:B,MA!B:B))</f>
        <v/>
      </c>
    </row>
    <row r="72" spans="1:41" x14ac:dyDescent="0.25">
      <c r="A72" s="444">
        <f>psTn!B73</f>
        <v>0</v>
      </c>
      <c r="B72" s="33">
        <f>psTn!C73</f>
        <v>0</v>
      </c>
      <c r="C72" s="33">
        <f>psTn!D73</f>
        <v>0</v>
      </c>
      <c r="D72" s="33">
        <f>psTn!E73</f>
        <v>0</v>
      </c>
      <c r="E72" s="33">
        <f>psTn!F73</f>
        <v>0</v>
      </c>
      <c r="F72" s="33">
        <f>psTn!G73</f>
        <v>0</v>
      </c>
      <c r="G72" s="44" t="str">
        <f>_xlfn.XLOOKUP(A72,'ps5'!B:B,'ps5'!C:C,"")</f>
        <v/>
      </c>
      <c r="H72" s="44" t="str">
        <f>_xlfn.XLOOKUP(A72,'ps5'!B:B,'ps5'!D:D,"")</f>
        <v/>
      </c>
      <c r="I72" s="44" t="str">
        <f>_xlfn.XLOOKUP(A72,'ps5'!B:B,'ps5'!E:E,"")</f>
        <v/>
      </c>
      <c r="J72" s="44" t="str">
        <f>_xlfn.XLOOKUP(A72,'ps5'!B:B,'ps5'!F:F,"")</f>
        <v/>
      </c>
      <c r="K72" s="44" t="str">
        <f>_xlfn.XLOOKUP(A72,'ps5'!B:B,'ps5'!G:G,"")</f>
        <v/>
      </c>
      <c r="L72" s="44">
        <f t="shared" si="16"/>
        <v>0</v>
      </c>
      <c r="M72" s="44">
        <f t="shared" si="16"/>
        <v>0</v>
      </c>
      <c r="N72" s="44">
        <f t="shared" si="16"/>
        <v>0</v>
      </c>
      <c r="O72" s="50" t="str">
        <f>_xlfn.XLOOKUP(A72,psRk!C:C,psRk!F:F,"")</f>
        <v/>
      </c>
      <c r="P72" s="33" t="str">
        <f>_xlfn.XLOOKUP(A72,psRk!C:C,psRk!G:G,"")</f>
        <v/>
      </c>
      <c r="Q72" s="41" t="str">
        <f>_xlfn.XLOOKUP(A72,psRk!C:C,psRk!H:H,"")</f>
        <v/>
      </c>
      <c r="R72" s="41" t="str">
        <f>_xlfn.XLOOKUP(A72,psRk!C:C,psRk!I:I,"")</f>
        <v/>
      </c>
      <c r="S72" s="27" t="str">
        <f t="shared" si="17"/>
        <v/>
      </c>
      <c r="T72" s="27" t="str">
        <f t="shared" si="18"/>
        <v/>
      </c>
      <c r="U72" s="27" t="str">
        <f t="shared" si="19"/>
        <v/>
      </c>
      <c r="V72" s="27" t="str">
        <f t="shared" si="20"/>
        <v/>
      </c>
      <c r="W72" s="27" t="str">
        <f t="shared" si="21"/>
        <v/>
      </c>
      <c r="X72" s="27" t="str">
        <f t="shared" si="22"/>
        <v/>
      </c>
      <c r="Y72" s="27" t="str">
        <f t="shared" si="23"/>
        <v/>
      </c>
      <c r="Z72" s="47" t="str">
        <f t="shared" si="29"/>
        <v/>
      </c>
      <c r="AA72" s="49" t="str">
        <f t="shared" si="24"/>
        <v/>
      </c>
      <c r="AB72" s="49">
        <f t="shared" si="30"/>
        <v>0</v>
      </c>
      <c r="AC72" s="49" t="str">
        <f t="shared" si="25"/>
        <v/>
      </c>
      <c r="AD72" s="47" t="str">
        <f>_xlfn.XLOOKUP(AC72,Parm!$AN$2:$AN$25,Parm!$AO$2:$AO$25,"")</f>
        <v/>
      </c>
      <c r="AE72" s="49" t="str">
        <f t="shared" si="26"/>
        <v/>
      </c>
      <c r="AF72" s="47" t="str">
        <f>_xlfn.XLOOKUP(AE72,Parm!$AN$2:$AN$25,Parm!$AO$2:$AO$25,"")</f>
        <v/>
      </c>
      <c r="AG72" s="286">
        <f>psTn!A73</f>
        <v>0</v>
      </c>
      <c r="AH72" s="49" t="str" cm="1">
        <f t="array" aca="1" ref="AH72" ca="1">_xlfn.IFS(Z72="","",AND(Z72&gt;0,Z72&lt;$AS$12),MROUND($AS$13*($AS$12-Z72+1)/SUMPRODUCT($AS$12-ROW(INDIRECT("1:" &amp; $AS$12 ))),1000),TRUE,0)</f>
        <v/>
      </c>
      <c r="AI72" s="49" t="e">
        <f t="shared" si="27"/>
        <v>#VALUE!</v>
      </c>
      <c r="AJ72" s="49">
        <f t="shared" si="31"/>
        <v>-100</v>
      </c>
      <c r="AK72" s="49"/>
      <c r="AL72" s="49" t="str">
        <f t="shared" si="28"/>
        <v/>
      </c>
      <c r="AM72" s="52" t="str">
        <f>IF(A72&lt;=0,"",_xlfn.XLOOKUP(A72,TL!C:C,TL!C:C))</f>
        <v/>
      </c>
      <c r="AN72" s="52" t="str">
        <f>IF(A72&lt;=0,"",_xlfn.XLOOKUP(A72,Y!C:C,Y!C:C))</f>
        <v/>
      </c>
      <c r="AO72" s="52" t="str">
        <f>IF(A72&lt;=0,"",_xlfn.XLOOKUP(A72,MA!B:B,MA!B:B))</f>
        <v/>
      </c>
    </row>
    <row r="73" spans="1:41" x14ac:dyDescent="0.25">
      <c r="A73" s="444">
        <f>psTn!B74</f>
        <v>0</v>
      </c>
      <c r="B73" s="33">
        <f>psTn!C74</f>
        <v>0</v>
      </c>
      <c r="C73" s="33">
        <f>psTn!D74</f>
        <v>0</v>
      </c>
      <c r="D73" s="33">
        <f>psTn!E74</f>
        <v>0</v>
      </c>
      <c r="E73" s="33">
        <f>psTn!F74</f>
        <v>0</v>
      </c>
      <c r="F73" s="33">
        <f>psTn!G74</f>
        <v>0</v>
      </c>
      <c r="G73" s="44" t="str">
        <f>_xlfn.XLOOKUP(A73,'ps5'!B:B,'ps5'!C:C,"")</f>
        <v/>
      </c>
      <c r="H73" s="44" t="str">
        <f>_xlfn.XLOOKUP(A73,'ps5'!B:B,'ps5'!D:D,"")</f>
        <v/>
      </c>
      <c r="I73" s="44" t="str">
        <f>_xlfn.XLOOKUP(A73,'ps5'!B:B,'ps5'!E:E,"")</f>
        <v/>
      </c>
      <c r="J73" s="44" t="str">
        <f>_xlfn.XLOOKUP(A73,'ps5'!B:B,'ps5'!F:F,"")</f>
        <v/>
      </c>
      <c r="K73" s="44" t="str">
        <f>_xlfn.XLOOKUP(A73,'ps5'!B:B,'ps5'!G:G,"")</f>
        <v/>
      </c>
      <c r="L73" s="44">
        <f t="shared" si="16"/>
        <v>0</v>
      </c>
      <c r="M73" s="44">
        <f t="shared" si="16"/>
        <v>0</v>
      </c>
      <c r="N73" s="44">
        <f t="shared" si="16"/>
        <v>0</v>
      </c>
      <c r="O73" s="50" t="str">
        <f>_xlfn.XLOOKUP(A73,psRk!C:C,psRk!F:F,"")</f>
        <v/>
      </c>
      <c r="P73" s="33" t="str">
        <f>_xlfn.XLOOKUP(A73,psRk!C:C,psRk!G:G,"")</f>
        <v/>
      </c>
      <c r="Q73" s="41" t="str">
        <f>_xlfn.XLOOKUP(A73,psRk!C:C,psRk!H:H,"")</f>
        <v/>
      </c>
      <c r="R73" s="41" t="str">
        <f>_xlfn.XLOOKUP(A73,psRk!C:C,psRk!I:I,"")</f>
        <v/>
      </c>
      <c r="S73" s="27" t="str">
        <f t="shared" si="17"/>
        <v/>
      </c>
      <c r="T73" s="27" t="str">
        <f t="shared" si="18"/>
        <v/>
      </c>
      <c r="U73" s="27" t="str">
        <f t="shared" si="19"/>
        <v/>
      </c>
      <c r="V73" s="27" t="str">
        <f t="shared" si="20"/>
        <v/>
      </c>
      <c r="W73" s="27" t="str">
        <f t="shared" si="21"/>
        <v/>
      </c>
      <c r="X73" s="27" t="str">
        <f t="shared" si="22"/>
        <v/>
      </c>
      <c r="Y73" s="27" t="str">
        <f t="shared" si="23"/>
        <v/>
      </c>
      <c r="Z73" s="47" t="str">
        <f t="shared" si="29"/>
        <v/>
      </c>
      <c r="AA73" s="49" t="str">
        <f t="shared" si="24"/>
        <v/>
      </c>
      <c r="AB73" s="49">
        <f t="shared" si="30"/>
        <v>0</v>
      </c>
      <c r="AC73" s="49" t="str">
        <f t="shared" si="25"/>
        <v/>
      </c>
      <c r="AD73" s="47" t="str">
        <f>_xlfn.XLOOKUP(AC73,Parm!$AN$2:$AN$25,Parm!$AO$2:$AO$25,"")</f>
        <v/>
      </c>
      <c r="AE73" s="49" t="str">
        <f t="shared" si="26"/>
        <v/>
      </c>
      <c r="AF73" s="47" t="str">
        <f>_xlfn.XLOOKUP(AE73,Parm!$AN$2:$AN$25,Parm!$AO$2:$AO$25,"")</f>
        <v/>
      </c>
      <c r="AG73" s="286">
        <f>psTn!A74</f>
        <v>0</v>
      </c>
      <c r="AH73" s="49" t="str" cm="1">
        <f t="array" aca="1" ref="AH73" ca="1">_xlfn.IFS(Z73="","",AND(Z73&gt;0,Z73&lt;$AS$12),MROUND($AS$13*($AS$12-Z73+1)/SUMPRODUCT($AS$12-ROW(INDIRECT("1:" &amp; $AS$12 ))),1000),TRUE,0)</f>
        <v/>
      </c>
      <c r="AI73" s="49" t="e">
        <f t="shared" si="27"/>
        <v>#VALUE!</v>
      </c>
      <c r="AJ73" s="49">
        <f t="shared" si="31"/>
        <v>-100</v>
      </c>
      <c r="AK73" s="49"/>
      <c r="AL73" s="49" t="str">
        <f t="shared" si="28"/>
        <v/>
      </c>
      <c r="AM73" s="52" t="str">
        <f>IF(A73&lt;=0,"",_xlfn.XLOOKUP(A73,TL!C:C,TL!C:C))</f>
        <v/>
      </c>
      <c r="AN73" s="52" t="str">
        <f>IF(A73&lt;=0,"",_xlfn.XLOOKUP(A73,Y!C:C,Y!C:C))</f>
        <v/>
      </c>
      <c r="AO73" s="52" t="str">
        <f>IF(A73&lt;=0,"",_xlfn.XLOOKUP(A73,MA!B:B,MA!B:B))</f>
        <v/>
      </c>
    </row>
    <row r="74" spans="1:41" x14ac:dyDescent="0.25">
      <c r="A74" s="444">
        <f>psTn!B75</f>
        <v>0</v>
      </c>
      <c r="B74" s="33">
        <f>psTn!C75</f>
        <v>0</v>
      </c>
      <c r="C74" s="33">
        <f>psTn!D75</f>
        <v>0</v>
      </c>
      <c r="D74" s="33">
        <f>psTn!E75</f>
        <v>0</v>
      </c>
      <c r="E74" s="33">
        <f>psTn!F75</f>
        <v>0</v>
      </c>
      <c r="F74" s="33">
        <f>psTn!G75</f>
        <v>0</v>
      </c>
      <c r="G74" s="44" t="str">
        <f>_xlfn.XLOOKUP(A74,'ps5'!B:B,'ps5'!C:C,"")</f>
        <v/>
      </c>
      <c r="H74" s="44" t="str">
        <f>_xlfn.XLOOKUP(A74,'ps5'!B:B,'ps5'!D:D,"")</f>
        <v/>
      </c>
      <c r="I74" s="44" t="str">
        <f>_xlfn.XLOOKUP(A74,'ps5'!B:B,'ps5'!E:E,"")</f>
        <v/>
      </c>
      <c r="J74" s="44" t="str">
        <f>_xlfn.XLOOKUP(A74,'ps5'!B:B,'ps5'!F:F,"")</f>
        <v/>
      </c>
      <c r="K74" s="44" t="str">
        <f>_xlfn.XLOOKUP(A74,'ps5'!B:B,'ps5'!G:G,"")</f>
        <v/>
      </c>
      <c r="L74" s="44">
        <f t="shared" si="16"/>
        <v>0</v>
      </c>
      <c r="M74" s="44">
        <f t="shared" si="16"/>
        <v>0</v>
      </c>
      <c r="N74" s="44">
        <f t="shared" si="16"/>
        <v>0</v>
      </c>
      <c r="O74" s="50" t="str">
        <f>_xlfn.XLOOKUP(A74,psRk!C:C,psRk!F:F,"")</f>
        <v/>
      </c>
      <c r="P74" s="33" t="str">
        <f>_xlfn.XLOOKUP(A74,psRk!C:C,psRk!G:G,"")</f>
        <v/>
      </c>
      <c r="Q74" s="41" t="str">
        <f>_xlfn.XLOOKUP(A74,psRk!C:C,psRk!H:H,"")</f>
        <v/>
      </c>
      <c r="R74" s="41" t="str">
        <f>_xlfn.XLOOKUP(A74,psRk!C:C,psRk!I:I,"")</f>
        <v/>
      </c>
      <c r="S74" s="27" t="str">
        <f t="shared" si="17"/>
        <v/>
      </c>
      <c r="T74" s="27" t="str">
        <f t="shared" si="18"/>
        <v/>
      </c>
      <c r="U74" s="27" t="str">
        <f t="shared" si="19"/>
        <v/>
      </c>
      <c r="V74" s="27" t="str">
        <f t="shared" si="20"/>
        <v/>
      </c>
      <c r="W74" s="27" t="str">
        <f t="shared" si="21"/>
        <v/>
      </c>
      <c r="X74" s="27" t="str">
        <f t="shared" si="22"/>
        <v/>
      </c>
      <c r="Y74" s="27" t="str">
        <f t="shared" si="23"/>
        <v/>
      </c>
      <c r="Z74" s="47" t="str">
        <f t="shared" si="29"/>
        <v/>
      </c>
      <c r="AA74" s="49" t="str">
        <f t="shared" si="24"/>
        <v/>
      </c>
      <c r="AB74" s="49">
        <f t="shared" si="30"/>
        <v>0</v>
      </c>
      <c r="AC74" s="49" t="str">
        <f t="shared" si="25"/>
        <v/>
      </c>
      <c r="AD74" s="47" t="str">
        <f>_xlfn.XLOOKUP(AC74,Parm!$AN$2:$AN$25,Parm!$AO$2:$AO$25,"")</f>
        <v/>
      </c>
      <c r="AE74" s="49" t="str">
        <f t="shared" si="26"/>
        <v/>
      </c>
      <c r="AF74" s="47" t="str">
        <f>_xlfn.XLOOKUP(AE74,Parm!$AN$2:$AN$25,Parm!$AO$2:$AO$25,"")</f>
        <v/>
      </c>
      <c r="AG74" s="286">
        <f>psTn!A75</f>
        <v>0</v>
      </c>
      <c r="AH74" s="49" t="str" cm="1">
        <f t="array" aca="1" ref="AH74" ca="1">_xlfn.IFS(Z74="","",AND(Z74&gt;0,Z74&lt;$AS$12),MROUND($AS$13*($AS$12-Z74+1)/SUMPRODUCT($AS$12-ROW(INDIRECT("1:" &amp; $AS$12 ))),1000),TRUE,0)</f>
        <v/>
      </c>
      <c r="AI74" s="49" t="e">
        <f t="shared" si="27"/>
        <v>#VALUE!</v>
      </c>
      <c r="AJ74" s="49">
        <f t="shared" si="31"/>
        <v>-100</v>
      </c>
      <c r="AK74" s="49"/>
      <c r="AL74" s="49" t="str">
        <f t="shared" si="28"/>
        <v/>
      </c>
      <c r="AM74" s="52" t="str">
        <f>IF(A74&lt;=0,"",_xlfn.XLOOKUP(A74,TL!C:C,TL!C:C))</f>
        <v/>
      </c>
      <c r="AN74" s="52" t="str">
        <f>IF(A74&lt;=0,"",_xlfn.XLOOKUP(A74,Y!C:C,Y!C:C))</f>
        <v/>
      </c>
      <c r="AO74" s="52" t="str">
        <f>IF(A74&lt;=0,"",_xlfn.XLOOKUP(A74,MA!B:B,MA!B:B))</f>
        <v/>
      </c>
    </row>
    <row r="75" spans="1:41" x14ac:dyDescent="0.25">
      <c r="A75" s="444">
        <f>psTn!B76</f>
        <v>0</v>
      </c>
      <c r="B75" s="33">
        <f>psTn!C76</f>
        <v>0</v>
      </c>
      <c r="C75" s="33">
        <f>psTn!D76</f>
        <v>0</v>
      </c>
      <c r="D75" s="33">
        <f>psTn!E76</f>
        <v>0</v>
      </c>
      <c r="E75" s="33">
        <f>psTn!F76</f>
        <v>0</v>
      </c>
      <c r="F75" s="33">
        <f>psTn!G76</f>
        <v>0</v>
      </c>
      <c r="G75" s="44" t="str">
        <f>_xlfn.XLOOKUP(A75,'ps5'!B:B,'ps5'!C:C,"")</f>
        <v/>
      </c>
      <c r="H75" s="44" t="str">
        <f>_xlfn.XLOOKUP(A75,'ps5'!B:B,'ps5'!D:D,"")</f>
        <v/>
      </c>
      <c r="I75" s="44" t="str">
        <f>_xlfn.XLOOKUP(A75,'ps5'!B:B,'ps5'!E:E,"")</f>
        <v/>
      </c>
      <c r="J75" s="44" t="str">
        <f>_xlfn.XLOOKUP(A75,'ps5'!B:B,'ps5'!F:F,"")</f>
        <v/>
      </c>
      <c r="K75" s="44" t="str">
        <f>_xlfn.XLOOKUP(A75,'ps5'!B:B,'ps5'!G:G,"")</f>
        <v/>
      </c>
      <c r="L75" s="44">
        <f t="shared" si="16"/>
        <v>0</v>
      </c>
      <c r="M75" s="44">
        <f t="shared" si="16"/>
        <v>0</v>
      </c>
      <c r="N75" s="44">
        <f t="shared" si="16"/>
        <v>0</v>
      </c>
      <c r="O75" s="50" t="str">
        <f>_xlfn.XLOOKUP(A75,psRk!C:C,psRk!F:F,"")</f>
        <v/>
      </c>
      <c r="P75" s="33" t="str">
        <f>_xlfn.XLOOKUP(A75,psRk!C:C,psRk!G:G,"")</f>
        <v/>
      </c>
      <c r="Q75" s="41" t="str">
        <f>_xlfn.XLOOKUP(A75,psRk!C:C,psRk!H:H,"")</f>
        <v/>
      </c>
      <c r="R75" s="41" t="str">
        <f>_xlfn.XLOOKUP(A75,psRk!C:C,psRk!I:I,"")</f>
        <v/>
      </c>
      <c r="S75" s="27" t="str">
        <f t="shared" si="17"/>
        <v/>
      </c>
      <c r="T75" s="27" t="str">
        <f t="shared" si="18"/>
        <v/>
      </c>
      <c r="U75" s="27" t="str">
        <f t="shared" si="19"/>
        <v/>
      </c>
      <c r="V75" s="27" t="str">
        <f t="shared" si="20"/>
        <v/>
      </c>
      <c r="W75" s="27" t="str">
        <f t="shared" si="21"/>
        <v/>
      </c>
      <c r="X75" s="27" t="str">
        <f t="shared" si="22"/>
        <v/>
      </c>
      <c r="Y75" s="27" t="str">
        <f t="shared" si="23"/>
        <v/>
      </c>
      <c r="Z75" s="47" t="str">
        <f t="shared" si="29"/>
        <v/>
      </c>
      <c r="AA75" s="49" t="str">
        <f t="shared" si="24"/>
        <v/>
      </c>
      <c r="AB75" s="49">
        <f t="shared" si="30"/>
        <v>0</v>
      </c>
      <c r="AC75" s="49" t="str">
        <f t="shared" si="25"/>
        <v/>
      </c>
      <c r="AD75" s="47" t="str">
        <f>_xlfn.XLOOKUP(AC75,Parm!$AN$2:$AN$25,Parm!$AO$2:$AO$25,"")</f>
        <v/>
      </c>
      <c r="AE75" s="49" t="str">
        <f t="shared" si="26"/>
        <v/>
      </c>
      <c r="AF75" s="47" t="str">
        <f>_xlfn.XLOOKUP(AE75,Parm!$AN$2:$AN$25,Parm!$AO$2:$AO$25,"")</f>
        <v/>
      </c>
      <c r="AG75" s="286">
        <f>psTn!A76</f>
        <v>0</v>
      </c>
      <c r="AH75" s="49" t="str" cm="1">
        <f t="array" aca="1" ref="AH75" ca="1">_xlfn.IFS(Z75="","",AND(Z75&gt;0,Z75&lt;$AS$12),MROUND($AS$13*($AS$12-Z75+1)/SUMPRODUCT($AS$12-ROW(INDIRECT("1:" &amp; $AS$12 ))),1000),TRUE,0)</f>
        <v/>
      </c>
      <c r="AI75" s="49" t="e">
        <f t="shared" si="27"/>
        <v>#VALUE!</v>
      </c>
      <c r="AJ75" s="49">
        <f t="shared" si="31"/>
        <v>-100</v>
      </c>
      <c r="AK75" s="49"/>
      <c r="AL75" s="49" t="str">
        <f t="shared" si="28"/>
        <v/>
      </c>
      <c r="AM75" s="52" t="str">
        <f>IF(A75&lt;=0,"",_xlfn.XLOOKUP(A75,TL!C:C,TL!C:C))</f>
        <v/>
      </c>
      <c r="AN75" s="52" t="str">
        <f>IF(A75&lt;=0,"",_xlfn.XLOOKUP(A75,Y!C:C,Y!C:C))</f>
        <v/>
      </c>
      <c r="AO75" s="52" t="str">
        <f>IF(A75&lt;=0,"",_xlfn.XLOOKUP(A75,MA!B:B,MA!B:B))</f>
        <v/>
      </c>
    </row>
    <row r="76" spans="1:41" x14ac:dyDescent="0.25">
      <c r="A76" s="444">
        <f>psTn!B77</f>
        <v>0</v>
      </c>
      <c r="B76" s="33">
        <f>psTn!C77</f>
        <v>0</v>
      </c>
      <c r="C76" s="33">
        <f>psTn!D77</f>
        <v>0</v>
      </c>
      <c r="D76" s="33">
        <f>psTn!E77</f>
        <v>0</v>
      </c>
      <c r="E76" s="33">
        <f>psTn!F77</f>
        <v>0</v>
      </c>
      <c r="F76" s="33">
        <f>psTn!G77</f>
        <v>0</v>
      </c>
      <c r="G76" s="44" t="str">
        <f>_xlfn.XLOOKUP(A76,'ps5'!B:B,'ps5'!C:C,"")</f>
        <v/>
      </c>
      <c r="H76" s="44" t="str">
        <f>_xlfn.XLOOKUP(A76,'ps5'!B:B,'ps5'!D:D,"")</f>
        <v/>
      </c>
      <c r="I76" s="44" t="str">
        <f>_xlfn.XLOOKUP(A76,'ps5'!B:B,'ps5'!E:E,"")</f>
        <v/>
      </c>
      <c r="J76" s="44" t="str">
        <f>_xlfn.XLOOKUP(A76,'ps5'!B:B,'ps5'!F:F,"")</f>
        <v/>
      </c>
      <c r="K76" s="44" t="str">
        <f>_xlfn.XLOOKUP(A76,'ps5'!B:B,'ps5'!G:G,"")</f>
        <v/>
      </c>
      <c r="L76" s="44">
        <f t="shared" si="16"/>
        <v>0</v>
      </c>
      <c r="M76" s="44">
        <f t="shared" si="16"/>
        <v>0</v>
      </c>
      <c r="N76" s="44">
        <f t="shared" si="16"/>
        <v>0</v>
      </c>
      <c r="O76" s="50" t="str">
        <f>_xlfn.XLOOKUP(A76,psRk!C:C,psRk!F:F,"")</f>
        <v/>
      </c>
      <c r="P76" s="33" t="str">
        <f>_xlfn.XLOOKUP(A76,psRk!C:C,psRk!G:G,"")</f>
        <v/>
      </c>
      <c r="Q76" s="41" t="str">
        <f>_xlfn.XLOOKUP(A76,psRk!C:C,psRk!H:H,"")</f>
        <v/>
      </c>
      <c r="R76" s="41" t="str">
        <f>_xlfn.XLOOKUP(A76,psRk!C:C,psRk!I:I,"")</f>
        <v/>
      </c>
      <c r="S76" s="27" t="str">
        <f t="shared" si="17"/>
        <v/>
      </c>
      <c r="T76" s="27" t="str">
        <f t="shared" si="18"/>
        <v/>
      </c>
      <c r="U76" s="27" t="str">
        <f t="shared" si="19"/>
        <v/>
      </c>
      <c r="V76" s="27" t="str">
        <f t="shared" si="20"/>
        <v/>
      </c>
      <c r="W76" s="27" t="str">
        <f t="shared" si="21"/>
        <v/>
      </c>
      <c r="X76" s="27" t="str">
        <f t="shared" si="22"/>
        <v/>
      </c>
      <c r="Y76" s="27" t="str">
        <f t="shared" si="23"/>
        <v/>
      </c>
      <c r="Z76" s="47" t="str">
        <f t="shared" si="29"/>
        <v/>
      </c>
      <c r="AA76" s="49" t="str">
        <f t="shared" si="24"/>
        <v/>
      </c>
      <c r="AB76" s="49">
        <f t="shared" si="30"/>
        <v>0</v>
      </c>
      <c r="AC76" s="49" t="str">
        <f t="shared" si="25"/>
        <v/>
      </c>
      <c r="AD76" s="47" t="str">
        <f>_xlfn.XLOOKUP(AC76,Parm!$AN$2:$AN$25,Parm!$AO$2:$AO$25,"")</f>
        <v/>
      </c>
      <c r="AE76" s="49" t="str">
        <f t="shared" si="26"/>
        <v/>
      </c>
      <c r="AF76" s="47" t="str">
        <f>_xlfn.XLOOKUP(AE76,Parm!$AN$2:$AN$25,Parm!$AO$2:$AO$25,"")</f>
        <v/>
      </c>
      <c r="AG76" s="286">
        <f>psTn!A77</f>
        <v>0</v>
      </c>
      <c r="AH76" s="49" t="str" cm="1">
        <f t="array" aca="1" ref="AH76" ca="1">_xlfn.IFS(Z76="","",AND(Z76&gt;0,Z76&lt;$AS$12),MROUND($AS$13*($AS$12-Z76+1)/SUMPRODUCT($AS$12-ROW(INDIRECT("1:" &amp; $AS$12 ))),1000),TRUE,0)</f>
        <v/>
      </c>
      <c r="AI76" s="49" t="e">
        <f t="shared" si="27"/>
        <v>#VALUE!</v>
      </c>
      <c r="AJ76" s="49">
        <f t="shared" si="31"/>
        <v>-100</v>
      </c>
      <c r="AK76" s="49"/>
      <c r="AL76" s="49" t="str">
        <f t="shared" si="28"/>
        <v/>
      </c>
      <c r="AM76" s="52" t="str">
        <f>IF(A76&lt;=0,"",_xlfn.XLOOKUP(A76,TL!C:C,TL!C:C))</f>
        <v/>
      </c>
      <c r="AN76" s="52" t="str">
        <f>IF(A76&lt;=0,"",_xlfn.XLOOKUP(A76,Y!C:C,Y!C:C))</f>
        <v/>
      </c>
      <c r="AO76" s="52" t="str">
        <f>IF(A76&lt;=0,"",_xlfn.XLOOKUP(A76,MA!B:B,MA!B:B))</f>
        <v/>
      </c>
    </row>
    <row r="77" spans="1:41" x14ac:dyDescent="0.25">
      <c r="A77" s="444">
        <f>psTn!B78</f>
        <v>0</v>
      </c>
      <c r="B77" s="33">
        <f>psTn!C78</f>
        <v>0</v>
      </c>
      <c r="C77" s="33">
        <f>psTn!D78</f>
        <v>0</v>
      </c>
      <c r="D77" s="33">
        <f>psTn!E78</f>
        <v>0</v>
      </c>
      <c r="E77" s="33">
        <f>psTn!F78</f>
        <v>0</v>
      </c>
      <c r="F77" s="33">
        <f>psTn!G78</f>
        <v>0</v>
      </c>
      <c r="G77" s="44" t="str">
        <f>_xlfn.XLOOKUP(A77,'ps5'!B:B,'ps5'!C:C,"")</f>
        <v/>
      </c>
      <c r="H77" s="44" t="str">
        <f>_xlfn.XLOOKUP(A77,'ps5'!B:B,'ps5'!D:D,"")</f>
        <v/>
      </c>
      <c r="I77" s="44" t="str">
        <f>_xlfn.XLOOKUP(A77,'ps5'!B:B,'ps5'!E:E,"")</f>
        <v/>
      </c>
      <c r="J77" s="44" t="str">
        <f>_xlfn.XLOOKUP(A77,'ps5'!B:B,'ps5'!F:F,"")</f>
        <v/>
      </c>
      <c r="K77" s="44" t="str">
        <f>_xlfn.XLOOKUP(A77,'ps5'!B:B,'ps5'!G:G,"")</f>
        <v/>
      </c>
      <c r="L77" s="44">
        <f t="shared" si="16"/>
        <v>0</v>
      </c>
      <c r="M77" s="44">
        <f t="shared" si="16"/>
        <v>0</v>
      </c>
      <c r="N77" s="44">
        <f t="shared" si="16"/>
        <v>0</v>
      </c>
      <c r="O77" s="50" t="str">
        <f>_xlfn.XLOOKUP(A77,psRk!C:C,psRk!F:F,"")</f>
        <v/>
      </c>
      <c r="P77" s="33" t="str">
        <f>_xlfn.XLOOKUP(A77,psRk!C:C,psRk!G:G,"")</f>
        <v/>
      </c>
      <c r="Q77" s="41" t="str">
        <f>_xlfn.XLOOKUP(A77,psRk!C:C,psRk!H:H,"")</f>
        <v/>
      </c>
      <c r="R77" s="41" t="str">
        <f>_xlfn.XLOOKUP(A77,psRk!C:C,psRk!I:I,"")</f>
        <v/>
      </c>
      <c r="S77" s="27" t="str">
        <f t="shared" si="17"/>
        <v/>
      </c>
      <c r="T77" s="27" t="str">
        <f t="shared" si="18"/>
        <v/>
      </c>
      <c r="U77" s="27" t="str">
        <f t="shared" si="19"/>
        <v/>
      </c>
      <c r="V77" s="27" t="str">
        <f t="shared" si="20"/>
        <v/>
      </c>
      <c r="W77" s="27" t="str">
        <f t="shared" si="21"/>
        <v/>
      </c>
      <c r="X77" s="27" t="str">
        <f t="shared" si="22"/>
        <v/>
      </c>
      <c r="Y77" s="27" t="str">
        <f t="shared" si="23"/>
        <v/>
      </c>
      <c r="Z77" s="47" t="str">
        <f t="shared" si="29"/>
        <v/>
      </c>
      <c r="AA77" s="49" t="str">
        <f t="shared" si="24"/>
        <v/>
      </c>
      <c r="AB77" s="49">
        <f t="shared" si="30"/>
        <v>0</v>
      </c>
      <c r="AC77" s="49" t="str">
        <f t="shared" si="25"/>
        <v/>
      </c>
      <c r="AD77" s="47" t="str">
        <f>_xlfn.XLOOKUP(AC77,Parm!$AN$2:$AN$25,Parm!$AO$2:$AO$25,"")</f>
        <v/>
      </c>
      <c r="AE77" s="49" t="str">
        <f t="shared" si="26"/>
        <v/>
      </c>
      <c r="AF77" s="47" t="str">
        <f>_xlfn.XLOOKUP(AE77,Parm!$AN$2:$AN$25,Parm!$AO$2:$AO$25,"")</f>
        <v/>
      </c>
      <c r="AG77" s="286">
        <f>psTn!A78</f>
        <v>0</v>
      </c>
      <c r="AH77" s="49" t="str" cm="1">
        <f t="array" aca="1" ref="AH77" ca="1">_xlfn.IFS(Z77="","",AND(Z77&gt;0,Z77&lt;$AS$12),MROUND($AS$13*($AS$12-Z77+1)/SUMPRODUCT($AS$12-ROW(INDIRECT("1:" &amp; $AS$12 ))),1000),TRUE,0)</f>
        <v/>
      </c>
      <c r="AI77" s="49" t="e">
        <f t="shared" si="27"/>
        <v>#VALUE!</v>
      </c>
      <c r="AJ77" s="49">
        <f t="shared" si="31"/>
        <v>-100</v>
      </c>
      <c r="AK77" s="49"/>
      <c r="AL77" s="49" t="str">
        <f t="shared" si="28"/>
        <v/>
      </c>
      <c r="AM77" s="52" t="str">
        <f>IF(A77&lt;=0,"",_xlfn.XLOOKUP(A77,TL!C:C,TL!C:C))</f>
        <v/>
      </c>
      <c r="AN77" s="52" t="str">
        <f>IF(A77&lt;=0,"",_xlfn.XLOOKUP(A77,Y!C:C,Y!C:C))</f>
        <v/>
      </c>
      <c r="AO77" s="52" t="str">
        <f>IF(A77&lt;=0,"",_xlfn.XLOOKUP(A77,MA!B:B,MA!B:B))</f>
        <v/>
      </c>
    </row>
    <row r="78" spans="1:41" x14ac:dyDescent="0.25">
      <c r="A78" s="444">
        <f>psTn!B79</f>
        <v>0</v>
      </c>
      <c r="B78" s="33">
        <f>psTn!C79</f>
        <v>0</v>
      </c>
      <c r="C78" s="33">
        <f>psTn!D79</f>
        <v>0</v>
      </c>
      <c r="D78" s="33">
        <f>psTn!E79</f>
        <v>0</v>
      </c>
      <c r="E78" s="33">
        <f>psTn!F79</f>
        <v>0</v>
      </c>
      <c r="F78" s="33">
        <f>psTn!G79</f>
        <v>0</v>
      </c>
      <c r="G78" s="44" t="str">
        <f>_xlfn.XLOOKUP(A78,'ps5'!B:B,'ps5'!C:C,"")</f>
        <v/>
      </c>
      <c r="H78" s="44" t="str">
        <f>_xlfn.XLOOKUP(A78,'ps5'!B:B,'ps5'!D:D,"")</f>
        <v/>
      </c>
      <c r="I78" s="44" t="str">
        <f>_xlfn.XLOOKUP(A78,'ps5'!B:B,'ps5'!E:E,"")</f>
        <v/>
      </c>
      <c r="J78" s="44" t="str">
        <f>_xlfn.XLOOKUP(A78,'ps5'!B:B,'ps5'!F:F,"")</f>
        <v/>
      </c>
      <c r="K78" s="44" t="str">
        <f>_xlfn.XLOOKUP(A78,'ps5'!B:B,'ps5'!G:G,"")</f>
        <v/>
      </c>
      <c r="L78" s="44">
        <f t="shared" si="16"/>
        <v>0</v>
      </c>
      <c r="M78" s="44">
        <f t="shared" si="16"/>
        <v>0</v>
      </c>
      <c r="N78" s="44">
        <f t="shared" si="16"/>
        <v>0</v>
      </c>
      <c r="O78" s="50" t="str">
        <f>_xlfn.XLOOKUP(A78,psRk!C:C,psRk!F:F,"")</f>
        <v/>
      </c>
      <c r="P78" s="33" t="str">
        <f>_xlfn.XLOOKUP(A78,psRk!C:C,psRk!G:G,"")</f>
        <v/>
      </c>
      <c r="Q78" s="41" t="str">
        <f>_xlfn.XLOOKUP(A78,psRk!C:C,psRk!H:H,"")</f>
        <v/>
      </c>
      <c r="R78" s="41" t="str">
        <f>_xlfn.XLOOKUP(A78,psRk!C:C,psRk!I:I,"")</f>
        <v/>
      </c>
      <c r="S78" s="27" t="str">
        <f t="shared" si="17"/>
        <v/>
      </c>
      <c r="T78" s="27" t="str">
        <f t="shared" si="18"/>
        <v/>
      </c>
      <c r="U78" s="27" t="str">
        <f t="shared" si="19"/>
        <v/>
      </c>
      <c r="V78" s="27" t="str">
        <f t="shared" si="20"/>
        <v/>
      </c>
      <c r="W78" s="27" t="str">
        <f t="shared" si="21"/>
        <v/>
      </c>
      <c r="X78" s="27" t="str">
        <f t="shared" si="22"/>
        <v/>
      </c>
      <c r="Y78" s="27" t="str">
        <f t="shared" si="23"/>
        <v/>
      </c>
      <c r="Z78" s="47" t="str">
        <f t="shared" si="29"/>
        <v/>
      </c>
      <c r="AA78" s="49" t="str">
        <f t="shared" si="24"/>
        <v/>
      </c>
      <c r="AB78" s="49">
        <f t="shared" si="30"/>
        <v>0</v>
      </c>
      <c r="AC78" s="49" t="str">
        <f t="shared" si="25"/>
        <v/>
      </c>
      <c r="AD78" s="47" t="str">
        <f>_xlfn.XLOOKUP(AC78,Parm!$AN$2:$AN$25,Parm!$AO$2:$AO$25,"")</f>
        <v/>
      </c>
      <c r="AE78" s="49" t="str">
        <f t="shared" si="26"/>
        <v/>
      </c>
      <c r="AF78" s="47" t="str">
        <f>_xlfn.XLOOKUP(AE78,Parm!$AN$2:$AN$25,Parm!$AO$2:$AO$25,"")</f>
        <v/>
      </c>
      <c r="AG78" s="286">
        <f>psTn!A79</f>
        <v>0</v>
      </c>
      <c r="AH78" s="49" t="str" cm="1">
        <f t="array" aca="1" ref="AH78" ca="1">_xlfn.IFS(Z78="","",AND(Z78&gt;0,Z78&lt;$AS$12),MROUND($AS$13*($AS$12-Z78+1)/SUMPRODUCT($AS$12-ROW(INDIRECT("1:" &amp; $AS$12 ))),1000),TRUE,0)</f>
        <v/>
      </c>
      <c r="AI78" s="49" t="e">
        <f t="shared" si="27"/>
        <v>#VALUE!</v>
      </c>
      <c r="AJ78" s="49">
        <f t="shared" si="31"/>
        <v>-100</v>
      </c>
      <c r="AK78" s="49"/>
      <c r="AL78" s="49" t="str">
        <f t="shared" si="28"/>
        <v/>
      </c>
      <c r="AM78" s="52" t="str">
        <f>IF(A78&lt;=0,"",_xlfn.XLOOKUP(A78,TL!C:C,TL!C:C))</f>
        <v/>
      </c>
      <c r="AN78" s="52" t="str">
        <f>IF(A78&lt;=0,"",_xlfn.XLOOKUP(A78,Y!C:C,Y!C:C))</f>
        <v/>
      </c>
      <c r="AO78" s="52" t="str">
        <f>IF(A78&lt;=0,"",_xlfn.XLOOKUP(A78,MA!B:B,MA!B:B))</f>
        <v/>
      </c>
    </row>
    <row r="79" spans="1:41" x14ac:dyDescent="0.25">
      <c r="A79" s="444">
        <f>psTn!B80</f>
        <v>0</v>
      </c>
      <c r="B79" s="33">
        <f>psTn!C80</f>
        <v>0</v>
      </c>
      <c r="C79" s="33">
        <f>psTn!D80</f>
        <v>0</v>
      </c>
      <c r="D79" s="33">
        <f>psTn!E80</f>
        <v>0</v>
      </c>
      <c r="E79" s="33">
        <f>psTn!F80</f>
        <v>0</v>
      </c>
      <c r="F79" s="33">
        <f>psTn!G80</f>
        <v>0</v>
      </c>
      <c r="G79" s="44" t="str">
        <f>_xlfn.XLOOKUP(A79,'ps5'!B:B,'ps5'!C:C,"")</f>
        <v/>
      </c>
      <c r="H79" s="44" t="str">
        <f>_xlfn.XLOOKUP(A79,'ps5'!B:B,'ps5'!D:D,"")</f>
        <v/>
      </c>
      <c r="I79" s="44" t="str">
        <f>_xlfn.XLOOKUP(A79,'ps5'!B:B,'ps5'!E:E,"")</f>
        <v/>
      </c>
      <c r="J79" s="44" t="str">
        <f>_xlfn.XLOOKUP(A79,'ps5'!B:B,'ps5'!F:F,"")</f>
        <v/>
      </c>
      <c r="K79" s="44" t="str">
        <f>_xlfn.XLOOKUP(A79,'ps5'!B:B,'ps5'!G:G,"")</f>
        <v/>
      </c>
      <c r="L79" s="44">
        <f t="shared" si="16"/>
        <v>0</v>
      </c>
      <c r="M79" s="44">
        <f t="shared" si="16"/>
        <v>0</v>
      </c>
      <c r="N79" s="44">
        <f t="shared" si="16"/>
        <v>0</v>
      </c>
      <c r="O79" s="50" t="str">
        <f>_xlfn.XLOOKUP(A79,psRk!C:C,psRk!F:F,"")</f>
        <v/>
      </c>
      <c r="P79" s="33" t="str">
        <f>_xlfn.XLOOKUP(A79,psRk!C:C,psRk!G:G,"")</f>
        <v/>
      </c>
      <c r="Q79" s="41" t="str">
        <f>_xlfn.XLOOKUP(A79,psRk!C:C,psRk!H:H,"")</f>
        <v/>
      </c>
      <c r="R79" s="41" t="str">
        <f>_xlfn.XLOOKUP(A79,psRk!C:C,psRk!I:I,"")</f>
        <v/>
      </c>
      <c r="S79" s="27" t="str">
        <f t="shared" si="17"/>
        <v/>
      </c>
      <c r="T79" s="27" t="str">
        <f t="shared" si="18"/>
        <v/>
      </c>
      <c r="U79" s="27" t="str">
        <f t="shared" si="19"/>
        <v/>
      </c>
      <c r="V79" s="27" t="str">
        <f t="shared" si="20"/>
        <v/>
      </c>
      <c r="W79" s="27" t="str">
        <f t="shared" si="21"/>
        <v/>
      </c>
      <c r="X79" s="27" t="str">
        <f t="shared" si="22"/>
        <v/>
      </c>
      <c r="Y79" s="27" t="str">
        <f t="shared" si="23"/>
        <v/>
      </c>
      <c r="Z79" s="47" t="str">
        <f t="shared" si="29"/>
        <v/>
      </c>
      <c r="AA79" s="49" t="str">
        <f t="shared" si="24"/>
        <v/>
      </c>
      <c r="AB79" s="49">
        <f t="shared" si="30"/>
        <v>0</v>
      </c>
      <c r="AC79" s="49" t="str">
        <f t="shared" si="25"/>
        <v/>
      </c>
      <c r="AD79" s="47" t="str">
        <f>_xlfn.XLOOKUP(AC79,Parm!$AN$2:$AN$25,Parm!$AO$2:$AO$25,"")</f>
        <v/>
      </c>
      <c r="AE79" s="49" t="str">
        <f t="shared" si="26"/>
        <v/>
      </c>
      <c r="AF79" s="47" t="str">
        <f>_xlfn.XLOOKUP(AE79,Parm!$AN$2:$AN$25,Parm!$AO$2:$AO$25,"")</f>
        <v/>
      </c>
      <c r="AG79" s="286">
        <f>psTn!A80</f>
        <v>0</v>
      </c>
      <c r="AH79" s="49" t="str" cm="1">
        <f t="array" aca="1" ref="AH79" ca="1">_xlfn.IFS(Z79="","",AND(Z79&gt;0,Z79&lt;$AS$12),MROUND($AS$13*($AS$12-Z79+1)/SUMPRODUCT($AS$12-ROW(INDIRECT("1:" &amp; $AS$12 ))),1000),TRUE,0)</f>
        <v/>
      </c>
      <c r="AI79" s="49" t="e">
        <f t="shared" si="27"/>
        <v>#VALUE!</v>
      </c>
      <c r="AJ79" s="49">
        <f t="shared" si="31"/>
        <v>-100</v>
      </c>
      <c r="AK79" s="49"/>
      <c r="AL79" s="49" t="str">
        <f t="shared" si="28"/>
        <v/>
      </c>
      <c r="AM79" s="52" t="str">
        <f>IF(A79&lt;=0,"",_xlfn.XLOOKUP(A79,TL!C:C,TL!C:C))</f>
        <v/>
      </c>
      <c r="AN79" s="52" t="str">
        <f>IF(A79&lt;=0,"",_xlfn.XLOOKUP(A79,Y!C:C,Y!C:C))</f>
        <v/>
      </c>
      <c r="AO79" s="52" t="str">
        <f>IF(A79&lt;=0,"",_xlfn.XLOOKUP(A79,MA!B:B,MA!B:B))</f>
        <v/>
      </c>
    </row>
    <row r="80" spans="1:41" x14ac:dyDescent="0.25">
      <c r="A80" s="444">
        <f>psTn!B81</f>
        <v>0</v>
      </c>
      <c r="B80" s="33">
        <f>psTn!C81</f>
        <v>0</v>
      </c>
      <c r="C80" s="33">
        <f>psTn!D81</f>
        <v>0</v>
      </c>
      <c r="D80" s="33">
        <f>psTn!E81</f>
        <v>0</v>
      </c>
      <c r="E80" s="33">
        <f>psTn!F81</f>
        <v>0</v>
      </c>
      <c r="F80" s="33">
        <f>psTn!G81</f>
        <v>0</v>
      </c>
      <c r="G80" s="44" t="str">
        <f>_xlfn.XLOOKUP(A80,'ps5'!B:B,'ps5'!C:C,"")</f>
        <v/>
      </c>
      <c r="H80" s="44" t="str">
        <f>_xlfn.XLOOKUP(A80,'ps5'!B:B,'ps5'!D:D,"")</f>
        <v/>
      </c>
      <c r="I80" s="44" t="str">
        <f>_xlfn.XLOOKUP(A80,'ps5'!B:B,'ps5'!E:E,"")</f>
        <v/>
      </c>
      <c r="J80" s="44" t="str">
        <f>_xlfn.XLOOKUP(A80,'ps5'!B:B,'ps5'!F:F,"")</f>
        <v/>
      </c>
      <c r="K80" s="44" t="str">
        <f>_xlfn.XLOOKUP(A80,'ps5'!B:B,'ps5'!G:G,"")</f>
        <v/>
      </c>
      <c r="L80" s="44">
        <f t="shared" si="16"/>
        <v>0</v>
      </c>
      <c r="M80" s="44">
        <f t="shared" si="16"/>
        <v>0</v>
      </c>
      <c r="N80" s="44">
        <f t="shared" si="16"/>
        <v>0</v>
      </c>
      <c r="O80" s="50" t="str">
        <f>_xlfn.XLOOKUP(A80,psRk!C:C,psRk!F:F,"")</f>
        <v/>
      </c>
      <c r="P80" s="33" t="str">
        <f>_xlfn.XLOOKUP(A80,psRk!C:C,psRk!G:G,"")</f>
        <v/>
      </c>
      <c r="Q80" s="41" t="str">
        <f>_xlfn.XLOOKUP(A80,psRk!C:C,psRk!H:H,"")</f>
        <v/>
      </c>
      <c r="R80" s="41" t="str">
        <f>_xlfn.XLOOKUP(A80,psRk!C:C,psRk!I:I,"")</f>
        <v/>
      </c>
      <c r="S80" s="27" t="str">
        <f t="shared" si="17"/>
        <v/>
      </c>
      <c r="T80" s="27" t="str">
        <f t="shared" si="18"/>
        <v/>
      </c>
      <c r="U80" s="27" t="str">
        <f t="shared" si="19"/>
        <v/>
      </c>
      <c r="V80" s="27" t="str">
        <f t="shared" si="20"/>
        <v/>
      </c>
      <c r="W80" s="27" t="str">
        <f t="shared" si="21"/>
        <v/>
      </c>
      <c r="X80" s="27" t="str">
        <f t="shared" si="22"/>
        <v/>
      </c>
      <c r="Y80" s="27" t="str">
        <f t="shared" si="23"/>
        <v/>
      </c>
      <c r="Z80" s="47" t="str">
        <f t="shared" si="29"/>
        <v/>
      </c>
      <c r="AA80" s="49" t="str">
        <f t="shared" si="24"/>
        <v/>
      </c>
      <c r="AB80" s="49">
        <f t="shared" si="30"/>
        <v>0</v>
      </c>
      <c r="AC80" s="49" t="str">
        <f t="shared" si="25"/>
        <v/>
      </c>
      <c r="AD80" s="47" t="str">
        <f>_xlfn.XLOOKUP(AC80,Parm!$AN$2:$AN$25,Parm!$AO$2:$AO$25,"")</f>
        <v/>
      </c>
      <c r="AE80" s="49" t="str">
        <f t="shared" si="26"/>
        <v/>
      </c>
      <c r="AF80" s="47" t="str">
        <f>_xlfn.XLOOKUP(AE80,Parm!$AN$2:$AN$25,Parm!$AO$2:$AO$25,"")</f>
        <v/>
      </c>
      <c r="AG80" s="286">
        <f>psTn!A81</f>
        <v>0</v>
      </c>
      <c r="AH80" s="49" t="str" cm="1">
        <f t="array" aca="1" ref="AH80" ca="1">_xlfn.IFS(Z80="","",AND(Z80&gt;0,Z80&lt;$AS$12),MROUND($AS$13*($AS$12-Z80+1)/SUMPRODUCT($AS$12-ROW(INDIRECT("1:" &amp; $AS$12 ))),1000),TRUE,0)</f>
        <v/>
      </c>
      <c r="AI80" s="49" t="e">
        <f t="shared" si="27"/>
        <v>#VALUE!</v>
      </c>
      <c r="AJ80" s="49">
        <f t="shared" si="31"/>
        <v>-100</v>
      </c>
      <c r="AK80" s="49"/>
      <c r="AL80" s="49" t="str">
        <f t="shared" si="28"/>
        <v/>
      </c>
      <c r="AM80" s="52" t="str">
        <f>IF(A80&lt;=0,"",_xlfn.XLOOKUP(A80,TL!C:C,TL!C:C))</f>
        <v/>
      </c>
      <c r="AN80" s="52" t="str">
        <f>IF(A80&lt;=0,"",_xlfn.XLOOKUP(A80,Y!C:C,Y!C:C))</f>
        <v/>
      </c>
      <c r="AO80" s="52" t="str">
        <f>IF(A80&lt;=0,"",_xlfn.XLOOKUP(A80,MA!B:B,MA!B:B))</f>
        <v/>
      </c>
    </row>
    <row r="81" spans="1:41" x14ac:dyDescent="0.25">
      <c r="A81" s="444">
        <f>psTn!B82</f>
        <v>0</v>
      </c>
      <c r="B81" s="33">
        <f>psTn!C82</f>
        <v>0</v>
      </c>
      <c r="C81" s="33">
        <f>psTn!D82</f>
        <v>0</v>
      </c>
      <c r="D81" s="33">
        <f>psTn!E82</f>
        <v>0</v>
      </c>
      <c r="E81" s="33">
        <f>psTn!F82</f>
        <v>0</v>
      </c>
      <c r="F81" s="33">
        <f>psTn!G82</f>
        <v>0</v>
      </c>
      <c r="G81" s="44" t="str">
        <f>_xlfn.XLOOKUP(A81,'ps5'!B:B,'ps5'!C:C,"")</f>
        <v/>
      </c>
      <c r="H81" s="44" t="str">
        <f>_xlfn.XLOOKUP(A81,'ps5'!B:B,'ps5'!D:D,"")</f>
        <v/>
      </c>
      <c r="I81" s="44" t="str">
        <f>_xlfn.XLOOKUP(A81,'ps5'!B:B,'ps5'!E:E,"")</f>
        <v/>
      </c>
      <c r="J81" s="44" t="str">
        <f>_xlfn.XLOOKUP(A81,'ps5'!B:B,'ps5'!F:F,"")</f>
        <v/>
      </c>
      <c r="K81" s="44" t="str">
        <f>_xlfn.XLOOKUP(A81,'ps5'!B:B,'ps5'!G:G,"")</f>
        <v/>
      </c>
      <c r="L81" s="44">
        <f t="shared" si="16"/>
        <v>0</v>
      </c>
      <c r="M81" s="44">
        <f t="shared" si="16"/>
        <v>0</v>
      </c>
      <c r="N81" s="44">
        <f t="shared" si="16"/>
        <v>0</v>
      </c>
      <c r="O81" s="50" t="str">
        <f>_xlfn.XLOOKUP(A81,psRk!C:C,psRk!F:F,"")</f>
        <v/>
      </c>
      <c r="P81" s="33" t="str">
        <f>_xlfn.XLOOKUP(A81,psRk!C:C,psRk!G:G,"")</f>
        <v/>
      </c>
      <c r="Q81" s="41" t="str">
        <f>_xlfn.XLOOKUP(A81,psRk!C:C,psRk!H:H,"")</f>
        <v/>
      </c>
      <c r="R81" s="41" t="str">
        <f>_xlfn.XLOOKUP(A81,psRk!C:C,psRk!I:I,"")</f>
        <v/>
      </c>
      <c r="S81" s="27" t="str">
        <f t="shared" si="17"/>
        <v/>
      </c>
      <c r="T81" s="27" t="str">
        <f t="shared" si="18"/>
        <v/>
      </c>
      <c r="U81" s="27" t="str">
        <f t="shared" si="19"/>
        <v/>
      </c>
      <c r="V81" s="27" t="str">
        <f t="shared" si="20"/>
        <v/>
      </c>
      <c r="W81" s="27" t="str">
        <f t="shared" si="21"/>
        <v/>
      </c>
      <c r="X81" s="27" t="str">
        <f t="shared" si="22"/>
        <v/>
      </c>
      <c r="Y81" s="27" t="str">
        <f t="shared" si="23"/>
        <v/>
      </c>
      <c r="Z81" s="47" t="str">
        <f t="shared" si="29"/>
        <v/>
      </c>
      <c r="AA81" s="49" t="str">
        <f t="shared" si="24"/>
        <v/>
      </c>
      <c r="AB81" s="49">
        <f t="shared" si="30"/>
        <v>0</v>
      </c>
      <c r="AC81" s="49" t="str">
        <f t="shared" si="25"/>
        <v/>
      </c>
      <c r="AD81" s="47" t="str">
        <f>_xlfn.XLOOKUP(AC81,Parm!$AN$2:$AN$25,Parm!$AO$2:$AO$25,"")</f>
        <v/>
      </c>
      <c r="AE81" s="49" t="str">
        <f t="shared" si="26"/>
        <v/>
      </c>
      <c r="AF81" s="47" t="str">
        <f>_xlfn.XLOOKUP(AE81,Parm!$AN$2:$AN$25,Parm!$AO$2:$AO$25,"")</f>
        <v/>
      </c>
      <c r="AG81" s="286">
        <f>psTn!A82</f>
        <v>0</v>
      </c>
      <c r="AH81" s="49" t="str" cm="1">
        <f t="array" aca="1" ref="AH81" ca="1">_xlfn.IFS(Z81="","",AND(Z81&gt;0,Z81&lt;$AS$12),MROUND($AS$13*($AS$12-Z81+1)/SUMPRODUCT($AS$12-ROW(INDIRECT("1:" &amp; $AS$12 ))),1000),TRUE,0)</f>
        <v/>
      </c>
      <c r="AI81" s="49" t="e">
        <f t="shared" si="27"/>
        <v>#VALUE!</v>
      </c>
      <c r="AJ81" s="49">
        <f t="shared" si="31"/>
        <v>-100</v>
      </c>
      <c r="AK81" s="49"/>
      <c r="AL81" s="49" t="str">
        <f t="shared" si="28"/>
        <v/>
      </c>
      <c r="AM81" s="52" t="str">
        <f>IF(A81&lt;=0,"",_xlfn.XLOOKUP(A81,TL!C:C,TL!C:C))</f>
        <v/>
      </c>
      <c r="AN81" s="52" t="str">
        <f>IF(A81&lt;=0,"",_xlfn.XLOOKUP(A81,Y!C:C,Y!C:C))</f>
        <v/>
      </c>
      <c r="AO81" s="52" t="str">
        <f>IF(A81&lt;=0,"",_xlfn.XLOOKUP(A81,MA!B:B,MA!B:B))</f>
        <v/>
      </c>
    </row>
    <row r="82" spans="1:41" x14ac:dyDescent="0.25">
      <c r="A82" s="444">
        <f>psTn!B83</f>
        <v>0</v>
      </c>
      <c r="B82" s="33">
        <f>psTn!C83</f>
        <v>0</v>
      </c>
      <c r="C82" s="33">
        <f>psTn!D83</f>
        <v>0</v>
      </c>
      <c r="D82" s="33">
        <f>psTn!E83</f>
        <v>0</v>
      </c>
      <c r="E82" s="33">
        <f>psTn!F83</f>
        <v>0</v>
      </c>
      <c r="F82" s="33">
        <f>psTn!G83</f>
        <v>0</v>
      </c>
      <c r="G82" s="44" t="str">
        <f>_xlfn.XLOOKUP(A82,'ps5'!B:B,'ps5'!C:C,"")</f>
        <v/>
      </c>
      <c r="H82" s="44" t="str">
        <f>_xlfn.XLOOKUP(A82,'ps5'!B:B,'ps5'!D:D,"")</f>
        <v/>
      </c>
      <c r="I82" s="44" t="str">
        <f>_xlfn.XLOOKUP(A82,'ps5'!B:B,'ps5'!E:E,"")</f>
        <v/>
      </c>
      <c r="J82" s="44" t="str">
        <f>_xlfn.XLOOKUP(A82,'ps5'!B:B,'ps5'!F:F,"")</f>
        <v/>
      </c>
      <c r="K82" s="44" t="str">
        <f>_xlfn.XLOOKUP(A82,'ps5'!B:B,'ps5'!G:G,"")</f>
        <v/>
      </c>
      <c r="L82" s="44">
        <f t="shared" si="16"/>
        <v>0</v>
      </c>
      <c r="M82" s="44">
        <f t="shared" si="16"/>
        <v>0</v>
      </c>
      <c r="N82" s="44">
        <f t="shared" si="16"/>
        <v>0</v>
      </c>
      <c r="O82" s="50" t="str">
        <f>_xlfn.XLOOKUP(A82,psRk!C:C,psRk!F:F,"")</f>
        <v/>
      </c>
      <c r="P82" s="33" t="str">
        <f>_xlfn.XLOOKUP(A82,psRk!C:C,psRk!G:G,"")</f>
        <v/>
      </c>
      <c r="Q82" s="41" t="str">
        <f>_xlfn.XLOOKUP(A82,psRk!C:C,psRk!H:H,"")</f>
        <v/>
      </c>
      <c r="R82" s="41" t="str">
        <f>_xlfn.XLOOKUP(A82,psRk!C:C,psRk!I:I,"")</f>
        <v/>
      </c>
      <c r="S82" s="27" t="str">
        <f t="shared" si="17"/>
        <v/>
      </c>
      <c r="T82" s="27" t="str">
        <f t="shared" si="18"/>
        <v/>
      </c>
      <c r="U82" s="27" t="str">
        <f t="shared" si="19"/>
        <v/>
      </c>
      <c r="V82" s="27" t="str">
        <f t="shared" si="20"/>
        <v/>
      </c>
      <c r="W82" s="27" t="str">
        <f t="shared" si="21"/>
        <v/>
      </c>
      <c r="X82" s="27" t="str">
        <f t="shared" si="22"/>
        <v/>
      </c>
      <c r="Y82" s="27" t="str">
        <f t="shared" si="23"/>
        <v/>
      </c>
      <c r="Z82" s="47" t="str">
        <f t="shared" si="29"/>
        <v/>
      </c>
      <c r="AA82" s="49" t="str">
        <f t="shared" si="24"/>
        <v/>
      </c>
      <c r="AB82" s="49">
        <f t="shared" si="30"/>
        <v>0</v>
      </c>
      <c r="AC82" s="49" t="str">
        <f t="shared" si="25"/>
        <v/>
      </c>
      <c r="AD82" s="47" t="str">
        <f>_xlfn.XLOOKUP(AC82,Parm!$AN$2:$AN$25,Parm!$AO$2:$AO$25,"")</f>
        <v/>
      </c>
      <c r="AE82" s="49" t="str">
        <f t="shared" si="26"/>
        <v/>
      </c>
      <c r="AF82" s="47" t="str">
        <f>_xlfn.XLOOKUP(AE82,Parm!$AN$2:$AN$25,Parm!$AO$2:$AO$25,"")</f>
        <v/>
      </c>
      <c r="AG82" s="286">
        <f>psTn!A83</f>
        <v>0</v>
      </c>
      <c r="AH82" s="49" t="str" cm="1">
        <f t="array" aca="1" ref="AH82" ca="1">_xlfn.IFS(Z82="","",AND(Z82&gt;0,Z82&lt;$AS$12),MROUND($AS$13*($AS$12-Z82+1)/SUMPRODUCT($AS$12-ROW(INDIRECT("1:" &amp; $AS$12 ))),1000),TRUE,0)</f>
        <v/>
      </c>
      <c r="AI82" s="49" t="e">
        <f t="shared" si="27"/>
        <v>#VALUE!</v>
      </c>
      <c r="AJ82" s="49">
        <f t="shared" si="31"/>
        <v>-100</v>
      </c>
      <c r="AK82" s="49"/>
      <c r="AL82" s="49" t="str">
        <f t="shared" si="28"/>
        <v/>
      </c>
      <c r="AM82" s="52" t="str">
        <f>IF(A82&lt;=0,"",_xlfn.XLOOKUP(A82,TL!C:C,TL!C:C))</f>
        <v/>
      </c>
      <c r="AN82" s="52" t="str">
        <f>IF(A82&lt;=0,"",_xlfn.XLOOKUP(A82,Y!C:C,Y!C:C))</f>
        <v/>
      </c>
      <c r="AO82" s="52" t="str">
        <f>IF(A82&lt;=0,"",_xlfn.XLOOKUP(A82,MA!B:B,MA!B:B))</f>
        <v/>
      </c>
    </row>
    <row r="83" spans="1:41" x14ac:dyDescent="0.25">
      <c r="A83" s="444">
        <f>psTn!B84</f>
        <v>0</v>
      </c>
      <c r="B83" s="33">
        <f>psTn!C84</f>
        <v>0</v>
      </c>
      <c r="C83" s="33">
        <f>psTn!D84</f>
        <v>0</v>
      </c>
      <c r="D83" s="33">
        <f>psTn!E84</f>
        <v>0</v>
      </c>
      <c r="E83" s="33">
        <f>psTn!F84</f>
        <v>0</v>
      </c>
      <c r="F83" s="33">
        <f>psTn!G84</f>
        <v>0</v>
      </c>
      <c r="G83" s="44" t="str">
        <f>_xlfn.XLOOKUP(A83,'ps5'!B:B,'ps5'!C:C,"")</f>
        <v/>
      </c>
      <c r="H83" s="44" t="str">
        <f>_xlfn.XLOOKUP(A83,'ps5'!B:B,'ps5'!D:D,"")</f>
        <v/>
      </c>
      <c r="I83" s="44" t="str">
        <f>_xlfn.XLOOKUP(A83,'ps5'!B:B,'ps5'!E:E,"")</f>
        <v/>
      </c>
      <c r="J83" s="44" t="str">
        <f>_xlfn.XLOOKUP(A83,'ps5'!B:B,'ps5'!F:F,"")</f>
        <v/>
      </c>
      <c r="K83" s="44" t="str">
        <f>_xlfn.XLOOKUP(A83,'ps5'!B:B,'ps5'!G:G,"")</f>
        <v/>
      </c>
      <c r="L83" s="44">
        <f t="shared" si="16"/>
        <v>0</v>
      </c>
      <c r="M83" s="44">
        <f t="shared" si="16"/>
        <v>0</v>
      </c>
      <c r="N83" s="44">
        <f t="shared" si="16"/>
        <v>0</v>
      </c>
      <c r="O83" s="50" t="str">
        <f>_xlfn.XLOOKUP(A83,psRk!C:C,psRk!F:F,"")</f>
        <v/>
      </c>
      <c r="P83" s="33" t="str">
        <f>_xlfn.XLOOKUP(A83,psRk!C:C,psRk!G:G,"")</f>
        <v/>
      </c>
      <c r="Q83" s="41" t="str">
        <f>_xlfn.XLOOKUP(A83,psRk!C:C,psRk!H:H,"")</f>
        <v/>
      </c>
      <c r="R83" s="41" t="str">
        <f>_xlfn.XLOOKUP(A83,psRk!C:C,psRk!I:I,"")</f>
        <v/>
      </c>
      <c r="S83" s="27" t="str">
        <f t="shared" si="17"/>
        <v/>
      </c>
      <c r="T83" s="27" t="str">
        <f t="shared" si="18"/>
        <v/>
      </c>
      <c r="U83" s="27" t="str">
        <f t="shared" si="19"/>
        <v/>
      </c>
      <c r="V83" s="27" t="str">
        <f t="shared" si="20"/>
        <v/>
      </c>
      <c r="W83" s="27" t="str">
        <f t="shared" si="21"/>
        <v/>
      </c>
      <c r="X83" s="27" t="str">
        <f t="shared" si="22"/>
        <v/>
      </c>
      <c r="Y83" s="27" t="str">
        <f t="shared" si="23"/>
        <v/>
      </c>
      <c r="Z83" s="47" t="str">
        <f t="shared" si="29"/>
        <v/>
      </c>
      <c r="AA83" s="49" t="str">
        <f t="shared" si="24"/>
        <v/>
      </c>
      <c r="AB83" s="49">
        <f t="shared" si="30"/>
        <v>0</v>
      </c>
      <c r="AC83" s="49" t="str">
        <f t="shared" si="25"/>
        <v/>
      </c>
      <c r="AD83" s="47" t="str">
        <f>_xlfn.XLOOKUP(AC83,Parm!$AN$2:$AN$25,Parm!$AO$2:$AO$25,"")</f>
        <v/>
      </c>
      <c r="AE83" s="49" t="str">
        <f t="shared" si="26"/>
        <v/>
      </c>
      <c r="AF83" s="47" t="str">
        <f>_xlfn.XLOOKUP(AE83,Parm!$AN$2:$AN$25,Parm!$AO$2:$AO$25,"")</f>
        <v/>
      </c>
      <c r="AG83" s="286">
        <f>psTn!A84</f>
        <v>0</v>
      </c>
      <c r="AH83" s="49" t="str" cm="1">
        <f t="array" aca="1" ref="AH83" ca="1">_xlfn.IFS(Z83="","",AND(Z83&gt;0,Z83&lt;$AS$12),MROUND($AS$13*($AS$12-Z83+1)/SUMPRODUCT($AS$12-ROW(INDIRECT("1:" &amp; $AS$12 ))),1000),TRUE,0)</f>
        <v/>
      </c>
      <c r="AI83" s="49" t="e">
        <f t="shared" si="27"/>
        <v>#VALUE!</v>
      </c>
      <c r="AJ83" s="49">
        <f t="shared" si="31"/>
        <v>-100</v>
      </c>
      <c r="AK83" s="49"/>
      <c r="AL83" s="49" t="str">
        <f t="shared" si="28"/>
        <v/>
      </c>
      <c r="AM83" s="52" t="str">
        <f>IF(A83&lt;=0,"",_xlfn.XLOOKUP(A83,TL!C:C,TL!C:C))</f>
        <v/>
      </c>
      <c r="AN83" s="52" t="str">
        <f>IF(A83&lt;=0,"",_xlfn.XLOOKUP(A83,Y!C:C,Y!C:C))</f>
        <v/>
      </c>
      <c r="AO83" s="52" t="str">
        <f>IF(A83&lt;=0,"",_xlfn.XLOOKUP(A83,MA!B:B,MA!B:B))</f>
        <v/>
      </c>
    </row>
    <row r="84" spans="1:41" x14ac:dyDescent="0.25">
      <c r="A84" s="444">
        <f>psTn!B85</f>
        <v>0</v>
      </c>
      <c r="B84" s="33">
        <f>psTn!C85</f>
        <v>0</v>
      </c>
      <c r="C84" s="33">
        <f>psTn!D85</f>
        <v>0</v>
      </c>
      <c r="D84" s="33">
        <f>psTn!E85</f>
        <v>0</v>
      </c>
      <c r="E84" s="33">
        <f>psTn!F85</f>
        <v>0</v>
      </c>
      <c r="F84" s="33">
        <f>psTn!G85</f>
        <v>0</v>
      </c>
      <c r="G84" s="44" t="str">
        <f>_xlfn.XLOOKUP(A84,'ps5'!B:B,'ps5'!C:C,"")</f>
        <v/>
      </c>
      <c r="H84" s="44" t="str">
        <f>_xlfn.XLOOKUP(A84,'ps5'!B:B,'ps5'!D:D,"")</f>
        <v/>
      </c>
      <c r="I84" s="44" t="str">
        <f>_xlfn.XLOOKUP(A84,'ps5'!B:B,'ps5'!E:E,"")</f>
        <v/>
      </c>
      <c r="J84" s="44" t="str">
        <f>_xlfn.XLOOKUP(A84,'ps5'!B:B,'ps5'!F:F,"")</f>
        <v/>
      </c>
      <c r="K84" s="44" t="str">
        <f>_xlfn.XLOOKUP(A84,'ps5'!B:B,'ps5'!G:G,"")</f>
        <v/>
      </c>
      <c r="L84" s="44">
        <f t="shared" si="16"/>
        <v>0</v>
      </c>
      <c r="M84" s="44">
        <f t="shared" si="16"/>
        <v>0</v>
      </c>
      <c r="N84" s="44">
        <f t="shared" si="16"/>
        <v>0</v>
      </c>
      <c r="O84" s="50" t="str">
        <f>_xlfn.XLOOKUP(A84,psRk!C:C,psRk!F:F,"")</f>
        <v/>
      </c>
      <c r="P84" s="33" t="str">
        <f>_xlfn.XLOOKUP(A84,psRk!C:C,psRk!G:G,"")</f>
        <v/>
      </c>
      <c r="Q84" s="41" t="str">
        <f>_xlfn.XLOOKUP(A84,psRk!C:C,psRk!H:H,"")</f>
        <v/>
      </c>
      <c r="R84" s="41" t="str">
        <f>_xlfn.XLOOKUP(A84,psRk!C:C,psRk!I:I,"")</f>
        <v/>
      </c>
      <c r="S84" s="27" t="str">
        <f t="shared" si="17"/>
        <v/>
      </c>
      <c r="T84" s="27" t="str">
        <f t="shared" si="18"/>
        <v/>
      </c>
      <c r="U84" s="27" t="str">
        <f t="shared" si="19"/>
        <v/>
      </c>
      <c r="V84" s="27" t="str">
        <f t="shared" si="20"/>
        <v/>
      </c>
      <c r="W84" s="27" t="str">
        <f t="shared" si="21"/>
        <v/>
      </c>
      <c r="X84" s="27" t="str">
        <f t="shared" si="22"/>
        <v/>
      </c>
      <c r="Y84" s="27" t="str">
        <f t="shared" si="23"/>
        <v/>
      </c>
      <c r="Z84" s="47" t="str">
        <f t="shared" si="29"/>
        <v/>
      </c>
      <c r="AA84" s="49" t="str">
        <f t="shared" si="24"/>
        <v/>
      </c>
      <c r="AB84" s="49">
        <f t="shared" si="30"/>
        <v>0</v>
      </c>
      <c r="AC84" s="49" t="str">
        <f t="shared" si="25"/>
        <v/>
      </c>
      <c r="AD84" s="47" t="str">
        <f>_xlfn.XLOOKUP(AC84,Parm!$AN$2:$AN$25,Parm!$AO$2:$AO$25,"")</f>
        <v/>
      </c>
      <c r="AE84" s="49" t="str">
        <f t="shared" si="26"/>
        <v/>
      </c>
      <c r="AF84" s="47" t="str">
        <f>_xlfn.XLOOKUP(AE84,Parm!$AN$2:$AN$25,Parm!$AO$2:$AO$25,"")</f>
        <v/>
      </c>
      <c r="AG84" s="286">
        <f>psTn!A85</f>
        <v>0</v>
      </c>
      <c r="AH84" s="49" t="str" cm="1">
        <f t="array" aca="1" ref="AH84" ca="1">_xlfn.IFS(Z84="","",AND(Z84&gt;0,Z84&lt;$AS$12),MROUND($AS$13*($AS$12-Z84+1)/SUMPRODUCT($AS$12-ROW(INDIRECT("1:" &amp; $AS$12 ))),1000),TRUE,0)</f>
        <v/>
      </c>
      <c r="AI84" s="49" t="e">
        <f t="shared" si="27"/>
        <v>#VALUE!</v>
      </c>
      <c r="AJ84" s="49">
        <f t="shared" si="31"/>
        <v>-100</v>
      </c>
      <c r="AK84" s="49"/>
      <c r="AL84" s="49" t="str">
        <f t="shared" si="28"/>
        <v/>
      </c>
      <c r="AM84" s="52" t="str">
        <f>IF(A84&lt;=0,"",_xlfn.XLOOKUP(A84,TL!C:C,TL!C:C))</f>
        <v/>
      </c>
      <c r="AN84" s="52" t="str">
        <f>IF(A84&lt;=0,"",_xlfn.XLOOKUP(A84,Y!C:C,Y!C:C))</f>
        <v/>
      </c>
      <c r="AO84" s="52" t="str">
        <f>IF(A84&lt;=0,"",_xlfn.XLOOKUP(A84,MA!B:B,MA!B:B))</f>
        <v/>
      </c>
    </row>
    <row r="85" spans="1:41" x14ac:dyDescent="0.25">
      <c r="A85" s="444">
        <f>psTn!B86</f>
        <v>0</v>
      </c>
      <c r="B85" s="33">
        <f>psTn!C86</f>
        <v>0</v>
      </c>
      <c r="C85" s="33">
        <f>psTn!D86</f>
        <v>0</v>
      </c>
      <c r="D85" s="33">
        <f>psTn!E86</f>
        <v>0</v>
      </c>
      <c r="E85" s="33">
        <f>psTn!F86</f>
        <v>0</v>
      </c>
      <c r="F85" s="33">
        <f>psTn!G86</f>
        <v>0</v>
      </c>
      <c r="G85" s="44" t="str">
        <f>_xlfn.XLOOKUP(A85,'ps5'!B:B,'ps5'!C:C,"")</f>
        <v/>
      </c>
      <c r="H85" s="44" t="str">
        <f>_xlfn.XLOOKUP(A85,'ps5'!B:B,'ps5'!D:D,"")</f>
        <v/>
      </c>
      <c r="I85" s="44" t="str">
        <f>_xlfn.XLOOKUP(A85,'ps5'!B:B,'ps5'!E:E,"")</f>
        <v/>
      </c>
      <c r="J85" s="44" t="str">
        <f>_xlfn.XLOOKUP(A85,'ps5'!B:B,'ps5'!F:F,"")</f>
        <v/>
      </c>
      <c r="K85" s="44" t="str">
        <f>_xlfn.XLOOKUP(A85,'ps5'!B:B,'ps5'!G:G,"")</f>
        <v/>
      </c>
      <c r="L85" s="44">
        <f t="shared" si="16"/>
        <v>0</v>
      </c>
      <c r="M85" s="44">
        <f t="shared" si="16"/>
        <v>0</v>
      </c>
      <c r="N85" s="44">
        <f t="shared" si="16"/>
        <v>0</v>
      </c>
      <c r="O85" s="50" t="str">
        <f>_xlfn.XLOOKUP(A85,psRk!C:C,psRk!F:F,"")</f>
        <v/>
      </c>
      <c r="P85" s="33" t="str">
        <f>_xlfn.XLOOKUP(A85,psRk!C:C,psRk!G:G,"")</f>
        <v/>
      </c>
      <c r="Q85" s="41" t="str">
        <f>_xlfn.XLOOKUP(A85,psRk!C:C,psRk!H:H,"")</f>
        <v/>
      </c>
      <c r="R85" s="41" t="str">
        <f>_xlfn.XLOOKUP(A85,psRk!C:C,psRk!I:I,"")</f>
        <v/>
      </c>
      <c r="S85" s="27" t="str">
        <f t="shared" si="17"/>
        <v/>
      </c>
      <c r="T85" s="27" t="str">
        <f t="shared" si="18"/>
        <v/>
      </c>
      <c r="U85" s="27" t="str">
        <f t="shared" si="19"/>
        <v/>
      </c>
      <c r="V85" s="27" t="str">
        <f t="shared" si="20"/>
        <v/>
      </c>
      <c r="W85" s="27" t="str">
        <f t="shared" si="21"/>
        <v/>
      </c>
      <c r="X85" s="27" t="str">
        <f t="shared" si="22"/>
        <v/>
      </c>
      <c r="Y85" s="27" t="str">
        <f t="shared" si="23"/>
        <v/>
      </c>
      <c r="Z85" s="47" t="str">
        <f t="shared" si="29"/>
        <v/>
      </c>
      <c r="AA85" s="49" t="str">
        <f t="shared" si="24"/>
        <v/>
      </c>
      <c r="AB85" s="49">
        <f t="shared" si="30"/>
        <v>0</v>
      </c>
      <c r="AC85" s="49" t="str">
        <f t="shared" si="25"/>
        <v/>
      </c>
      <c r="AD85" s="47" t="str">
        <f>_xlfn.XLOOKUP(AC85,Parm!$AN$2:$AN$25,Parm!$AO$2:$AO$25,"")</f>
        <v/>
      </c>
      <c r="AE85" s="49" t="str">
        <f t="shared" si="26"/>
        <v/>
      </c>
      <c r="AF85" s="47" t="str">
        <f>_xlfn.XLOOKUP(AE85,Parm!$AN$2:$AN$25,Parm!$AO$2:$AO$25,"")</f>
        <v/>
      </c>
      <c r="AG85" s="286">
        <f>psTn!A86</f>
        <v>0</v>
      </c>
      <c r="AH85" s="49" t="str" cm="1">
        <f t="array" aca="1" ref="AH85" ca="1">_xlfn.IFS(Z85="","",AND(Z85&gt;0,Z85&lt;$AS$12),MROUND($AS$13*($AS$12-Z85+1)/SUMPRODUCT($AS$12-ROW(INDIRECT("1:" &amp; $AS$12 ))),1000),TRUE,0)</f>
        <v/>
      </c>
      <c r="AI85" s="49" t="e">
        <f t="shared" si="27"/>
        <v>#VALUE!</v>
      </c>
      <c r="AJ85" s="49">
        <f t="shared" si="31"/>
        <v>-100</v>
      </c>
      <c r="AK85" s="49"/>
      <c r="AL85" s="49" t="str">
        <f t="shared" si="28"/>
        <v/>
      </c>
      <c r="AM85" s="52" t="str">
        <f>IF(A85&lt;=0,"",_xlfn.XLOOKUP(A85,TL!C:C,TL!C:C))</f>
        <v/>
      </c>
      <c r="AN85" s="52" t="str">
        <f>IF(A85&lt;=0,"",_xlfn.XLOOKUP(A85,Y!C:C,Y!C:C))</f>
        <v/>
      </c>
      <c r="AO85" s="52" t="str">
        <f>IF(A85&lt;=0,"",_xlfn.XLOOKUP(A85,MA!B:B,MA!B:B))</f>
        <v/>
      </c>
    </row>
    <row r="86" spans="1:41" x14ac:dyDescent="0.25">
      <c r="A86" s="444">
        <f>psTn!B87</f>
        <v>0</v>
      </c>
      <c r="B86" s="33">
        <f>psTn!C87</f>
        <v>0</v>
      </c>
      <c r="C86" s="33">
        <f>psTn!D87</f>
        <v>0</v>
      </c>
      <c r="D86" s="33">
        <f>psTn!E87</f>
        <v>0</v>
      </c>
      <c r="E86" s="33">
        <f>psTn!F87</f>
        <v>0</v>
      </c>
      <c r="F86" s="33">
        <f>psTn!G87</f>
        <v>0</v>
      </c>
      <c r="G86" s="44" t="str">
        <f>_xlfn.XLOOKUP(A86,'ps5'!B:B,'ps5'!C:C,"")</f>
        <v/>
      </c>
      <c r="H86" s="44" t="str">
        <f>_xlfn.XLOOKUP(A86,'ps5'!B:B,'ps5'!D:D,"")</f>
        <v/>
      </c>
      <c r="I86" s="44" t="str">
        <f>_xlfn.XLOOKUP(A86,'ps5'!B:B,'ps5'!E:E,"")</f>
        <v/>
      </c>
      <c r="J86" s="44" t="str">
        <f>_xlfn.XLOOKUP(A86,'ps5'!B:B,'ps5'!F:F,"")</f>
        <v/>
      </c>
      <c r="K86" s="44" t="str">
        <f>_xlfn.XLOOKUP(A86,'ps5'!B:B,'ps5'!G:G,"")</f>
        <v/>
      </c>
      <c r="L86" s="44">
        <f t="shared" si="16"/>
        <v>0</v>
      </c>
      <c r="M86" s="44">
        <f t="shared" si="16"/>
        <v>0</v>
      </c>
      <c r="N86" s="44">
        <f t="shared" si="16"/>
        <v>0</v>
      </c>
      <c r="O86" s="50" t="str">
        <f>_xlfn.XLOOKUP(A86,psRk!C:C,psRk!F:F,"")</f>
        <v/>
      </c>
      <c r="P86" s="33" t="str">
        <f>_xlfn.XLOOKUP(A86,psRk!C:C,psRk!G:G,"")</f>
        <v/>
      </c>
      <c r="Q86" s="41" t="str">
        <f>_xlfn.XLOOKUP(A86,psRk!C:C,psRk!H:H,"")</f>
        <v/>
      </c>
      <c r="R86" s="41" t="str">
        <f>_xlfn.XLOOKUP(A86,psRk!C:C,psRk!I:I,"")</f>
        <v/>
      </c>
      <c r="S86" s="27" t="str">
        <f t="shared" si="17"/>
        <v/>
      </c>
      <c r="T86" s="27" t="str">
        <f t="shared" si="18"/>
        <v/>
      </c>
      <c r="U86" s="27" t="str">
        <f t="shared" si="19"/>
        <v/>
      </c>
      <c r="V86" s="27" t="str">
        <f t="shared" si="20"/>
        <v/>
      </c>
      <c r="W86" s="27" t="str">
        <f t="shared" si="21"/>
        <v/>
      </c>
      <c r="X86" s="27" t="str">
        <f t="shared" si="22"/>
        <v/>
      </c>
      <c r="Y86" s="27" t="str">
        <f t="shared" si="23"/>
        <v/>
      </c>
      <c r="Z86" s="47" t="str">
        <f t="shared" si="29"/>
        <v/>
      </c>
      <c r="AA86" s="49" t="str">
        <f t="shared" si="24"/>
        <v/>
      </c>
      <c r="AB86" s="49">
        <f t="shared" si="30"/>
        <v>0</v>
      </c>
      <c r="AC86" s="49" t="str">
        <f t="shared" si="25"/>
        <v/>
      </c>
      <c r="AD86" s="47" t="str">
        <f>_xlfn.XLOOKUP(AC86,Parm!$AN$2:$AN$25,Parm!$AO$2:$AO$25,"")</f>
        <v/>
      </c>
      <c r="AE86" s="49" t="str">
        <f t="shared" si="26"/>
        <v/>
      </c>
      <c r="AF86" s="47" t="str">
        <f>_xlfn.XLOOKUP(AE86,Parm!$AN$2:$AN$25,Parm!$AO$2:$AO$25,"")</f>
        <v/>
      </c>
      <c r="AG86" s="286">
        <f>psTn!A87</f>
        <v>0</v>
      </c>
      <c r="AH86" s="49" t="str" cm="1">
        <f t="array" aca="1" ref="AH86" ca="1">_xlfn.IFS(Z86="","",AND(Z86&gt;0,Z86&lt;$AS$12),MROUND($AS$13*($AS$12-Z86+1)/SUMPRODUCT($AS$12-ROW(INDIRECT("1:" &amp; $AS$12 ))),1000),TRUE,0)</f>
        <v/>
      </c>
      <c r="AI86" s="49" t="e">
        <f t="shared" si="27"/>
        <v>#VALUE!</v>
      </c>
      <c r="AJ86" s="49">
        <f t="shared" si="31"/>
        <v>-100</v>
      </c>
      <c r="AK86" s="49"/>
      <c r="AL86" s="49" t="str">
        <f t="shared" si="28"/>
        <v/>
      </c>
      <c r="AM86" s="52" t="str">
        <f>IF(A86&lt;=0,"",_xlfn.XLOOKUP(A86,TL!C:C,TL!C:C))</f>
        <v/>
      </c>
      <c r="AN86" s="52" t="str">
        <f>IF(A86&lt;=0,"",_xlfn.XLOOKUP(A86,Y!C:C,Y!C:C))</f>
        <v/>
      </c>
      <c r="AO86" s="52" t="str">
        <f>IF(A86&lt;=0,"",_xlfn.XLOOKUP(A86,MA!B:B,MA!B:B))</f>
        <v/>
      </c>
    </row>
    <row r="87" spans="1:41" x14ac:dyDescent="0.25">
      <c r="A87" s="444">
        <f>psTn!B88</f>
        <v>0</v>
      </c>
      <c r="B87" s="33">
        <f>psTn!C88</f>
        <v>0</v>
      </c>
      <c r="C87" s="33">
        <f>psTn!D88</f>
        <v>0</v>
      </c>
      <c r="D87" s="33">
        <f>psTn!E88</f>
        <v>0</v>
      </c>
      <c r="E87" s="33">
        <f>psTn!F88</f>
        <v>0</v>
      </c>
      <c r="F87" s="33">
        <f>psTn!G88</f>
        <v>0</v>
      </c>
      <c r="G87" s="44" t="str">
        <f>_xlfn.XLOOKUP(A87,'ps5'!B:B,'ps5'!C:C,"")</f>
        <v/>
      </c>
      <c r="H87" s="44" t="str">
        <f>_xlfn.XLOOKUP(A87,'ps5'!B:B,'ps5'!D:D,"")</f>
        <v/>
      </c>
      <c r="I87" s="44" t="str">
        <f>_xlfn.XLOOKUP(A87,'ps5'!B:B,'ps5'!E:E,"")</f>
        <v/>
      </c>
      <c r="J87" s="44" t="str">
        <f>_xlfn.XLOOKUP(A87,'ps5'!B:B,'ps5'!F:F,"")</f>
        <v/>
      </c>
      <c r="K87" s="44" t="str">
        <f>_xlfn.XLOOKUP(A87,'ps5'!B:B,'ps5'!G:G,"")</f>
        <v/>
      </c>
      <c r="L87" s="44">
        <f t="shared" si="16"/>
        <v>0</v>
      </c>
      <c r="M87" s="44">
        <f t="shared" si="16"/>
        <v>0</v>
      </c>
      <c r="N87" s="44">
        <f t="shared" si="16"/>
        <v>0</v>
      </c>
      <c r="O87" s="50" t="str">
        <f>_xlfn.XLOOKUP(A87,psRk!C:C,psRk!F:F,"")</f>
        <v/>
      </c>
      <c r="P87" s="33" t="str">
        <f>_xlfn.XLOOKUP(A87,psRk!C:C,psRk!G:G,"")</f>
        <v/>
      </c>
      <c r="Q87" s="41" t="str">
        <f>_xlfn.XLOOKUP(A87,psRk!C:C,psRk!H:H,"")</f>
        <v/>
      </c>
      <c r="R87" s="41" t="str">
        <f>_xlfn.XLOOKUP(A87,psRk!C:C,psRk!I:I,"")</f>
        <v/>
      </c>
      <c r="S87" s="27" t="str">
        <f t="shared" si="17"/>
        <v/>
      </c>
      <c r="T87" s="27" t="str">
        <f t="shared" si="18"/>
        <v/>
      </c>
      <c r="U87" s="27" t="str">
        <f t="shared" si="19"/>
        <v/>
      </c>
      <c r="V87" s="27" t="str">
        <f t="shared" si="20"/>
        <v/>
      </c>
      <c r="W87" s="27" t="str">
        <f t="shared" si="21"/>
        <v/>
      </c>
      <c r="X87" s="27" t="str">
        <f t="shared" si="22"/>
        <v/>
      </c>
      <c r="Y87" s="27" t="str">
        <f t="shared" si="23"/>
        <v/>
      </c>
      <c r="Z87" s="47" t="str">
        <f t="shared" si="29"/>
        <v/>
      </c>
      <c r="AA87" s="49" t="str">
        <f t="shared" si="24"/>
        <v/>
      </c>
      <c r="AB87" s="49">
        <f t="shared" si="30"/>
        <v>0</v>
      </c>
      <c r="AC87" s="49" t="str">
        <f t="shared" si="25"/>
        <v/>
      </c>
      <c r="AD87" s="47" t="str">
        <f>_xlfn.XLOOKUP(AC87,Parm!$AN$2:$AN$25,Parm!$AO$2:$AO$25,"")</f>
        <v/>
      </c>
      <c r="AE87" s="49" t="str">
        <f t="shared" si="26"/>
        <v/>
      </c>
      <c r="AF87" s="47" t="str">
        <f>_xlfn.XLOOKUP(AE87,Parm!$AN$2:$AN$25,Parm!$AO$2:$AO$25,"")</f>
        <v/>
      </c>
      <c r="AG87" s="286">
        <f>psTn!A88</f>
        <v>0</v>
      </c>
      <c r="AH87" s="49" t="str" cm="1">
        <f t="array" aca="1" ref="AH87" ca="1">_xlfn.IFS(Z87="","",AND(Z87&gt;0,Z87&lt;$AS$12),MROUND($AS$13*($AS$12-Z87+1)/SUMPRODUCT($AS$12-ROW(INDIRECT("1:" &amp; $AS$12 ))),1000),TRUE,0)</f>
        <v/>
      </c>
      <c r="AI87" s="49" t="e">
        <f t="shared" si="27"/>
        <v>#VALUE!</v>
      </c>
      <c r="AJ87" s="49">
        <f t="shared" si="31"/>
        <v>-100</v>
      </c>
      <c r="AK87" s="49"/>
      <c r="AL87" s="49" t="str">
        <f t="shared" si="28"/>
        <v/>
      </c>
      <c r="AM87" s="52" t="str">
        <f>IF(A87&lt;=0,"",_xlfn.XLOOKUP(A87,TL!C:C,TL!C:C))</f>
        <v/>
      </c>
      <c r="AN87" s="52" t="str">
        <f>IF(A87&lt;=0,"",_xlfn.XLOOKUP(A87,Y!C:C,Y!C:C))</f>
        <v/>
      </c>
      <c r="AO87" s="52" t="str">
        <f>IF(A87&lt;=0,"",_xlfn.XLOOKUP(A87,MA!B:B,MA!B:B))</f>
        <v/>
      </c>
    </row>
    <row r="88" spans="1:41" x14ac:dyDescent="0.25">
      <c r="A88" s="444">
        <f>psTn!B89</f>
        <v>0</v>
      </c>
      <c r="B88" s="33">
        <f>psTn!C89</f>
        <v>0</v>
      </c>
      <c r="C88" s="33">
        <f>psTn!D89</f>
        <v>0</v>
      </c>
      <c r="D88" s="33">
        <f>psTn!E89</f>
        <v>0</v>
      </c>
      <c r="E88" s="33">
        <f>psTn!F89</f>
        <v>0</v>
      </c>
      <c r="F88" s="33">
        <f>psTn!G89</f>
        <v>0</v>
      </c>
      <c r="G88" s="44" t="str">
        <f>_xlfn.XLOOKUP(A88,'ps5'!B:B,'ps5'!C:C,"")</f>
        <v/>
      </c>
      <c r="H88" s="44" t="str">
        <f>_xlfn.XLOOKUP(A88,'ps5'!B:B,'ps5'!D:D,"")</f>
        <v/>
      </c>
      <c r="I88" s="44" t="str">
        <f>_xlfn.XLOOKUP(A88,'ps5'!B:B,'ps5'!E:E,"")</f>
        <v/>
      </c>
      <c r="J88" s="44" t="str">
        <f>_xlfn.XLOOKUP(A88,'ps5'!B:B,'ps5'!F:F,"")</f>
        <v/>
      </c>
      <c r="K88" s="44" t="str">
        <f>_xlfn.XLOOKUP(A88,'ps5'!B:B,'ps5'!G:G,"")</f>
        <v/>
      </c>
      <c r="L88" s="44">
        <f t="shared" si="16"/>
        <v>0</v>
      </c>
      <c r="M88" s="44">
        <f t="shared" si="16"/>
        <v>0</v>
      </c>
      <c r="N88" s="44">
        <f t="shared" si="16"/>
        <v>0</v>
      </c>
      <c r="O88" s="50" t="str">
        <f>_xlfn.XLOOKUP(A88,psRk!C:C,psRk!F:F,"")</f>
        <v/>
      </c>
      <c r="P88" s="33" t="str">
        <f>_xlfn.XLOOKUP(A88,psRk!C:C,psRk!G:G,"")</f>
        <v/>
      </c>
      <c r="Q88" s="41" t="str">
        <f>_xlfn.XLOOKUP(A88,psRk!C:C,psRk!H:H,"")</f>
        <v/>
      </c>
      <c r="R88" s="41" t="str">
        <f>_xlfn.XLOOKUP(A88,psRk!C:C,psRk!I:I,"")</f>
        <v/>
      </c>
      <c r="S88" s="27" t="str">
        <f t="shared" si="17"/>
        <v/>
      </c>
      <c r="T88" s="27" t="str">
        <f t="shared" si="18"/>
        <v/>
      </c>
      <c r="U88" s="27" t="str">
        <f t="shared" si="19"/>
        <v/>
      </c>
      <c r="V88" s="27" t="str">
        <f t="shared" si="20"/>
        <v/>
      </c>
      <c r="W88" s="27" t="str">
        <f t="shared" si="21"/>
        <v/>
      </c>
      <c r="X88" s="27" t="str">
        <f t="shared" si="22"/>
        <v/>
      </c>
      <c r="Y88" s="27" t="str">
        <f t="shared" si="23"/>
        <v/>
      </c>
      <c r="Z88" s="47" t="str">
        <f t="shared" si="29"/>
        <v/>
      </c>
      <c r="AA88" s="49" t="str">
        <f t="shared" si="24"/>
        <v/>
      </c>
      <c r="AB88" s="49">
        <f t="shared" si="30"/>
        <v>0</v>
      </c>
      <c r="AC88" s="49" t="str">
        <f t="shared" si="25"/>
        <v/>
      </c>
      <c r="AD88" s="47" t="str">
        <f>_xlfn.XLOOKUP(AC88,Parm!$AN$2:$AN$25,Parm!$AO$2:$AO$25,"")</f>
        <v/>
      </c>
      <c r="AE88" s="49" t="str">
        <f t="shared" si="26"/>
        <v/>
      </c>
      <c r="AF88" s="47" t="str">
        <f>_xlfn.XLOOKUP(AE88,Parm!$AN$2:$AN$25,Parm!$AO$2:$AO$25,"")</f>
        <v/>
      </c>
      <c r="AG88" s="286">
        <f>psTn!A89</f>
        <v>0</v>
      </c>
      <c r="AH88" s="49" t="str" cm="1">
        <f t="array" aca="1" ref="AH88" ca="1">_xlfn.IFS(Z88="","",AND(Z88&gt;0,Z88&lt;$AS$12),MROUND($AS$13*($AS$12-Z88+1)/SUMPRODUCT($AS$12-ROW(INDIRECT("1:" &amp; $AS$12 ))),1000),TRUE,0)</f>
        <v/>
      </c>
      <c r="AI88" s="49" t="e">
        <f t="shared" si="27"/>
        <v>#VALUE!</v>
      </c>
      <c r="AJ88" s="49">
        <f t="shared" si="31"/>
        <v>-100</v>
      </c>
      <c r="AK88" s="49"/>
      <c r="AL88" s="49" t="str">
        <f t="shared" si="28"/>
        <v/>
      </c>
      <c r="AM88" s="52" t="str">
        <f>IF(A88&lt;=0,"",_xlfn.XLOOKUP(A88,TL!C:C,TL!C:C))</f>
        <v/>
      </c>
      <c r="AN88" s="52" t="str">
        <f>IF(A88&lt;=0,"",_xlfn.XLOOKUP(A88,Y!C:C,Y!C:C))</f>
        <v/>
      </c>
      <c r="AO88" s="52" t="str">
        <f>IF(A88&lt;=0,"",_xlfn.XLOOKUP(A88,MA!B:B,MA!B:B))</f>
        <v/>
      </c>
    </row>
    <row r="89" spans="1:41" x14ac:dyDescent="0.25">
      <c r="A89" s="444">
        <f>psTn!B90</f>
        <v>0</v>
      </c>
      <c r="B89" s="33">
        <f>psTn!C90</f>
        <v>0</v>
      </c>
      <c r="C89" s="33">
        <f>psTn!D90</f>
        <v>0</v>
      </c>
      <c r="D89" s="33">
        <f>psTn!E90</f>
        <v>0</v>
      </c>
      <c r="E89" s="33">
        <f>psTn!F90</f>
        <v>0</v>
      </c>
      <c r="F89" s="33">
        <f>psTn!G90</f>
        <v>0</v>
      </c>
      <c r="G89" s="44" t="str">
        <f>_xlfn.XLOOKUP(A89,'ps5'!B:B,'ps5'!C:C,"")</f>
        <v/>
      </c>
      <c r="H89" s="44" t="str">
        <f>_xlfn.XLOOKUP(A89,'ps5'!B:B,'ps5'!D:D,"")</f>
        <v/>
      </c>
      <c r="I89" s="44" t="str">
        <f>_xlfn.XLOOKUP(A89,'ps5'!B:B,'ps5'!E:E,"")</f>
        <v/>
      </c>
      <c r="J89" s="44" t="str">
        <f>_xlfn.XLOOKUP(A89,'ps5'!B:B,'ps5'!F:F,"")</f>
        <v/>
      </c>
      <c r="K89" s="44" t="str">
        <f>_xlfn.XLOOKUP(A89,'ps5'!B:B,'ps5'!G:G,"")</f>
        <v/>
      </c>
      <c r="L89" s="44">
        <f t="shared" si="16"/>
        <v>0</v>
      </c>
      <c r="M89" s="44">
        <f t="shared" si="16"/>
        <v>0</v>
      </c>
      <c r="N89" s="44">
        <f t="shared" si="16"/>
        <v>0</v>
      </c>
      <c r="O89" s="50" t="str">
        <f>_xlfn.XLOOKUP(A89,psRk!C:C,psRk!F:F,"")</f>
        <v/>
      </c>
      <c r="P89" s="33" t="str">
        <f>_xlfn.XLOOKUP(A89,psRk!C:C,psRk!G:G,"")</f>
        <v/>
      </c>
      <c r="Q89" s="41" t="str">
        <f>_xlfn.XLOOKUP(A89,psRk!C:C,psRk!H:H,"")</f>
        <v/>
      </c>
      <c r="R89" s="41" t="str">
        <f>_xlfn.XLOOKUP(A89,psRk!C:C,psRk!I:I,"")</f>
        <v/>
      </c>
      <c r="S89" s="27" t="str">
        <f t="shared" si="17"/>
        <v/>
      </c>
      <c r="T89" s="27" t="str">
        <f t="shared" si="18"/>
        <v/>
      </c>
      <c r="U89" s="27" t="str">
        <f t="shared" si="19"/>
        <v/>
      </c>
      <c r="V89" s="27" t="str">
        <f t="shared" si="20"/>
        <v/>
      </c>
      <c r="W89" s="27" t="str">
        <f t="shared" si="21"/>
        <v/>
      </c>
      <c r="X89" s="27" t="str">
        <f t="shared" si="22"/>
        <v/>
      </c>
      <c r="Y89" s="27" t="str">
        <f t="shared" si="23"/>
        <v/>
      </c>
      <c r="Z89" s="47" t="str">
        <f t="shared" si="29"/>
        <v/>
      </c>
      <c r="AA89" s="49" t="str">
        <f t="shared" si="24"/>
        <v/>
      </c>
      <c r="AB89" s="49">
        <f t="shared" si="30"/>
        <v>0</v>
      </c>
      <c r="AC89" s="49" t="str">
        <f t="shared" si="25"/>
        <v/>
      </c>
      <c r="AD89" s="47" t="str">
        <f>_xlfn.XLOOKUP(AC89,Parm!$AN$2:$AN$25,Parm!$AO$2:$AO$25,"")</f>
        <v/>
      </c>
      <c r="AE89" s="49" t="str">
        <f t="shared" si="26"/>
        <v/>
      </c>
      <c r="AF89" s="47" t="str">
        <f>_xlfn.XLOOKUP(AE89,Parm!$AN$2:$AN$25,Parm!$AO$2:$AO$25,"")</f>
        <v/>
      </c>
      <c r="AG89" s="286">
        <f>psTn!A90</f>
        <v>0</v>
      </c>
      <c r="AH89" s="49" t="str" cm="1">
        <f t="array" aca="1" ref="AH89" ca="1">_xlfn.IFS(Z89="","",AND(Z89&gt;0,Z89&lt;$AS$12),MROUND($AS$13*($AS$12-Z89+1)/SUMPRODUCT($AS$12-ROW(INDIRECT("1:" &amp; $AS$12 ))),1000),TRUE,0)</f>
        <v/>
      </c>
      <c r="AI89" s="49" t="e">
        <f t="shared" si="27"/>
        <v>#VALUE!</v>
      </c>
      <c r="AJ89" s="49">
        <f t="shared" si="31"/>
        <v>-100</v>
      </c>
      <c r="AK89" s="49"/>
      <c r="AL89" s="49" t="str">
        <f t="shared" si="28"/>
        <v/>
      </c>
      <c r="AM89" s="52" t="str">
        <f>IF(A89&lt;=0,"",_xlfn.XLOOKUP(A89,TL!C:C,TL!C:C))</f>
        <v/>
      </c>
      <c r="AN89" s="52" t="str">
        <f>IF(A89&lt;=0,"",_xlfn.XLOOKUP(A89,Y!C:C,Y!C:C))</f>
        <v/>
      </c>
      <c r="AO89" s="52" t="str">
        <f>IF(A89&lt;=0,"",_xlfn.XLOOKUP(A89,MA!B:B,MA!B:B))</f>
        <v/>
      </c>
    </row>
    <row r="90" spans="1:41" x14ac:dyDescent="0.25">
      <c r="A90" s="444">
        <f>psTn!B91</f>
        <v>0</v>
      </c>
      <c r="B90" s="33">
        <f>psTn!C91</f>
        <v>0</v>
      </c>
      <c r="C90" s="33">
        <f>psTn!D91</f>
        <v>0</v>
      </c>
      <c r="D90" s="33">
        <f>psTn!E91</f>
        <v>0</v>
      </c>
      <c r="E90" s="33">
        <f>psTn!F91</f>
        <v>0</v>
      </c>
      <c r="F90" s="33">
        <f>psTn!G91</f>
        <v>0</v>
      </c>
      <c r="G90" s="44" t="str">
        <f>_xlfn.XLOOKUP(A90,'ps5'!B:B,'ps5'!C:C,"")</f>
        <v/>
      </c>
      <c r="H90" s="44" t="str">
        <f>_xlfn.XLOOKUP(A90,'ps5'!B:B,'ps5'!D:D,"")</f>
        <v/>
      </c>
      <c r="I90" s="44" t="str">
        <f>_xlfn.XLOOKUP(A90,'ps5'!B:B,'ps5'!E:E,"")</f>
        <v/>
      </c>
      <c r="J90" s="44" t="str">
        <f>_xlfn.XLOOKUP(A90,'ps5'!B:B,'ps5'!F:F,"")</f>
        <v/>
      </c>
      <c r="K90" s="44" t="str">
        <f>_xlfn.XLOOKUP(A90,'ps5'!B:B,'ps5'!G:G,"")</f>
        <v/>
      </c>
      <c r="L90" s="44">
        <f t="shared" si="16"/>
        <v>0</v>
      </c>
      <c r="M90" s="44">
        <f t="shared" si="16"/>
        <v>0</v>
      </c>
      <c r="N90" s="44">
        <f t="shared" si="16"/>
        <v>0</v>
      </c>
      <c r="O90" s="50" t="str">
        <f>_xlfn.XLOOKUP(A90,psRk!C:C,psRk!F:F,"")</f>
        <v/>
      </c>
      <c r="P90" s="33" t="str">
        <f>_xlfn.XLOOKUP(A90,psRk!C:C,psRk!G:G,"")</f>
        <v/>
      </c>
      <c r="Q90" s="41" t="str">
        <f>_xlfn.XLOOKUP(A90,psRk!C:C,psRk!H:H,"")</f>
        <v/>
      </c>
      <c r="R90" s="41" t="str">
        <f>_xlfn.XLOOKUP(A90,psRk!C:C,psRk!I:I,"")</f>
        <v/>
      </c>
      <c r="S90" s="27" t="str">
        <f t="shared" si="17"/>
        <v/>
      </c>
      <c r="T90" s="27" t="str">
        <f t="shared" si="18"/>
        <v/>
      </c>
      <c r="U90" s="27" t="str">
        <f t="shared" si="19"/>
        <v/>
      </c>
      <c r="V90" s="27" t="str">
        <f t="shared" si="20"/>
        <v/>
      </c>
      <c r="W90" s="27" t="str">
        <f t="shared" si="21"/>
        <v/>
      </c>
      <c r="X90" s="27" t="str">
        <f t="shared" si="22"/>
        <v/>
      </c>
      <c r="Y90" s="27" t="str">
        <f t="shared" si="23"/>
        <v/>
      </c>
      <c r="Z90" s="47" t="str">
        <f t="shared" si="29"/>
        <v/>
      </c>
      <c r="AA90" s="49" t="str">
        <f t="shared" si="24"/>
        <v/>
      </c>
      <c r="AB90" s="49">
        <f t="shared" si="30"/>
        <v>0</v>
      </c>
      <c r="AC90" s="49" t="str">
        <f t="shared" si="25"/>
        <v/>
      </c>
      <c r="AD90" s="47" t="str">
        <f>_xlfn.XLOOKUP(AC90,Parm!$AN$2:$AN$25,Parm!$AO$2:$AO$25,"")</f>
        <v/>
      </c>
      <c r="AE90" s="49" t="str">
        <f t="shared" si="26"/>
        <v/>
      </c>
      <c r="AF90" s="47" t="str">
        <f>_xlfn.XLOOKUP(AE90,Parm!$AN$2:$AN$25,Parm!$AO$2:$AO$25,"")</f>
        <v/>
      </c>
      <c r="AG90" s="286">
        <f>psTn!A91</f>
        <v>0</v>
      </c>
      <c r="AH90" s="49" t="str" cm="1">
        <f t="array" aca="1" ref="AH90" ca="1">_xlfn.IFS(Z90="","",AND(Z90&gt;0,Z90&lt;$AS$12),MROUND($AS$13*($AS$12-Z90+1)/SUMPRODUCT($AS$12-ROW(INDIRECT("1:" &amp; $AS$12 ))),1000),TRUE,0)</f>
        <v/>
      </c>
      <c r="AI90" s="49" t="e">
        <f t="shared" si="27"/>
        <v>#VALUE!</v>
      </c>
      <c r="AJ90" s="49">
        <f t="shared" si="31"/>
        <v>-100</v>
      </c>
      <c r="AK90" s="49"/>
      <c r="AL90" s="49" t="str">
        <f t="shared" si="28"/>
        <v/>
      </c>
      <c r="AM90" s="52" t="str">
        <f>IF(A90&lt;=0,"",_xlfn.XLOOKUP(A90,TL!C:C,TL!C:C))</f>
        <v/>
      </c>
      <c r="AN90" s="52" t="str">
        <f>IF(A90&lt;=0,"",_xlfn.XLOOKUP(A90,Y!C:C,Y!C:C))</f>
        <v/>
      </c>
      <c r="AO90" s="52" t="str">
        <f>IF(A90&lt;=0,"",_xlfn.XLOOKUP(A90,MA!B:B,MA!B:B))</f>
        <v/>
      </c>
    </row>
    <row r="91" spans="1:41" x14ac:dyDescent="0.25">
      <c r="A91" s="444">
        <f>psTn!B92</f>
        <v>0</v>
      </c>
      <c r="B91" s="33">
        <f>psTn!C92</f>
        <v>0</v>
      </c>
      <c r="C91" s="33">
        <f>psTn!D92</f>
        <v>0</v>
      </c>
      <c r="D91" s="33">
        <f>psTn!E92</f>
        <v>0</v>
      </c>
      <c r="E91" s="33">
        <f>psTn!F92</f>
        <v>0</v>
      </c>
      <c r="F91" s="33">
        <f>psTn!G92</f>
        <v>0</v>
      </c>
      <c r="G91" s="44" t="str">
        <f>_xlfn.XLOOKUP(A91,'ps5'!B:B,'ps5'!C:C,"")</f>
        <v/>
      </c>
      <c r="H91" s="44" t="str">
        <f>_xlfn.XLOOKUP(A91,'ps5'!B:B,'ps5'!D:D,"")</f>
        <v/>
      </c>
      <c r="I91" s="44" t="str">
        <f>_xlfn.XLOOKUP(A91,'ps5'!B:B,'ps5'!E:E,"")</f>
        <v/>
      </c>
      <c r="J91" s="44" t="str">
        <f>_xlfn.XLOOKUP(A91,'ps5'!B:B,'ps5'!F:F,"")</f>
        <v/>
      </c>
      <c r="K91" s="44" t="str">
        <f>_xlfn.XLOOKUP(A91,'ps5'!B:B,'ps5'!G:G,"")</f>
        <v/>
      </c>
      <c r="L91" s="44">
        <f t="shared" si="16"/>
        <v>0</v>
      </c>
      <c r="M91" s="44">
        <f t="shared" si="16"/>
        <v>0</v>
      </c>
      <c r="N91" s="44">
        <f t="shared" si="16"/>
        <v>0</v>
      </c>
      <c r="O91" s="50" t="str">
        <f>_xlfn.XLOOKUP(A91,psRk!C:C,psRk!F:F,"")</f>
        <v/>
      </c>
      <c r="P91" s="33" t="str">
        <f>_xlfn.XLOOKUP(A91,psRk!C:C,psRk!G:G,"")</f>
        <v/>
      </c>
      <c r="Q91" s="41" t="str">
        <f>_xlfn.XLOOKUP(A91,psRk!C:C,psRk!H:H,"")</f>
        <v/>
      </c>
      <c r="R91" s="41" t="str">
        <f>_xlfn.XLOOKUP(A91,psRk!C:C,psRk!I:I,"")</f>
        <v/>
      </c>
      <c r="S91" s="27" t="str">
        <f t="shared" si="17"/>
        <v/>
      </c>
      <c r="T91" s="27" t="str">
        <f t="shared" si="18"/>
        <v/>
      </c>
      <c r="U91" s="27" t="str">
        <f t="shared" si="19"/>
        <v/>
      </c>
      <c r="V91" s="27" t="str">
        <f t="shared" si="20"/>
        <v/>
      </c>
      <c r="W91" s="27" t="str">
        <f t="shared" si="21"/>
        <v/>
      </c>
      <c r="X91" s="27" t="str">
        <f t="shared" si="22"/>
        <v/>
      </c>
      <c r="Y91" s="27" t="str">
        <f t="shared" si="23"/>
        <v/>
      </c>
      <c r="Z91" s="47" t="str">
        <f t="shared" si="29"/>
        <v/>
      </c>
      <c r="AA91" s="49" t="str">
        <f t="shared" si="24"/>
        <v/>
      </c>
      <c r="AB91" s="49">
        <f t="shared" si="30"/>
        <v>0</v>
      </c>
      <c r="AC91" s="49" t="str">
        <f t="shared" si="25"/>
        <v/>
      </c>
      <c r="AD91" s="47" t="str">
        <f>_xlfn.XLOOKUP(AC91,Parm!$AN$2:$AN$25,Parm!$AO$2:$AO$25,"")</f>
        <v/>
      </c>
      <c r="AE91" s="49" t="str">
        <f t="shared" si="26"/>
        <v/>
      </c>
      <c r="AF91" s="47" t="str">
        <f>_xlfn.XLOOKUP(AE91,Parm!$AN$2:$AN$25,Parm!$AO$2:$AO$25,"")</f>
        <v/>
      </c>
      <c r="AG91" s="286">
        <f>psTn!A92</f>
        <v>0</v>
      </c>
      <c r="AH91" s="49" t="str" cm="1">
        <f t="array" aca="1" ref="AH91" ca="1">_xlfn.IFS(Z91="","",AND(Z91&gt;0,Z91&lt;$AS$12),MROUND($AS$13*($AS$12-Z91+1)/SUMPRODUCT($AS$12-ROW(INDIRECT("1:" &amp; $AS$12 ))),1000),TRUE,0)</f>
        <v/>
      </c>
      <c r="AI91" s="49" t="e">
        <f t="shared" si="27"/>
        <v>#VALUE!</v>
      </c>
      <c r="AJ91" s="49">
        <f t="shared" si="31"/>
        <v>-100</v>
      </c>
      <c r="AK91" s="49"/>
      <c r="AL91" s="49" t="str">
        <f t="shared" si="28"/>
        <v/>
      </c>
      <c r="AM91" s="52" t="str">
        <f>IF(A91&lt;=0,"",_xlfn.XLOOKUP(A91,TL!C:C,TL!C:C))</f>
        <v/>
      </c>
      <c r="AN91" s="52" t="str">
        <f>IF(A91&lt;=0,"",_xlfn.XLOOKUP(A91,Y!C:C,Y!C:C))</f>
        <v/>
      </c>
      <c r="AO91" s="52" t="str">
        <f>IF(A91&lt;=0,"",_xlfn.XLOOKUP(A91,MA!B:B,MA!B:B))</f>
        <v/>
      </c>
    </row>
    <row r="92" spans="1:41" x14ac:dyDescent="0.25">
      <c r="A92" s="444">
        <f>psTn!B93</f>
        <v>0</v>
      </c>
      <c r="B92" s="33">
        <f>psTn!C93</f>
        <v>0</v>
      </c>
      <c r="C92" s="33">
        <f>psTn!D93</f>
        <v>0</v>
      </c>
      <c r="D92" s="33">
        <f>psTn!E93</f>
        <v>0</v>
      </c>
      <c r="E92" s="33">
        <f>psTn!F93</f>
        <v>0</v>
      </c>
      <c r="F92" s="33">
        <f>psTn!G93</f>
        <v>0</v>
      </c>
      <c r="G92" s="44" t="str">
        <f>_xlfn.XLOOKUP(A92,'ps5'!B:B,'ps5'!C:C,"")</f>
        <v/>
      </c>
      <c r="H92" s="44" t="str">
        <f>_xlfn.XLOOKUP(A92,'ps5'!B:B,'ps5'!D:D,"")</f>
        <v/>
      </c>
      <c r="I92" s="44" t="str">
        <f>_xlfn.XLOOKUP(A92,'ps5'!B:B,'ps5'!E:E,"")</f>
        <v/>
      </c>
      <c r="J92" s="44" t="str">
        <f>_xlfn.XLOOKUP(A92,'ps5'!B:B,'ps5'!F:F,"")</f>
        <v/>
      </c>
      <c r="K92" s="44" t="str">
        <f>_xlfn.XLOOKUP(A92,'ps5'!B:B,'ps5'!G:G,"")</f>
        <v/>
      </c>
      <c r="L92" s="44">
        <f t="shared" si="16"/>
        <v>0</v>
      </c>
      <c r="M92" s="44">
        <f t="shared" si="16"/>
        <v>0</v>
      </c>
      <c r="N92" s="44">
        <f t="shared" si="16"/>
        <v>0</v>
      </c>
      <c r="O92" s="50" t="str">
        <f>_xlfn.XLOOKUP(A92,psRk!C:C,psRk!F:F,"")</f>
        <v/>
      </c>
      <c r="P92" s="33" t="str">
        <f>_xlfn.XLOOKUP(A92,psRk!C:C,psRk!G:G,"")</f>
        <v/>
      </c>
      <c r="Q92" s="41" t="str">
        <f>_xlfn.XLOOKUP(A92,psRk!C:C,psRk!H:H,"")</f>
        <v/>
      </c>
      <c r="R92" s="41" t="str">
        <f>_xlfn.XLOOKUP(A92,psRk!C:C,psRk!I:I,"")</f>
        <v/>
      </c>
      <c r="S92" s="27" t="str">
        <f t="shared" si="17"/>
        <v/>
      </c>
      <c r="T92" s="27" t="str">
        <f t="shared" si="18"/>
        <v/>
      </c>
      <c r="U92" s="27" t="str">
        <f t="shared" si="19"/>
        <v/>
      </c>
      <c r="V92" s="27" t="str">
        <f t="shared" si="20"/>
        <v/>
      </c>
      <c r="W92" s="27" t="str">
        <f t="shared" si="21"/>
        <v/>
      </c>
      <c r="X92" s="27" t="str">
        <f t="shared" si="22"/>
        <v/>
      </c>
      <c r="Y92" s="27" t="str">
        <f t="shared" si="23"/>
        <v/>
      </c>
      <c r="Z92" s="47" t="str">
        <f t="shared" si="29"/>
        <v/>
      </c>
      <c r="AA92" s="49" t="str">
        <f t="shared" si="24"/>
        <v/>
      </c>
      <c r="AB92" s="49">
        <f t="shared" si="30"/>
        <v>0</v>
      </c>
      <c r="AC92" s="49" t="str">
        <f t="shared" si="25"/>
        <v/>
      </c>
      <c r="AD92" s="47" t="str">
        <f>_xlfn.XLOOKUP(AC92,Parm!$AN$2:$AN$25,Parm!$AO$2:$AO$25,"")</f>
        <v/>
      </c>
      <c r="AE92" s="49" t="str">
        <f t="shared" si="26"/>
        <v/>
      </c>
      <c r="AF92" s="47" t="str">
        <f>_xlfn.XLOOKUP(AE92,Parm!$AN$2:$AN$25,Parm!$AO$2:$AO$25,"")</f>
        <v/>
      </c>
      <c r="AG92" s="286">
        <f>psTn!A93</f>
        <v>0</v>
      </c>
      <c r="AH92" s="49" t="str" cm="1">
        <f t="array" aca="1" ref="AH92" ca="1">_xlfn.IFS(Z92="","",AND(Z92&gt;0,Z92&lt;$AS$12),MROUND($AS$13*($AS$12-Z92+1)/SUMPRODUCT($AS$12-ROW(INDIRECT("1:" &amp; $AS$12 ))),1000),TRUE,0)</f>
        <v/>
      </c>
      <c r="AI92" s="49" t="e">
        <f t="shared" si="27"/>
        <v>#VALUE!</v>
      </c>
      <c r="AJ92" s="49">
        <f t="shared" si="31"/>
        <v>-100</v>
      </c>
      <c r="AK92" s="49"/>
      <c r="AL92" s="49" t="str">
        <f t="shared" si="28"/>
        <v/>
      </c>
      <c r="AM92" s="52" t="str">
        <f>IF(A92&lt;=0,"",_xlfn.XLOOKUP(A92,TL!C:C,TL!C:C))</f>
        <v/>
      </c>
      <c r="AN92" s="52" t="str">
        <f>IF(A92&lt;=0,"",_xlfn.XLOOKUP(A92,Y!C:C,Y!C:C))</f>
        <v/>
      </c>
      <c r="AO92" s="52" t="str">
        <f>IF(A92&lt;=0,"",_xlfn.XLOOKUP(A92,MA!B:B,MA!B:B))</f>
        <v/>
      </c>
    </row>
    <row r="93" spans="1:41" x14ac:dyDescent="0.25">
      <c r="A93" s="444">
        <f>psTn!B94</f>
        <v>0</v>
      </c>
      <c r="B93" s="33">
        <f>psTn!C94</f>
        <v>0</v>
      </c>
      <c r="C93" s="33">
        <f>psTn!D94</f>
        <v>0</v>
      </c>
      <c r="D93" s="33">
        <f>psTn!E94</f>
        <v>0</v>
      </c>
      <c r="E93" s="33">
        <f>psTn!F94</f>
        <v>0</v>
      </c>
      <c r="F93" s="33">
        <f>psTn!G94</f>
        <v>0</v>
      </c>
      <c r="G93" s="44" t="str">
        <f>_xlfn.XLOOKUP(A93,'ps5'!B:B,'ps5'!C:C,"")</f>
        <v/>
      </c>
      <c r="H93" s="44" t="str">
        <f>_xlfn.XLOOKUP(A93,'ps5'!B:B,'ps5'!D:D,"")</f>
        <v/>
      </c>
      <c r="I93" s="44" t="str">
        <f>_xlfn.XLOOKUP(A93,'ps5'!B:B,'ps5'!E:E,"")</f>
        <v/>
      </c>
      <c r="J93" s="44" t="str">
        <f>_xlfn.XLOOKUP(A93,'ps5'!B:B,'ps5'!F:F,"")</f>
        <v/>
      </c>
      <c r="K93" s="44" t="str">
        <f>_xlfn.XLOOKUP(A93,'ps5'!B:B,'ps5'!G:G,"")</f>
        <v/>
      </c>
      <c r="L93" s="44">
        <f t="shared" si="16"/>
        <v>0</v>
      </c>
      <c r="M93" s="44">
        <f t="shared" si="16"/>
        <v>0</v>
      </c>
      <c r="N93" s="44">
        <f t="shared" si="16"/>
        <v>0</v>
      </c>
      <c r="O93" s="50" t="str">
        <f>_xlfn.XLOOKUP(A93,psRk!C:C,psRk!F:F,"")</f>
        <v/>
      </c>
      <c r="P93" s="33" t="str">
        <f>_xlfn.XLOOKUP(A93,psRk!C:C,psRk!G:G,"")</f>
        <v/>
      </c>
      <c r="Q93" s="41" t="str">
        <f>_xlfn.XLOOKUP(A93,psRk!C:C,psRk!H:H,"")</f>
        <v/>
      </c>
      <c r="R93" s="41" t="str">
        <f>_xlfn.XLOOKUP(A93,psRk!C:C,psRk!I:I,"")</f>
        <v/>
      </c>
      <c r="S93" s="27" t="str">
        <f t="shared" si="17"/>
        <v/>
      </c>
      <c r="T93" s="27" t="str">
        <f t="shared" si="18"/>
        <v/>
      </c>
      <c r="U93" s="27" t="str">
        <f t="shared" si="19"/>
        <v/>
      </c>
      <c r="V93" s="27" t="str">
        <f t="shared" si="20"/>
        <v/>
      </c>
      <c r="W93" s="27" t="str">
        <f t="shared" si="21"/>
        <v/>
      </c>
      <c r="X93" s="27" t="str">
        <f t="shared" si="22"/>
        <v/>
      </c>
      <c r="Y93" s="27" t="str">
        <f t="shared" si="23"/>
        <v/>
      </c>
      <c r="Z93" s="47" t="str">
        <f t="shared" si="29"/>
        <v/>
      </c>
      <c r="AA93" s="49" t="str">
        <f t="shared" si="24"/>
        <v/>
      </c>
      <c r="AB93" s="49">
        <f t="shared" si="30"/>
        <v>0</v>
      </c>
      <c r="AC93" s="49" t="str">
        <f t="shared" si="25"/>
        <v/>
      </c>
      <c r="AD93" s="47" t="str">
        <f>_xlfn.XLOOKUP(AC93,Parm!$AN$2:$AN$25,Parm!$AO$2:$AO$25,"")</f>
        <v/>
      </c>
      <c r="AE93" s="49" t="str">
        <f t="shared" si="26"/>
        <v/>
      </c>
      <c r="AF93" s="47" t="str">
        <f>_xlfn.XLOOKUP(AE93,Parm!$AN$2:$AN$25,Parm!$AO$2:$AO$25,"")</f>
        <v/>
      </c>
      <c r="AG93" s="286">
        <f>psTn!A94</f>
        <v>0</v>
      </c>
      <c r="AH93" s="49" t="str" cm="1">
        <f t="array" aca="1" ref="AH93" ca="1">_xlfn.IFS(Z93="","",AND(Z93&gt;0,Z93&lt;$AS$12),MROUND($AS$13*($AS$12-Z93+1)/SUMPRODUCT($AS$12-ROW(INDIRECT("1:" &amp; $AS$12 ))),1000),TRUE,0)</f>
        <v/>
      </c>
      <c r="AI93" s="49" t="e">
        <f t="shared" si="27"/>
        <v>#VALUE!</v>
      </c>
      <c r="AJ93" s="49">
        <f t="shared" si="31"/>
        <v>-100</v>
      </c>
      <c r="AK93" s="49"/>
      <c r="AL93" s="49" t="str">
        <f t="shared" si="28"/>
        <v/>
      </c>
      <c r="AM93" s="52" t="str">
        <f>IF(A93&lt;=0,"",_xlfn.XLOOKUP(A93,TL!C:C,TL!C:C))</f>
        <v/>
      </c>
      <c r="AN93" s="52" t="str">
        <f>IF(A93&lt;=0,"",_xlfn.XLOOKUP(A93,Y!C:C,Y!C:C))</f>
        <v/>
      </c>
      <c r="AO93" s="52" t="str">
        <f>IF(A93&lt;=0,"",_xlfn.XLOOKUP(A93,MA!B:B,MA!B:B))</f>
        <v/>
      </c>
    </row>
    <row r="94" spans="1:41" x14ac:dyDescent="0.25">
      <c r="A94" s="444">
        <f>psTn!B95</f>
        <v>0</v>
      </c>
      <c r="B94" s="33">
        <f>psTn!C95</f>
        <v>0</v>
      </c>
      <c r="C94" s="33">
        <f>psTn!D95</f>
        <v>0</v>
      </c>
      <c r="D94" s="33">
        <f>psTn!E95</f>
        <v>0</v>
      </c>
      <c r="E94" s="33">
        <f>psTn!F95</f>
        <v>0</v>
      </c>
      <c r="F94" s="33">
        <f>psTn!G95</f>
        <v>0</v>
      </c>
      <c r="G94" s="44" t="str">
        <f>_xlfn.XLOOKUP(A94,'ps5'!B:B,'ps5'!C:C,"")</f>
        <v/>
      </c>
      <c r="H94" s="44" t="str">
        <f>_xlfn.XLOOKUP(A94,'ps5'!B:B,'ps5'!D:D,"")</f>
        <v/>
      </c>
      <c r="I94" s="44" t="str">
        <f>_xlfn.XLOOKUP(A94,'ps5'!B:B,'ps5'!E:E,"")</f>
        <v/>
      </c>
      <c r="J94" s="44" t="str">
        <f>_xlfn.XLOOKUP(A94,'ps5'!B:B,'ps5'!F:F,"")</f>
        <v/>
      </c>
      <c r="K94" s="44" t="str">
        <f>_xlfn.XLOOKUP(A94,'ps5'!B:B,'ps5'!G:G,"")</f>
        <v/>
      </c>
      <c r="L94" s="44">
        <f t="shared" si="16"/>
        <v>0</v>
      </c>
      <c r="M94" s="44">
        <f t="shared" si="16"/>
        <v>0</v>
      </c>
      <c r="N94" s="44">
        <f t="shared" si="16"/>
        <v>0</v>
      </c>
      <c r="O94" s="50" t="str">
        <f>_xlfn.XLOOKUP(A94,psRk!C:C,psRk!F:F,"")</f>
        <v/>
      </c>
      <c r="P94" s="33" t="str">
        <f>_xlfn.XLOOKUP(A94,psRk!C:C,psRk!G:G,"")</f>
        <v/>
      </c>
      <c r="Q94" s="41" t="str">
        <f>_xlfn.XLOOKUP(A94,psRk!C:C,psRk!H:H,"")</f>
        <v/>
      </c>
      <c r="R94" s="41" t="str">
        <f>_xlfn.XLOOKUP(A94,psRk!C:C,psRk!I:I,"")</f>
        <v/>
      </c>
      <c r="S94" s="27" t="str">
        <f t="shared" si="17"/>
        <v/>
      </c>
      <c r="T94" s="27" t="str">
        <f t="shared" si="18"/>
        <v/>
      </c>
      <c r="U94" s="27" t="str">
        <f t="shared" si="19"/>
        <v/>
      </c>
      <c r="V94" s="27" t="str">
        <f t="shared" si="20"/>
        <v/>
      </c>
      <c r="W94" s="27" t="str">
        <f t="shared" si="21"/>
        <v/>
      </c>
      <c r="X94" s="27" t="str">
        <f t="shared" si="22"/>
        <v/>
      </c>
      <c r="Y94" s="27" t="str">
        <f t="shared" si="23"/>
        <v/>
      </c>
      <c r="Z94" s="47" t="str">
        <f t="shared" si="29"/>
        <v/>
      </c>
      <c r="AA94" s="49" t="str">
        <f t="shared" si="24"/>
        <v/>
      </c>
      <c r="AB94" s="49">
        <f t="shared" si="30"/>
        <v>0</v>
      </c>
      <c r="AC94" s="49" t="str">
        <f t="shared" si="25"/>
        <v/>
      </c>
      <c r="AD94" s="47" t="str">
        <f>_xlfn.XLOOKUP(AC94,Parm!$AN$2:$AN$25,Parm!$AO$2:$AO$25,"")</f>
        <v/>
      </c>
      <c r="AE94" s="49" t="str">
        <f t="shared" si="26"/>
        <v/>
      </c>
      <c r="AF94" s="47" t="str">
        <f>_xlfn.XLOOKUP(AE94,Parm!$AN$2:$AN$25,Parm!$AO$2:$AO$25,"")</f>
        <v/>
      </c>
      <c r="AG94" s="286">
        <f>psTn!A95</f>
        <v>0</v>
      </c>
      <c r="AH94" s="49" t="str" cm="1">
        <f t="array" aca="1" ref="AH94" ca="1">_xlfn.IFS(Z94="","",AND(Z94&gt;0,Z94&lt;$AS$12),MROUND($AS$13*($AS$12-Z94+1)/SUMPRODUCT($AS$12-ROW(INDIRECT("1:" &amp; $AS$12 ))),1000),TRUE,0)</f>
        <v/>
      </c>
      <c r="AI94" s="49" t="e">
        <f t="shared" si="27"/>
        <v>#VALUE!</v>
      </c>
      <c r="AJ94" s="49">
        <f t="shared" si="31"/>
        <v>-100</v>
      </c>
      <c r="AK94" s="49"/>
      <c r="AL94" s="49" t="str">
        <f t="shared" si="28"/>
        <v/>
      </c>
      <c r="AM94" s="52" t="str">
        <f>IF(A94&lt;=0,"",_xlfn.XLOOKUP(A94,TL!C:C,TL!C:C))</f>
        <v/>
      </c>
      <c r="AN94" s="52" t="str">
        <f>IF(A94&lt;=0,"",_xlfn.XLOOKUP(A94,Y!C:C,Y!C:C))</f>
        <v/>
      </c>
      <c r="AO94" s="52" t="str">
        <f>IF(A94&lt;=0,"",_xlfn.XLOOKUP(A94,MA!B:B,MA!B:B))</f>
        <v/>
      </c>
    </row>
    <row r="95" spans="1:41" x14ac:dyDescent="0.25">
      <c r="A95" s="444">
        <f>psTn!B96</f>
        <v>0</v>
      </c>
      <c r="B95" s="33">
        <f>psTn!C96</f>
        <v>0</v>
      </c>
      <c r="C95" s="33">
        <f>psTn!D96</f>
        <v>0</v>
      </c>
      <c r="D95" s="33">
        <f>psTn!E96</f>
        <v>0</v>
      </c>
      <c r="E95" s="33">
        <f>psTn!F96</f>
        <v>0</v>
      </c>
      <c r="F95" s="33">
        <f>psTn!G96</f>
        <v>0</v>
      </c>
      <c r="G95" s="44" t="str">
        <f>_xlfn.XLOOKUP(A95,'ps5'!B:B,'ps5'!C:C,"")</f>
        <v/>
      </c>
      <c r="H95" s="44" t="str">
        <f>_xlfn.XLOOKUP(A95,'ps5'!B:B,'ps5'!D:D,"")</f>
        <v/>
      </c>
      <c r="I95" s="44" t="str">
        <f>_xlfn.XLOOKUP(A95,'ps5'!B:B,'ps5'!E:E,"")</f>
        <v/>
      </c>
      <c r="J95" s="44" t="str">
        <f>_xlfn.XLOOKUP(A95,'ps5'!B:B,'ps5'!F:F,"")</f>
        <v/>
      </c>
      <c r="K95" s="44" t="str">
        <f>_xlfn.XLOOKUP(A95,'ps5'!B:B,'ps5'!G:G,"")</f>
        <v/>
      </c>
      <c r="L95" s="44">
        <f t="shared" si="16"/>
        <v>0</v>
      </c>
      <c r="M95" s="44">
        <f t="shared" si="16"/>
        <v>0</v>
      </c>
      <c r="N95" s="44">
        <f t="shared" si="16"/>
        <v>0</v>
      </c>
      <c r="O95" s="50" t="str">
        <f>_xlfn.XLOOKUP(A95,psRk!C:C,psRk!F:F,"")</f>
        <v/>
      </c>
      <c r="P95" s="33" t="str">
        <f>_xlfn.XLOOKUP(A95,psRk!C:C,psRk!G:G,"")</f>
        <v/>
      </c>
      <c r="Q95" s="41" t="str">
        <f>_xlfn.XLOOKUP(A95,psRk!C:C,psRk!H:H,"")</f>
        <v/>
      </c>
      <c r="R95" s="41" t="str">
        <f>_xlfn.XLOOKUP(A95,psRk!C:C,psRk!I:I,"")</f>
        <v/>
      </c>
      <c r="S95" s="27" t="str">
        <f t="shared" si="17"/>
        <v/>
      </c>
      <c r="T95" s="27" t="str">
        <f t="shared" si="18"/>
        <v/>
      </c>
      <c r="U95" s="27" t="str">
        <f t="shared" si="19"/>
        <v/>
      </c>
      <c r="V95" s="27" t="str">
        <f t="shared" si="20"/>
        <v/>
      </c>
      <c r="W95" s="27" t="str">
        <f t="shared" si="21"/>
        <v/>
      </c>
      <c r="X95" s="27" t="str">
        <f t="shared" si="22"/>
        <v/>
      </c>
      <c r="Y95" s="27" t="str">
        <f t="shared" si="23"/>
        <v/>
      </c>
      <c r="Z95" s="47" t="str">
        <f t="shared" si="29"/>
        <v/>
      </c>
      <c r="AA95" s="49" t="str">
        <f t="shared" si="24"/>
        <v/>
      </c>
      <c r="AB95" s="49">
        <f t="shared" si="30"/>
        <v>0</v>
      </c>
      <c r="AC95" s="49" t="str">
        <f t="shared" si="25"/>
        <v/>
      </c>
      <c r="AD95" s="47" t="str">
        <f>_xlfn.XLOOKUP(AC95,Parm!$AN$2:$AN$25,Parm!$AO$2:$AO$25,"")</f>
        <v/>
      </c>
      <c r="AE95" s="49" t="str">
        <f t="shared" si="26"/>
        <v/>
      </c>
      <c r="AF95" s="47" t="str">
        <f>_xlfn.XLOOKUP(AE95,Parm!$AN$2:$AN$25,Parm!$AO$2:$AO$25,"")</f>
        <v/>
      </c>
      <c r="AG95" s="286">
        <f>psTn!A96</f>
        <v>0</v>
      </c>
      <c r="AH95" s="49" t="str" cm="1">
        <f t="array" aca="1" ref="AH95" ca="1">_xlfn.IFS(Z95="","",AND(Z95&gt;0,Z95&lt;$AS$12),MROUND($AS$13*($AS$12-Z95+1)/SUMPRODUCT($AS$12-ROW(INDIRECT("1:" &amp; $AS$12 ))),1000),TRUE,0)</f>
        <v/>
      </c>
      <c r="AI95" s="49" t="e">
        <f t="shared" si="27"/>
        <v>#VALUE!</v>
      </c>
      <c r="AJ95" s="49">
        <f t="shared" si="31"/>
        <v>-100</v>
      </c>
      <c r="AK95" s="49"/>
      <c r="AL95" s="49" t="str">
        <f t="shared" si="28"/>
        <v/>
      </c>
      <c r="AM95" s="52" t="str">
        <f>IF(A95&lt;=0,"",_xlfn.XLOOKUP(A95,TL!C:C,TL!C:C))</f>
        <v/>
      </c>
      <c r="AN95" s="52" t="str">
        <f>IF(A95&lt;=0,"",_xlfn.XLOOKUP(A95,Y!C:C,Y!C:C))</f>
        <v/>
      </c>
      <c r="AO95" s="52" t="str">
        <f>IF(A95&lt;=0,"",_xlfn.XLOOKUP(A95,MA!B:B,MA!B:B))</f>
        <v/>
      </c>
    </row>
    <row r="96" spans="1:41" x14ac:dyDescent="0.25">
      <c r="A96" s="444">
        <f>psTn!B97</f>
        <v>0</v>
      </c>
      <c r="B96" s="33">
        <f>psTn!C97</f>
        <v>0</v>
      </c>
      <c r="C96" s="33">
        <f>psTn!D97</f>
        <v>0</v>
      </c>
      <c r="D96" s="33">
        <f>psTn!E97</f>
        <v>0</v>
      </c>
      <c r="E96" s="33">
        <f>psTn!F97</f>
        <v>0</v>
      </c>
      <c r="F96" s="33">
        <f>psTn!G97</f>
        <v>0</v>
      </c>
      <c r="G96" s="44" t="str">
        <f>_xlfn.XLOOKUP(A96,'ps5'!B:B,'ps5'!C:C,"")</f>
        <v/>
      </c>
      <c r="H96" s="44" t="str">
        <f>_xlfn.XLOOKUP(A96,'ps5'!B:B,'ps5'!D:D,"")</f>
        <v/>
      </c>
      <c r="I96" s="44" t="str">
        <f>_xlfn.XLOOKUP(A96,'ps5'!B:B,'ps5'!E:E,"")</f>
        <v/>
      </c>
      <c r="J96" s="44" t="str">
        <f>_xlfn.XLOOKUP(A96,'ps5'!B:B,'ps5'!F:F,"")</f>
        <v/>
      </c>
      <c r="K96" s="44" t="str">
        <f>_xlfn.XLOOKUP(A96,'ps5'!B:B,'ps5'!G:G,"")</f>
        <v/>
      </c>
      <c r="L96" s="44">
        <f t="shared" si="16"/>
        <v>0</v>
      </c>
      <c r="M96" s="44">
        <f t="shared" si="16"/>
        <v>0</v>
      </c>
      <c r="N96" s="44">
        <f t="shared" si="16"/>
        <v>0</v>
      </c>
      <c r="O96" s="50" t="str">
        <f>_xlfn.XLOOKUP(A96,psRk!C:C,psRk!F:F,"")</f>
        <v/>
      </c>
      <c r="P96" s="33" t="str">
        <f>_xlfn.XLOOKUP(A96,psRk!C:C,psRk!G:G,"")</f>
        <v/>
      </c>
      <c r="Q96" s="41" t="str">
        <f>_xlfn.XLOOKUP(A96,psRk!C:C,psRk!H:H,"")</f>
        <v/>
      </c>
      <c r="R96" s="41" t="str">
        <f>_xlfn.XLOOKUP(A96,psRk!C:C,psRk!I:I,"")</f>
        <v/>
      </c>
      <c r="S96" s="27" t="str">
        <f t="shared" si="17"/>
        <v/>
      </c>
      <c r="T96" s="27" t="str">
        <f t="shared" si="18"/>
        <v/>
      </c>
      <c r="U96" s="27" t="str">
        <f t="shared" si="19"/>
        <v/>
      </c>
      <c r="V96" s="27" t="str">
        <f t="shared" si="20"/>
        <v/>
      </c>
      <c r="W96" s="27" t="str">
        <f t="shared" si="21"/>
        <v/>
      </c>
      <c r="X96" s="27" t="str">
        <f t="shared" si="22"/>
        <v/>
      </c>
      <c r="Y96" s="27" t="str">
        <f t="shared" si="23"/>
        <v/>
      </c>
      <c r="Z96" s="47" t="str">
        <f t="shared" si="29"/>
        <v/>
      </c>
      <c r="AA96" s="49" t="str">
        <f t="shared" si="24"/>
        <v/>
      </c>
      <c r="AB96" s="49">
        <f t="shared" si="30"/>
        <v>0</v>
      </c>
      <c r="AC96" s="49" t="str">
        <f t="shared" si="25"/>
        <v/>
      </c>
      <c r="AD96" s="47" t="str">
        <f>_xlfn.XLOOKUP(AC96,Parm!$AN$2:$AN$25,Parm!$AO$2:$AO$25,"")</f>
        <v/>
      </c>
      <c r="AE96" s="49" t="str">
        <f t="shared" si="26"/>
        <v/>
      </c>
      <c r="AF96" s="47" t="str">
        <f>_xlfn.XLOOKUP(AE96,Parm!$AN$2:$AN$25,Parm!$AO$2:$AO$25,"")</f>
        <v/>
      </c>
      <c r="AG96" s="286">
        <f>psTn!A97</f>
        <v>0</v>
      </c>
      <c r="AH96" s="49" t="str" cm="1">
        <f t="array" aca="1" ref="AH96" ca="1">_xlfn.IFS(Z96="","",AND(Z96&gt;0,Z96&lt;$AS$12),MROUND($AS$13*($AS$12-Z96+1)/SUMPRODUCT($AS$12-ROW(INDIRECT("1:" &amp; $AS$12 ))),1000),TRUE,0)</f>
        <v/>
      </c>
      <c r="AI96" s="49" t="e">
        <f t="shared" si="27"/>
        <v>#VALUE!</v>
      </c>
      <c r="AJ96" s="49">
        <f t="shared" si="31"/>
        <v>-100</v>
      </c>
      <c r="AK96" s="49"/>
      <c r="AL96" s="49" t="str">
        <f t="shared" si="28"/>
        <v/>
      </c>
      <c r="AM96" s="52" t="str">
        <f>IF(A96&lt;=0,"",_xlfn.XLOOKUP(A96,TL!C:C,TL!C:C))</f>
        <v/>
      </c>
      <c r="AN96" s="52" t="str">
        <f>IF(A96&lt;=0,"",_xlfn.XLOOKUP(A96,Y!C:C,Y!C:C))</f>
        <v/>
      </c>
      <c r="AO96" s="52" t="str">
        <f>IF(A96&lt;=0,"",_xlfn.XLOOKUP(A96,MA!B:B,MA!B:B))</f>
        <v/>
      </c>
    </row>
    <row r="97" spans="1:41" x14ac:dyDescent="0.25">
      <c r="A97" s="444">
        <f>psTn!B98</f>
        <v>0</v>
      </c>
      <c r="B97" s="33">
        <f>psTn!C98</f>
        <v>0</v>
      </c>
      <c r="C97" s="33">
        <f>psTn!D98</f>
        <v>0</v>
      </c>
      <c r="D97" s="33">
        <f>psTn!E98</f>
        <v>0</v>
      </c>
      <c r="E97" s="33">
        <f>psTn!F98</f>
        <v>0</v>
      </c>
      <c r="F97" s="33">
        <f>psTn!G98</f>
        <v>0</v>
      </c>
      <c r="G97" s="44" t="str">
        <f>_xlfn.XLOOKUP(A97,'ps5'!B:B,'ps5'!C:C,"")</f>
        <v/>
      </c>
      <c r="H97" s="44" t="str">
        <f>_xlfn.XLOOKUP(A97,'ps5'!B:B,'ps5'!D:D,"")</f>
        <v/>
      </c>
      <c r="I97" s="44" t="str">
        <f>_xlfn.XLOOKUP(A97,'ps5'!B:B,'ps5'!E:E,"")</f>
        <v/>
      </c>
      <c r="J97" s="44" t="str">
        <f>_xlfn.XLOOKUP(A97,'ps5'!B:B,'ps5'!F:F,"")</f>
        <v/>
      </c>
      <c r="K97" s="44" t="str">
        <f>_xlfn.XLOOKUP(A97,'ps5'!B:B,'ps5'!G:G,"")</f>
        <v/>
      </c>
      <c r="L97" s="44">
        <f t="shared" ref="L97:N100" si="32">D97</f>
        <v>0</v>
      </c>
      <c r="M97" s="44">
        <f t="shared" si="32"/>
        <v>0</v>
      </c>
      <c r="N97" s="44">
        <f t="shared" si="32"/>
        <v>0</v>
      </c>
      <c r="O97" s="50" t="str">
        <f>_xlfn.XLOOKUP(A97,psRk!C:C,psRk!F:F,"")</f>
        <v/>
      </c>
      <c r="P97" s="33" t="str">
        <f>_xlfn.XLOOKUP(A97,psRk!C:C,psRk!G:G,"")</f>
        <v/>
      </c>
      <c r="Q97" s="41" t="str">
        <f>_xlfn.XLOOKUP(A97,psRk!C:C,psRk!H:H,"")</f>
        <v/>
      </c>
      <c r="R97" s="41" t="str">
        <f>_xlfn.XLOOKUP(A97,psRk!C:C,psRk!I:I,"")</f>
        <v/>
      </c>
      <c r="S97" s="27" t="str">
        <f t="shared" si="17"/>
        <v/>
      </c>
      <c r="T97" s="27" t="str">
        <f t="shared" si="18"/>
        <v/>
      </c>
      <c r="U97" s="27" t="str">
        <f t="shared" si="19"/>
        <v/>
      </c>
      <c r="V97" s="27" t="str">
        <f t="shared" si="20"/>
        <v/>
      </c>
      <c r="W97" s="27" t="str">
        <f t="shared" si="21"/>
        <v/>
      </c>
      <c r="X97" s="27" t="str">
        <f t="shared" si="22"/>
        <v/>
      </c>
      <c r="Y97" s="27" t="str">
        <f t="shared" si="23"/>
        <v/>
      </c>
      <c r="Z97" s="47" t="str">
        <f t="shared" si="29"/>
        <v/>
      </c>
      <c r="AA97" s="49" t="str">
        <f t="shared" si="24"/>
        <v/>
      </c>
      <c r="AB97" s="49">
        <f t="shared" si="30"/>
        <v>0</v>
      </c>
      <c r="AC97" s="49" t="str">
        <f t="shared" si="25"/>
        <v/>
      </c>
      <c r="AD97" s="47" t="str">
        <f>_xlfn.XLOOKUP(AC97,Parm!$AN$2:$AN$25,Parm!$AO$2:$AO$25,"")</f>
        <v/>
      </c>
      <c r="AE97" s="49" t="str">
        <f t="shared" si="26"/>
        <v/>
      </c>
      <c r="AF97" s="47" t="str">
        <f>_xlfn.XLOOKUP(AE97,Parm!$AN$2:$AN$25,Parm!$AO$2:$AO$25,"")</f>
        <v/>
      </c>
      <c r="AG97" s="286">
        <f>psTn!A98</f>
        <v>0</v>
      </c>
      <c r="AH97" s="49" t="str" cm="1">
        <f t="array" aca="1" ref="AH97" ca="1">_xlfn.IFS(Z97="","",AND(Z97&gt;0,Z97&lt;$AS$12),MROUND($AS$13*($AS$12-Z97+1)/SUMPRODUCT($AS$12-ROW(INDIRECT("1:" &amp; $AS$12 ))),1000),TRUE,0)</f>
        <v/>
      </c>
      <c r="AI97" s="49" t="e">
        <f t="shared" si="27"/>
        <v>#VALUE!</v>
      </c>
      <c r="AJ97" s="49">
        <f t="shared" si="31"/>
        <v>-100</v>
      </c>
      <c r="AK97" s="49"/>
      <c r="AL97" s="49" t="str">
        <f t="shared" si="28"/>
        <v/>
      </c>
      <c r="AM97" s="52" t="str">
        <f>IF(A97&lt;=0,"",_xlfn.XLOOKUP(A97,TL!C:C,TL!C:C))</f>
        <v/>
      </c>
      <c r="AN97" s="52" t="str">
        <f>IF(A97&lt;=0,"",_xlfn.XLOOKUP(A97,Y!C:C,Y!C:C))</f>
        <v/>
      </c>
      <c r="AO97" s="52" t="str">
        <f>IF(A97&lt;=0,"",_xlfn.XLOOKUP(A97,MA!B:B,MA!B:B))</f>
        <v/>
      </c>
    </row>
    <row r="98" spans="1:41" x14ac:dyDescent="0.25">
      <c r="A98" s="444">
        <f>psTn!B99</f>
        <v>0</v>
      </c>
      <c r="B98" s="33">
        <f>psTn!C99</f>
        <v>0</v>
      </c>
      <c r="C98" s="33">
        <f>psTn!D99</f>
        <v>0</v>
      </c>
      <c r="D98" s="33">
        <f>psTn!E99</f>
        <v>0</v>
      </c>
      <c r="E98" s="33">
        <f>psTn!F99</f>
        <v>0</v>
      </c>
      <c r="F98" s="33">
        <f>psTn!G99</f>
        <v>0</v>
      </c>
      <c r="G98" s="44" t="str">
        <f>_xlfn.XLOOKUP(A98,'ps5'!B:B,'ps5'!C:C,"")</f>
        <v/>
      </c>
      <c r="H98" s="44" t="str">
        <f>_xlfn.XLOOKUP(A98,'ps5'!B:B,'ps5'!D:D,"")</f>
        <v/>
      </c>
      <c r="I98" s="44" t="str">
        <f>_xlfn.XLOOKUP(A98,'ps5'!B:B,'ps5'!E:E,"")</f>
        <v/>
      </c>
      <c r="J98" s="44" t="str">
        <f>_xlfn.XLOOKUP(A98,'ps5'!B:B,'ps5'!F:F,"")</f>
        <v/>
      </c>
      <c r="K98" s="44" t="str">
        <f>_xlfn.XLOOKUP(A98,'ps5'!B:B,'ps5'!G:G,"")</f>
        <v/>
      </c>
      <c r="L98" s="44">
        <f t="shared" si="32"/>
        <v>0</v>
      </c>
      <c r="M98" s="44">
        <f t="shared" si="32"/>
        <v>0</v>
      </c>
      <c r="N98" s="44">
        <f t="shared" si="32"/>
        <v>0</v>
      </c>
      <c r="O98" s="50" t="str">
        <f>_xlfn.XLOOKUP(A98,psRk!C:C,psRk!F:F,"")</f>
        <v/>
      </c>
      <c r="P98" s="33" t="str">
        <f>_xlfn.XLOOKUP(A98,psRk!C:C,psRk!G:G,"")</f>
        <v/>
      </c>
      <c r="Q98" s="41" t="str">
        <f>_xlfn.XLOOKUP(A98,psRk!C:C,psRk!H:H,"")</f>
        <v/>
      </c>
      <c r="R98" s="41" t="str">
        <f>_xlfn.XLOOKUP(A98,psRk!C:C,psRk!I:I,"")</f>
        <v/>
      </c>
      <c r="S98" s="27" t="str">
        <f t="shared" si="17"/>
        <v/>
      </c>
      <c r="T98" s="27" t="str">
        <f t="shared" si="18"/>
        <v/>
      </c>
      <c r="U98" s="27" t="str">
        <f t="shared" si="19"/>
        <v/>
      </c>
      <c r="V98" s="27" t="str">
        <f t="shared" si="20"/>
        <v/>
      </c>
      <c r="W98" s="27" t="str">
        <f t="shared" si="21"/>
        <v/>
      </c>
      <c r="X98" s="27" t="str">
        <f t="shared" si="22"/>
        <v/>
      </c>
      <c r="Y98" s="27" t="str">
        <f t="shared" si="23"/>
        <v/>
      </c>
      <c r="Z98" s="47" t="str">
        <f t="shared" si="29"/>
        <v/>
      </c>
      <c r="AA98" s="49" t="str">
        <f>IF(AND(G98&lt;&gt;"",G98&gt;0),SUM(S98:Y98),IF(OR(N98&gt;0,SUM(S98:Y98)&lt;&gt;0),-100,""))</f>
        <v/>
      </c>
      <c r="AB98" s="49">
        <f t="shared" si="30"/>
        <v>0</v>
      </c>
      <c r="AC98" s="49" t="str">
        <f t="shared" si="25"/>
        <v/>
      </c>
      <c r="AD98" s="47" t="str">
        <f>_xlfn.XLOOKUP(AC98,Parm!$AN$2:$AN$25,Parm!$AO$2:$AO$25,"")</f>
        <v/>
      </c>
      <c r="AE98" s="49" t="str">
        <f t="shared" si="26"/>
        <v/>
      </c>
      <c r="AF98" s="47" t="str">
        <f>_xlfn.XLOOKUP(AE98,Parm!$AN$2:$AN$25,Parm!$AO$2:$AO$25,"")</f>
        <v/>
      </c>
      <c r="AG98" s="286">
        <f>psTn!A99</f>
        <v>0</v>
      </c>
      <c r="AH98" s="49" t="str" cm="1">
        <f t="array" aca="1" ref="AH98" ca="1">_xlfn.IFS(Z98="","",AND(Z98&gt;0,Z98&lt;$AS$12),MROUND($AS$13*($AS$12-Z98+1)/SUMPRODUCT($AS$12-ROW(INDIRECT("1:" &amp; $AS$12 ))),1000),TRUE,0)</f>
        <v/>
      </c>
      <c r="AI98" s="49" t="e">
        <f t="shared" si="27"/>
        <v>#VALUE!</v>
      </c>
      <c r="AJ98" s="49">
        <f t="shared" si="31"/>
        <v>-100</v>
      </c>
      <c r="AK98" s="49"/>
      <c r="AL98" s="49" t="str">
        <f t="shared" si="28"/>
        <v/>
      </c>
      <c r="AM98" s="52" t="str">
        <f>IF(A98&lt;=0,"",_xlfn.XLOOKUP(A98,TL!C:C,TL!C:C))</f>
        <v/>
      </c>
      <c r="AN98" s="52" t="str">
        <f>IF(A98&lt;=0,"",_xlfn.XLOOKUP(A98,Y!C:C,Y!C:C))</f>
        <v/>
      </c>
      <c r="AO98" s="52" t="str">
        <f>IF(A98&lt;=0,"",_xlfn.XLOOKUP(A98,MA!B:B,MA!B:B))</f>
        <v/>
      </c>
    </row>
    <row r="99" spans="1:41" x14ac:dyDescent="0.25">
      <c r="A99" s="444">
        <f>psTn!B100</f>
        <v>0</v>
      </c>
      <c r="B99" s="33">
        <f>psTn!C100</f>
        <v>0</v>
      </c>
      <c r="C99" s="33">
        <f>psTn!D100</f>
        <v>0</v>
      </c>
      <c r="D99" s="33">
        <f>psTn!E100</f>
        <v>0</v>
      </c>
      <c r="E99" s="33">
        <f>psTn!F100</f>
        <v>0</v>
      </c>
      <c r="F99" s="33">
        <f>psTn!G100</f>
        <v>0</v>
      </c>
      <c r="G99" s="44" t="str">
        <f>_xlfn.XLOOKUP(A99,'ps5'!B:B,'ps5'!C:C,"")</f>
        <v/>
      </c>
      <c r="H99" s="44" t="str">
        <f>_xlfn.XLOOKUP(A99,'ps5'!B:B,'ps5'!D:D,"")</f>
        <v/>
      </c>
      <c r="I99" s="44" t="str">
        <f>_xlfn.XLOOKUP(A99,'ps5'!B:B,'ps5'!E:E,"")</f>
        <v/>
      </c>
      <c r="J99" s="44" t="str">
        <f>_xlfn.XLOOKUP(A99,'ps5'!B:B,'ps5'!F:F,"")</f>
        <v/>
      </c>
      <c r="K99" s="44" t="str">
        <f>_xlfn.XLOOKUP(A99,'ps5'!B:B,'ps5'!G:G,"")</f>
        <v/>
      </c>
      <c r="L99" s="44">
        <f t="shared" si="32"/>
        <v>0</v>
      </c>
      <c r="M99" s="44">
        <f t="shared" si="32"/>
        <v>0</v>
      </c>
      <c r="N99" s="44">
        <f t="shared" si="32"/>
        <v>0</v>
      </c>
      <c r="O99" s="50" t="str">
        <f>_xlfn.XLOOKUP(A99,psRk!C:C,psRk!F:F,"")</f>
        <v/>
      </c>
      <c r="P99" s="33" t="str">
        <f>_xlfn.XLOOKUP(A99,psRk!C:C,psRk!G:G,"")</f>
        <v/>
      </c>
      <c r="Q99" s="41" t="str">
        <f>_xlfn.XLOOKUP(A99,psRk!C:C,psRk!H:H,"")</f>
        <v/>
      </c>
      <c r="R99" s="41" t="str">
        <f>_xlfn.XLOOKUP(A99,psRk!C:C,psRk!I:I,"")</f>
        <v/>
      </c>
      <c r="S99" s="27" t="str">
        <f t="shared" si="17"/>
        <v/>
      </c>
      <c r="T99" s="27" t="str">
        <f t="shared" si="18"/>
        <v/>
      </c>
      <c r="U99" s="27" t="str">
        <f t="shared" si="19"/>
        <v/>
      </c>
      <c r="V99" s="27" t="str">
        <f t="shared" si="20"/>
        <v/>
      </c>
      <c r="W99" s="27" t="str">
        <f t="shared" si="21"/>
        <v/>
      </c>
      <c r="X99" s="27" t="str">
        <f t="shared" si="22"/>
        <v/>
      </c>
      <c r="Y99" s="27" t="str">
        <f t="shared" si="23"/>
        <v/>
      </c>
      <c r="Z99" s="47" t="str">
        <f t="shared" si="29"/>
        <v/>
      </c>
      <c r="AA99" s="49" t="str">
        <f>IF(AND(G99&lt;&gt;"",G99&gt;0),SUM(S99:Y99),IF(OR(N99&gt;0,SUM(S99:Y99)&lt;&gt;0),-100,""))</f>
        <v/>
      </c>
      <c r="AB99" s="49">
        <f t="shared" si="30"/>
        <v>0</v>
      </c>
      <c r="AC99" s="49" t="str">
        <f t="shared" si="25"/>
        <v/>
      </c>
      <c r="AD99" s="47" t="str">
        <f>_xlfn.XLOOKUP(AC99,Parm!$AN$2:$AN$25,Parm!$AO$2:$AO$25,"")</f>
        <v/>
      </c>
      <c r="AE99" s="49" t="str">
        <f t="shared" si="26"/>
        <v/>
      </c>
      <c r="AF99" s="47" t="str">
        <f>_xlfn.XLOOKUP(AE99,Parm!$AN$2:$AN$25,Parm!$AO$2:$AO$25,"")</f>
        <v/>
      </c>
      <c r="AG99" s="286">
        <f>psTn!A100</f>
        <v>0</v>
      </c>
      <c r="AH99" s="49" t="str" cm="1">
        <f t="array" aca="1" ref="AH99" ca="1">_xlfn.IFS(Z99="","",AND(Z99&gt;0,Z99&lt;$AS$12),MROUND($AS$13*($AS$12-Z99+1)/SUMPRODUCT($AS$12-ROW(INDIRECT("1:" &amp; $AS$12 ))),1000),TRUE,0)</f>
        <v/>
      </c>
      <c r="AI99" s="49" t="e">
        <f t="shared" si="27"/>
        <v>#VALUE!</v>
      </c>
      <c r="AJ99" s="49">
        <f>IF(B99&gt;0,AI99,-100)</f>
        <v>-100</v>
      </c>
      <c r="AK99" s="49"/>
      <c r="AL99" s="49" t="str">
        <f t="shared" si="28"/>
        <v/>
      </c>
      <c r="AM99" s="52" t="str">
        <f>IF(A99&lt;=0,"",_xlfn.XLOOKUP(A99,TL!C:C,TL!C:C))</f>
        <v/>
      </c>
      <c r="AN99" s="52" t="str">
        <f>IF(A99&lt;=0,"",_xlfn.XLOOKUP(A99,Y!C:C,Y!C:C))</f>
        <v/>
      </c>
      <c r="AO99" s="52" t="str">
        <f>IF(A99&lt;=0,"",_xlfn.XLOOKUP(A99,MA!B:B,MA!B:B))</f>
        <v/>
      </c>
    </row>
    <row r="100" spans="1:41" x14ac:dyDescent="0.25">
      <c r="A100" s="444">
        <f>psTn!B101</f>
        <v>0</v>
      </c>
      <c r="B100" s="33">
        <f>psTn!C101</f>
        <v>0</v>
      </c>
      <c r="C100" s="33">
        <f>psTn!D101</f>
        <v>0</v>
      </c>
      <c r="D100" s="33">
        <f>psTn!E101</f>
        <v>0</v>
      </c>
      <c r="E100" s="33">
        <f>psTn!F101</f>
        <v>0</v>
      </c>
      <c r="F100" s="33">
        <f>psTn!G101</f>
        <v>0</v>
      </c>
      <c r="G100" s="44" t="str">
        <f>_xlfn.XLOOKUP(A100,'ps5'!B:B,'ps5'!C:C,"")</f>
        <v/>
      </c>
      <c r="H100" s="44" t="str">
        <f>_xlfn.XLOOKUP(A100,'ps5'!B:B,'ps5'!D:D,"")</f>
        <v/>
      </c>
      <c r="I100" s="44" t="str">
        <f>_xlfn.XLOOKUP(A100,'ps5'!B:B,'ps5'!E:E,"")</f>
        <v/>
      </c>
      <c r="J100" s="44" t="str">
        <f>_xlfn.XLOOKUP(A100,'ps5'!B:B,'ps5'!F:F,"")</f>
        <v/>
      </c>
      <c r="K100" s="44" t="str">
        <f>_xlfn.XLOOKUP(A100,'ps5'!B:B,'ps5'!G:G,"")</f>
        <v/>
      </c>
      <c r="L100" s="44">
        <f t="shared" si="32"/>
        <v>0</v>
      </c>
      <c r="M100" s="44">
        <f t="shared" si="32"/>
        <v>0</v>
      </c>
      <c r="N100" s="44">
        <f t="shared" si="32"/>
        <v>0</v>
      </c>
      <c r="O100" s="50" t="str">
        <f>_xlfn.XLOOKUP(A100,psRk!C:C,psRk!F:F,"")</f>
        <v/>
      </c>
      <c r="P100" s="33" t="str">
        <f>_xlfn.XLOOKUP(A100,psRk!C:C,psRk!G:G,"")</f>
        <v/>
      </c>
      <c r="Q100" s="41" t="str">
        <f>_xlfn.XLOOKUP(A100,psRk!C:C,psRk!H:H,"")</f>
        <v/>
      </c>
      <c r="R100" s="41" t="str">
        <f>_xlfn.XLOOKUP(A100,psRk!C:C,psRk!I:I,"")</f>
        <v/>
      </c>
      <c r="S100" s="27" t="str">
        <f t="shared" si="17"/>
        <v/>
      </c>
      <c r="T100" s="27" t="str">
        <f t="shared" si="18"/>
        <v/>
      </c>
      <c r="U100" s="27" t="str">
        <f t="shared" si="19"/>
        <v/>
      </c>
      <c r="V100" s="27" t="str">
        <f t="shared" si="20"/>
        <v/>
      </c>
      <c r="W100" s="27" t="str">
        <f t="shared" si="21"/>
        <v/>
      </c>
      <c r="X100" s="27" t="str">
        <f t="shared" si="22"/>
        <v/>
      </c>
      <c r="Y100" s="27" t="str">
        <f t="shared" si="23"/>
        <v/>
      </c>
      <c r="Z100" s="47" t="str">
        <f t="shared" si="29"/>
        <v/>
      </c>
      <c r="AA100" s="49" t="str">
        <f>IF(AND(G100&lt;&gt;"",G100&gt;0),SUM(S100:Y100),IF(OR(N100&gt;0,SUM(S100:Y100)&lt;&gt;0),-100,""))</f>
        <v/>
      </c>
      <c r="AB100" s="49">
        <f t="shared" si="30"/>
        <v>0</v>
      </c>
      <c r="AC100" s="49" t="str">
        <f t="shared" si="25"/>
        <v/>
      </c>
      <c r="AD100" s="47" t="str">
        <f>_xlfn.XLOOKUP(AC100,Parm!$AN$2:$AN$25,Parm!$AO$2:$AO$25,"")</f>
        <v/>
      </c>
      <c r="AE100" s="49" t="str">
        <f t="shared" si="26"/>
        <v/>
      </c>
      <c r="AF100" s="47" t="str">
        <f>_xlfn.XLOOKUP(AE100,Parm!$AN$2:$AN$25,Parm!$AO$2:$AO$25,"")</f>
        <v/>
      </c>
      <c r="AG100" s="286">
        <f>psTn!A101</f>
        <v>0</v>
      </c>
      <c r="AH100" s="49" t="str" cm="1">
        <f t="array" aca="1" ref="AH100" ca="1">_xlfn.IFS(Z100="","",AND(Z100&gt;0,Z100&lt;$AS$12),MROUND($AS$13*($AS$12-Z100+1)/SUMPRODUCT($AS$12-ROW(INDIRECT("1:" &amp; $AS$12 ))),1000),TRUE,0)</f>
        <v/>
      </c>
      <c r="AI100" s="49" t="e">
        <f t="shared" si="27"/>
        <v>#VALUE!</v>
      </c>
      <c r="AJ100" s="49">
        <f>IF(B100&gt;0,AI100,-100)</f>
        <v>-100</v>
      </c>
      <c r="AK100" s="49"/>
      <c r="AL100" s="49" t="str">
        <f t="shared" si="28"/>
        <v/>
      </c>
      <c r="AM100" s="52" t="str">
        <f>IF(A100&lt;=0,"",_xlfn.XLOOKUP(A100,TL!C:C,TL!C:C))</f>
        <v/>
      </c>
      <c r="AN100" s="52" t="str">
        <f>IF(A100&lt;=0,"",_xlfn.XLOOKUP(A100,Y!C:C,Y!C:C))</f>
        <v/>
      </c>
      <c r="AO100" s="52" t="str">
        <f>IF(A100&lt;=0,"",_xlfn.XLOOKUP(A100,MA!B:B,MA!B:B))</f>
        <v/>
      </c>
    </row>
  </sheetData>
  <autoFilter ref="A1:AO100" xr:uid="{45D0049C-89DB-49E7-8768-CF128064B497}"/>
  <customSheetViews>
    <customSheetView guid="{52D1722A-E00E-455D-B18E-AA205BA79E79}" showAutoFilter="1">
      <pane xSplit="1" ySplit="1" topLeftCell="B32" activePane="bottomRight" state="frozen"/>
      <selection pane="bottomRight" activeCell="O49" sqref="O49"/>
      <pageMargins left="0.7" right="0.7" top="0.75" bottom="0.75" header="0.3" footer="0.3"/>
      <pageSetup orientation="portrait" r:id="rId1"/>
      <autoFilter ref="A1:AD199" xr:uid="{70E4CEEB-66DB-41C0-9306-96D3C9BC0071}"/>
    </customSheetView>
  </customSheetViews>
  <phoneticPr fontId="90" type="noConversion"/>
  <pageMargins left="0.7" right="0.7" top="0.75" bottom="0.75" header="0.3" footer="0.3"/>
  <pageSetup orientation="portrait"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440C-0B66-44A4-AA2C-C651FE2BECBC}">
  <sheetPr codeName="Sheet21"/>
  <dimension ref="A1:P2"/>
  <sheetViews>
    <sheetView workbookViewId="0">
      <selection activeCell="P1" sqref="P1"/>
    </sheetView>
  </sheetViews>
  <sheetFormatPr defaultRowHeight="15" x14ac:dyDescent="0.25"/>
  <cols>
    <col min="2" max="2" width="10.7109375" style="1" customWidth="1"/>
    <col min="4" max="4" width="7.42578125" customWidth="1"/>
    <col min="5" max="5" width="7.85546875" customWidth="1"/>
    <col min="10" max="14" width="9.140625" style="30"/>
  </cols>
  <sheetData>
    <row r="1" spans="1:16" x14ac:dyDescent="0.25">
      <c r="A1" s="2" t="s">
        <v>238</v>
      </c>
      <c r="B1" s="19" t="s">
        <v>3479</v>
      </c>
      <c r="C1" s="39" t="s">
        <v>5</v>
      </c>
      <c r="D1" s="25" t="s">
        <v>1181</v>
      </c>
      <c r="E1" s="25" t="s">
        <v>1798</v>
      </c>
      <c r="F1" s="25" t="s">
        <v>255</v>
      </c>
      <c r="G1" s="2" t="s">
        <v>1195</v>
      </c>
      <c r="H1" s="39" t="s">
        <v>1070</v>
      </c>
      <c r="I1" s="39" t="s">
        <v>128</v>
      </c>
      <c r="J1" s="39" t="s">
        <v>1463</v>
      </c>
      <c r="K1" s="39" t="s">
        <v>1465</v>
      </c>
      <c r="L1" s="39" t="s">
        <v>1829</v>
      </c>
      <c r="M1" s="39" t="s">
        <v>1830</v>
      </c>
      <c r="N1" s="39" t="s">
        <v>3175</v>
      </c>
      <c r="P1" s="139" t="str" cm="1">
        <f t="array" ref="P1:P2">_xlfn.UNIQUE(_xlfn._xlws.FILTER(ssH!C:C, (ssH!B:B &lt;&gt; ssH!AG1) *( (ssH!B:B &gt;= ssH!AG4))))</f>
        <v>Stock</v>
      </c>
    </row>
    <row r="2" spans="1:16" x14ac:dyDescent="0.25">
      <c r="A2" t="str" cm="1">
        <f t="array" ref="A2:N2">_xlfn._xlws.SORT(_xlfn._xlws.FILTER(ssH!A:N, ssH!B:B = ssH!AG1),{9,4,8},{-1,-1,1})</f>
        <v>46140AS</v>
      </c>
      <c r="B2" s="1">
        <v>46140</v>
      </c>
      <c r="C2" t="str">
        <v>AS</v>
      </c>
      <c r="D2" t="str">
        <v>3</v>
      </c>
      <c r="E2" t="str">
        <v/>
      </c>
      <c r="F2">
        <v>0</v>
      </c>
      <c r="G2" t="str">
        <v>3/9</v>
      </c>
      <c r="H2" t="str">
        <v>3</v>
      </c>
      <c r="I2" t="str">
        <v>9</v>
      </c>
      <c r="J2" s="30">
        <v>-1</v>
      </c>
      <c r="K2" s="30" t="str">
        <v>Y</v>
      </c>
      <c r="L2" s="30" t="str">
        <v>AS</v>
      </c>
      <c r="M2" s="30" t="str">
        <v/>
      </c>
      <c r="N2" s="30" t="str">
        <v>AS</v>
      </c>
      <c r="P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C7E9-10EA-4B89-B9A6-E9B41BE26B52}">
  <sheetPr codeName="Sheet22"/>
  <dimension ref="A1:AH300"/>
  <sheetViews>
    <sheetView zoomScale="80" zoomScaleNormal="80" workbookViewId="0">
      <pane ySplit="1" topLeftCell="A200" activePane="bottomLeft" state="frozen"/>
      <selection pane="bottomLeft" activeCell="A2" sqref="A2:AJ300"/>
    </sheetView>
  </sheetViews>
  <sheetFormatPr defaultRowHeight="15" x14ac:dyDescent="0.25"/>
  <cols>
    <col min="1" max="1" width="10.7109375" bestFit="1" customWidth="1"/>
    <col min="2" max="2" width="8.7109375" customWidth="1"/>
    <col min="3" max="3" width="7.85546875" style="7" customWidth="1"/>
    <col min="4" max="4" width="7" style="7" customWidth="1"/>
    <col min="5" max="5" width="6" style="7" customWidth="1"/>
    <col min="6" max="6" width="6.140625" style="7" customWidth="1"/>
    <col min="7" max="7" width="8.5703125" style="9" customWidth="1"/>
    <col min="8" max="11" width="9.140625" style="9"/>
    <col min="12" max="12" width="7.42578125" customWidth="1"/>
    <col min="13" max="13" width="7.28515625" style="7" customWidth="1"/>
    <col min="14" max="15" width="9.140625" style="3"/>
    <col min="16" max="16" width="8.28515625" style="3" customWidth="1"/>
    <col min="17" max="17" width="8.42578125" style="3" customWidth="1"/>
    <col min="18" max="22" width="9.140625" style="3"/>
    <col min="23" max="23" width="11.42578125" style="3" customWidth="1"/>
    <col min="24" max="24" width="4.140625" style="7" customWidth="1"/>
    <col min="25" max="25" width="12.85546875" style="3" bestFit="1" customWidth="1"/>
    <col min="26" max="26" width="4.140625" style="3" customWidth="1"/>
    <col min="27" max="27" width="11" style="1" customWidth="1"/>
    <col min="29" max="31" width="9.140625" style="3"/>
  </cols>
  <sheetData>
    <row r="1" spans="1:34" x14ac:dyDescent="0.25">
      <c r="A1" s="2" t="s">
        <v>3479</v>
      </c>
      <c r="B1" s="2" t="s">
        <v>5</v>
      </c>
      <c r="C1" s="39" t="s">
        <v>1181</v>
      </c>
      <c r="D1" s="39" t="s">
        <v>1187</v>
      </c>
      <c r="E1" s="39" t="s">
        <v>1189</v>
      </c>
      <c r="F1" s="39" t="s">
        <v>1191</v>
      </c>
      <c r="G1" s="25" t="s">
        <v>1180</v>
      </c>
      <c r="H1" s="25" t="s">
        <v>1188</v>
      </c>
      <c r="I1" s="25" t="s">
        <v>1190</v>
      </c>
      <c r="J1" s="25" t="s">
        <v>1192</v>
      </c>
      <c r="K1" s="25" t="s">
        <v>1195</v>
      </c>
      <c r="L1" s="2" t="s">
        <v>1070</v>
      </c>
      <c r="M1" s="39" t="s">
        <v>128</v>
      </c>
      <c r="N1" s="6" t="s">
        <v>1196</v>
      </c>
      <c r="O1" s="6" t="s">
        <v>1197</v>
      </c>
      <c r="P1" s="6" t="s">
        <v>1171</v>
      </c>
      <c r="Q1" s="6" t="s">
        <v>1198</v>
      </c>
      <c r="R1" s="6" t="s">
        <v>1196</v>
      </c>
      <c r="S1" s="6" t="s">
        <v>1197</v>
      </c>
      <c r="T1" s="6" t="s">
        <v>1171</v>
      </c>
      <c r="U1" s="6" t="s">
        <v>1199</v>
      </c>
      <c r="V1" s="6" t="s">
        <v>6</v>
      </c>
      <c r="W1" s="6" t="s">
        <v>1802</v>
      </c>
      <c r="X1" s="39" t="s">
        <v>1819</v>
      </c>
      <c r="Y1" s="6" t="s">
        <v>1801</v>
      </c>
      <c r="Z1" s="6" t="s">
        <v>1820</v>
      </c>
      <c r="AA1" s="19" t="s">
        <v>1828</v>
      </c>
      <c r="AB1" s="140" t="s">
        <v>1469</v>
      </c>
      <c r="AC1" s="53" t="s">
        <v>1243</v>
      </c>
      <c r="AD1" s="53" t="s">
        <v>284</v>
      </c>
      <c r="AE1" s="53" t="s">
        <v>597</v>
      </c>
    </row>
    <row r="2" spans="1:34" x14ac:dyDescent="0.25">
      <c r="A2" s="29">
        <f>ssH!$AG$1</f>
        <v>46140</v>
      </c>
      <c r="B2" t="str" cm="1">
        <f t="array" ref="B2:B3">_xlfn.UNIQUE(_xlfn.VSTACK(_xlfn._xlws.FILTER(ssL!C:C,(ssL!C:C&lt;&gt;"")*(ssL!C:C&lt;&gt;"Stock")),_xlfn._xlws.FILTER(ssL!P:P,(ssL!P:P&lt;&gt;"")*(ssL!P:P&lt;&gt;"Stock"))))</f>
        <v>AS</v>
      </c>
      <c r="C2" s="47" t="str">
        <f>IF(K2="Removed",-100, L2)</f>
        <v>3</v>
      </c>
      <c r="D2" s="42">
        <f>_xlfn.XLOOKUP(ssH!$AG$3&amp;B2,ssH!A:A,ssH!D:D,0)</f>
        <v>0</v>
      </c>
      <c r="E2" s="42">
        <f>_xlfn.XLOOKUP(ssH!$AG$5&amp;B2,ssH!A:A,ssH!D:D,0)</f>
        <v>0</v>
      </c>
      <c r="F2" s="42">
        <f>_xlfn.XLOOKUP(ssH!$AG$6&amp;B2,ssH!A:A,ssH!D:D,0)</f>
        <v>0</v>
      </c>
      <c r="G2" s="48">
        <f>_xlfn.XLOOKUP(A2&amp;B2,ssH!A:A,ssH!F:F,-100%)</f>
        <v>0</v>
      </c>
      <c r="H2" s="46">
        <f>_xlfn.XLOOKUP(ssH!$AG$3&amp;B2,ssH!A:A,ssH!F:F,0)</f>
        <v>0</v>
      </c>
      <c r="I2" s="46">
        <f>_xlfn.XLOOKUP(ssH!$AG$5&amp;B2,ssH!A:A,ssH!F:F,0)</f>
        <v>0</v>
      </c>
      <c r="J2" s="46">
        <f>_xlfn.XLOOKUP(ssH!$AG$6&amp;B2,ssH!A:A,ssH!F:F,0)</f>
        <v>0</v>
      </c>
      <c r="K2" s="46" t="str">
        <f>_xlfn.XLOOKUP(B2,ssL!C:C,ssL!G:G,"Removed")</f>
        <v>3/9</v>
      </c>
      <c r="L2" s="27" t="str">
        <f>_xlfn.XLOOKUP(A2&amp;B2,ssH!A:A,ssH!D:D,0)</f>
        <v>3</v>
      </c>
      <c r="M2" s="42" t="str">
        <f>_xlfn.XLOOKUP(A2&amp;B2,ssH!A:A,ssH!I:I,"")</f>
        <v>9</v>
      </c>
      <c r="N2" s="51">
        <f t="shared" ref="N2:N65" si="0">IF(AND(C2&lt;&gt;"",C2&gt;0),IF(AND(C2&gt;0,D2&gt;0),D2-$C2,MAX(C:C)+1-C2)*$AH$2,"")</f>
        <v>-2</v>
      </c>
      <c r="O2" s="51" t="str">
        <f t="shared" ref="O2:O65" si="1">IF(AND(D2&lt;&gt;"",D2&gt;0),IF(AND(D2&gt;0,E2&gt;0),E2-$D2,MAX(D:D)+1-D2)*$AH$4,"")</f>
        <v/>
      </c>
      <c r="P2" s="51" t="str">
        <f t="shared" ref="P2:P65" si="2">IF(AND(E2&lt;&gt;"",E2&gt;0),IF(AND(E2&gt;0,F2&gt;0),F2-$E2,MAX(E:E)+1-E2)*$AH$5,"")</f>
        <v/>
      </c>
      <c r="Q2" s="52">
        <f t="shared" ref="Q2:Q65" si="3">IF(K2="Removed",-100,SUM(N2:P2))</f>
        <v>-2</v>
      </c>
      <c r="R2" s="51">
        <f t="shared" ref="R2:R65" si="4">IF(G2=H2,0,IF(AND(G2&lt;&gt;""),IF(AND(G2&lt;&gt;0,H2&lt;&gt;0),G2-H2,MAX(G:G)+1-G2)*$AH$2,""))</f>
        <v>0</v>
      </c>
      <c r="S2" s="51">
        <f t="shared" ref="S2:S65" si="5">IF(H2=I2,0,IF(AND(H2&lt;&gt;""),IF(AND(H2&lt;&gt;0,I2&lt;&gt;0),H2-I2,MAX(H:H)+1-H2)*$AH$4,""))</f>
        <v>0</v>
      </c>
      <c r="T2" s="51">
        <f t="shared" ref="T2:T65" si="6">IF(I2=J2,0,IF(AND(I2&lt;&gt;""),IF(AND(I2&lt;&gt;0,J2&lt;&gt;0),I2-J2,MAX(I:I)+1-I2)*$AH$5,""))</f>
        <v>0</v>
      </c>
      <c r="U2" s="52">
        <f t="shared" ref="U2:U65" si="7">IF(K2="Removed",-100,SUM(R2:T2))</f>
        <v>0</v>
      </c>
      <c r="V2" s="52" t="str">
        <f>B2</f>
        <v>AS</v>
      </c>
      <c r="W2" s="52" t="str" cm="1">
        <f t="array" ref="W2">_xlfn.IFS(B2="","",AND(G2&gt;=0,L2&gt;0),"BuySome",AND(G2&gt;=0,K2="KMSignal"),"BuySome",AND(G2&lt;0,L2&gt;0),"BuyWatch",AND(Q2&lt;0,L2&gt;0),"BuyWatch",AND(G2&gt;=0,L2=0),"BuyWatch",L2&gt;0,"BuySome",TRUE,"")</f>
        <v>BuySome</v>
      </c>
      <c r="X2" s="47">
        <f>_xlfn.XLOOKUP(W2,Parm!$AN$2:$AN$25,Parm!$AO$2:$AO$25,"")</f>
        <v>9</v>
      </c>
      <c r="Y2" s="52" t="str" cm="1">
        <f t="array" ref="Y2">_xlfn.IFS(B2="","",OR(Q2=-100,U2=-100),"SellAll",OR(Q2&lt;0,U2&lt;0),"SellSome",AND(Q2&gt;0,U2&gt;0),"BuySome",OR(Q2&gt;0,U2&gt;0),"BuyWatch",TRUE,"")</f>
        <v>SellSome</v>
      </c>
      <c r="Z2" s="47">
        <f>_xlfn.XLOOKUP(Y2,Parm!$AN$2:$AN$25,Parm!$AO$2:$AO$25,"")</f>
        <v>-8</v>
      </c>
      <c r="AA2" s="286">
        <f>IF(C2&lt;&gt;-100,A2,_xlfn.XLOOKUP(B2,ssH!L:L,ssH!M:M))</f>
        <v>46140</v>
      </c>
      <c r="AB2" s="49" t="str">
        <f t="shared" ref="AB2:AB65" si="8">IF(ISNA(AC2),B2,"")</f>
        <v>AS</v>
      </c>
      <c r="AC2" s="52" t="e">
        <f>_xlfn.XLOOKUP(B2,TL!C:C,TL!C:C)</f>
        <v>#N/A</v>
      </c>
      <c r="AD2" s="52" t="e">
        <f>_xlfn.XLOOKUP(B2,Y!C:C,Y!C:C)</f>
        <v>#N/A</v>
      </c>
      <c r="AE2" s="52" t="e">
        <f>_xlfn.XLOOKUP(B2,MA!C:C,MA!C:C)</f>
        <v>#N/A</v>
      </c>
      <c r="AG2" s="27" t="s">
        <v>1166</v>
      </c>
      <c r="AH2" s="27">
        <v>1</v>
      </c>
    </row>
    <row r="3" spans="1:34" x14ac:dyDescent="0.25">
      <c r="A3" s="29">
        <f>ssH!$AG$1</f>
        <v>46140</v>
      </c>
      <c r="B3">
        <v>0</v>
      </c>
      <c r="C3" s="47">
        <f t="shared" ref="C3:C66" si="9">IF(K3="Removed",-100, L3)</f>
        <v>-100</v>
      </c>
      <c r="D3" s="42">
        <f>_xlfn.XLOOKUP(ssH!$AG$3&amp;B3,ssH!A:A,ssH!D:D,0)</f>
        <v>0</v>
      </c>
      <c r="E3" s="42">
        <f>_xlfn.XLOOKUP(ssH!$AG$5&amp;B3,ssH!A:A,ssH!D:D,0)</f>
        <v>0</v>
      </c>
      <c r="F3" s="42">
        <f>_xlfn.XLOOKUP(ssH!$AG$6&amp;B3,ssH!A:A,ssH!D:D,0)</f>
        <v>0</v>
      </c>
      <c r="G3" s="48">
        <f>_xlfn.XLOOKUP(A3&amp;B3,ssH!A:A,ssH!F:F,-100%)</f>
        <v>-1</v>
      </c>
      <c r="H3" s="46">
        <f>_xlfn.XLOOKUP(ssH!$AG$3&amp;B3,ssH!A:A,ssH!F:F,0)</f>
        <v>0</v>
      </c>
      <c r="I3" s="46">
        <f>_xlfn.XLOOKUP(ssH!$AG$5&amp;B3,ssH!A:A,ssH!F:F,0)</f>
        <v>0</v>
      </c>
      <c r="J3" s="46">
        <f>_xlfn.XLOOKUP(ssH!$AG$6&amp;B3,ssH!A:A,ssH!F:F,0)</f>
        <v>0</v>
      </c>
      <c r="K3" s="46" t="str">
        <f>_xlfn.XLOOKUP(B3,ssL!C:C,ssL!G:G,"Removed")</f>
        <v>Removed</v>
      </c>
      <c r="L3" s="27">
        <f>_xlfn.XLOOKUP(A3&amp;B3,ssH!A:A,ssH!D:D,0)</f>
        <v>0</v>
      </c>
      <c r="M3" s="42" t="str">
        <f>_xlfn.XLOOKUP(A3&amp;B3,ssH!A:A,ssH!I:I,"")</f>
        <v/>
      </c>
      <c r="N3" s="51" t="str">
        <f t="shared" si="0"/>
        <v/>
      </c>
      <c r="O3" s="51" t="str">
        <f t="shared" si="1"/>
        <v/>
      </c>
      <c r="P3" s="51" t="str">
        <f t="shared" si="2"/>
        <v/>
      </c>
      <c r="Q3" s="52">
        <f t="shared" si="3"/>
        <v>-100</v>
      </c>
      <c r="R3" s="51">
        <f t="shared" si="4"/>
        <v>2</v>
      </c>
      <c r="S3" s="51">
        <f t="shared" si="5"/>
        <v>0</v>
      </c>
      <c r="T3" s="51">
        <f t="shared" si="6"/>
        <v>0</v>
      </c>
      <c r="U3" s="52">
        <f t="shared" si="7"/>
        <v>-100</v>
      </c>
      <c r="V3" s="52">
        <f t="shared" ref="V3:V66" si="10">B3</f>
        <v>0</v>
      </c>
      <c r="W3" s="52" t="str" cm="1">
        <f t="array" ref="W3">_xlfn.IFS(B3="","",AND(G3&gt;=0,L3&gt;0),"BuySome",AND(G3&gt;=0,K3="KMSignal"),"BuySome",AND(G3&lt;0,L3&gt;0),"BuyWatch",AND(Q3&lt;0,L3&gt;0),"BuyWatch",AND(G3&gt;=0,L3=0),"BuyWatch",L3&gt;0,"BuySome",TRUE,"")</f>
        <v/>
      </c>
      <c r="X3" s="47" t="str">
        <f>_xlfn.XLOOKUP(W3,Parm!$AN$2:$AN$25,Parm!$AO$2:$AO$25,"")</f>
        <v/>
      </c>
      <c r="Y3" s="52" t="str" cm="1">
        <f t="array" ref="Y3">_xlfn.IFS(B3="","",OR(Q3=-100,U3=-100),"SellAll",OR(Q3&lt;0,U3&lt;0),"SellSome",AND(Q3&gt;0,U3&gt;0),"BuySome",OR(Q3&gt;0,U3&gt;0),"BuyWatch",TRUE,"")</f>
        <v>SellAll</v>
      </c>
      <c r="Z3" s="47">
        <f>_xlfn.XLOOKUP(Y3,Parm!$AN$2:$AN$25,Parm!$AO$2:$AO$25,"")</f>
        <v>-10</v>
      </c>
      <c r="AA3" s="286" t="e">
        <f>IF(C3&lt;&gt;-100,A3,_xlfn.XLOOKUP(B3,ssH!L:L,ssH!M:M))</f>
        <v>#N/A</v>
      </c>
      <c r="AB3" s="49">
        <f t="shared" si="8"/>
        <v>0</v>
      </c>
      <c r="AC3" s="52" t="e">
        <f>_xlfn.XLOOKUP(B3,TL!C:C,TL!C:C)</f>
        <v>#N/A</v>
      </c>
      <c r="AD3" s="52" t="e">
        <f>_xlfn.XLOOKUP(B3,Y!C:C,Y!C:C)</f>
        <v>#N/A</v>
      </c>
      <c r="AE3" s="52" t="e">
        <f>_xlfn.XLOOKUP(B3,MA!C:C,MA!C:C)</f>
        <v>#N/A</v>
      </c>
      <c r="AG3" s="27" t="s">
        <v>1173</v>
      </c>
      <c r="AH3" s="27">
        <v>0.5</v>
      </c>
    </row>
    <row r="4" spans="1:34" x14ac:dyDescent="0.25">
      <c r="A4" s="29">
        <f>ssH!$AG$1</f>
        <v>46140</v>
      </c>
      <c r="C4" s="47">
        <f t="shared" si="9"/>
        <v>0</v>
      </c>
      <c r="D4" s="42">
        <f>_xlfn.XLOOKUP(ssH!$AG$3&amp;B4,ssH!A:A,ssH!D:D,0)</f>
        <v>0</v>
      </c>
      <c r="E4" s="42">
        <f>_xlfn.XLOOKUP(ssH!$AG$5&amp;B4,ssH!A:A,ssH!D:D,0)</f>
        <v>0</v>
      </c>
      <c r="F4" s="42">
        <f>_xlfn.XLOOKUP(ssH!$AG$6&amp;B4,ssH!A:A,ssH!D:D,0)</f>
        <v>0</v>
      </c>
      <c r="G4" s="48">
        <f>_xlfn.XLOOKUP(A4&amp;B4,ssH!A:A,ssH!F:F,-100%)</f>
        <v>-1</v>
      </c>
      <c r="H4" s="46">
        <f>_xlfn.XLOOKUP(ssH!$AG$3&amp;B4,ssH!A:A,ssH!F:F,0)</f>
        <v>0</v>
      </c>
      <c r="I4" s="46">
        <f>_xlfn.XLOOKUP(ssH!$AG$5&amp;B4,ssH!A:A,ssH!F:F,0)</f>
        <v>0</v>
      </c>
      <c r="J4" s="46">
        <f>_xlfn.XLOOKUP(ssH!$AG$6&amp;B4,ssH!A:A,ssH!F:F,0)</f>
        <v>0</v>
      </c>
      <c r="K4" s="46">
        <f>_xlfn.XLOOKUP(B4,ssL!C:C,ssL!G:G,"Removed")</f>
        <v>0</v>
      </c>
      <c r="L4" s="27">
        <f>_xlfn.XLOOKUP(A4&amp;B4,ssH!A:A,ssH!D:D,0)</f>
        <v>0</v>
      </c>
      <c r="M4" s="42" t="str">
        <f>_xlfn.XLOOKUP(A4&amp;B4,ssH!A:A,ssH!I:I,"")</f>
        <v/>
      </c>
      <c r="N4" s="51" t="str">
        <f t="shared" si="0"/>
        <v/>
      </c>
      <c r="O4" s="51" t="str">
        <f t="shared" si="1"/>
        <v/>
      </c>
      <c r="P4" s="51" t="str">
        <f t="shared" si="2"/>
        <v/>
      </c>
      <c r="Q4" s="52">
        <f t="shared" si="3"/>
        <v>0</v>
      </c>
      <c r="R4" s="51">
        <f t="shared" si="4"/>
        <v>2</v>
      </c>
      <c r="S4" s="51">
        <f t="shared" si="5"/>
        <v>0</v>
      </c>
      <c r="T4" s="51">
        <f t="shared" si="6"/>
        <v>0</v>
      </c>
      <c r="U4" s="52">
        <f t="shared" si="7"/>
        <v>2</v>
      </c>
      <c r="V4" s="52">
        <f t="shared" si="10"/>
        <v>0</v>
      </c>
      <c r="W4" s="52" t="str" cm="1">
        <f t="array" ref="W4">_xlfn.IFS(B4="","",AND(G4&gt;=0,L4&gt;0),"BuySome",AND(G4&gt;=0,K4="KMSignal"),"BuySome",AND(G4&lt;0,L4&gt;0),"BuyWatch",AND(Q4&lt;0,L4&gt;0),"BuyWatch",AND(G4&gt;=0,L4=0),"BuyWatch",L4&gt;0,"BuySome",TRUE,"")</f>
        <v/>
      </c>
      <c r="X4" s="47" t="str">
        <f>_xlfn.XLOOKUP(W4,Parm!$AN$2:$AN$25,Parm!$AO$2:$AO$25,"")</f>
        <v/>
      </c>
      <c r="Y4" s="52" t="str" cm="1">
        <f t="array" ref="Y4">_xlfn.IFS(B4="","",OR(Q4=-100,U4=-100),"SellAll",OR(Q4&lt;0,U4&lt;0),"SellSome",AND(Q4&gt;0,U4&gt;0),"BuySome",OR(Q4&gt;0,U4&gt;0),"BuyWatch",TRUE,"")</f>
        <v/>
      </c>
      <c r="Z4" s="47" t="str">
        <f>_xlfn.XLOOKUP(Y4,Parm!$AN$2:$AN$25,Parm!$AO$2:$AO$25,"")</f>
        <v/>
      </c>
      <c r="AA4" s="286">
        <f>IF(C4&lt;&gt;-100,A4,_xlfn.XLOOKUP(B4,ssH!L:L,ssH!M:M))</f>
        <v>46140</v>
      </c>
      <c r="AB4" s="49" t="str">
        <f t="shared" si="8"/>
        <v/>
      </c>
      <c r="AC4" s="52">
        <f>_xlfn.XLOOKUP(B4,TL!C:C,TL!C:C)</f>
        <v>0</v>
      </c>
      <c r="AD4" s="52">
        <f>_xlfn.XLOOKUP(B4,Y!C:C,Y!C:C)</f>
        <v>0</v>
      </c>
      <c r="AE4" s="52">
        <f>_xlfn.XLOOKUP(B4,MA!C:C,MA!C:C)</f>
        <v>0</v>
      </c>
      <c r="AG4" s="27" t="s">
        <v>1174</v>
      </c>
      <c r="AH4" s="27">
        <v>0.4</v>
      </c>
    </row>
    <row r="5" spans="1:34" x14ac:dyDescent="0.25">
      <c r="A5" s="29">
        <f>ssH!$AG$1</f>
        <v>46140</v>
      </c>
      <c r="C5" s="47">
        <f t="shared" si="9"/>
        <v>0</v>
      </c>
      <c r="D5" s="42">
        <f>_xlfn.XLOOKUP(ssH!$AG$3&amp;B5,ssH!A:A,ssH!D:D,0)</f>
        <v>0</v>
      </c>
      <c r="E5" s="42">
        <f>_xlfn.XLOOKUP(ssH!$AG$5&amp;B5,ssH!A:A,ssH!D:D,0)</f>
        <v>0</v>
      </c>
      <c r="F5" s="42">
        <f>_xlfn.XLOOKUP(ssH!$AG$6&amp;B5,ssH!A:A,ssH!D:D,0)</f>
        <v>0</v>
      </c>
      <c r="G5" s="48">
        <f>_xlfn.XLOOKUP(A5&amp;B5,ssH!A:A,ssH!F:F,-100%)</f>
        <v>-1</v>
      </c>
      <c r="H5" s="46">
        <f>_xlfn.XLOOKUP(ssH!$AG$3&amp;B5,ssH!A:A,ssH!F:F,0)</f>
        <v>0</v>
      </c>
      <c r="I5" s="46">
        <f>_xlfn.XLOOKUP(ssH!$AG$5&amp;B5,ssH!A:A,ssH!F:F,0)</f>
        <v>0</v>
      </c>
      <c r="J5" s="46">
        <f>_xlfn.XLOOKUP(ssH!$AG$6&amp;B5,ssH!A:A,ssH!F:F,0)</f>
        <v>0</v>
      </c>
      <c r="K5" s="46">
        <f>_xlfn.XLOOKUP(B5,ssL!C:C,ssL!G:G,"Removed")</f>
        <v>0</v>
      </c>
      <c r="L5" s="27">
        <f>_xlfn.XLOOKUP(A5&amp;B5,ssH!A:A,ssH!D:D,0)</f>
        <v>0</v>
      </c>
      <c r="M5" s="42" t="str">
        <f>_xlfn.XLOOKUP(A5&amp;B5,ssH!A:A,ssH!I:I,"")</f>
        <v/>
      </c>
      <c r="N5" s="51" t="str">
        <f t="shared" si="0"/>
        <v/>
      </c>
      <c r="O5" s="51" t="str">
        <f t="shared" si="1"/>
        <v/>
      </c>
      <c r="P5" s="51" t="str">
        <f t="shared" si="2"/>
        <v/>
      </c>
      <c r="Q5" s="52">
        <f t="shared" si="3"/>
        <v>0</v>
      </c>
      <c r="R5" s="51">
        <f t="shared" si="4"/>
        <v>2</v>
      </c>
      <c r="S5" s="51">
        <f t="shared" si="5"/>
        <v>0</v>
      </c>
      <c r="T5" s="51">
        <f t="shared" si="6"/>
        <v>0</v>
      </c>
      <c r="U5" s="52">
        <f t="shared" si="7"/>
        <v>2</v>
      </c>
      <c r="V5" s="52">
        <f t="shared" si="10"/>
        <v>0</v>
      </c>
      <c r="W5" s="52" t="str" cm="1">
        <f t="array" ref="W5">_xlfn.IFS(B5="","",AND(G5&gt;=0,L5&gt;0),"BuySome",AND(G5&gt;=0,K5="KMSignal"),"BuySome",AND(G5&lt;0,L5&gt;0),"BuyWatch",AND(Q5&lt;0,L5&gt;0),"BuyWatch",AND(G5&gt;=0,L5=0),"BuyWatch",L5&gt;0,"BuySome",TRUE,"")</f>
        <v/>
      </c>
      <c r="X5" s="47" t="str">
        <f>_xlfn.XLOOKUP(W5,Parm!$AN$2:$AN$25,Parm!$AO$2:$AO$25,"")</f>
        <v/>
      </c>
      <c r="Y5" s="52" t="str" cm="1">
        <f t="array" ref="Y5">_xlfn.IFS(B5="","",OR(Q5=-100,U5=-100),"SellAll",OR(Q5&lt;0,U5&lt;0),"SellSome",AND(Q5&gt;0,U5&gt;0),"BuySome",OR(Q5&gt;0,U5&gt;0),"BuyWatch",TRUE,"")</f>
        <v/>
      </c>
      <c r="Z5" s="47" t="str">
        <f>_xlfn.XLOOKUP(Y5,Parm!$AN$2:$AN$25,Parm!$AO$2:$AO$25,"")</f>
        <v/>
      </c>
      <c r="AA5" s="286">
        <f>IF(C5&lt;&gt;-100,A5,_xlfn.XLOOKUP(B5,ssH!L:L,ssH!M:M))</f>
        <v>46140</v>
      </c>
      <c r="AB5" s="49" t="str">
        <f t="shared" si="8"/>
        <v/>
      </c>
      <c r="AC5" s="52">
        <f>_xlfn.XLOOKUP(B5,TL!C:C,TL!C:C)</f>
        <v>0</v>
      </c>
      <c r="AD5" s="52">
        <f>_xlfn.XLOOKUP(B5,Y!C:C,Y!C:C)</f>
        <v>0</v>
      </c>
      <c r="AE5" s="52">
        <f>_xlfn.XLOOKUP(B5,MA!C:C,MA!C:C)</f>
        <v>0</v>
      </c>
      <c r="AG5" s="27" t="s">
        <v>1175</v>
      </c>
      <c r="AH5" s="27">
        <v>0.1</v>
      </c>
    </row>
    <row r="6" spans="1:34" x14ac:dyDescent="0.25">
      <c r="A6" s="29">
        <f>ssH!$AG$1</f>
        <v>46140</v>
      </c>
      <c r="C6" s="47">
        <f t="shared" si="9"/>
        <v>0</v>
      </c>
      <c r="D6" s="42">
        <f>_xlfn.XLOOKUP(ssH!$AG$3&amp;B6,ssH!A:A,ssH!D:D,0)</f>
        <v>0</v>
      </c>
      <c r="E6" s="42">
        <f>_xlfn.XLOOKUP(ssH!$AG$5&amp;B6,ssH!A:A,ssH!D:D,0)</f>
        <v>0</v>
      </c>
      <c r="F6" s="42">
        <f>_xlfn.XLOOKUP(ssH!$AG$6&amp;B6,ssH!A:A,ssH!D:D,0)</f>
        <v>0</v>
      </c>
      <c r="G6" s="48">
        <f>_xlfn.XLOOKUP(A6&amp;B6,ssH!A:A,ssH!F:F,-100%)</f>
        <v>-1</v>
      </c>
      <c r="H6" s="46">
        <f>_xlfn.XLOOKUP(ssH!$AG$3&amp;B6,ssH!A:A,ssH!F:F,0)</f>
        <v>0</v>
      </c>
      <c r="I6" s="46">
        <f>_xlfn.XLOOKUP(ssH!$AG$5&amp;B6,ssH!A:A,ssH!F:F,0)</f>
        <v>0</v>
      </c>
      <c r="J6" s="46">
        <f>_xlfn.XLOOKUP(ssH!$AG$6&amp;B6,ssH!A:A,ssH!F:F,0)</f>
        <v>0</v>
      </c>
      <c r="K6" s="46">
        <f>_xlfn.XLOOKUP(B6,ssL!C:C,ssL!G:G,"Removed")</f>
        <v>0</v>
      </c>
      <c r="L6" s="27">
        <f>_xlfn.XLOOKUP(A6&amp;B6,ssH!A:A,ssH!D:D,0)</f>
        <v>0</v>
      </c>
      <c r="M6" s="42" t="str">
        <f>_xlfn.XLOOKUP(A6&amp;B6,ssH!A:A,ssH!I:I,"")</f>
        <v/>
      </c>
      <c r="N6" s="51" t="str">
        <f t="shared" si="0"/>
        <v/>
      </c>
      <c r="O6" s="51" t="str">
        <f t="shared" si="1"/>
        <v/>
      </c>
      <c r="P6" s="51" t="str">
        <f t="shared" si="2"/>
        <v/>
      </c>
      <c r="Q6" s="52">
        <f t="shared" si="3"/>
        <v>0</v>
      </c>
      <c r="R6" s="51">
        <f t="shared" si="4"/>
        <v>2</v>
      </c>
      <c r="S6" s="51">
        <f t="shared" si="5"/>
        <v>0</v>
      </c>
      <c r="T6" s="51">
        <f t="shared" si="6"/>
        <v>0</v>
      </c>
      <c r="U6" s="52">
        <f t="shared" si="7"/>
        <v>2</v>
      </c>
      <c r="V6" s="52">
        <f t="shared" si="10"/>
        <v>0</v>
      </c>
      <c r="W6" s="52" t="str" cm="1">
        <f t="array" ref="W6">_xlfn.IFS(B6="","",AND(G6&gt;=0,L6&gt;0),"BuySome",AND(G6&gt;=0,K6="KMSignal"),"BuySome",AND(G6&lt;0,L6&gt;0),"BuyWatch",AND(Q6&lt;0,L6&gt;0),"BuyWatch",AND(G6&gt;=0,L6=0),"BuyWatch",L6&gt;0,"BuySome",TRUE,"")</f>
        <v/>
      </c>
      <c r="X6" s="47" t="str">
        <f>_xlfn.XLOOKUP(W6,Parm!$AN$2:$AN$25,Parm!$AO$2:$AO$25,"")</f>
        <v/>
      </c>
      <c r="Y6" s="52" t="str" cm="1">
        <f t="array" ref="Y6">_xlfn.IFS(B6="","",OR(Q6=-100,U6=-100),"SellAll",OR(Q6&lt;0,U6&lt;0),"SellSome",AND(Q6&gt;0,U6&gt;0),"BuySome",OR(Q6&gt;0,U6&gt;0),"BuyWatch",TRUE,"")</f>
        <v/>
      </c>
      <c r="Z6" s="47" t="str">
        <f>_xlfn.XLOOKUP(Y6,Parm!$AN$2:$AN$25,Parm!$AO$2:$AO$25,"")</f>
        <v/>
      </c>
      <c r="AA6" s="286">
        <f>IF(C6&lt;&gt;-100,A6,_xlfn.XLOOKUP(B6,ssH!L:L,ssH!M:M))</f>
        <v>46140</v>
      </c>
      <c r="AB6" s="49" t="str">
        <f t="shared" si="8"/>
        <v/>
      </c>
      <c r="AC6" s="52">
        <f>_xlfn.XLOOKUP(B6,TL!C:C,TL!C:C)</f>
        <v>0</v>
      </c>
      <c r="AD6" s="52">
        <f>_xlfn.XLOOKUP(B6,Y!C:C,Y!C:C)</f>
        <v>0</v>
      </c>
      <c r="AE6" s="52">
        <f>_xlfn.XLOOKUP(B6,MA!C:C,MA!C:C)</f>
        <v>0</v>
      </c>
    </row>
    <row r="7" spans="1:34" x14ac:dyDescent="0.25">
      <c r="A7" s="29">
        <f>ssH!$AG$1</f>
        <v>46140</v>
      </c>
      <c r="C7" s="47">
        <f t="shared" si="9"/>
        <v>0</v>
      </c>
      <c r="D7" s="42">
        <f>_xlfn.XLOOKUP(ssH!$AG$3&amp;B7,ssH!A:A,ssH!D:D,0)</f>
        <v>0</v>
      </c>
      <c r="E7" s="42">
        <f>_xlfn.XLOOKUP(ssH!$AG$5&amp;B7,ssH!A:A,ssH!D:D,0)</f>
        <v>0</v>
      </c>
      <c r="F7" s="42">
        <f>_xlfn.XLOOKUP(ssH!$AG$6&amp;B7,ssH!A:A,ssH!D:D,0)</f>
        <v>0</v>
      </c>
      <c r="G7" s="48">
        <f>_xlfn.XLOOKUP(A7&amp;B7,ssH!A:A,ssH!F:F,-100%)</f>
        <v>-1</v>
      </c>
      <c r="H7" s="46">
        <f>_xlfn.XLOOKUP(ssH!$AG$3&amp;B7,ssH!A:A,ssH!F:F,0)</f>
        <v>0</v>
      </c>
      <c r="I7" s="46">
        <f>_xlfn.XLOOKUP(ssH!$AG$5&amp;B7,ssH!A:A,ssH!F:F,0)</f>
        <v>0</v>
      </c>
      <c r="J7" s="46">
        <f>_xlfn.XLOOKUP(ssH!$AG$6&amp;B7,ssH!A:A,ssH!F:F,0)</f>
        <v>0</v>
      </c>
      <c r="K7" s="46">
        <f>_xlfn.XLOOKUP(B7,ssL!C:C,ssL!G:G,"Removed")</f>
        <v>0</v>
      </c>
      <c r="L7" s="27">
        <f>_xlfn.XLOOKUP(A7&amp;B7,ssH!A:A,ssH!D:D,0)</f>
        <v>0</v>
      </c>
      <c r="M7" s="42" t="str">
        <f>_xlfn.XLOOKUP(A7&amp;B7,ssH!A:A,ssH!I:I,"")</f>
        <v/>
      </c>
      <c r="N7" s="51" t="str">
        <f t="shared" si="0"/>
        <v/>
      </c>
      <c r="O7" s="51" t="str">
        <f t="shared" si="1"/>
        <v/>
      </c>
      <c r="P7" s="51" t="str">
        <f t="shared" si="2"/>
        <v/>
      </c>
      <c r="Q7" s="52">
        <f t="shared" si="3"/>
        <v>0</v>
      </c>
      <c r="R7" s="51">
        <f t="shared" si="4"/>
        <v>2</v>
      </c>
      <c r="S7" s="51">
        <f t="shared" si="5"/>
        <v>0</v>
      </c>
      <c r="T7" s="51">
        <f t="shared" si="6"/>
        <v>0</v>
      </c>
      <c r="U7" s="52">
        <f t="shared" si="7"/>
        <v>2</v>
      </c>
      <c r="V7" s="52">
        <f t="shared" si="10"/>
        <v>0</v>
      </c>
      <c r="W7" s="52" t="str" cm="1">
        <f t="array" ref="W7">_xlfn.IFS(B7="","",AND(G7&gt;=0,L7&gt;0),"BuySome",AND(G7&gt;=0,K7="KMSignal"),"BuySome",AND(G7&lt;0,L7&gt;0),"BuyWatch",AND(Q7&lt;0,L7&gt;0),"BuyWatch",AND(G7&gt;=0,L7=0),"BuyWatch",L7&gt;0,"BuySome",TRUE,"")</f>
        <v/>
      </c>
      <c r="X7" s="47" t="str">
        <f>_xlfn.XLOOKUP(W7,Parm!$AN$2:$AN$25,Parm!$AO$2:$AO$25,"")</f>
        <v/>
      </c>
      <c r="Y7" s="52" t="str" cm="1">
        <f t="array" ref="Y7">_xlfn.IFS(B7="","",OR(Q7=-100,U7=-100),"SellAll",OR(Q7&lt;0,U7&lt;0),"SellSome",AND(Q7&gt;0,U7&gt;0),"BuySome",OR(Q7&gt;0,U7&gt;0),"BuyWatch",TRUE,"")</f>
        <v/>
      </c>
      <c r="Z7" s="47" t="str">
        <f>_xlfn.XLOOKUP(Y7,Parm!$AN$2:$AN$25,Parm!$AO$2:$AO$25,"")</f>
        <v/>
      </c>
      <c r="AA7" s="286">
        <f>IF(C7&lt;&gt;-100,A7,_xlfn.XLOOKUP(B7,ssH!L:L,ssH!M:M))</f>
        <v>46140</v>
      </c>
      <c r="AB7" s="49" t="str">
        <f t="shared" si="8"/>
        <v/>
      </c>
      <c r="AC7" s="52">
        <f>_xlfn.XLOOKUP(B7,TL!C:C,TL!C:C)</f>
        <v>0</v>
      </c>
      <c r="AD7" s="52">
        <f>_xlfn.XLOOKUP(B7,Y!C:C,Y!C:C)</f>
        <v>0</v>
      </c>
      <c r="AE7" s="52">
        <f>_xlfn.XLOOKUP(B7,MA!C:C,MA!C:C)</f>
        <v>0</v>
      </c>
    </row>
    <row r="8" spans="1:34" x14ac:dyDescent="0.25">
      <c r="A8" s="29">
        <f>ssH!$AG$1</f>
        <v>46140</v>
      </c>
      <c r="C8" s="47">
        <f t="shared" si="9"/>
        <v>0</v>
      </c>
      <c r="D8" s="42">
        <f>_xlfn.XLOOKUP(ssH!$AG$3&amp;B8,ssH!A:A,ssH!D:D,0)</f>
        <v>0</v>
      </c>
      <c r="E8" s="42">
        <f>_xlfn.XLOOKUP(ssH!$AG$5&amp;B8,ssH!A:A,ssH!D:D,0)</f>
        <v>0</v>
      </c>
      <c r="F8" s="42">
        <f>_xlfn.XLOOKUP(ssH!$AG$6&amp;B8,ssH!A:A,ssH!D:D,0)</f>
        <v>0</v>
      </c>
      <c r="G8" s="48">
        <f>_xlfn.XLOOKUP(A8&amp;B8,ssH!A:A,ssH!F:F,-100%)</f>
        <v>-1</v>
      </c>
      <c r="H8" s="46">
        <f>_xlfn.XLOOKUP(ssH!$AG$3&amp;B8,ssH!A:A,ssH!F:F,0)</f>
        <v>0</v>
      </c>
      <c r="I8" s="46">
        <f>_xlfn.XLOOKUP(ssH!$AG$5&amp;B8,ssH!A:A,ssH!F:F,0)</f>
        <v>0</v>
      </c>
      <c r="J8" s="46">
        <f>_xlfn.XLOOKUP(ssH!$AG$6&amp;B8,ssH!A:A,ssH!F:F,0)</f>
        <v>0</v>
      </c>
      <c r="K8" s="46">
        <f>_xlfn.XLOOKUP(B8,ssL!C:C,ssL!G:G,"Removed")</f>
        <v>0</v>
      </c>
      <c r="L8" s="27">
        <f>_xlfn.XLOOKUP(A8&amp;B8,ssH!A:A,ssH!D:D,0)</f>
        <v>0</v>
      </c>
      <c r="M8" s="42" t="str">
        <f>_xlfn.XLOOKUP(A8&amp;B8,ssH!A:A,ssH!I:I,"")</f>
        <v/>
      </c>
      <c r="N8" s="51" t="str">
        <f t="shared" si="0"/>
        <v/>
      </c>
      <c r="O8" s="51" t="str">
        <f t="shared" si="1"/>
        <v/>
      </c>
      <c r="P8" s="51" t="str">
        <f t="shared" si="2"/>
        <v/>
      </c>
      <c r="Q8" s="52">
        <f t="shared" si="3"/>
        <v>0</v>
      </c>
      <c r="R8" s="51">
        <f t="shared" si="4"/>
        <v>2</v>
      </c>
      <c r="S8" s="51">
        <f t="shared" si="5"/>
        <v>0</v>
      </c>
      <c r="T8" s="51">
        <f t="shared" si="6"/>
        <v>0</v>
      </c>
      <c r="U8" s="52">
        <f t="shared" si="7"/>
        <v>2</v>
      </c>
      <c r="V8" s="52">
        <f t="shared" si="10"/>
        <v>0</v>
      </c>
      <c r="W8" s="52" t="str" cm="1">
        <f t="array" ref="W8">_xlfn.IFS(B8="","",AND(G8&gt;=0,L8&gt;0),"BuySome",AND(G8&gt;=0,K8="KMSignal"),"BuySome",AND(G8&lt;0,L8&gt;0),"BuyWatch",AND(Q8&lt;0,L8&gt;0),"BuyWatch",AND(G8&gt;=0,L8=0),"BuyWatch",L8&gt;0,"BuySome",TRUE,"")</f>
        <v/>
      </c>
      <c r="X8" s="47" t="str">
        <f>_xlfn.XLOOKUP(W8,Parm!$AN$2:$AN$25,Parm!$AO$2:$AO$25,"")</f>
        <v/>
      </c>
      <c r="Y8" s="52" t="str" cm="1">
        <f t="array" ref="Y8">_xlfn.IFS(B8="","",OR(Q8=-100,U8=-100),"SellAll",OR(Q8&lt;0,U8&lt;0),"SellSome",AND(Q8&gt;0,U8&gt;0),"BuySome",OR(Q8&gt;0,U8&gt;0),"BuyWatch",TRUE,"")</f>
        <v/>
      </c>
      <c r="Z8" s="47" t="str">
        <f>_xlfn.XLOOKUP(Y8,Parm!$AN$2:$AN$25,Parm!$AO$2:$AO$25,"")</f>
        <v/>
      </c>
      <c r="AA8" s="286">
        <f>IF(C8&lt;&gt;-100,A8,_xlfn.XLOOKUP(B8,ssH!L:L,ssH!M:M))</f>
        <v>46140</v>
      </c>
      <c r="AB8" s="49" t="str">
        <f t="shared" si="8"/>
        <v/>
      </c>
      <c r="AC8" s="52">
        <f>_xlfn.XLOOKUP(B8,TL!C:C,TL!C:C)</f>
        <v>0</v>
      </c>
      <c r="AD8" s="52">
        <f>_xlfn.XLOOKUP(B8,Y!C:C,Y!C:C)</f>
        <v>0</v>
      </c>
      <c r="AE8" s="52">
        <f>_xlfn.XLOOKUP(B8,MA!C:C,MA!C:C)</f>
        <v>0</v>
      </c>
    </row>
    <row r="9" spans="1:34" x14ac:dyDescent="0.25">
      <c r="A9" s="29">
        <f>ssH!$AG$1</f>
        <v>46140</v>
      </c>
      <c r="C9" s="47">
        <f t="shared" si="9"/>
        <v>0</v>
      </c>
      <c r="D9" s="42">
        <f>_xlfn.XLOOKUP(ssH!$AG$3&amp;B9,ssH!A:A,ssH!D:D,0)</f>
        <v>0</v>
      </c>
      <c r="E9" s="42">
        <f>_xlfn.XLOOKUP(ssH!$AG$5&amp;B9,ssH!A:A,ssH!D:D,0)</f>
        <v>0</v>
      </c>
      <c r="F9" s="42">
        <f>_xlfn.XLOOKUP(ssH!$AG$6&amp;B9,ssH!A:A,ssH!D:D,0)</f>
        <v>0</v>
      </c>
      <c r="G9" s="48">
        <f>_xlfn.XLOOKUP(A9&amp;B9,ssH!A:A,ssH!F:F,-100%)</f>
        <v>-1</v>
      </c>
      <c r="H9" s="46">
        <f>_xlfn.XLOOKUP(ssH!$AG$3&amp;B9,ssH!A:A,ssH!F:F,0)</f>
        <v>0</v>
      </c>
      <c r="I9" s="46">
        <f>_xlfn.XLOOKUP(ssH!$AG$5&amp;B9,ssH!A:A,ssH!F:F,0)</f>
        <v>0</v>
      </c>
      <c r="J9" s="46">
        <f>_xlfn.XLOOKUP(ssH!$AG$6&amp;B9,ssH!A:A,ssH!F:F,0)</f>
        <v>0</v>
      </c>
      <c r="K9" s="46">
        <f>_xlfn.XLOOKUP(B9,ssL!C:C,ssL!G:G,"Removed")</f>
        <v>0</v>
      </c>
      <c r="L9" s="27">
        <f>_xlfn.XLOOKUP(A9&amp;B9,ssH!A:A,ssH!D:D,0)</f>
        <v>0</v>
      </c>
      <c r="M9" s="42" t="str">
        <f>_xlfn.XLOOKUP(A9&amp;B9,ssH!A:A,ssH!I:I,"")</f>
        <v/>
      </c>
      <c r="N9" s="51" t="str">
        <f t="shared" si="0"/>
        <v/>
      </c>
      <c r="O9" s="51" t="str">
        <f t="shared" si="1"/>
        <v/>
      </c>
      <c r="P9" s="51" t="str">
        <f t="shared" si="2"/>
        <v/>
      </c>
      <c r="Q9" s="52">
        <f t="shared" si="3"/>
        <v>0</v>
      </c>
      <c r="R9" s="51">
        <f t="shared" si="4"/>
        <v>2</v>
      </c>
      <c r="S9" s="51">
        <f t="shared" si="5"/>
        <v>0</v>
      </c>
      <c r="T9" s="51">
        <f t="shared" si="6"/>
        <v>0</v>
      </c>
      <c r="U9" s="52">
        <f t="shared" si="7"/>
        <v>2</v>
      </c>
      <c r="V9" s="52">
        <f t="shared" si="10"/>
        <v>0</v>
      </c>
      <c r="W9" s="52" t="str" cm="1">
        <f t="array" ref="W9">_xlfn.IFS(B9="","",AND(G9&gt;=0,L9&gt;0),"BuySome",AND(G9&gt;=0,K9="KMSignal"),"BuySome",AND(G9&lt;0,L9&gt;0),"BuyWatch",AND(Q9&lt;0,L9&gt;0),"BuyWatch",AND(G9&gt;=0,L9=0),"BuyWatch",L9&gt;0,"BuySome",TRUE,"")</f>
        <v/>
      </c>
      <c r="X9" s="47" t="str">
        <f>_xlfn.XLOOKUP(W9,Parm!$AN$2:$AN$25,Parm!$AO$2:$AO$25,"")</f>
        <v/>
      </c>
      <c r="Y9" s="52" t="str" cm="1">
        <f t="array" ref="Y9">_xlfn.IFS(B9="","",OR(Q9=-100,U9=-100),"SellAll",OR(Q9&lt;0,U9&lt;0),"SellSome",AND(Q9&gt;0,U9&gt;0),"BuySome",OR(Q9&gt;0,U9&gt;0),"BuyWatch",TRUE,"")</f>
        <v/>
      </c>
      <c r="Z9" s="47" t="str">
        <f>_xlfn.XLOOKUP(Y9,Parm!$AN$2:$AN$25,Parm!$AO$2:$AO$25,"")</f>
        <v/>
      </c>
      <c r="AA9" s="286">
        <f>IF(C9&lt;&gt;-100,A9,_xlfn.XLOOKUP(B9,ssH!L:L,ssH!M:M))</f>
        <v>46140</v>
      </c>
      <c r="AB9" s="49" t="str">
        <f t="shared" si="8"/>
        <v/>
      </c>
      <c r="AC9" s="52">
        <f>_xlfn.XLOOKUP(B9,TL!C:C,TL!C:C)</f>
        <v>0</v>
      </c>
      <c r="AD9" s="52">
        <f>_xlfn.XLOOKUP(B9,Y!C:C,Y!C:C)</f>
        <v>0</v>
      </c>
      <c r="AE9" s="52">
        <f>_xlfn.XLOOKUP(B9,MA!C:C,MA!C:C)</f>
        <v>0</v>
      </c>
    </row>
    <row r="10" spans="1:34" x14ac:dyDescent="0.25">
      <c r="A10" s="29">
        <f>ssH!$AG$1</f>
        <v>46140</v>
      </c>
      <c r="C10" s="47">
        <f t="shared" si="9"/>
        <v>0</v>
      </c>
      <c r="D10" s="42">
        <f>_xlfn.XLOOKUP(ssH!$AG$3&amp;B10,ssH!A:A,ssH!D:D,0)</f>
        <v>0</v>
      </c>
      <c r="E10" s="42">
        <f>_xlfn.XLOOKUP(ssH!$AG$5&amp;B10,ssH!A:A,ssH!D:D,0)</f>
        <v>0</v>
      </c>
      <c r="F10" s="42">
        <f>_xlfn.XLOOKUP(ssH!$AG$6&amp;B10,ssH!A:A,ssH!D:D,0)</f>
        <v>0</v>
      </c>
      <c r="G10" s="48">
        <f>_xlfn.XLOOKUP(A10&amp;B10,ssH!A:A,ssH!F:F,-100%)</f>
        <v>-1</v>
      </c>
      <c r="H10" s="46">
        <f>_xlfn.XLOOKUP(ssH!$AG$3&amp;B10,ssH!A:A,ssH!F:F,0)</f>
        <v>0</v>
      </c>
      <c r="I10" s="46">
        <f>_xlfn.XLOOKUP(ssH!$AG$5&amp;B10,ssH!A:A,ssH!F:F,0)</f>
        <v>0</v>
      </c>
      <c r="J10" s="46">
        <f>_xlfn.XLOOKUP(ssH!$AG$6&amp;B10,ssH!A:A,ssH!F:F,0)</f>
        <v>0</v>
      </c>
      <c r="K10" s="46">
        <f>_xlfn.XLOOKUP(B10,ssL!C:C,ssL!G:G,"Removed")</f>
        <v>0</v>
      </c>
      <c r="L10" s="27">
        <f>_xlfn.XLOOKUP(A10&amp;B10,ssH!A:A,ssH!D:D,0)</f>
        <v>0</v>
      </c>
      <c r="M10" s="42" t="str">
        <f>_xlfn.XLOOKUP(A10&amp;B10,ssH!A:A,ssH!I:I,"")</f>
        <v/>
      </c>
      <c r="N10" s="51" t="str">
        <f t="shared" si="0"/>
        <v/>
      </c>
      <c r="O10" s="51" t="str">
        <f t="shared" si="1"/>
        <v/>
      </c>
      <c r="P10" s="51" t="str">
        <f t="shared" si="2"/>
        <v/>
      </c>
      <c r="Q10" s="52">
        <f t="shared" si="3"/>
        <v>0</v>
      </c>
      <c r="R10" s="51">
        <f t="shared" si="4"/>
        <v>2</v>
      </c>
      <c r="S10" s="51">
        <f t="shared" si="5"/>
        <v>0</v>
      </c>
      <c r="T10" s="51">
        <f t="shared" si="6"/>
        <v>0</v>
      </c>
      <c r="U10" s="52">
        <f t="shared" si="7"/>
        <v>2</v>
      </c>
      <c r="V10" s="52">
        <f t="shared" si="10"/>
        <v>0</v>
      </c>
      <c r="W10" s="52" t="str" cm="1">
        <f t="array" ref="W10">_xlfn.IFS(B10="","",AND(G10&gt;=0,L10&gt;0),"BuySome",AND(G10&gt;=0,K10="KMSignal"),"BuySome",AND(G10&lt;0,L10&gt;0),"BuyWatch",AND(Q10&lt;0,L10&gt;0),"BuyWatch",AND(G10&gt;=0,L10=0),"BuyWatch",L10&gt;0,"BuySome",TRUE,"")</f>
        <v/>
      </c>
      <c r="X10" s="47" t="str">
        <f>_xlfn.XLOOKUP(W10,Parm!$AN$2:$AN$25,Parm!$AO$2:$AO$25,"")</f>
        <v/>
      </c>
      <c r="Y10" s="52" t="str" cm="1">
        <f t="array" ref="Y10">_xlfn.IFS(B10="","",OR(Q10=-100,U10=-100),"SellAll",OR(Q10&lt;0,U10&lt;0),"SellSome",AND(Q10&gt;0,U10&gt;0),"BuySome",OR(Q10&gt;0,U10&gt;0),"BuyWatch",TRUE,"")</f>
        <v/>
      </c>
      <c r="Z10" s="47" t="str">
        <f>_xlfn.XLOOKUP(Y10,Parm!$AN$2:$AN$25,Parm!$AO$2:$AO$25,"")</f>
        <v/>
      </c>
      <c r="AA10" s="286">
        <f>IF(C10&lt;&gt;-100,A10,_xlfn.XLOOKUP(B10,ssH!L:L,ssH!M:M))</f>
        <v>46140</v>
      </c>
      <c r="AB10" s="49" t="str">
        <f t="shared" si="8"/>
        <v/>
      </c>
      <c r="AC10" s="52">
        <f>_xlfn.XLOOKUP(B10,TL!C:C,TL!C:C)</f>
        <v>0</v>
      </c>
      <c r="AD10" s="52">
        <f>_xlfn.XLOOKUP(B10,Y!C:C,Y!C:C)</f>
        <v>0</v>
      </c>
      <c r="AE10" s="52">
        <f>_xlfn.XLOOKUP(B10,MA!C:C,MA!C:C)</f>
        <v>0</v>
      </c>
    </row>
    <row r="11" spans="1:34" x14ac:dyDescent="0.25">
      <c r="A11" s="29">
        <f>ssH!$AG$1</f>
        <v>46140</v>
      </c>
      <c r="C11" s="47">
        <f t="shared" si="9"/>
        <v>0</v>
      </c>
      <c r="D11" s="42">
        <f>_xlfn.XLOOKUP(ssH!$AG$3&amp;B11,ssH!A:A,ssH!D:D,0)</f>
        <v>0</v>
      </c>
      <c r="E11" s="42">
        <f>_xlfn.XLOOKUP(ssH!$AG$5&amp;B11,ssH!A:A,ssH!D:D,0)</f>
        <v>0</v>
      </c>
      <c r="F11" s="42">
        <f>_xlfn.XLOOKUP(ssH!$AG$6&amp;B11,ssH!A:A,ssH!D:D,0)</f>
        <v>0</v>
      </c>
      <c r="G11" s="48">
        <f>_xlfn.XLOOKUP(A11&amp;B11,ssH!A:A,ssH!F:F,-100%)</f>
        <v>-1</v>
      </c>
      <c r="H11" s="46">
        <f>_xlfn.XLOOKUP(ssH!$AG$3&amp;B11,ssH!A:A,ssH!F:F,0)</f>
        <v>0</v>
      </c>
      <c r="I11" s="46">
        <f>_xlfn.XLOOKUP(ssH!$AG$5&amp;B11,ssH!A:A,ssH!F:F,0)</f>
        <v>0</v>
      </c>
      <c r="J11" s="46">
        <f>_xlfn.XLOOKUP(ssH!$AG$6&amp;B11,ssH!A:A,ssH!F:F,0)</f>
        <v>0</v>
      </c>
      <c r="K11" s="46">
        <f>_xlfn.XLOOKUP(B11,ssL!C:C,ssL!G:G,"Removed")</f>
        <v>0</v>
      </c>
      <c r="L11" s="27">
        <f>_xlfn.XLOOKUP(A11&amp;B11,ssH!A:A,ssH!D:D,0)</f>
        <v>0</v>
      </c>
      <c r="M11" s="42" t="str">
        <f>_xlfn.XLOOKUP(A11&amp;B11,ssH!A:A,ssH!I:I,"")</f>
        <v/>
      </c>
      <c r="N11" s="51" t="str">
        <f t="shared" si="0"/>
        <v/>
      </c>
      <c r="O11" s="51" t="str">
        <f t="shared" si="1"/>
        <v/>
      </c>
      <c r="P11" s="51" t="str">
        <f t="shared" si="2"/>
        <v/>
      </c>
      <c r="Q11" s="52">
        <f t="shared" si="3"/>
        <v>0</v>
      </c>
      <c r="R11" s="51">
        <f t="shared" si="4"/>
        <v>2</v>
      </c>
      <c r="S11" s="51">
        <f t="shared" si="5"/>
        <v>0</v>
      </c>
      <c r="T11" s="51">
        <f t="shared" si="6"/>
        <v>0</v>
      </c>
      <c r="U11" s="52">
        <f t="shared" si="7"/>
        <v>2</v>
      </c>
      <c r="V11" s="52">
        <f t="shared" si="10"/>
        <v>0</v>
      </c>
      <c r="W11" s="52" t="str" cm="1">
        <f t="array" ref="W11">_xlfn.IFS(B11="","",AND(G11&gt;=0,L11&gt;0),"BuySome",AND(G11&gt;=0,K11="KMSignal"),"BuySome",AND(G11&lt;0,L11&gt;0),"BuyWatch",AND(Q11&lt;0,L11&gt;0),"BuyWatch",AND(G11&gt;=0,L11=0),"BuyWatch",L11&gt;0,"BuySome",TRUE,"")</f>
        <v/>
      </c>
      <c r="X11" s="47" t="str">
        <f>_xlfn.XLOOKUP(W11,Parm!$AN$2:$AN$25,Parm!$AO$2:$AO$25,"")</f>
        <v/>
      </c>
      <c r="Y11" s="52" t="str" cm="1">
        <f t="array" ref="Y11">_xlfn.IFS(B11="","",OR(Q11=-100,U11=-100),"SellAll",OR(Q11&lt;0,U11&lt;0),"SellSome",AND(Q11&gt;0,U11&gt;0),"BuySome",OR(Q11&gt;0,U11&gt;0),"BuyWatch",TRUE,"")</f>
        <v/>
      </c>
      <c r="Z11" s="47" t="str">
        <f>_xlfn.XLOOKUP(Y11,Parm!$AN$2:$AN$25,Parm!$AO$2:$AO$25,"")</f>
        <v/>
      </c>
      <c r="AA11" s="286">
        <f>IF(C11&lt;&gt;-100,A11,_xlfn.XLOOKUP(B11,ssH!L:L,ssH!M:M))</f>
        <v>46140</v>
      </c>
      <c r="AB11" s="49" t="str">
        <f t="shared" si="8"/>
        <v/>
      </c>
      <c r="AC11" s="52">
        <f>_xlfn.XLOOKUP(B11,TL!C:C,TL!C:C)</f>
        <v>0</v>
      </c>
      <c r="AD11" s="52">
        <f>_xlfn.XLOOKUP(B11,Y!C:C,Y!C:C)</f>
        <v>0</v>
      </c>
      <c r="AE11" s="52" t="e">
        <f>_xlfn.XLOOKUP(B11,MA!C:C,MA!C:C)</f>
        <v>#N/A</v>
      </c>
    </row>
    <row r="12" spans="1:34" x14ac:dyDescent="0.25">
      <c r="A12" s="29">
        <f>ssH!$AG$1</f>
        <v>46140</v>
      </c>
      <c r="C12" s="47">
        <f t="shared" si="9"/>
        <v>0</v>
      </c>
      <c r="D12" s="42">
        <f>_xlfn.XLOOKUP(ssH!$AG$3&amp;B12,ssH!A:A,ssH!D:D,0)</f>
        <v>0</v>
      </c>
      <c r="E12" s="42">
        <f>_xlfn.XLOOKUP(ssH!$AG$5&amp;B12,ssH!A:A,ssH!D:D,0)</f>
        <v>0</v>
      </c>
      <c r="F12" s="42">
        <f>_xlfn.XLOOKUP(ssH!$AG$6&amp;B12,ssH!A:A,ssH!D:D,0)</f>
        <v>0</v>
      </c>
      <c r="G12" s="48">
        <f>_xlfn.XLOOKUP(A12&amp;B12,ssH!A:A,ssH!F:F,-100%)</f>
        <v>-1</v>
      </c>
      <c r="H12" s="46">
        <f>_xlfn.XLOOKUP(ssH!$AG$3&amp;B12,ssH!A:A,ssH!F:F,0)</f>
        <v>0</v>
      </c>
      <c r="I12" s="46">
        <f>_xlfn.XLOOKUP(ssH!$AG$5&amp;B12,ssH!A:A,ssH!F:F,0)</f>
        <v>0</v>
      </c>
      <c r="J12" s="46">
        <f>_xlfn.XLOOKUP(ssH!$AG$6&amp;B12,ssH!A:A,ssH!F:F,0)</f>
        <v>0</v>
      </c>
      <c r="K12" s="46">
        <f>_xlfn.XLOOKUP(B12,ssL!C:C,ssL!G:G,"Removed")</f>
        <v>0</v>
      </c>
      <c r="L12" s="27">
        <f>_xlfn.XLOOKUP(A12&amp;B12,ssH!A:A,ssH!D:D,0)</f>
        <v>0</v>
      </c>
      <c r="M12" s="42" t="str">
        <f>_xlfn.XLOOKUP(A12&amp;B12,ssH!A:A,ssH!I:I,"")</f>
        <v/>
      </c>
      <c r="N12" s="51" t="str">
        <f t="shared" si="0"/>
        <v/>
      </c>
      <c r="O12" s="51" t="str">
        <f t="shared" si="1"/>
        <v/>
      </c>
      <c r="P12" s="51" t="str">
        <f t="shared" si="2"/>
        <v/>
      </c>
      <c r="Q12" s="52">
        <f t="shared" si="3"/>
        <v>0</v>
      </c>
      <c r="R12" s="51">
        <f t="shared" si="4"/>
        <v>2</v>
      </c>
      <c r="S12" s="51">
        <f t="shared" si="5"/>
        <v>0</v>
      </c>
      <c r="T12" s="51">
        <f t="shared" si="6"/>
        <v>0</v>
      </c>
      <c r="U12" s="52">
        <f t="shared" si="7"/>
        <v>2</v>
      </c>
      <c r="V12" s="52">
        <f t="shared" si="10"/>
        <v>0</v>
      </c>
      <c r="W12" s="52" t="str" cm="1">
        <f t="array" ref="W12">_xlfn.IFS(B12="","",AND(G12&gt;=0,L12&gt;0),"BuySome",AND(G12&gt;=0,K12="KMSignal"),"BuySome",AND(G12&lt;0,L12&gt;0),"BuyWatch",AND(Q12&lt;0,L12&gt;0),"BuyWatch",AND(G12&gt;=0,L12=0),"BuyWatch",L12&gt;0,"BuySome",TRUE,"")</f>
        <v/>
      </c>
      <c r="X12" s="47" t="str">
        <f>_xlfn.XLOOKUP(W12,Parm!$AN$2:$AN$25,Parm!$AO$2:$AO$25,"")</f>
        <v/>
      </c>
      <c r="Y12" s="52" t="str" cm="1">
        <f t="array" ref="Y12">_xlfn.IFS(B12="","",OR(Q12=-100,U12=-100),"SellAll",OR(Q12&lt;0,U12&lt;0),"SellSome",AND(Q12&gt;0,U12&gt;0),"BuySome",OR(Q12&gt;0,U12&gt;0),"BuyWatch",TRUE,"")</f>
        <v/>
      </c>
      <c r="Z12" s="47" t="str">
        <f>_xlfn.XLOOKUP(Y12,Parm!$AN$2:$AN$25,Parm!$AO$2:$AO$25,"")</f>
        <v/>
      </c>
      <c r="AA12" s="286">
        <f>IF(C12&lt;&gt;-100,A12,_xlfn.XLOOKUP(B12,ssH!L:L,ssH!M:M))</f>
        <v>46140</v>
      </c>
      <c r="AB12" s="49" t="str">
        <f t="shared" si="8"/>
        <v/>
      </c>
      <c r="AC12" s="52">
        <f>_xlfn.XLOOKUP(B12,TL!C:C,TL!C:C)</f>
        <v>0</v>
      </c>
      <c r="AD12" s="52">
        <f>_xlfn.XLOOKUP(B12,Y!C:C,Y!C:C)</f>
        <v>0</v>
      </c>
      <c r="AE12" s="52">
        <f>_xlfn.XLOOKUP(B12,MA!C:C,MA!C:C)</f>
        <v>0</v>
      </c>
    </row>
    <row r="13" spans="1:34" x14ac:dyDescent="0.25">
      <c r="A13" s="29">
        <f>ssH!$AG$1</f>
        <v>46140</v>
      </c>
      <c r="C13" s="47">
        <f t="shared" si="9"/>
        <v>-100</v>
      </c>
      <c r="D13" s="42">
        <f>_xlfn.XLOOKUP(ssH!$AG$3&amp;B13,ssH!A:A,ssH!D:D,0)</f>
        <v>0</v>
      </c>
      <c r="E13" s="42">
        <f>_xlfn.XLOOKUP(ssH!$AG$5&amp;B13,ssH!A:A,ssH!D:D,0)</f>
        <v>0</v>
      </c>
      <c r="F13" s="42">
        <f>_xlfn.XLOOKUP(ssH!$AG$6&amp;B13,ssH!A:A,ssH!D:D,0)</f>
        <v>0</v>
      </c>
      <c r="G13" s="48">
        <f>_xlfn.XLOOKUP(A13&amp;B13,ssH!A:A,ssH!F:F,-100%)</f>
        <v>-1</v>
      </c>
      <c r="H13" s="46">
        <f>_xlfn.XLOOKUP(ssH!$AG$3&amp;B13,ssH!A:A,ssH!F:F,0)</f>
        <v>0</v>
      </c>
      <c r="I13" s="46">
        <f>_xlfn.XLOOKUP(ssH!$AG$5&amp;B13,ssH!A:A,ssH!F:F,0)</f>
        <v>0</v>
      </c>
      <c r="J13" s="46">
        <f>_xlfn.XLOOKUP(ssH!$AG$6&amp;B13,ssH!A:A,ssH!F:F,0)</f>
        <v>0</v>
      </c>
      <c r="K13" s="46" t="str">
        <f>_xlfn.XLOOKUP(B13,ssL!C:C,ssL!G:G,"Removed")</f>
        <v>Removed</v>
      </c>
      <c r="L13" s="27">
        <f>_xlfn.XLOOKUP(A13&amp;B13,ssH!A:A,ssH!D:D,0)</f>
        <v>0</v>
      </c>
      <c r="M13" s="42" t="str">
        <f>_xlfn.XLOOKUP(A13&amp;B13,ssH!A:A,ssH!I:I,"")</f>
        <v/>
      </c>
      <c r="N13" s="51" t="str">
        <f t="shared" si="0"/>
        <v/>
      </c>
      <c r="O13" s="51" t="str">
        <f t="shared" si="1"/>
        <v/>
      </c>
      <c r="P13" s="51" t="str">
        <f t="shared" si="2"/>
        <v/>
      </c>
      <c r="Q13" s="52">
        <f t="shared" si="3"/>
        <v>-100</v>
      </c>
      <c r="R13" s="51">
        <f t="shared" si="4"/>
        <v>2</v>
      </c>
      <c r="S13" s="51">
        <f t="shared" si="5"/>
        <v>0</v>
      </c>
      <c r="T13" s="51">
        <f t="shared" si="6"/>
        <v>0</v>
      </c>
      <c r="U13" s="52">
        <f t="shared" si="7"/>
        <v>-100</v>
      </c>
      <c r="V13" s="52">
        <f t="shared" si="10"/>
        <v>0</v>
      </c>
      <c r="W13" s="52" t="str" cm="1">
        <f t="array" ref="W13">_xlfn.IFS(B13="","",AND(G13&gt;=0,L13&gt;0),"BuySome",AND(G13&gt;=0,K13="KMSignal"),"BuySome",AND(G13&lt;0,L13&gt;0),"BuyWatch",AND(Q13&lt;0,L13&gt;0),"BuyWatch",AND(G13&gt;=0,L13=0),"BuyWatch",L13&gt;0,"BuySome",TRUE,"")</f>
        <v/>
      </c>
      <c r="X13" s="47" t="str">
        <f>_xlfn.XLOOKUP(W13,Parm!$AN$2:$AN$25,Parm!$AO$2:$AO$25,"")</f>
        <v/>
      </c>
      <c r="Y13" s="52" t="str" cm="1">
        <f t="array" ref="Y13">_xlfn.IFS(B13="","",OR(Q13=-100,U13=-100),"SellAll",OR(Q13&lt;0,U13&lt;0),"SellSome",AND(Q13&gt;0,U13&gt;0),"BuySome",OR(Q13&gt;0,U13&gt;0),"BuyWatch",TRUE,"")</f>
        <v/>
      </c>
      <c r="Z13" s="47" t="str">
        <f>_xlfn.XLOOKUP(Y13,Parm!$AN$2:$AN$25,Parm!$AO$2:$AO$25,"")</f>
        <v/>
      </c>
      <c r="AA13" s="286">
        <f>IF(C13&lt;&gt;-100,A13,_xlfn.XLOOKUP(B13,ssH!L:L,ssH!M:M))</f>
        <v>0</v>
      </c>
      <c r="AB13" s="49" t="str">
        <f t="shared" si="8"/>
        <v/>
      </c>
      <c r="AC13" s="52">
        <f>_xlfn.XLOOKUP(B13,TL!C:C,TL!C:C)</f>
        <v>0</v>
      </c>
      <c r="AD13" s="52">
        <f>_xlfn.XLOOKUP(B13,Y!C:C,Y!C:C)</f>
        <v>0</v>
      </c>
      <c r="AE13" s="52">
        <f>_xlfn.XLOOKUP(B13,MA!C:C,MA!C:C)</f>
        <v>0</v>
      </c>
    </row>
    <row r="14" spans="1:34" x14ac:dyDescent="0.25">
      <c r="A14" s="29">
        <f>ssH!$AG$1</f>
        <v>46140</v>
      </c>
      <c r="C14" s="47">
        <f t="shared" si="9"/>
        <v>0</v>
      </c>
      <c r="D14" s="42">
        <f>_xlfn.XLOOKUP(ssH!$AG$3&amp;B14,ssH!A:A,ssH!D:D,0)</f>
        <v>0</v>
      </c>
      <c r="E14" s="42">
        <f>_xlfn.XLOOKUP(ssH!$AG$5&amp;B14,ssH!A:A,ssH!D:D,0)</f>
        <v>0</v>
      </c>
      <c r="F14" s="42">
        <f>_xlfn.XLOOKUP(ssH!$AG$6&amp;B14,ssH!A:A,ssH!D:D,0)</f>
        <v>0</v>
      </c>
      <c r="G14" s="48">
        <f>_xlfn.XLOOKUP(A14&amp;B14,ssH!A:A,ssH!F:F,-100%)</f>
        <v>-1</v>
      </c>
      <c r="H14" s="46">
        <f>_xlfn.XLOOKUP(ssH!$AG$3&amp;B14,ssH!A:A,ssH!F:F,0)</f>
        <v>0</v>
      </c>
      <c r="I14" s="46">
        <f>_xlfn.XLOOKUP(ssH!$AG$5&amp;B14,ssH!A:A,ssH!F:F,0)</f>
        <v>0</v>
      </c>
      <c r="J14" s="46">
        <f>_xlfn.XLOOKUP(ssH!$AG$6&amp;B14,ssH!A:A,ssH!F:F,0)</f>
        <v>0</v>
      </c>
      <c r="K14" s="46">
        <f>_xlfn.XLOOKUP(B14,ssL!C:C,ssL!G:G,"Removed")</f>
        <v>0</v>
      </c>
      <c r="L14" s="27">
        <f>_xlfn.XLOOKUP(A14&amp;B14,ssH!A:A,ssH!D:D,0)</f>
        <v>0</v>
      </c>
      <c r="M14" s="42" t="str">
        <f>_xlfn.XLOOKUP(A14&amp;B14,ssH!A:A,ssH!I:I,"")</f>
        <v/>
      </c>
      <c r="N14" s="51" t="str">
        <f t="shared" si="0"/>
        <v/>
      </c>
      <c r="O14" s="51" t="str">
        <f t="shared" si="1"/>
        <v/>
      </c>
      <c r="P14" s="51" t="str">
        <f t="shared" si="2"/>
        <v/>
      </c>
      <c r="Q14" s="52">
        <f t="shared" si="3"/>
        <v>0</v>
      </c>
      <c r="R14" s="51">
        <f t="shared" si="4"/>
        <v>2</v>
      </c>
      <c r="S14" s="51">
        <f t="shared" si="5"/>
        <v>0</v>
      </c>
      <c r="T14" s="51">
        <f t="shared" si="6"/>
        <v>0</v>
      </c>
      <c r="U14" s="52">
        <f t="shared" si="7"/>
        <v>2</v>
      </c>
      <c r="V14" s="52">
        <f t="shared" si="10"/>
        <v>0</v>
      </c>
      <c r="W14" s="52" t="str" cm="1">
        <f t="array" ref="W14">_xlfn.IFS(B14="","",AND(G14&gt;=0,L14&gt;0),"BuySome",AND(G14&gt;=0,K14="KMSignal"),"BuySome",AND(G14&lt;0,L14&gt;0),"BuyWatch",AND(Q14&lt;0,L14&gt;0),"BuyWatch",AND(G14&gt;=0,L14=0),"BuyWatch",L14&gt;0,"BuySome",TRUE,"")</f>
        <v/>
      </c>
      <c r="X14" s="47" t="str">
        <f>_xlfn.XLOOKUP(W14,Parm!$AN$2:$AN$25,Parm!$AO$2:$AO$25,"")</f>
        <v/>
      </c>
      <c r="Y14" s="52" t="str" cm="1">
        <f t="array" ref="Y14">_xlfn.IFS(B14="","",OR(Q14=-100,U14=-100),"SellAll",OR(Q14&lt;0,U14&lt;0),"SellSome",AND(Q14&gt;0,U14&gt;0),"BuySome",OR(Q14&gt;0,U14&gt;0),"BuyWatch",TRUE,"")</f>
        <v/>
      </c>
      <c r="Z14" s="47" t="str">
        <f>_xlfn.XLOOKUP(Y14,Parm!$AN$2:$AN$25,Parm!$AO$2:$AO$25,"")</f>
        <v/>
      </c>
      <c r="AA14" s="286">
        <f>IF(C14&lt;&gt;-100,A14,_xlfn.XLOOKUP(B14,ssH!L:L,ssH!M:M))</f>
        <v>46140</v>
      </c>
      <c r="AB14" s="49" t="str">
        <f t="shared" si="8"/>
        <v/>
      </c>
      <c r="AC14" s="52">
        <f>_xlfn.XLOOKUP(B14,TL!C:C,TL!C:C)</f>
        <v>0</v>
      </c>
      <c r="AD14" s="52">
        <f>_xlfn.XLOOKUP(B14,Y!C:C,Y!C:C)</f>
        <v>0</v>
      </c>
      <c r="AE14" s="52">
        <f>_xlfn.XLOOKUP(B14,MA!C:C,MA!C:C)</f>
        <v>0</v>
      </c>
    </row>
    <row r="15" spans="1:34" x14ac:dyDescent="0.25">
      <c r="A15" s="29">
        <f>ssH!$AG$1</f>
        <v>46140</v>
      </c>
      <c r="C15" s="47">
        <f t="shared" si="9"/>
        <v>0</v>
      </c>
      <c r="D15" s="42">
        <f>_xlfn.XLOOKUP(ssH!$AG$3&amp;B15,ssH!A:A,ssH!D:D,0)</f>
        <v>0</v>
      </c>
      <c r="E15" s="42">
        <f>_xlfn.XLOOKUP(ssH!$AG$5&amp;B15,ssH!A:A,ssH!D:D,0)</f>
        <v>0</v>
      </c>
      <c r="F15" s="42">
        <f>_xlfn.XLOOKUP(ssH!$AG$6&amp;B15,ssH!A:A,ssH!D:D,0)</f>
        <v>0</v>
      </c>
      <c r="G15" s="48">
        <f>_xlfn.XLOOKUP(A15&amp;B15,ssH!A:A,ssH!F:F,-100%)</f>
        <v>-1</v>
      </c>
      <c r="H15" s="46">
        <f>_xlfn.XLOOKUP(ssH!$AG$3&amp;B15,ssH!A:A,ssH!F:F,0)</f>
        <v>0</v>
      </c>
      <c r="I15" s="46">
        <f>_xlfn.XLOOKUP(ssH!$AG$5&amp;B15,ssH!A:A,ssH!F:F,0)</f>
        <v>0</v>
      </c>
      <c r="J15" s="46">
        <f>_xlfn.XLOOKUP(ssH!$AG$6&amp;B15,ssH!A:A,ssH!F:F,0)</f>
        <v>0</v>
      </c>
      <c r="K15" s="46">
        <f>_xlfn.XLOOKUP(B15,ssL!C:C,ssL!G:G,"Removed")</f>
        <v>0</v>
      </c>
      <c r="L15" s="27">
        <f>_xlfn.XLOOKUP(A15&amp;B15,ssH!A:A,ssH!D:D,0)</f>
        <v>0</v>
      </c>
      <c r="M15" s="42" t="str">
        <f>_xlfn.XLOOKUP(A15&amp;B15,ssH!A:A,ssH!I:I,"")</f>
        <v/>
      </c>
      <c r="N15" s="51" t="str">
        <f t="shared" si="0"/>
        <v/>
      </c>
      <c r="O15" s="51" t="str">
        <f t="shared" si="1"/>
        <v/>
      </c>
      <c r="P15" s="51" t="str">
        <f t="shared" si="2"/>
        <v/>
      </c>
      <c r="Q15" s="52">
        <f t="shared" si="3"/>
        <v>0</v>
      </c>
      <c r="R15" s="51">
        <f t="shared" si="4"/>
        <v>2</v>
      </c>
      <c r="S15" s="51">
        <f t="shared" si="5"/>
        <v>0</v>
      </c>
      <c r="T15" s="51">
        <f t="shared" si="6"/>
        <v>0</v>
      </c>
      <c r="U15" s="52">
        <f t="shared" si="7"/>
        <v>2</v>
      </c>
      <c r="V15" s="52">
        <f t="shared" si="10"/>
        <v>0</v>
      </c>
      <c r="W15" s="52" t="str" cm="1">
        <f t="array" ref="W15">_xlfn.IFS(B15="","",AND(G15&gt;=0,L15&gt;0),"BuySome",AND(G15&gt;=0,K15="KMSignal"),"BuySome",AND(G15&lt;0,L15&gt;0),"BuyWatch",AND(Q15&lt;0,L15&gt;0),"BuyWatch",AND(G15&gt;=0,L15=0),"BuyWatch",L15&gt;0,"BuySome",TRUE,"")</f>
        <v/>
      </c>
      <c r="X15" s="47" t="str">
        <f>_xlfn.XLOOKUP(W15,Parm!$AN$2:$AN$25,Parm!$AO$2:$AO$25,"")</f>
        <v/>
      </c>
      <c r="Y15" s="52" t="str" cm="1">
        <f t="array" ref="Y15">_xlfn.IFS(B15="","",OR(Q15=-100,U15=-100),"SellAll",OR(Q15&lt;0,U15&lt;0),"SellSome",AND(Q15&gt;0,U15&gt;0),"BuySome",OR(Q15&gt;0,U15&gt;0),"BuyWatch",TRUE,"")</f>
        <v/>
      </c>
      <c r="Z15" s="47" t="str">
        <f>_xlfn.XLOOKUP(Y15,Parm!$AN$2:$AN$25,Parm!$AO$2:$AO$25,"")</f>
        <v/>
      </c>
      <c r="AA15" s="286">
        <f>IF(C15&lt;&gt;-100,A15,_xlfn.XLOOKUP(B15,ssH!L:L,ssH!M:M))</f>
        <v>46140</v>
      </c>
      <c r="AB15" s="49" t="str">
        <f t="shared" si="8"/>
        <v/>
      </c>
      <c r="AC15" s="52">
        <f>_xlfn.XLOOKUP(B15,TL!C:C,TL!C:C)</f>
        <v>0</v>
      </c>
      <c r="AD15" s="52">
        <f>_xlfn.XLOOKUP(B15,Y!C:C,Y!C:C)</f>
        <v>0</v>
      </c>
      <c r="AE15" s="52">
        <f>_xlfn.XLOOKUP(B15,MA!C:C,MA!C:C)</f>
        <v>0</v>
      </c>
    </row>
    <row r="16" spans="1:34" x14ac:dyDescent="0.25">
      <c r="A16" s="29">
        <f>ssH!$AG$1</f>
        <v>46140</v>
      </c>
      <c r="C16" s="47">
        <f t="shared" si="9"/>
        <v>0</v>
      </c>
      <c r="D16" s="42">
        <f>_xlfn.XLOOKUP(ssH!$AG$3&amp;B16,ssH!A:A,ssH!D:D,0)</f>
        <v>0</v>
      </c>
      <c r="E16" s="42">
        <f>_xlfn.XLOOKUP(ssH!$AG$5&amp;B16,ssH!A:A,ssH!D:D,0)</f>
        <v>0</v>
      </c>
      <c r="F16" s="42">
        <f>_xlfn.XLOOKUP(ssH!$AG$6&amp;B16,ssH!A:A,ssH!D:D,0)</f>
        <v>0</v>
      </c>
      <c r="G16" s="48">
        <f>_xlfn.XLOOKUP(A16&amp;B16,ssH!A:A,ssH!F:F,-100%)</f>
        <v>-1</v>
      </c>
      <c r="H16" s="46">
        <f>_xlfn.XLOOKUP(ssH!$AG$3&amp;B16,ssH!A:A,ssH!F:F,0)</f>
        <v>0</v>
      </c>
      <c r="I16" s="46">
        <f>_xlfn.XLOOKUP(ssH!$AG$5&amp;B16,ssH!A:A,ssH!F:F,0)</f>
        <v>0</v>
      </c>
      <c r="J16" s="46">
        <f>_xlfn.XLOOKUP(ssH!$AG$6&amp;B16,ssH!A:A,ssH!F:F,0)</f>
        <v>0</v>
      </c>
      <c r="K16" s="46">
        <f>_xlfn.XLOOKUP(B16,ssL!C:C,ssL!G:G,"Removed")</f>
        <v>0</v>
      </c>
      <c r="L16" s="27">
        <f>_xlfn.XLOOKUP(A16&amp;B16,ssH!A:A,ssH!D:D,0)</f>
        <v>0</v>
      </c>
      <c r="M16" s="42" t="str">
        <f>_xlfn.XLOOKUP(A16&amp;B16,ssH!A:A,ssH!I:I,"")</f>
        <v/>
      </c>
      <c r="N16" s="51" t="str">
        <f t="shared" si="0"/>
        <v/>
      </c>
      <c r="O16" s="51" t="str">
        <f t="shared" si="1"/>
        <v/>
      </c>
      <c r="P16" s="51" t="str">
        <f t="shared" si="2"/>
        <v/>
      </c>
      <c r="Q16" s="52">
        <f t="shared" si="3"/>
        <v>0</v>
      </c>
      <c r="R16" s="51">
        <f t="shared" si="4"/>
        <v>2</v>
      </c>
      <c r="S16" s="51">
        <f t="shared" si="5"/>
        <v>0</v>
      </c>
      <c r="T16" s="51">
        <f t="shared" si="6"/>
        <v>0</v>
      </c>
      <c r="U16" s="52">
        <f t="shared" si="7"/>
        <v>2</v>
      </c>
      <c r="V16" s="52">
        <f t="shared" si="10"/>
        <v>0</v>
      </c>
      <c r="W16" s="52" t="str" cm="1">
        <f t="array" ref="W16">_xlfn.IFS(B16="","",AND(G16&gt;=0,L16&gt;0),"BuySome",AND(G16&gt;=0,K16="KMSignal"),"BuySome",AND(G16&lt;0,L16&gt;0),"BuyWatch",AND(Q16&lt;0,L16&gt;0),"BuyWatch",AND(G16&gt;=0,L16=0),"BuyWatch",L16&gt;0,"BuySome",TRUE,"")</f>
        <v/>
      </c>
      <c r="X16" s="47" t="str">
        <f>_xlfn.XLOOKUP(W16,Parm!$AN$2:$AN$25,Parm!$AO$2:$AO$25,"")</f>
        <v/>
      </c>
      <c r="Y16" s="52" t="str" cm="1">
        <f t="array" ref="Y16">_xlfn.IFS(B16="","",OR(Q16=-100,U16=-100),"SellAll",OR(Q16&lt;0,U16&lt;0),"SellSome",AND(Q16&gt;0,U16&gt;0),"BuySome",OR(Q16&gt;0,U16&gt;0),"BuyWatch",TRUE,"")</f>
        <v/>
      </c>
      <c r="Z16" s="47" t="str">
        <f>_xlfn.XLOOKUP(Y16,Parm!$AN$2:$AN$25,Parm!$AO$2:$AO$25,"")</f>
        <v/>
      </c>
      <c r="AA16" s="286">
        <f>IF(C16&lt;&gt;-100,A16,_xlfn.XLOOKUP(B16,ssH!L:L,ssH!M:M))</f>
        <v>46140</v>
      </c>
      <c r="AB16" s="49" t="str">
        <f t="shared" si="8"/>
        <v/>
      </c>
      <c r="AC16" s="52">
        <f>_xlfn.XLOOKUP(B16,TL!C:C,TL!C:C)</f>
        <v>0</v>
      </c>
      <c r="AD16" s="52">
        <f>_xlfn.XLOOKUP(B16,Y!C:C,Y!C:C)</f>
        <v>0</v>
      </c>
      <c r="AE16" s="52">
        <f>_xlfn.XLOOKUP(B16,MA!C:C,MA!C:C)</f>
        <v>0</v>
      </c>
    </row>
    <row r="17" spans="1:31" x14ac:dyDescent="0.25">
      <c r="A17" s="29">
        <f>ssH!$AG$1</f>
        <v>46140</v>
      </c>
      <c r="C17" s="47">
        <f t="shared" si="9"/>
        <v>0</v>
      </c>
      <c r="D17" s="42">
        <f>_xlfn.XLOOKUP(ssH!$AG$3&amp;B17,ssH!A:A,ssH!D:D,0)</f>
        <v>0</v>
      </c>
      <c r="E17" s="42">
        <f>_xlfn.XLOOKUP(ssH!$AG$5&amp;B17,ssH!A:A,ssH!D:D,0)</f>
        <v>0</v>
      </c>
      <c r="F17" s="42">
        <f>_xlfn.XLOOKUP(ssH!$AG$6&amp;B17,ssH!A:A,ssH!D:D,0)</f>
        <v>0</v>
      </c>
      <c r="G17" s="48">
        <f>_xlfn.XLOOKUP(A17&amp;B17,ssH!A:A,ssH!F:F,-100%)</f>
        <v>-1</v>
      </c>
      <c r="H17" s="46">
        <f>_xlfn.XLOOKUP(ssH!$AG$3&amp;B17,ssH!A:A,ssH!F:F,0)</f>
        <v>0</v>
      </c>
      <c r="I17" s="46">
        <f>_xlfn.XLOOKUP(ssH!$AG$5&amp;B17,ssH!A:A,ssH!F:F,0)</f>
        <v>0</v>
      </c>
      <c r="J17" s="46">
        <f>_xlfn.XLOOKUP(ssH!$AG$6&amp;B17,ssH!A:A,ssH!F:F,0)</f>
        <v>0</v>
      </c>
      <c r="K17" s="46">
        <f>_xlfn.XLOOKUP(B17,ssL!C:C,ssL!G:G,"Removed")</f>
        <v>0</v>
      </c>
      <c r="L17" s="27">
        <f>_xlfn.XLOOKUP(A17&amp;B17,ssH!A:A,ssH!D:D,0)</f>
        <v>0</v>
      </c>
      <c r="M17" s="42" t="str">
        <f>_xlfn.XLOOKUP(A17&amp;B17,ssH!A:A,ssH!I:I,"")</f>
        <v/>
      </c>
      <c r="N17" s="51" t="str">
        <f t="shared" si="0"/>
        <v/>
      </c>
      <c r="O17" s="51" t="str">
        <f t="shared" si="1"/>
        <v/>
      </c>
      <c r="P17" s="51" t="str">
        <f t="shared" si="2"/>
        <v/>
      </c>
      <c r="Q17" s="52">
        <f t="shared" si="3"/>
        <v>0</v>
      </c>
      <c r="R17" s="51">
        <f t="shared" si="4"/>
        <v>2</v>
      </c>
      <c r="S17" s="51">
        <f t="shared" si="5"/>
        <v>0</v>
      </c>
      <c r="T17" s="51">
        <f t="shared" si="6"/>
        <v>0</v>
      </c>
      <c r="U17" s="52">
        <f t="shared" si="7"/>
        <v>2</v>
      </c>
      <c r="V17" s="52">
        <f t="shared" si="10"/>
        <v>0</v>
      </c>
      <c r="W17" s="52" t="str" cm="1">
        <f t="array" ref="W17">_xlfn.IFS(B17="","",AND(G17&gt;=0,L17&gt;0),"BuySome",AND(G17&gt;=0,K17="KMSignal"),"BuySome",AND(G17&lt;0,L17&gt;0),"BuyWatch",AND(Q17&lt;0,L17&gt;0),"BuyWatch",AND(G17&gt;=0,L17=0),"BuyWatch",L17&gt;0,"BuySome",TRUE,"")</f>
        <v/>
      </c>
      <c r="X17" s="47" t="str">
        <f>_xlfn.XLOOKUP(W17,Parm!$AN$2:$AN$25,Parm!$AO$2:$AO$25,"")</f>
        <v/>
      </c>
      <c r="Y17" s="52" t="str" cm="1">
        <f t="array" ref="Y17">_xlfn.IFS(B17="","",OR(Q17=-100,U17=-100),"SellAll",OR(Q17&lt;0,U17&lt;0),"SellSome",AND(Q17&gt;0,U17&gt;0),"BuySome",OR(Q17&gt;0,U17&gt;0),"BuyWatch",TRUE,"")</f>
        <v/>
      </c>
      <c r="Z17" s="47" t="str">
        <f>_xlfn.XLOOKUP(Y17,Parm!$AN$2:$AN$25,Parm!$AO$2:$AO$25,"")</f>
        <v/>
      </c>
      <c r="AA17" s="286">
        <f>IF(C17&lt;&gt;-100,A17,_xlfn.XLOOKUP(B17,ssH!L:L,ssH!M:M))</f>
        <v>46140</v>
      </c>
      <c r="AB17" s="49" t="str">
        <f t="shared" si="8"/>
        <v/>
      </c>
      <c r="AC17" s="52">
        <f>_xlfn.XLOOKUP(B17,TL!C:C,TL!C:C)</f>
        <v>0</v>
      </c>
      <c r="AD17" s="52">
        <f>_xlfn.XLOOKUP(B17,Y!C:C,Y!C:C)</f>
        <v>0</v>
      </c>
      <c r="AE17" s="52">
        <f>_xlfn.XLOOKUP(B17,MA!C:C,MA!C:C)</f>
        <v>0</v>
      </c>
    </row>
    <row r="18" spans="1:31" x14ac:dyDescent="0.25">
      <c r="A18" s="29">
        <f>ssH!$AG$1</f>
        <v>46140</v>
      </c>
      <c r="C18" s="47">
        <f t="shared" si="9"/>
        <v>0</v>
      </c>
      <c r="D18" s="42">
        <f>_xlfn.XLOOKUP(ssH!$AG$3&amp;B18,ssH!A:A,ssH!D:D,0)</f>
        <v>0</v>
      </c>
      <c r="E18" s="42">
        <f>_xlfn.XLOOKUP(ssH!$AG$5&amp;B18,ssH!A:A,ssH!D:D,0)</f>
        <v>0</v>
      </c>
      <c r="F18" s="42">
        <f>_xlfn.XLOOKUP(ssH!$AG$6&amp;B18,ssH!A:A,ssH!D:D,0)</f>
        <v>0</v>
      </c>
      <c r="G18" s="48">
        <f>_xlfn.XLOOKUP(A18&amp;B18,ssH!A:A,ssH!F:F,-100%)</f>
        <v>-1</v>
      </c>
      <c r="H18" s="46">
        <f>_xlfn.XLOOKUP(ssH!$AG$3&amp;B18,ssH!A:A,ssH!F:F,0)</f>
        <v>0</v>
      </c>
      <c r="I18" s="46">
        <f>_xlfn.XLOOKUP(ssH!$AG$5&amp;B18,ssH!A:A,ssH!F:F,0)</f>
        <v>0</v>
      </c>
      <c r="J18" s="46">
        <f>_xlfn.XLOOKUP(ssH!$AG$6&amp;B18,ssH!A:A,ssH!F:F,0)</f>
        <v>0</v>
      </c>
      <c r="K18" s="46">
        <f>_xlfn.XLOOKUP(B18,ssL!C:C,ssL!G:G,"Removed")</f>
        <v>0</v>
      </c>
      <c r="L18" s="27">
        <f>_xlfn.XLOOKUP(A18&amp;B18,ssH!A:A,ssH!D:D,0)</f>
        <v>0</v>
      </c>
      <c r="M18" s="42" t="str">
        <f>_xlfn.XLOOKUP(A18&amp;B18,ssH!A:A,ssH!I:I,"")</f>
        <v/>
      </c>
      <c r="N18" s="51" t="str">
        <f t="shared" si="0"/>
        <v/>
      </c>
      <c r="O18" s="51" t="str">
        <f t="shared" si="1"/>
        <v/>
      </c>
      <c r="P18" s="51" t="str">
        <f t="shared" si="2"/>
        <v/>
      </c>
      <c r="Q18" s="52">
        <f t="shared" si="3"/>
        <v>0</v>
      </c>
      <c r="R18" s="51">
        <f t="shared" si="4"/>
        <v>2</v>
      </c>
      <c r="S18" s="51">
        <f t="shared" si="5"/>
        <v>0</v>
      </c>
      <c r="T18" s="51">
        <f t="shared" si="6"/>
        <v>0</v>
      </c>
      <c r="U18" s="52">
        <f t="shared" si="7"/>
        <v>2</v>
      </c>
      <c r="V18" s="52">
        <f t="shared" si="10"/>
        <v>0</v>
      </c>
      <c r="W18" s="52" t="str" cm="1">
        <f t="array" ref="W18">_xlfn.IFS(B18="","",AND(G18&gt;=0,L18&gt;0),"BuySome",AND(G18&gt;=0,K18="KMSignal"),"BuySome",AND(G18&lt;0,L18&gt;0),"BuyWatch",AND(Q18&lt;0,L18&gt;0),"BuyWatch",AND(G18&gt;=0,L18=0),"BuyWatch",L18&gt;0,"BuySome",TRUE,"")</f>
        <v/>
      </c>
      <c r="X18" s="47" t="str">
        <f>_xlfn.XLOOKUP(W18,Parm!$AN$2:$AN$25,Parm!$AO$2:$AO$25,"")</f>
        <v/>
      </c>
      <c r="Y18" s="52" t="str" cm="1">
        <f t="array" ref="Y18">_xlfn.IFS(B18="","",OR(Q18=-100,U18=-100),"SellAll",OR(Q18&lt;0,U18&lt;0),"SellSome",AND(Q18&gt;0,U18&gt;0),"BuySome",OR(Q18&gt;0,U18&gt;0),"BuyWatch",TRUE,"")</f>
        <v/>
      </c>
      <c r="Z18" s="47" t="str">
        <f>_xlfn.XLOOKUP(Y18,Parm!$AN$2:$AN$25,Parm!$AO$2:$AO$25,"")</f>
        <v/>
      </c>
      <c r="AA18" s="286">
        <f>IF(C18&lt;&gt;-100,A18,_xlfn.XLOOKUP(B18,ssH!L:L,ssH!M:M))</f>
        <v>46140</v>
      </c>
      <c r="AB18" s="49" t="str">
        <f t="shared" si="8"/>
        <v/>
      </c>
      <c r="AC18" s="52">
        <f>_xlfn.XLOOKUP(B18,TL!C:C,TL!C:C)</f>
        <v>0</v>
      </c>
      <c r="AD18" s="52">
        <f>_xlfn.XLOOKUP(B18,Y!C:C,Y!C:C)</f>
        <v>0</v>
      </c>
      <c r="AE18" s="52">
        <f>_xlfn.XLOOKUP(B18,MA!C:C,MA!C:C)</f>
        <v>0</v>
      </c>
    </row>
    <row r="19" spans="1:31" x14ac:dyDescent="0.25">
      <c r="A19" s="29">
        <f>ssH!$AG$1</f>
        <v>46140</v>
      </c>
      <c r="C19" s="47">
        <f t="shared" si="9"/>
        <v>0</v>
      </c>
      <c r="D19" s="42">
        <f>_xlfn.XLOOKUP(ssH!$AG$3&amp;B19,ssH!A:A,ssH!D:D,0)</f>
        <v>0</v>
      </c>
      <c r="E19" s="42">
        <f>_xlfn.XLOOKUP(ssH!$AG$5&amp;B19,ssH!A:A,ssH!D:D,0)</f>
        <v>0</v>
      </c>
      <c r="F19" s="42">
        <f>_xlfn.XLOOKUP(ssH!$AG$6&amp;B19,ssH!A:A,ssH!D:D,0)</f>
        <v>0</v>
      </c>
      <c r="G19" s="48">
        <f>_xlfn.XLOOKUP(A19&amp;B19,ssH!A:A,ssH!F:F,-100%)</f>
        <v>-1</v>
      </c>
      <c r="H19" s="46">
        <f>_xlfn.XLOOKUP(ssH!$AG$3&amp;B19,ssH!A:A,ssH!F:F,0)</f>
        <v>0</v>
      </c>
      <c r="I19" s="46">
        <f>_xlfn.XLOOKUP(ssH!$AG$5&amp;B19,ssH!A:A,ssH!F:F,0)</f>
        <v>0</v>
      </c>
      <c r="J19" s="46">
        <f>_xlfn.XLOOKUP(ssH!$AG$6&amp;B19,ssH!A:A,ssH!F:F,0)</f>
        <v>0</v>
      </c>
      <c r="K19" s="46">
        <f>_xlfn.XLOOKUP(B19,ssL!C:C,ssL!G:G,"Removed")</f>
        <v>0</v>
      </c>
      <c r="L19" s="27">
        <f>_xlfn.XLOOKUP(A19&amp;B19,ssH!A:A,ssH!D:D,0)</f>
        <v>0</v>
      </c>
      <c r="M19" s="42" t="str">
        <f>_xlfn.XLOOKUP(A19&amp;B19,ssH!A:A,ssH!I:I,"")</f>
        <v/>
      </c>
      <c r="N19" s="51" t="str">
        <f t="shared" si="0"/>
        <v/>
      </c>
      <c r="O19" s="51" t="str">
        <f t="shared" si="1"/>
        <v/>
      </c>
      <c r="P19" s="51" t="str">
        <f t="shared" si="2"/>
        <v/>
      </c>
      <c r="Q19" s="52">
        <f t="shared" si="3"/>
        <v>0</v>
      </c>
      <c r="R19" s="51">
        <f t="shared" si="4"/>
        <v>2</v>
      </c>
      <c r="S19" s="51">
        <f t="shared" si="5"/>
        <v>0</v>
      </c>
      <c r="T19" s="51">
        <f t="shared" si="6"/>
        <v>0</v>
      </c>
      <c r="U19" s="52">
        <f t="shared" si="7"/>
        <v>2</v>
      </c>
      <c r="V19" s="52">
        <f t="shared" si="10"/>
        <v>0</v>
      </c>
      <c r="W19" s="52" t="str" cm="1">
        <f t="array" ref="W19">_xlfn.IFS(B19="","",AND(G19&gt;=0,L19&gt;0),"BuySome",AND(G19&gt;=0,K19="KMSignal"),"BuySome",AND(G19&lt;0,L19&gt;0),"BuyWatch",AND(Q19&lt;0,L19&gt;0),"BuyWatch",AND(G19&gt;=0,L19=0),"BuyWatch",L19&gt;0,"BuySome",TRUE,"")</f>
        <v/>
      </c>
      <c r="X19" s="47" t="str">
        <f>_xlfn.XLOOKUP(W19,Parm!$AN$2:$AN$25,Parm!$AO$2:$AO$25,"")</f>
        <v/>
      </c>
      <c r="Y19" s="52" t="str" cm="1">
        <f t="array" ref="Y19">_xlfn.IFS(B19="","",OR(Q19=-100,U19=-100),"SellAll",OR(Q19&lt;0,U19&lt;0),"SellSome",AND(Q19&gt;0,U19&gt;0),"BuySome",OR(Q19&gt;0,U19&gt;0),"BuyWatch",TRUE,"")</f>
        <v/>
      </c>
      <c r="Z19" s="47" t="str">
        <f>_xlfn.XLOOKUP(Y19,Parm!$AN$2:$AN$25,Parm!$AO$2:$AO$25,"")</f>
        <v/>
      </c>
      <c r="AA19" s="286">
        <f>IF(C19&lt;&gt;-100,A19,_xlfn.XLOOKUP(B19,ssH!L:L,ssH!M:M))</f>
        <v>46140</v>
      </c>
      <c r="AB19" s="49" t="str">
        <f t="shared" si="8"/>
        <v/>
      </c>
      <c r="AC19" s="52">
        <f>_xlfn.XLOOKUP(B19,TL!C:C,TL!C:C)</f>
        <v>0</v>
      </c>
      <c r="AD19" s="52">
        <f>_xlfn.XLOOKUP(B19,Y!C:C,Y!C:C)</f>
        <v>0</v>
      </c>
      <c r="AE19" s="52">
        <f>_xlfn.XLOOKUP(B19,MA!C:C,MA!C:C)</f>
        <v>0</v>
      </c>
    </row>
    <row r="20" spans="1:31" x14ac:dyDescent="0.25">
      <c r="A20" s="29">
        <f>ssH!$AG$1</f>
        <v>46140</v>
      </c>
      <c r="C20" s="47">
        <f t="shared" si="9"/>
        <v>0</v>
      </c>
      <c r="D20" s="42">
        <f>_xlfn.XLOOKUP(ssH!$AG$3&amp;B20,ssH!A:A,ssH!D:D,0)</f>
        <v>0</v>
      </c>
      <c r="E20" s="42">
        <f>_xlfn.XLOOKUP(ssH!$AG$5&amp;B20,ssH!A:A,ssH!D:D,0)</f>
        <v>0</v>
      </c>
      <c r="F20" s="42">
        <f>_xlfn.XLOOKUP(ssH!$AG$6&amp;B20,ssH!A:A,ssH!D:D,0)</f>
        <v>0</v>
      </c>
      <c r="G20" s="48">
        <f>_xlfn.XLOOKUP(A20&amp;B20,ssH!A:A,ssH!F:F,-100%)</f>
        <v>-1</v>
      </c>
      <c r="H20" s="46">
        <f>_xlfn.XLOOKUP(ssH!$AG$3&amp;B20,ssH!A:A,ssH!F:F,0)</f>
        <v>0</v>
      </c>
      <c r="I20" s="46">
        <f>_xlfn.XLOOKUP(ssH!$AG$5&amp;B20,ssH!A:A,ssH!F:F,0)</f>
        <v>0</v>
      </c>
      <c r="J20" s="46">
        <f>_xlfn.XLOOKUP(ssH!$AG$6&amp;B20,ssH!A:A,ssH!F:F,0)</f>
        <v>0</v>
      </c>
      <c r="K20" s="46">
        <f>_xlfn.XLOOKUP(B20,ssL!C:C,ssL!G:G,"Removed")</f>
        <v>0</v>
      </c>
      <c r="L20" s="27">
        <f>_xlfn.XLOOKUP(A20&amp;B20,ssH!A:A,ssH!D:D,0)</f>
        <v>0</v>
      </c>
      <c r="M20" s="42" t="str">
        <f>_xlfn.XLOOKUP(A20&amp;B20,ssH!A:A,ssH!I:I,"")</f>
        <v/>
      </c>
      <c r="N20" s="51" t="str">
        <f t="shared" si="0"/>
        <v/>
      </c>
      <c r="O20" s="51" t="str">
        <f t="shared" si="1"/>
        <v/>
      </c>
      <c r="P20" s="51" t="str">
        <f t="shared" si="2"/>
        <v/>
      </c>
      <c r="Q20" s="52">
        <f t="shared" si="3"/>
        <v>0</v>
      </c>
      <c r="R20" s="51">
        <f t="shared" si="4"/>
        <v>2</v>
      </c>
      <c r="S20" s="51">
        <f t="shared" si="5"/>
        <v>0</v>
      </c>
      <c r="T20" s="51">
        <f t="shared" si="6"/>
        <v>0</v>
      </c>
      <c r="U20" s="52">
        <f t="shared" si="7"/>
        <v>2</v>
      </c>
      <c r="V20" s="52">
        <f t="shared" si="10"/>
        <v>0</v>
      </c>
      <c r="W20" s="52" t="str" cm="1">
        <f t="array" ref="W20">_xlfn.IFS(B20="","",AND(G20&gt;=0,L20&gt;0),"BuySome",AND(G20&gt;=0,K20="KMSignal"),"BuySome",AND(G20&lt;0,L20&gt;0),"BuyWatch",AND(Q20&lt;0,L20&gt;0),"BuyWatch",AND(G20&gt;=0,L20=0),"BuyWatch",L20&gt;0,"BuySome",TRUE,"")</f>
        <v/>
      </c>
      <c r="X20" s="47" t="str">
        <f>_xlfn.XLOOKUP(W20,Parm!$AN$2:$AN$25,Parm!$AO$2:$AO$25,"")</f>
        <v/>
      </c>
      <c r="Y20" s="52" t="str" cm="1">
        <f t="array" ref="Y20">_xlfn.IFS(B20="","",OR(Q20=-100,U20=-100),"SellAll",OR(Q20&lt;0,U20&lt;0),"SellSome",AND(Q20&gt;0,U20&gt;0),"BuySome",OR(Q20&gt;0,U20&gt;0),"BuyWatch",TRUE,"")</f>
        <v/>
      </c>
      <c r="Z20" s="47" t="str">
        <f>_xlfn.XLOOKUP(Y20,Parm!$AN$2:$AN$25,Parm!$AO$2:$AO$25,"")</f>
        <v/>
      </c>
      <c r="AA20" s="286">
        <f>IF(C20&lt;&gt;-100,A20,_xlfn.XLOOKUP(B20,ssH!L:L,ssH!M:M))</f>
        <v>46140</v>
      </c>
      <c r="AB20" s="49" t="str">
        <f t="shared" si="8"/>
        <v/>
      </c>
      <c r="AC20" s="52">
        <f>_xlfn.XLOOKUP(B20,TL!C:C,TL!C:C)</f>
        <v>0</v>
      </c>
      <c r="AD20" s="52">
        <f>_xlfn.XLOOKUP(B20,Y!C:C,Y!C:C)</f>
        <v>0</v>
      </c>
      <c r="AE20" s="52">
        <f>_xlfn.XLOOKUP(B20,MA!C:C,MA!C:C)</f>
        <v>0</v>
      </c>
    </row>
    <row r="21" spans="1:31" x14ac:dyDescent="0.25">
      <c r="A21" s="29">
        <f>ssH!$AG$1</f>
        <v>46140</v>
      </c>
      <c r="C21" s="47">
        <f t="shared" si="9"/>
        <v>0</v>
      </c>
      <c r="D21" s="42">
        <f>_xlfn.XLOOKUP(ssH!$AG$3&amp;B21,ssH!A:A,ssH!D:D,0)</f>
        <v>0</v>
      </c>
      <c r="E21" s="42">
        <f>_xlfn.XLOOKUP(ssH!$AG$5&amp;B21,ssH!A:A,ssH!D:D,0)</f>
        <v>0</v>
      </c>
      <c r="F21" s="42">
        <f>_xlfn.XLOOKUP(ssH!$AG$6&amp;B21,ssH!A:A,ssH!D:D,0)</f>
        <v>0</v>
      </c>
      <c r="G21" s="48">
        <f>_xlfn.XLOOKUP(A21&amp;B21,ssH!A:A,ssH!F:F,-100%)</f>
        <v>-1</v>
      </c>
      <c r="H21" s="46">
        <f>_xlfn.XLOOKUP(ssH!$AG$3&amp;B21,ssH!A:A,ssH!F:F,0)</f>
        <v>0</v>
      </c>
      <c r="I21" s="46">
        <f>_xlfn.XLOOKUP(ssH!$AG$5&amp;B21,ssH!A:A,ssH!F:F,0)</f>
        <v>0</v>
      </c>
      <c r="J21" s="46">
        <f>_xlfn.XLOOKUP(ssH!$AG$6&amp;B21,ssH!A:A,ssH!F:F,0)</f>
        <v>0</v>
      </c>
      <c r="K21" s="46">
        <f>_xlfn.XLOOKUP(B21,ssL!C:C,ssL!G:G,"Removed")</f>
        <v>0</v>
      </c>
      <c r="L21" s="27">
        <f>_xlfn.XLOOKUP(A21&amp;B21,ssH!A:A,ssH!D:D,0)</f>
        <v>0</v>
      </c>
      <c r="M21" s="42" t="str">
        <f>_xlfn.XLOOKUP(A21&amp;B21,ssH!A:A,ssH!I:I,"")</f>
        <v/>
      </c>
      <c r="N21" s="51" t="str">
        <f t="shared" si="0"/>
        <v/>
      </c>
      <c r="O21" s="51" t="str">
        <f t="shared" si="1"/>
        <v/>
      </c>
      <c r="P21" s="51" t="str">
        <f t="shared" si="2"/>
        <v/>
      </c>
      <c r="Q21" s="52">
        <f t="shared" si="3"/>
        <v>0</v>
      </c>
      <c r="R21" s="51">
        <f t="shared" si="4"/>
        <v>2</v>
      </c>
      <c r="S21" s="51">
        <f t="shared" si="5"/>
        <v>0</v>
      </c>
      <c r="T21" s="51">
        <f t="shared" si="6"/>
        <v>0</v>
      </c>
      <c r="U21" s="52">
        <f t="shared" si="7"/>
        <v>2</v>
      </c>
      <c r="V21" s="52">
        <f t="shared" si="10"/>
        <v>0</v>
      </c>
      <c r="W21" s="52" t="str" cm="1">
        <f t="array" ref="W21">_xlfn.IFS(B21="","",AND(G21&gt;=0,L21&gt;0),"BuySome",AND(G21&gt;=0,K21="KMSignal"),"BuySome",AND(G21&lt;0,L21&gt;0),"BuyWatch",AND(Q21&lt;0,L21&gt;0),"BuyWatch",AND(G21&gt;=0,L21=0),"BuyWatch",L21&gt;0,"BuySome",TRUE,"")</f>
        <v/>
      </c>
      <c r="X21" s="47" t="str">
        <f>_xlfn.XLOOKUP(W21,Parm!$AN$2:$AN$25,Parm!$AO$2:$AO$25,"")</f>
        <v/>
      </c>
      <c r="Y21" s="52" t="str" cm="1">
        <f t="array" ref="Y21">_xlfn.IFS(B21="","",OR(Q21=-100,U21=-100),"SellAll",OR(Q21&lt;0,U21&lt;0),"SellSome",AND(Q21&gt;0,U21&gt;0),"BuySome",OR(Q21&gt;0,U21&gt;0),"BuyWatch",TRUE,"")</f>
        <v/>
      </c>
      <c r="Z21" s="47" t="str">
        <f>_xlfn.XLOOKUP(Y21,Parm!$AN$2:$AN$25,Parm!$AO$2:$AO$25,"")</f>
        <v/>
      </c>
      <c r="AA21" s="286">
        <f>IF(C21&lt;&gt;-100,A21,_xlfn.XLOOKUP(B21,ssH!L:L,ssH!M:M))</f>
        <v>46140</v>
      </c>
      <c r="AB21" s="49" t="str">
        <f t="shared" si="8"/>
        <v/>
      </c>
      <c r="AC21" s="52">
        <f>_xlfn.XLOOKUP(B21,TL!C:C,TL!C:C)</f>
        <v>0</v>
      </c>
      <c r="AD21" s="52">
        <f>_xlfn.XLOOKUP(B21,Y!C:C,Y!C:C)</f>
        <v>0</v>
      </c>
      <c r="AE21" s="52">
        <f>_xlfn.XLOOKUP(B21,MA!C:C,MA!C:C)</f>
        <v>0</v>
      </c>
    </row>
    <row r="22" spans="1:31" x14ac:dyDescent="0.25">
      <c r="A22" s="29">
        <f>ssH!$AG$1</f>
        <v>46140</v>
      </c>
      <c r="C22" s="47">
        <f t="shared" si="9"/>
        <v>0</v>
      </c>
      <c r="D22" s="42">
        <f>_xlfn.XLOOKUP(ssH!$AG$3&amp;B22,ssH!A:A,ssH!D:D,0)</f>
        <v>0</v>
      </c>
      <c r="E22" s="42">
        <f>_xlfn.XLOOKUP(ssH!$AG$5&amp;B22,ssH!A:A,ssH!D:D,0)</f>
        <v>0</v>
      </c>
      <c r="F22" s="42">
        <f>_xlfn.XLOOKUP(ssH!$AG$6&amp;B22,ssH!A:A,ssH!D:D,0)</f>
        <v>0</v>
      </c>
      <c r="G22" s="48">
        <f>_xlfn.XLOOKUP(A22&amp;B22,ssH!A:A,ssH!F:F,-100%)</f>
        <v>-1</v>
      </c>
      <c r="H22" s="46">
        <f>_xlfn.XLOOKUP(ssH!$AG$3&amp;B22,ssH!A:A,ssH!F:F,0)</f>
        <v>0</v>
      </c>
      <c r="I22" s="46">
        <f>_xlfn.XLOOKUP(ssH!$AG$5&amp;B22,ssH!A:A,ssH!F:F,0)</f>
        <v>0</v>
      </c>
      <c r="J22" s="46">
        <f>_xlfn.XLOOKUP(ssH!$AG$6&amp;B22,ssH!A:A,ssH!F:F,0)</f>
        <v>0</v>
      </c>
      <c r="K22" s="46">
        <f>_xlfn.XLOOKUP(B22,ssL!C:C,ssL!G:G,"Removed")</f>
        <v>0</v>
      </c>
      <c r="L22" s="27">
        <f>_xlfn.XLOOKUP(A22&amp;B22,ssH!A:A,ssH!D:D,0)</f>
        <v>0</v>
      </c>
      <c r="M22" s="42" t="str">
        <f>_xlfn.XLOOKUP(A22&amp;B22,ssH!A:A,ssH!I:I,"")</f>
        <v/>
      </c>
      <c r="N22" s="51" t="str">
        <f t="shared" si="0"/>
        <v/>
      </c>
      <c r="O22" s="51" t="str">
        <f t="shared" si="1"/>
        <v/>
      </c>
      <c r="P22" s="51" t="str">
        <f t="shared" si="2"/>
        <v/>
      </c>
      <c r="Q22" s="52">
        <f t="shared" si="3"/>
        <v>0</v>
      </c>
      <c r="R22" s="51">
        <f t="shared" si="4"/>
        <v>2</v>
      </c>
      <c r="S22" s="51">
        <f t="shared" si="5"/>
        <v>0</v>
      </c>
      <c r="T22" s="51">
        <f t="shared" si="6"/>
        <v>0</v>
      </c>
      <c r="U22" s="52">
        <f t="shared" si="7"/>
        <v>2</v>
      </c>
      <c r="V22" s="52">
        <f t="shared" si="10"/>
        <v>0</v>
      </c>
      <c r="W22" s="52" t="str" cm="1">
        <f t="array" ref="W22">_xlfn.IFS(B22="","",AND(G22&gt;=0,L22&gt;0),"BuySome",AND(G22&gt;=0,K22="KMSignal"),"BuySome",AND(G22&lt;0,L22&gt;0),"BuyWatch",AND(Q22&lt;0,L22&gt;0),"BuyWatch",AND(G22&gt;=0,L22=0),"BuyWatch",L22&gt;0,"BuySome",TRUE,"")</f>
        <v/>
      </c>
      <c r="X22" s="47" t="str">
        <f>_xlfn.XLOOKUP(W22,Parm!$AN$2:$AN$25,Parm!$AO$2:$AO$25,"")</f>
        <v/>
      </c>
      <c r="Y22" s="52" t="str" cm="1">
        <f t="array" ref="Y22">_xlfn.IFS(B22="","",OR(Q22=-100,U22=-100),"SellAll",OR(Q22&lt;0,U22&lt;0),"SellSome",AND(Q22&gt;0,U22&gt;0),"BuySome",OR(Q22&gt;0,U22&gt;0),"BuyWatch",TRUE,"")</f>
        <v/>
      </c>
      <c r="Z22" s="47" t="str">
        <f>_xlfn.XLOOKUP(Y22,Parm!$AN$2:$AN$25,Parm!$AO$2:$AO$25,"")</f>
        <v/>
      </c>
      <c r="AA22" s="286">
        <f>IF(C22&lt;&gt;-100,A22,_xlfn.XLOOKUP(B22,ssH!L:L,ssH!M:M))</f>
        <v>46140</v>
      </c>
      <c r="AB22" s="49" t="str">
        <f t="shared" si="8"/>
        <v/>
      </c>
      <c r="AC22" s="52">
        <f>_xlfn.XLOOKUP(B22,TL!C:C,TL!C:C)</f>
        <v>0</v>
      </c>
      <c r="AD22" s="52">
        <f>_xlfn.XLOOKUP(B22,Y!C:C,Y!C:C)</f>
        <v>0</v>
      </c>
      <c r="AE22" s="52">
        <f>_xlfn.XLOOKUP(B22,MA!C:C,MA!C:C)</f>
        <v>0</v>
      </c>
    </row>
    <row r="23" spans="1:31" x14ac:dyDescent="0.25">
      <c r="A23" s="29">
        <f>ssH!$AG$1</f>
        <v>46140</v>
      </c>
      <c r="C23" s="47">
        <f t="shared" si="9"/>
        <v>0</v>
      </c>
      <c r="D23" s="42">
        <f>_xlfn.XLOOKUP(ssH!$AG$3&amp;B23,ssH!A:A,ssH!D:D,0)</f>
        <v>0</v>
      </c>
      <c r="E23" s="42">
        <f>_xlfn.XLOOKUP(ssH!$AG$5&amp;B23,ssH!A:A,ssH!D:D,0)</f>
        <v>0</v>
      </c>
      <c r="F23" s="42">
        <f>_xlfn.XLOOKUP(ssH!$AG$6&amp;B23,ssH!A:A,ssH!D:D,0)</f>
        <v>0</v>
      </c>
      <c r="G23" s="48">
        <f>_xlfn.XLOOKUP(A23&amp;B23,ssH!A:A,ssH!F:F,-100%)</f>
        <v>-1</v>
      </c>
      <c r="H23" s="46">
        <f>_xlfn.XLOOKUP(ssH!$AG$3&amp;B23,ssH!A:A,ssH!F:F,0)</f>
        <v>0</v>
      </c>
      <c r="I23" s="46">
        <f>_xlfn.XLOOKUP(ssH!$AG$5&amp;B23,ssH!A:A,ssH!F:F,0)</f>
        <v>0</v>
      </c>
      <c r="J23" s="46">
        <f>_xlfn.XLOOKUP(ssH!$AG$6&amp;B23,ssH!A:A,ssH!F:F,0)</f>
        <v>0</v>
      </c>
      <c r="K23" s="46">
        <f>_xlfn.XLOOKUP(B23,ssL!C:C,ssL!G:G,"Removed")</f>
        <v>0</v>
      </c>
      <c r="L23" s="27">
        <f>_xlfn.XLOOKUP(A23&amp;B23,ssH!A:A,ssH!D:D,0)</f>
        <v>0</v>
      </c>
      <c r="M23" s="42" t="str">
        <f>_xlfn.XLOOKUP(A23&amp;B23,ssH!A:A,ssH!I:I,"")</f>
        <v/>
      </c>
      <c r="N23" s="51" t="str">
        <f t="shared" si="0"/>
        <v/>
      </c>
      <c r="O23" s="51" t="str">
        <f t="shared" si="1"/>
        <v/>
      </c>
      <c r="P23" s="51" t="str">
        <f t="shared" si="2"/>
        <v/>
      </c>
      <c r="Q23" s="52">
        <f t="shared" si="3"/>
        <v>0</v>
      </c>
      <c r="R23" s="51">
        <f t="shared" si="4"/>
        <v>2</v>
      </c>
      <c r="S23" s="51">
        <f t="shared" si="5"/>
        <v>0</v>
      </c>
      <c r="T23" s="51">
        <f t="shared" si="6"/>
        <v>0</v>
      </c>
      <c r="U23" s="52">
        <f t="shared" si="7"/>
        <v>2</v>
      </c>
      <c r="V23" s="52">
        <f t="shared" si="10"/>
        <v>0</v>
      </c>
      <c r="W23" s="52" t="str" cm="1">
        <f t="array" ref="W23">_xlfn.IFS(B23="","",AND(G23&gt;=0,L23&gt;0),"BuySome",AND(G23&gt;=0,K23="KMSignal"),"BuySome",AND(G23&lt;0,L23&gt;0),"BuyWatch",AND(Q23&lt;0,L23&gt;0),"BuyWatch",AND(G23&gt;=0,L23=0),"BuyWatch",L23&gt;0,"BuySome",TRUE,"")</f>
        <v/>
      </c>
      <c r="X23" s="47" t="str">
        <f>_xlfn.XLOOKUP(W23,Parm!$AN$2:$AN$25,Parm!$AO$2:$AO$25,"")</f>
        <v/>
      </c>
      <c r="Y23" s="52" t="str" cm="1">
        <f t="array" ref="Y23">_xlfn.IFS(B23="","",OR(Q23=-100,U23=-100),"SellAll",OR(Q23&lt;0,U23&lt;0),"SellSome",AND(Q23&gt;0,U23&gt;0),"BuySome",OR(Q23&gt;0,U23&gt;0),"BuyWatch",TRUE,"")</f>
        <v/>
      </c>
      <c r="Z23" s="47" t="str">
        <f>_xlfn.XLOOKUP(Y23,Parm!$AN$2:$AN$25,Parm!$AO$2:$AO$25,"")</f>
        <v/>
      </c>
      <c r="AA23" s="286">
        <f>IF(C23&lt;&gt;-100,A23,_xlfn.XLOOKUP(B23,ssH!L:L,ssH!M:M))</f>
        <v>46140</v>
      </c>
      <c r="AB23" s="49" t="str">
        <f t="shared" si="8"/>
        <v/>
      </c>
      <c r="AC23" s="52">
        <f>_xlfn.XLOOKUP(B23,TL!C:C,TL!C:C)</f>
        <v>0</v>
      </c>
      <c r="AD23" s="52">
        <f>_xlfn.XLOOKUP(B23,Y!C:C,Y!C:C)</f>
        <v>0</v>
      </c>
      <c r="AE23" s="52">
        <f>_xlfn.XLOOKUP(B23,MA!C:C,MA!C:C)</f>
        <v>0</v>
      </c>
    </row>
    <row r="24" spans="1:31" x14ac:dyDescent="0.25">
      <c r="A24" s="29">
        <f>ssH!$AG$1</f>
        <v>46140</v>
      </c>
      <c r="C24" s="47">
        <f t="shared" si="9"/>
        <v>0</v>
      </c>
      <c r="D24" s="42">
        <f>_xlfn.XLOOKUP(ssH!$AG$3&amp;B24,ssH!A:A,ssH!D:D,0)</f>
        <v>0</v>
      </c>
      <c r="E24" s="42">
        <f>_xlfn.XLOOKUP(ssH!$AG$5&amp;B24,ssH!A:A,ssH!D:D,0)</f>
        <v>0</v>
      </c>
      <c r="F24" s="42">
        <f>_xlfn.XLOOKUP(ssH!$AG$6&amp;B24,ssH!A:A,ssH!D:D,0)</f>
        <v>0</v>
      </c>
      <c r="G24" s="48">
        <f>_xlfn.XLOOKUP(A24&amp;B24,ssH!A:A,ssH!F:F,-100%)</f>
        <v>-1</v>
      </c>
      <c r="H24" s="46">
        <f>_xlfn.XLOOKUP(ssH!$AG$3&amp;B24,ssH!A:A,ssH!F:F,0)</f>
        <v>0</v>
      </c>
      <c r="I24" s="46">
        <f>_xlfn.XLOOKUP(ssH!$AG$5&amp;B24,ssH!A:A,ssH!F:F,0)</f>
        <v>0</v>
      </c>
      <c r="J24" s="46">
        <f>_xlfn.XLOOKUP(ssH!$AG$6&amp;B24,ssH!A:A,ssH!F:F,0)</f>
        <v>0</v>
      </c>
      <c r="K24" s="46">
        <f>_xlfn.XLOOKUP(B24,ssL!C:C,ssL!G:G,"Removed")</f>
        <v>0</v>
      </c>
      <c r="L24" s="27">
        <f>_xlfn.XLOOKUP(A24&amp;B24,ssH!A:A,ssH!D:D,0)</f>
        <v>0</v>
      </c>
      <c r="M24" s="42" t="str">
        <f>_xlfn.XLOOKUP(A24&amp;B24,ssH!A:A,ssH!I:I,"")</f>
        <v/>
      </c>
      <c r="N24" s="51" t="str">
        <f t="shared" si="0"/>
        <v/>
      </c>
      <c r="O24" s="51" t="str">
        <f t="shared" si="1"/>
        <v/>
      </c>
      <c r="P24" s="51" t="str">
        <f t="shared" si="2"/>
        <v/>
      </c>
      <c r="Q24" s="52">
        <f t="shared" si="3"/>
        <v>0</v>
      </c>
      <c r="R24" s="51">
        <f t="shared" si="4"/>
        <v>2</v>
      </c>
      <c r="S24" s="51">
        <f t="shared" si="5"/>
        <v>0</v>
      </c>
      <c r="T24" s="51">
        <f t="shared" si="6"/>
        <v>0</v>
      </c>
      <c r="U24" s="52">
        <f t="shared" si="7"/>
        <v>2</v>
      </c>
      <c r="V24" s="52">
        <f t="shared" si="10"/>
        <v>0</v>
      </c>
      <c r="W24" s="52" t="str" cm="1">
        <f t="array" ref="W24">_xlfn.IFS(B24="","",AND(G24&gt;=0,L24&gt;0),"BuySome",AND(G24&gt;=0,K24="KMSignal"),"BuySome",AND(G24&lt;0,L24&gt;0),"BuyWatch",AND(Q24&lt;0,L24&gt;0),"BuyWatch",AND(G24&gt;=0,L24=0),"BuyWatch",L24&gt;0,"BuySome",TRUE,"")</f>
        <v/>
      </c>
      <c r="X24" s="47" t="str">
        <f>_xlfn.XLOOKUP(W24,Parm!$AN$2:$AN$25,Parm!$AO$2:$AO$25,"")</f>
        <v/>
      </c>
      <c r="Y24" s="52" t="str" cm="1">
        <f t="array" ref="Y24">_xlfn.IFS(B24="","",OR(Q24=-100,U24=-100),"SellAll",OR(Q24&lt;0,U24&lt;0),"SellSome",AND(Q24&gt;0,U24&gt;0),"BuySome",OR(Q24&gt;0,U24&gt;0),"BuyWatch",TRUE,"")</f>
        <v/>
      </c>
      <c r="Z24" s="47" t="str">
        <f>_xlfn.XLOOKUP(Y24,Parm!$AN$2:$AN$25,Parm!$AO$2:$AO$25,"")</f>
        <v/>
      </c>
      <c r="AA24" s="286">
        <f>IF(C24&lt;&gt;-100,A24,_xlfn.XLOOKUP(B24,ssH!L:L,ssH!M:M))</f>
        <v>46140</v>
      </c>
      <c r="AB24" s="49" t="str">
        <f t="shared" si="8"/>
        <v/>
      </c>
      <c r="AC24" s="52">
        <f>_xlfn.XLOOKUP(B24,TL!C:C,TL!C:C)</f>
        <v>0</v>
      </c>
      <c r="AD24" s="52">
        <f>_xlfn.XLOOKUP(B24,Y!C:C,Y!C:C)</f>
        <v>0</v>
      </c>
      <c r="AE24" s="52">
        <f>_xlfn.XLOOKUP(B24,MA!C:C,MA!C:C)</f>
        <v>0</v>
      </c>
    </row>
    <row r="25" spans="1:31" x14ac:dyDescent="0.25">
      <c r="A25" s="29">
        <f>ssH!$AG$1</f>
        <v>46140</v>
      </c>
      <c r="C25" s="47">
        <f t="shared" si="9"/>
        <v>0</v>
      </c>
      <c r="D25" s="42">
        <f>_xlfn.XLOOKUP(ssH!$AG$3&amp;B25,ssH!A:A,ssH!D:D,0)</f>
        <v>0</v>
      </c>
      <c r="E25" s="42">
        <f>_xlfn.XLOOKUP(ssH!$AG$5&amp;B25,ssH!A:A,ssH!D:D,0)</f>
        <v>0</v>
      </c>
      <c r="F25" s="42">
        <f>_xlfn.XLOOKUP(ssH!$AG$6&amp;B25,ssH!A:A,ssH!D:D,0)</f>
        <v>0</v>
      </c>
      <c r="G25" s="48">
        <f>_xlfn.XLOOKUP(A25&amp;B25,ssH!A:A,ssH!F:F,-100%)</f>
        <v>-1</v>
      </c>
      <c r="H25" s="46">
        <f>_xlfn.XLOOKUP(ssH!$AG$3&amp;B25,ssH!A:A,ssH!F:F,0)</f>
        <v>0</v>
      </c>
      <c r="I25" s="46">
        <f>_xlfn.XLOOKUP(ssH!$AG$5&amp;B25,ssH!A:A,ssH!F:F,0)</f>
        <v>0</v>
      </c>
      <c r="J25" s="46">
        <f>_xlfn.XLOOKUP(ssH!$AG$6&amp;B25,ssH!A:A,ssH!F:F,0)</f>
        <v>0</v>
      </c>
      <c r="K25" s="46">
        <f>_xlfn.XLOOKUP(B25,ssL!C:C,ssL!G:G,"Removed")</f>
        <v>0</v>
      </c>
      <c r="L25" s="27">
        <f>_xlfn.XLOOKUP(A25&amp;B25,ssH!A:A,ssH!D:D,0)</f>
        <v>0</v>
      </c>
      <c r="M25" s="42" t="str">
        <f>_xlfn.XLOOKUP(A25&amp;B25,ssH!A:A,ssH!I:I,"")</f>
        <v/>
      </c>
      <c r="N25" s="51" t="str">
        <f t="shared" si="0"/>
        <v/>
      </c>
      <c r="O25" s="51" t="str">
        <f t="shared" si="1"/>
        <v/>
      </c>
      <c r="P25" s="51" t="str">
        <f t="shared" si="2"/>
        <v/>
      </c>
      <c r="Q25" s="52">
        <f t="shared" si="3"/>
        <v>0</v>
      </c>
      <c r="R25" s="51">
        <f t="shared" si="4"/>
        <v>2</v>
      </c>
      <c r="S25" s="51">
        <f t="shared" si="5"/>
        <v>0</v>
      </c>
      <c r="T25" s="51">
        <f t="shared" si="6"/>
        <v>0</v>
      </c>
      <c r="U25" s="52">
        <f t="shared" si="7"/>
        <v>2</v>
      </c>
      <c r="V25" s="52">
        <f t="shared" si="10"/>
        <v>0</v>
      </c>
      <c r="W25" s="52" t="str" cm="1">
        <f t="array" ref="W25">_xlfn.IFS(B25="","",AND(G25&gt;=0,L25&gt;0),"BuySome",AND(G25&gt;=0,K25="KMSignal"),"BuySome",AND(G25&lt;0,L25&gt;0),"BuyWatch",AND(Q25&lt;0,L25&gt;0),"BuyWatch",AND(G25&gt;=0,L25=0),"BuyWatch",L25&gt;0,"BuySome",TRUE,"")</f>
        <v/>
      </c>
      <c r="X25" s="47" t="str">
        <f>_xlfn.XLOOKUP(W25,Parm!$AN$2:$AN$25,Parm!$AO$2:$AO$25,"")</f>
        <v/>
      </c>
      <c r="Y25" s="52" t="str" cm="1">
        <f t="array" ref="Y25">_xlfn.IFS(B25="","",OR(Q25=-100,U25=-100),"SellAll",OR(Q25&lt;0,U25&lt;0),"SellSome",AND(Q25&gt;0,U25&gt;0),"BuySome",OR(Q25&gt;0,U25&gt;0),"BuyWatch",TRUE,"")</f>
        <v/>
      </c>
      <c r="Z25" s="47" t="str">
        <f>_xlfn.XLOOKUP(Y25,Parm!$AN$2:$AN$25,Parm!$AO$2:$AO$25,"")</f>
        <v/>
      </c>
      <c r="AA25" s="286">
        <f>IF(C25&lt;&gt;-100,A25,_xlfn.XLOOKUP(B25,ssH!L:L,ssH!M:M))</f>
        <v>46140</v>
      </c>
      <c r="AB25" s="49" t="str">
        <f t="shared" si="8"/>
        <v/>
      </c>
      <c r="AC25" s="52">
        <f>_xlfn.XLOOKUP(B25,TL!C:C,TL!C:C)</f>
        <v>0</v>
      </c>
      <c r="AD25" s="52">
        <f>_xlfn.XLOOKUP(B25,Y!C:C,Y!C:C)</f>
        <v>0</v>
      </c>
      <c r="AE25" s="52">
        <f>_xlfn.XLOOKUP(B25,MA!C:C,MA!C:C)</f>
        <v>0</v>
      </c>
    </row>
    <row r="26" spans="1:31" x14ac:dyDescent="0.25">
      <c r="A26" s="29">
        <f>ssH!$AG$1</f>
        <v>46140</v>
      </c>
      <c r="C26" s="47">
        <f t="shared" si="9"/>
        <v>0</v>
      </c>
      <c r="D26" s="42">
        <f>_xlfn.XLOOKUP(ssH!$AG$3&amp;B26,ssH!A:A,ssH!D:D,0)</f>
        <v>0</v>
      </c>
      <c r="E26" s="42">
        <f>_xlfn.XLOOKUP(ssH!$AG$5&amp;B26,ssH!A:A,ssH!D:D,0)</f>
        <v>0</v>
      </c>
      <c r="F26" s="42">
        <f>_xlfn.XLOOKUP(ssH!$AG$6&amp;B26,ssH!A:A,ssH!D:D,0)</f>
        <v>0</v>
      </c>
      <c r="G26" s="48">
        <f>_xlfn.XLOOKUP(A26&amp;B26,ssH!A:A,ssH!F:F,-100%)</f>
        <v>-1</v>
      </c>
      <c r="H26" s="46">
        <f>_xlfn.XLOOKUP(ssH!$AG$3&amp;B26,ssH!A:A,ssH!F:F,0)</f>
        <v>0</v>
      </c>
      <c r="I26" s="46">
        <f>_xlfn.XLOOKUP(ssH!$AG$5&amp;B26,ssH!A:A,ssH!F:F,0)</f>
        <v>0</v>
      </c>
      <c r="J26" s="46">
        <f>_xlfn.XLOOKUP(ssH!$AG$6&amp;B26,ssH!A:A,ssH!F:F,0)</f>
        <v>0</v>
      </c>
      <c r="K26" s="46">
        <f>_xlfn.XLOOKUP(B26,ssL!C:C,ssL!G:G,"Removed")</f>
        <v>0</v>
      </c>
      <c r="L26" s="27">
        <f>_xlfn.XLOOKUP(A26&amp;B26,ssH!A:A,ssH!D:D,0)</f>
        <v>0</v>
      </c>
      <c r="M26" s="42" t="str">
        <f>_xlfn.XLOOKUP(A26&amp;B26,ssH!A:A,ssH!I:I,"")</f>
        <v/>
      </c>
      <c r="N26" s="51" t="str">
        <f t="shared" si="0"/>
        <v/>
      </c>
      <c r="O26" s="51" t="str">
        <f t="shared" si="1"/>
        <v/>
      </c>
      <c r="P26" s="51" t="str">
        <f t="shared" si="2"/>
        <v/>
      </c>
      <c r="Q26" s="52">
        <f t="shared" si="3"/>
        <v>0</v>
      </c>
      <c r="R26" s="51">
        <f t="shared" si="4"/>
        <v>2</v>
      </c>
      <c r="S26" s="51">
        <f t="shared" si="5"/>
        <v>0</v>
      </c>
      <c r="T26" s="51">
        <f t="shared" si="6"/>
        <v>0</v>
      </c>
      <c r="U26" s="52">
        <f t="shared" si="7"/>
        <v>2</v>
      </c>
      <c r="V26" s="52">
        <f t="shared" si="10"/>
        <v>0</v>
      </c>
      <c r="W26" s="52" t="str" cm="1">
        <f t="array" ref="W26">_xlfn.IFS(B26="","",AND(G26&gt;=0,L26&gt;0),"BuySome",AND(G26&gt;=0,K26="KMSignal"),"BuySome",AND(G26&lt;0,L26&gt;0),"BuyWatch",AND(Q26&lt;0,L26&gt;0),"BuyWatch",AND(G26&gt;=0,L26=0),"BuyWatch",L26&gt;0,"BuySome",TRUE,"")</f>
        <v/>
      </c>
      <c r="X26" s="47" t="str">
        <f>_xlfn.XLOOKUP(W26,Parm!$AN$2:$AN$25,Parm!$AO$2:$AO$25,"")</f>
        <v/>
      </c>
      <c r="Y26" s="52" t="str" cm="1">
        <f t="array" ref="Y26">_xlfn.IFS(B26="","",OR(Q26=-100,U26=-100),"SellAll",OR(Q26&lt;0,U26&lt;0),"SellSome",AND(Q26&gt;0,U26&gt;0),"BuySome",OR(Q26&gt;0,U26&gt;0),"BuyWatch",TRUE,"")</f>
        <v/>
      </c>
      <c r="Z26" s="47" t="str">
        <f>_xlfn.XLOOKUP(Y26,Parm!$AN$2:$AN$25,Parm!$AO$2:$AO$25,"")</f>
        <v/>
      </c>
      <c r="AA26" s="286">
        <f>IF(C26&lt;&gt;-100,A26,_xlfn.XLOOKUP(B26,ssH!L:L,ssH!M:M))</f>
        <v>46140</v>
      </c>
      <c r="AB26" s="49" t="str">
        <f t="shared" si="8"/>
        <v/>
      </c>
      <c r="AC26" s="52">
        <f>_xlfn.XLOOKUP(B26,TL!C:C,TL!C:C)</f>
        <v>0</v>
      </c>
      <c r="AD26" s="52">
        <f>_xlfn.XLOOKUP(B26,Y!C:C,Y!C:C)</f>
        <v>0</v>
      </c>
      <c r="AE26" s="52">
        <f>_xlfn.XLOOKUP(B26,MA!C:C,MA!C:C)</f>
        <v>0</v>
      </c>
    </row>
    <row r="27" spans="1:31" x14ac:dyDescent="0.25">
      <c r="A27" s="29">
        <f>ssH!$AG$1</f>
        <v>46140</v>
      </c>
      <c r="C27" s="47">
        <f t="shared" si="9"/>
        <v>0</v>
      </c>
      <c r="D27" s="42">
        <f>_xlfn.XLOOKUP(ssH!$AG$3&amp;B27,ssH!A:A,ssH!D:D,0)</f>
        <v>0</v>
      </c>
      <c r="E27" s="42">
        <f>_xlfn.XLOOKUP(ssH!$AG$5&amp;B27,ssH!A:A,ssH!D:D,0)</f>
        <v>0</v>
      </c>
      <c r="F27" s="42">
        <f>_xlfn.XLOOKUP(ssH!$AG$6&amp;B27,ssH!A:A,ssH!D:D,0)</f>
        <v>0</v>
      </c>
      <c r="G27" s="48">
        <f>_xlfn.XLOOKUP(A27&amp;B27,ssH!A:A,ssH!F:F,-100%)</f>
        <v>-1</v>
      </c>
      <c r="H27" s="46">
        <f>_xlfn.XLOOKUP(ssH!$AG$3&amp;B27,ssH!A:A,ssH!F:F,0)</f>
        <v>0</v>
      </c>
      <c r="I27" s="46">
        <f>_xlfn.XLOOKUP(ssH!$AG$5&amp;B27,ssH!A:A,ssH!F:F,0)</f>
        <v>0</v>
      </c>
      <c r="J27" s="46">
        <f>_xlfn.XLOOKUP(ssH!$AG$6&amp;B27,ssH!A:A,ssH!F:F,0)</f>
        <v>0</v>
      </c>
      <c r="K27" s="46">
        <f>_xlfn.XLOOKUP(B27,ssL!C:C,ssL!G:G,"Removed")</f>
        <v>0</v>
      </c>
      <c r="L27" s="27">
        <f>_xlfn.XLOOKUP(A27&amp;B27,ssH!A:A,ssH!D:D,0)</f>
        <v>0</v>
      </c>
      <c r="M27" s="42" t="str">
        <f>_xlfn.XLOOKUP(A27&amp;B27,ssH!A:A,ssH!I:I,"")</f>
        <v/>
      </c>
      <c r="N27" s="51" t="str">
        <f t="shared" si="0"/>
        <v/>
      </c>
      <c r="O27" s="51" t="str">
        <f t="shared" si="1"/>
        <v/>
      </c>
      <c r="P27" s="51" t="str">
        <f t="shared" si="2"/>
        <v/>
      </c>
      <c r="Q27" s="52">
        <f t="shared" si="3"/>
        <v>0</v>
      </c>
      <c r="R27" s="51">
        <f t="shared" si="4"/>
        <v>2</v>
      </c>
      <c r="S27" s="51">
        <f t="shared" si="5"/>
        <v>0</v>
      </c>
      <c r="T27" s="51">
        <f t="shared" si="6"/>
        <v>0</v>
      </c>
      <c r="U27" s="52">
        <f t="shared" si="7"/>
        <v>2</v>
      </c>
      <c r="V27" s="52">
        <f t="shared" si="10"/>
        <v>0</v>
      </c>
      <c r="W27" s="52" t="str" cm="1">
        <f t="array" ref="W27">_xlfn.IFS(B27="","",AND(G27&gt;=0,L27&gt;0),"BuySome",AND(G27&gt;=0,K27="KMSignal"),"BuySome",AND(G27&lt;0,L27&gt;0),"BuyWatch",AND(Q27&lt;0,L27&gt;0),"BuyWatch",AND(G27&gt;=0,L27=0),"BuyWatch",L27&gt;0,"BuySome",TRUE,"")</f>
        <v/>
      </c>
      <c r="X27" s="47" t="str">
        <f>_xlfn.XLOOKUP(W27,Parm!$AN$2:$AN$25,Parm!$AO$2:$AO$25,"")</f>
        <v/>
      </c>
      <c r="Y27" s="52" t="str" cm="1">
        <f t="array" ref="Y27">_xlfn.IFS(B27="","",OR(Q27=-100,U27=-100),"SellAll",OR(Q27&lt;0,U27&lt;0),"SellSome",AND(Q27&gt;0,U27&gt;0),"BuySome",OR(Q27&gt;0,U27&gt;0),"BuyWatch",TRUE,"")</f>
        <v/>
      </c>
      <c r="Z27" s="47" t="str">
        <f>_xlfn.XLOOKUP(Y27,Parm!$AN$2:$AN$25,Parm!$AO$2:$AO$25,"")</f>
        <v/>
      </c>
      <c r="AA27" s="286">
        <f>IF(C27&lt;&gt;-100,A27,_xlfn.XLOOKUP(B27,ssH!L:L,ssH!M:M))</f>
        <v>46140</v>
      </c>
      <c r="AB27" s="49" t="str">
        <f t="shared" si="8"/>
        <v/>
      </c>
      <c r="AC27" s="52">
        <f>_xlfn.XLOOKUP(B27,TL!C:C,TL!C:C)</f>
        <v>0</v>
      </c>
      <c r="AD27" s="52">
        <f>_xlfn.XLOOKUP(B27,Y!C:C,Y!C:C)</f>
        <v>0</v>
      </c>
      <c r="AE27" s="52">
        <f>_xlfn.XLOOKUP(B27,MA!C:C,MA!C:C)</f>
        <v>0</v>
      </c>
    </row>
    <row r="28" spans="1:31" x14ac:dyDescent="0.25">
      <c r="A28" s="29">
        <f>ssH!$AG$1</f>
        <v>46140</v>
      </c>
      <c r="C28" s="47">
        <f t="shared" si="9"/>
        <v>0</v>
      </c>
      <c r="D28" s="42">
        <f>_xlfn.XLOOKUP(ssH!$AG$3&amp;B28,ssH!A:A,ssH!D:D,0)</f>
        <v>0</v>
      </c>
      <c r="E28" s="42">
        <f>_xlfn.XLOOKUP(ssH!$AG$5&amp;B28,ssH!A:A,ssH!D:D,0)</f>
        <v>0</v>
      </c>
      <c r="F28" s="42">
        <f>_xlfn.XLOOKUP(ssH!$AG$6&amp;B28,ssH!A:A,ssH!D:D,0)</f>
        <v>0</v>
      </c>
      <c r="G28" s="48">
        <f>_xlfn.XLOOKUP(A28&amp;B28,ssH!A:A,ssH!F:F,-100%)</f>
        <v>-1</v>
      </c>
      <c r="H28" s="46">
        <f>_xlfn.XLOOKUP(ssH!$AG$3&amp;B28,ssH!A:A,ssH!F:F,0)</f>
        <v>0</v>
      </c>
      <c r="I28" s="46">
        <f>_xlfn.XLOOKUP(ssH!$AG$5&amp;B28,ssH!A:A,ssH!F:F,0)</f>
        <v>0</v>
      </c>
      <c r="J28" s="46">
        <f>_xlfn.XLOOKUP(ssH!$AG$6&amp;B28,ssH!A:A,ssH!F:F,0)</f>
        <v>0</v>
      </c>
      <c r="K28" s="46">
        <f>_xlfn.XLOOKUP(B28,ssL!C:C,ssL!G:G,"Removed")</f>
        <v>0</v>
      </c>
      <c r="L28" s="27">
        <f>_xlfn.XLOOKUP(A28&amp;B28,ssH!A:A,ssH!D:D,0)</f>
        <v>0</v>
      </c>
      <c r="M28" s="42" t="str">
        <f>_xlfn.XLOOKUP(A28&amp;B28,ssH!A:A,ssH!I:I,"")</f>
        <v/>
      </c>
      <c r="N28" s="51" t="str">
        <f t="shared" si="0"/>
        <v/>
      </c>
      <c r="O28" s="51" t="str">
        <f t="shared" si="1"/>
        <v/>
      </c>
      <c r="P28" s="51" t="str">
        <f t="shared" si="2"/>
        <v/>
      </c>
      <c r="Q28" s="52">
        <f t="shared" si="3"/>
        <v>0</v>
      </c>
      <c r="R28" s="51">
        <f t="shared" si="4"/>
        <v>2</v>
      </c>
      <c r="S28" s="51">
        <f t="shared" si="5"/>
        <v>0</v>
      </c>
      <c r="T28" s="51">
        <f t="shared" si="6"/>
        <v>0</v>
      </c>
      <c r="U28" s="52">
        <f t="shared" si="7"/>
        <v>2</v>
      </c>
      <c r="V28" s="52">
        <f t="shared" si="10"/>
        <v>0</v>
      </c>
      <c r="W28" s="52" t="str" cm="1">
        <f t="array" ref="W28">_xlfn.IFS(B28="","",AND(G28&gt;=0,L28&gt;0),"BuySome",AND(G28&gt;=0,K28="KMSignal"),"BuySome",AND(G28&lt;0,L28&gt;0),"BuyWatch",AND(Q28&lt;0,L28&gt;0),"BuyWatch",AND(G28&gt;=0,L28=0),"BuyWatch",L28&gt;0,"BuySome",TRUE,"")</f>
        <v/>
      </c>
      <c r="X28" s="47" t="str">
        <f>_xlfn.XLOOKUP(W28,Parm!$AN$2:$AN$25,Parm!$AO$2:$AO$25,"")</f>
        <v/>
      </c>
      <c r="Y28" s="52" t="str" cm="1">
        <f t="array" ref="Y28">_xlfn.IFS(B28="","",OR(Q28=-100,U28=-100),"SellAll",OR(Q28&lt;0,U28&lt;0),"SellSome",AND(Q28&gt;0,U28&gt;0),"BuySome",OR(Q28&gt;0,U28&gt;0),"BuyWatch",TRUE,"")</f>
        <v/>
      </c>
      <c r="Z28" s="47" t="str">
        <f>_xlfn.XLOOKUP(Y28,Parm!$AN$2:$AN$25,Parm!$AO$2:$AO$25,"")</f>
        <v/>
      </c>
      <c r="AA28" s="286">
        <f>IF(C28&lt;&gt;-100,A28,_xlfn.XLOOKUP(B28,ssH!L:L,ssH!M:M))</f>
        <v>46140</v>
      </c>
      <c r="AB28" s="49" t="str">
        <f t="shared" si="8"/>
        <v/>
      </c>
      <c r="AC28" s="52">
        <f>_xlfn.XLOOKUP(B28,TL!C:C,TL!C:C)</f>
        <v>0</v>
      </c>
      <c r="AD28" s="52">
        <f>_xlfn.XLOOKUP(B28,Y!C:C,Y!C:C)</f>
        <v>0</v>
      </c>
      <c r="AE28" s="52">
        <f>_xlfn.XLOOKUP(B28,MA!C:C,MA!C:C)</f>
        <v>0</v>
      </c>
    </row>
    <row r="29" spans="1:31" x14ac:dyDescent="0.25">
      <c r="A29" s="29">
        <f>ssH!$AG$1</f>
        <v>46140</v>
      </c>
      <c r="C29" s="47">
        <f t="shared" si="9"/>
        <v>0</v>
      </c>
      <c r="D29" s="42">
        <f>_xlfn.XLOOKUP(ssH!$AG$3&amp;B29,ssH!A:A,ssH!D:D,0)</f>
        <v>0</v>
      </c>
      <c r="E29" s="42">
        <f>_xlfn.XLOOKUP(ssH!$AG$5&amp;B29,ssH!A:A,ssH!D:D,0)</f>
        <v>0</v>
      </c>
      <c r="F29" s="42">
        <f>_xlfn.XLOOKUP(ssH!$AG$6&amp;B29,ssH!A:A,ssH!D:D,0)</f>
        <v>0</v>
      </c>
      <c r="G29" s="48">
        <f>_xlfn.XLOOKUP(A29&amp;B29,ssH!A:A,ssH!F:F,-100%)</f>
        <v>-1</v>
      </c>
      <c r="H29" s="46">
        <f>_xlfn.XLOOKUP(ssH!$AG$3&amp;B29,ssH!A:A,ssH!F:F,0)</f>
        <v>0</v>
      </c>
      <c r="I29" s="46">
        <f>_xlfn.XLOOKUP(ssH!$AG$5&amp;B29,ssH!A:A,ssH!F:F,0)</f>
        <v>0</v>
      </c>
      <c r="J29" s="46">
        <f>_xlfn.XLOOKUP(ssH!$AG$6&amp;B29,ssH!A:A,ssH!F:F,0)</f>
        <v>0</v>
      </c>
      <c r="K29" s="46">
        <f>_xlfn.XLOOKUP(B29,ssL!C:C,ssL!G:G,"Removed")</f>
        <v>0</v>
      </c>
      <c r="L29" s="27">
        <f>_xlfn.XLOOKUP(A29&amp;B29,ssH!A:A,ssH!D:D,0)</f>
        <v>0</v>
      </c>
      <c r="M29" s="42" t="str">
        <f>_xlfn.XLOOKUP(A29&amp;B29,ssH!A:A,ssH!I:I,"")</f>
        <v/>
      </c>
      <c r="N29" s="51" t="str">
        <f t="shared" si="0"/>
        <v/>
      </c>
      <c r="O29" s="51" t="str">
        <f t="shared" si="1"/>
        <v/>
      </c>
      <c r="P29" s="51" t="str">
        <f t="shared" si="2"/>
        <v/>
      </c>
      <c r="Q29" s="52">
        <f t="shared" si="3"/>
        <v>0</v>
      </c>
      <c r="R29" s="51">
        <f t="shared" si="4"/>
        <v>2</v>
      </c>
      <c r="S29" s="51">
        <f t="shared" si="5"/>
        <v>0</v>
      </c>
      <c r="T29" s="51">
        <f t="shared" si="6"/>
        <v>0</v>
      </c>
      <c r="U29" s="52">
        <f t="shared" si="7"/>
        <v>2</v>
      </c>
      <c r="V29" s="52">
        <f t="shared" si="10"/>
        <v>0</v>
      </c>
      <c r="W29" s="52" t="str" cm="1">
        <f t="array" ref="W29">_xlfn.IFS(B29="","",AND(G29&gt;=0,L29&gt;0),"BuySome",AND(G29&gt;=0,K29="KMSignal"),"BuySome",AND(G29&lt;0,L29&gt;0),"BuyWatch",AND(Q29&lt;0,L29&gt;0),"BuyWatch",AND(G29&gt;=0,L29=0),"BuyWatch",L29&gt;0,"BuySome",TRUE,"")</f>
        <v/>
      </c>
      <c r="X29" s="47" t="str">
        <f>_xlfn.XLOOKUP(W29,Parm!$AN$2:$AN$25,Parm!$AO$2:$AO$25,"")</f>
        <v/>
      </c>
      <c r="Y29" s="52" t="str" cm="1">
        <f t="array" ref="Y29">_xlfn.IFS(B29="","",OR(Q29=-100,U29=-100),"SellAll",OR(Q29&lt;0,U29&lt;0),"SellSome",AND(Q29&gt;0,U29&gt;0),"BuySome",OR(Q29&gt;0,U29&gt;0),"BuyWatch",TRUE,"")</f>
        <v/>
      </c>
      <c r="Z29" s="47" t="str">
        <f>_xlfn.XLOOKUP(Y29,Parm!$AN$2:$AN$25,Parm!$AO$2:$AO$25,"")</f>
        <v/>
      </c>
      <c r="AA29" s="286">
        <f>IF(C29&lt;&gt;-100,A29,_xlfn.XLOOKUP(B29,ssH!L:L,ssH!M:M))</f>
        <v>46140</v>
      </c>
      <c r="AB29" s="49" t="str">
        <f t="shared" si="8"/>
        <v/>
      </c>
      <c r="AC29" s="52">
        <f>_xlfn.XLOOKUP(B29,TL!C:C,TL!C:C)</f>
        <v>0</v>
      </c>
      <c r="AD29" s="52">
        <f>_xlfn.XLOOKUP(B29,Y!C:C,Y!C:C)</f>
        <v>0</v>
      </c>
      <c r="AE29" s="52">
        <f>_xlfn.XLOOKUP(B29,MA!C:C,MA!C:C)</f>
        <v>0</v>
      </c>
    </row>
    <row r="30" spans="1:31" x14ac:dyDescent="0.25">
      <c r="A30" s="29">
        <f>ssH!$AG$1</f>
        <v>46140</v>
      </c>
      <c r="C30" s="47">
        <f t="shared" si="9"/>
        <v>0</v>
      </c>
      <c r="D30" s="42">
        <f>_xlfn.XLOOKUP(ssH!$AG$3&amp;B30,ssH!A:A,ssH!D:D,0)</f>
        <v>0</v>
      </c>
      <c r="E30" s="42">
        <f>_xlfn.XLOOKUP(ssH!$AG$5&amp;B30,ssH!A:A,ssH!D:D,0)</f>
        <v>0</v>
      </c>
      <c r="F30" s="42">
        <f>_xlfn.XLOOKUP(ssH!$AG$6&amp;B30,ssH!A:A,ssH!D:D,0)</f>
        <v>0</v>
      </c>
      <c r="G30" s="48">
        <f>_xlfn.XLOOKUP(A30&amp;B30,ssH!A:A,ssH!F:F,-100%)</f>
        <v>-1</v>
      </c>
      <c r="H30" s="46">
        <f>_xlfn.XLOOKUP(ssH!$AG$3&amp;B30,ssH!A:A,ssH!F:F,0)</f>
        <v>0</v>
      </c>
      <c r="I30" s="46">
        <f>_xlfn.XLOOKUP(ssH!$AG$5&amp;B30,ssH!A:A,ssH!F:F,0)</f>
        <v>0</v>
      </c>
      <c r="J30" s="46">
        <f>_xlfn.XLOOKUP(ssH!$AG$6&amp;B30,ssH!A:A,ssH!F:F,0)</f>
        <v>0</v>
      </c>
      <c r="K30" s="46">
        <f>_xlfn.XLOOKUP(B30,ssL!C:C,ssL!G:G,"Removed")</f>
        <v>0</v>
      </c>
      <c r="L30" s="27">
        <f>_xlfn.XLOOKUP(A30&amp;B30,ssH!A:A,ssH!D:D,0)</f>
        <v>0</v>
      </c>
      <c r="M30" s="42" t="str">
        <f>_xlfn.XLOOKUP(A30&amp;B30,ssH!A:A,ssH!I:I,"")</f>
        <v/>
      </c>
      <c r="N30" s="51" t="str">
        <f t="shared" si="0"/>
        <v/>
      </c>
      <c r="O30" s="51" t="str">
        <f t="shared" si="1"/>
        <v/>
      </c>
      <c r="P30" s="51" t="str">
        <f t="shared" si="2"/>
        <v/>
      </c>
      <c r="Q30" s="52">
        <f t="shared" si="3"/>
        <v>0</v>
      </c>
      <c r="R30" s="51">
        <f t="shared" si="4"/>
        <v>2</v>
      </c>
      <c r="S30" s="51">
        <f t="shared" si="5"/>
        <v>0</v>
      </c>
      <c r="T30" s="51">
        <f t="shared" si="6"/>
        <v>0</v>
      </c>
      <c r="U30" s="52">
        <f t="shared" si="7"/>
        <v>2</v>
      </c>
      <c r="V30" s="52">
        <f t="shared" si="10"/>
        <v>0</v>
      </c>
      <c r="W30" s="52" t="str" cm="1">
        <f t="array" ref="W30">_xlfn.IFS(B30="","",AND(G30&gt;=0,L30&gt;0),"BuySome",AND(G30&gt;=0,K30="KMSignal"),"BuySome",AND(G30&lt;0,L30&gt;0),"BuyWatch",AND(Q30&lt;0,L30&gt;0),"BuyWatch",AND(G30&gt;=0,L30=0),"BuyWatch",L30&gt;0,"BuySome",TRUE,"")</f>
        <v/>
      </c>
      <c r="X30" s="47" t="str">
        <f>_xlfn.XLOOKUP(W30,Parm!$AN$2:$AN$25,Parm!$AO$2:$AO$25,"")</f>
        <v/>
      </c>
      <c r="Y30" s="52" t="str" cm="1">
        <f t="array" ref="Y30">_xlfn.IFS(B30="","",OR(Q30=-100,U30=-100),"SellAll",OR(Q30&lt;0,U30&lt;0),"SellSome",AND(Q30&gt;0,U30&gt;0),"BuySome",OR(Q30&gt;0,U30&gt;0),"BuyWatch",TRUE,"")</f>
        <v/>
      </c>
      <c r="Z30" s="47" t="str">
        <f>_xlfn.XLOOKUP(Y30,Parm!$AN$2:$AN$25,Parm!$AO$2:$AO$25,"")</f>
        <v/>
      </c>
      <c r="AA30" s="286">
        <f>IF(C30&lt;&gt;-100,A30,_xlfn.XLOOKUP(B30,ssH!L:L,ssH!M:M))</f>
        <v>46140</v>
      </c>
      <c r="AB30" s="49" t="str">
        <f t="shared" si="8"/>
        <v/>
      </c>
      <c r="AC30" s="52">
        <f>_xlfn.XLOOKUP(B30,TL!C:C,TL!C:C)</f>
        <v>0</v>
      </c>
      <c r="AD30" s="52">
        <f>_xlfn.XLOOKUP(B30,Y!C:C,Y!C:C)</f>
        <v>0</v>
      </c>
      <c r="AE30" s="52">
        <f>_xlfn.XLOOKUP(B30,MA!C:C,MA!C:C)</f>
        <v>0</v>
      </c>
    </row>
    <row r="31" spans="1:31" x14ac:dyDescent="0.25">
      <c r="A31" s="29">
        <f>ssH!$AG$1</f>
        <v>46140</v>
      </c>
      <c r="C31" s="47">
        <f t="shared" si="9"/>
        <v>0</v>
      </c>
      <c r="D31" s="42">
        <f>_xlfn.XLOOKUP(ssH!$AG$3&amp;B31,ssH!A:A,ssH!D:D,0)</f>
        <v>0</v>
      </c>
      <c r="E31" s="42">
        <f>_xlfn.XLOOKUP(ssH!$AG$5&amp;B31,ssH!A:A,ssH!D:D,0)</f>
        <v>0</v>
      </c>
      <c r="F31" s="42">
        <f>_xlfn.XLOOKUP(ssH!$AG$6&amp;B31,ssH!A:A,ssH!D:D,0)</f>
        <v>0</v>
      </c>
      <c r="G31" s="48">
        <f>_xlfn.XLOOKUP(A31&amp;B31,ssH!A:A,ssH!F:F,-100%)</f>
        <v>-1</v>
      </c>
      <c r="H31" s="46">
        <f>_xlfn.XLOOKUP(ssH!$AG$3&amp;B31,ssH!A:A,ssH!F:F,0)</f>
        <v>0</v>
      </c>
      <c r="I31" s="46">
        <f>_xlfn.XLOOKUP(ssH!$AG$5&amp;B31,ssH!A:A,ssH!F:F,0)</f>
        <v>0</v>
      </c>
      <c r="J31" s="46">
        <f>_xlfn.XLOOKUP(ssH!$AG$6&amp;B31,ssH!A:A,ssH!F:F,0)</f>
        <v>0</v>
      </c>
      <c r="K31" s="46">
        <f>_xlfn.XLOOKUP(B31,ssL!C:C,ssL!G:G,"Removed")</f>
        <v>0</v>
      </c>
      <c r="L31" s="27">
        <f>_xlfn.XLOOKUP(A31&amp;B31,ssH!A:A,ssH!D:D,0)</f>
        <v>0</v>
      </c>
      <c r="M31" s="42" t="str">
        <f>_xlfn.XLOOKUP(A31&amp;B31,ssH!A:A,ssH!I:I,"")</f>
        <v/>
      </c>
      <c r="N31" s="51" t="str">
        <f t="shared" si="0"/>
        <v/>
      </c>
      <c r="O31" s="51" t="str">
        <f t="shared" si="1"/>
        <v/>
      </c>
      <c r="P31" s="51" t="str">
        <f t="shared" si="2"/>
        <v/>
      </c>
      <c r="Q31" s="52">
        <f t="shared" si="3"/>
        <v>0</v>
      </c>
      <c r="R31" s="51">
        <f t="shared" si="4"/>
        <v>2</v>
      </c>
      <c r="S31" s="51">
        <f t="shared" si="5"/>
        <v>0</v>
      </c>
      <c r="T31" s="51">
        <f t="shared" si="6"/>
        <v>0</v>
      </c>
      <c r="U31" s="52">
        <f t="shared" si="7"/>
        <v>2</v>
      </c>
      <c r="V31" s="52">
        <f t="shared" si="10"/>
        <v>0</v>
      </c>
      <c r="W31" s="52" t="str" cm="1">
        <f t="array" ref="W31">_xlfn.IFS(B31="","",AND(G31&gt;=0,L31&gt;0),"BuySome",AND(G31&gt;=0,K31="KMSignal"),"BuySome",AND(G31&lt;0,L31&gt;0),"BuyWatch",AND(Q31&lt;0,L31&gt;0),"BuyWatch",AND(G31&gt;=0,L31=0),"BuyWatch",L31&gt;0,"BuySome",TRUE,"")</f>
        <v/>
      </c>
      <c r="X31" s="47" t="str">
        <f>_xlfn.XLOOKUP(W31,Parm!$AN$2:$AN$25,Parm!$AO$2:$AO$25,"")</f>
        <v/>
      </c>
      <c r="Y31" s="52" t="str" cm="1">
        <f t="array" ref="Y31">_xlfn.IFS(B31="","",OR(Q31=-100,U31=-100),"SellAll",OR(Q31&lt;0,U31&lt;0),"SellSome",AND(Q31&gt;0,U31&gt;0),"BuySome",OR(Q31&gt;0,U31&gt;0),"BuyWatch",TRUE,"")</f>
        <v/>
      </c>
      <c r="Z31" s="47" t="str">
        <f>_xlfn.XLOOKUP(Y31,Parm!$AN$2:$AN$25,Parm!$AO$2:$AO$25,"")</f>
        <v/>
      </c>
      <c r="AA31" s="286">
        <f>IF(C31&lt;&gt;-100,A31,_xlfn.XLOOKUP(B31,ssH!L:L,ssH!M:M))</f>
        <v>46140</v>
      </c>
      <c r="AB31" s="49" t="str">
        <f t="shared" si="8"/>
        <v/>
      </c>
      <c r="AC31" s="52">
        <f>_xlfn.XLOOKUP(B31,TL!C:C,TL!C:C)</f>
        <v>0</v>
      </c>
      <c r="AD31" s="52">
        <f>_xlfn.XLOOKUP(B31,Y!C:C,Y!C:C)</f>
        <v>0</v>
      </c>
      <c r="AE31" s="52">
        <f>_xlfn.XLOOKUP(B31,MA!C:C,MA!C:C)</f>
        <v>0</v>
      </c>
    </row>
    <row r="32" spans="1:31" x14ac:dyDescent="0.25">
      <c r="A32" s="29">
        <f>ssH!$AG$1</f>
        <v>46140</v>
      </c>
      <c r="C32" s="47">
        <f t="shared" si="9"/>
        <v>0</v>
      </c>
      <c r="D32" s="42">
        <f>_xlfn.XLOOKUP(ssH!$AG$3&amp;B32,ssH!A:A,ssH!D:D,0)</f>
        <v>0</v>
      </c>
      <c r="E32" s="42">
        <f>_xlfn.XLOOKUP(ssH!$AG$5&amp;B32,ssH!A:A,ssH!D:D,0)</f>
        <v>0</v>
      </c>
      <c r="F32" s="42">
        <f>_xlfn.XLOOKUP(ssH!$AG$6&amp;B32,ssH!A:A,ssH!D:D,0)</f>
        <v>0</v>
      </c>
      <c r="G32" s="48">
        <f>_xlfn.XLOOKUP(A32&amp;B32,ssH!A:A,ssH!F:F,-100%)</f>
        <v>-1</v>
      </c>
      <c r="H32" s="46">
        <f>_xlfn.XLOOKUP(ssH!$AG$3&amp;B32,ssH!A:A,ssH!F:F,0)</f>
        <v>0</v>
      </c>
      <c r="I32" s="46">
        <f>_xlfn.XLOOKUP(ssH!$AG$5&amp;B32,ssH!A:A,ssH!F:F,0)</f>
        <v>0</v>
      </c>
      <c r="J32" s="46">
        <f>_xlfn.XLOOKUP(ssH!$AG$6&amp;B32,ssH!A:A,ssH!F:F,0)</f>
        <v>0</v>
      </c>
      <c r="K32" s="46">
        <f>_xlfn.XLOOKUP(B32,ssL!C:C,ssL!G:G,"Removed")</f>
        <v>0</v>
      </c>
      <c r="L32" s="27">
        <f>_xlfn.XLOOKUP(A32&amp;B32,ssH!A:A,ssH!D:D,0)</f>
        <v>0</v>
      </c>
      <c r="M32" s="42" t="str">
        <f>_xlfn.XLOOKUP(A32&amp;B32,ssH!A:A,ssH!I:I,"")</f>
        <v/>
      </c>
      <c r="N32" s="51" t="str">
        <f t="shared" si="0"/>
        <v/>
      </c>
      <c r="O32" s="51" t="str">
        <f t="shared" si="1"/>
        <v/>
      </c>
      <c r="P32" s="51" t="str">
        <f t="shared" si="2"/>
        <v/>
      </c>
      <c r="Q32" s="52">
        <f t="shared" si="3"/>
        <v>0</v>
      </c>
      <c r="R32" s="51">
        <f t="shared" si="4"/>
        <v>2</v>
      </c>
      <c r="S32" s="51">
        <f t="shared" si="5"/>
        <v>0</v>
      </c>
      <c r="T32" s="51">
        <f t="shared" si="6"/>
        <v>0</v>
      </c>
      <c r="U32" s="52">
        <f t="shared" si="7"/>
        <v>2</v>
      </c>
      <c r="V32" s="52">
        <f t="shared" si="10"/>
        <v>0</v>
      </c>
      <c r="W32" s="52" t="str" cm="1">
        <f t="array" ref="W32">_xlfn.IFS(B32="","",AND(G32&gt;=0,L32&gt;0),"BuySome",AND(G32&gt;=0,K32="KMSignal"),"BuySome",AND(G32&lt;0,L32&gt;0),"BuyWatch",AND(Q32&lt;0,L32&gt;0),"BuyWatch",AND(G32&gt;=0,L32=0),"BuyWatch",L32&gt;0,"BuySome",TRUE,"")</f>
        <v/>
      </c>
      <c r="X32" s="47" t="str">
        <f>_xlfn.XLOOKUP(W32,Parm!$AN$2:$AN$25,Parm!$AO$2:$AO$25,"")</f>
        <v/>
      </c>
      <c r="Y32" s="52" t="str" cm="1">
        <f t="array" ref="Y32">_xlfn.IFS(B32="","",OR(Q32=-100,U32=-100),"SellAll",OR(Q32&lt;0,U32&lt;0),"SellSome",AND(Q32&gt;0,U32&gt;0),"BuySome",OR(Q32&gt;0,U32&gt;0),"BuyWatch",TRUE,"")</f>
        <v/>
      </c>
      <c r="Z32" s="47" t="str">
        <f>_xlfn.XLOOKUP(Y32,Parm!$AN$2:$AN$25,Parm!$AO$2:$AO$25,"")</f>
        <v/>
      </c>
      <c r="AA32" s="286">
        <f>IF(C32&lt;&gt;-100,A32,_xlfn.XLOOKUP(B32,ssH!L:L,ssH!M:M))</f>
        <v>46140</v>
      </c>
      <c r="AB32" s="49" t="str">
        <f t="shared" si="8"/>
        <v/>
      </c>
      <c r="AC32" s="52">
        <f>_xlfn.XLOOKUP(B32,TL!C:C,TL!C:C)</f>
        <v>0</v>
      </c>
      <c r="AD32" s="52">
        <f>_xlfn.XLOOKUP(B32,Y!C:C,Y!C:C)</f>
        <v>0</v>
      </c>
      <c r="AE32" s="52">
        <f>_xlfn.XLOOKUP(B32,MA!C:C,MA!C:C)</f>
        <v>0</v>
      </c>
    </row>
    <row r="33" spans="1:31" x14ac:dyDescent="0.25">
      <c r="A33" s="29">
        <f>ssH!$AG$1</f>
        <v>46140</v>
      </c>
      <c r="C33" s="47">
        <f t="shared" si="9"/>
        <v>0</v>
      </c>
      <c r="D33" s="42">
        <f>_xlfn.XLOOKUP(ssH!$AG$3&amp;B33,ssH!A:A,ssH!D:D,0)</f>
        <v>0</v>
      </c>
      <c r="E33" s="42">
        <f>_xlfn.XLOOKUP(ssH!$AG$5&amp;B33,ssH!A:A,ssH!D:D,0)</f>
        <v>0</v>
      </c>
      <c r="F33" s="42">
        <f>_xlfn.XLOOKUP(ssH!$AG$6&amp;B33,ssH!A:A,ssH!D:D,0)</f>
        <v>0</v>
      </c>
      <c r="G33" s="48">
        <f>_xlfn.XLOOKUP(A33&amp;B33,ssH!A:A,ssH!F:F,-100%)</f>
        <v>-1</v>
      </c>
      <c r="H33" s="46">
        <f>_xlfn.XLOOKUP(ssH!$AG$3&amp;B33,ssH!A:A,ssH!F:F,0)</f>
        <v>0</v>
      </c>
      <c r="I33" s="46">
        <f>_xlfn.XLOOKUP(ssH!$AG$5&amp;B33,ssH!A:A,ssH!F:F,0)</f>
        <v>0</v>
      </c>
      <c r="J33" s="46">
        <f>_xlfn.XLOOKUP(ssH!$AG$6&amp;B33,ssH!A:A,ssH!F:F,0)</f>
        <v>0</v>
      </c>
      <c r="K33" s="46">
        <f>_xlfn.XLOOKUP(B33,ssL!C:C,ssL!G:G,"Removed")</f>
        <v>0</v>
      </c>
      <c r="L33" s="27">
        <f>_xlfn.XLOOKUP(A33&amp;B33,ssH!A:A,ssH!D:D,0)</f>
        <v>0</v>
      </c>
      <c r="M33" s="42" t="str">
        <f>_xlfn.XLOOKUP(A33&amp;B33,ssH!A:A,ssH!I:I,"")</f>
        <v/>
      </c>
      <c r="N33" s="51" t="str">
        <f t="shared" si="0"/>
        <v/>
      </c>
      <c r="O33" s="51" t="str">
        <f t="shared" si="1"/>
        <v/>
      </c>
      <c r="P33" s="51" t="str">
        <f t="shared" si="2"/>
        <v/>
      </c>
      <c r="Q33" s="52">
        <f t="shared" si="3"/>
        <v>0</v>
      </c>
      <c r="R33" s="51">
        <f t="shared" si="4"/>
        <v>2</v>
      </c>
      <c r="S33" s="51">
        <f t="shared" si="5"/>
        <v>0</v>
      </c>
      <c r="T33" s="51">
        <f t="shared" si="6"/>
        <v>0</v>
      </c>
      <c r="U33" s="52">
        <f t="shared" si="7"/>
        <v>2</v>
      </c>
      <c r="V33" s="52">
        <f t="shared" si="10"/>
        <v>0</v>
      </c>
      <c r="W33" s="52" t="str" cm="1">
        <f t="array" ref="W33">_xlfn.IFS(B33="","",AND(G33&gt;=0,L33&gt;0),"BuySome",AND(G33&gt;=0,K33="KMSignal"),"BuySome",AND(G33&lt;0,L33&gt;0),"BuyWatch",AND(Q33&lt;0,L33&gt;0),"BuyWatch",AND(G33&gt;=0,L33=0),"BuyWatch",L33&gt;0,"BuySome",TRUE,"")</f>
        <v/>
      </c>
      <c r="X33" s="47" t="str">
        <f>_xlfn.XLOOKUP(W33,Parm!$AN$2:$AN$25,Parm!$AO$2:$AO$25,"")</f>
        <v/>
      </c>
      <c r="Y33" s="52" t="str" cm="1">
        <f t="array" ref="Y33">_xlfn.IFS(B33="","",OR(Q33=-100,U33=-100),"SellAll",OR(Q33&lt;0,U33&lt;0),"SellSome",AND(Q33&gt;0,U33&gt;0),"BuySome",OR(Q33&gt;0,U33&gt;0),"BuyWatch",TRUE,"")</f>
        <v/>
      </c>
      <c r="Z33" s="47" t="str">
        <f>_xlfn.XLOOKUP(Y33,Parm!$AN$2:$AN$25,Parm!$AO$2:$AO$25,"")</f>
        <v/>
      </c>
      <c r="AA33" s="286">
        <f>IF(C33&lt;&gt;-100,A33,_xlfn.XLOOKUP(B33,ssH!L:L,ssH!M:M))</f>
        <v>46140</v>
      </c>
      <c r="AB33" s="49" t="str">
        <f t="shared" si="8"/>
        <v/>
      </c>
      <c r="AC33" s="52">
        <f>_xlfn.XLOOKUP(B33,TL!C:C,TL!C:C)</f>
        <v>0</v>
      </c>
      <c r="AD33" s="52">
        <f>_xlfn.XLOOKUP(B33,Y!C:C,Y!C:C)</f>
        <v>0</v>
      </c>
      <c r="AE33" s="52">
        <f>_xlfn.XLOOKUP(B33,MA!C:C,MA!C:C)</f>
        <v>0</v>
      </c>
    </row>
    <row r="34" spans="1:31" x14ac:dyDescent="0.25">
      <c r="A34" s="29">
        <f>ssH!$AG$1</f>
        <v>46140</v>
      </c>
      <c r="C34" s="47">
        <f t="shared" si="9"/>
        <v>0</v>
      </c>
      <c r="D34" s="42">
        <f>_xlfn.XLOOKUP(ssH!$AG$3&amp;B34,ssH!A:A,ssH!D:D,0)</f>
        <v>0</v>
      </c>
      <c r="E34" s="42">
        <f>_xlfn.XLOOKUP(ssH!$AG$5&amp;B34,ssH!A:A,ssH!D:D,0)</f>
        <v>0</v>
      </c>
      <c r="F34" s="42">
        <f>_xlfn.XLOOKUP(ssH!$AG$6&amp;B34,ssH!A:A,ssH!D:D,0)</f>
        <v>0</v>
      </c>
      <c r="G34" s="48">
        <f>_xlfn.XLOOKUP(A34&amp;B34,ssH!A:A,ssH!F:F,-100%)</f>
        <v>-1</v>
      </c>
      <c r="H34" s="46">
        <f>_xlfn.XLOOKUP(ssH!$AG$3&amp;B34,ssH!A:A,ssH!F:F,0)</f>
        <v>0</v>
      </c>
      <c r="I34" s="46">
        <f>_xlfn.XLOOKUP(ssH!$AG$5&amp;B34,ssH!A:A,ssH!F:F,0)</f>
        <v>0</v>
      </c>
      <c r="J34" s="46">
        <f>_xlfn.XLOOKUP(ssH!$AG$6&amp;B34,ssH!A:A,ssH!F:F,0)</f>
        <v>0</v>
      </c>
      <c r="K34" s="46">
        <f>_xlfn.XLOOKUP(B34,ssL!C:C,ssL!G:G,"Removed")</f>
        <v>0</v>
      </c>
      <c r="L34" s="27">
        <f>_xlfn.XLOOKUP(A34&amp;B34,ssH!A:A,ssH!D:D,0)</f>
        <v>0</v>
      </c>
      <c r="M34" s="42" t="str">
        <f>_xlfn.XLOOKUP(A34&amp;B34,ssH!A:A,ssH!I:I,"")</f>
        <v/>
      </c>
      <c r="N34" s="51" t="str">
        <f t="shared" si="0"/>
        <v/>
      </c>
      <c r="O34" s="51" t="str">
        <f t="shared" si="1"/>
        <v/>
      </c>
      <c r="P34" s="51" t="str">
        <f t="shared" si="2"/>
        <v/>
      </c>
      <c r="Q34" s="52">
        <f t="shared" si="3"/>
        <v>0</v>
      </c>
      <c r="R34" s="51">
        <f t="shared" si="4"/>
        <v>2</v>
      </c>
      <c r="S34" s="51">
        <f t="shared" si="5"/>
        <v>0</v>
      </c>
      <c r="T34" s="51">
        <f t="shared" si="6"/>
        <v>0</v>
      </c>
      <c r="U34" s="52">
        <f t="shared" si="7"/>
        <v>2</v>
      </c>
      <c r="V34" s="52">
        <f t="shared" si="10"/>
        <v>0</v>
      </c>
      <c r="W34" s="52" t="str" cm="1">
        <f t="array" ref="W34">_xlfn.IFS(B34="","",AND(G34&gt;=0,L34&gt;0),"BuySome",AND(G34&gt;=0,K34="KMSignal"),"BuySome",AND(G34&lt;0,L34&gt;0),"BuyWatch",AND(Q34&lt;0,L34&gt;0),"BuyWatch",AND(G34&gt;=0,L34=0),"BuyWatch",L34&gt;0,"BuySome",TRUE,"")</f>
        <v/>
      </c>
      <c r="X34" s="47" t="str">
        <f>_xlfn.XLOOKUP(W34,Parm!$AN$2:$AN$25,Parm!$AO$2:$AO$25,"")</f>
        <v/>
      </c>
      <c r="Y34" s="52" t="str" cm="1">
        <f t="array" ref="Y34">_xlfn.IFS(B34="","",OR(Q34=-100,U34=-100),"SellAll",OR(Q34&lt;0,U34&lt;0),"SellSome",AND(Q34&gt;0,U34&gt;0),"BuySome",OR(Q34&gt;0,U34&gt;0),"BuyWatch",TRUE,"")</f>
        <v/>
      </c>
      <c r="Z34" s="47" t="str">
        <f>_xlfn.XLOOKUP(Y34,Parm!$AN$2:$AN$25,Parm!$AO$2:$AO$25,"")</f>
        <v/>
      </c>
      <c r="AA34" s="286">
        <f>IF(C34&lt;&gt;-100,A34,_xlfn.XLOOKUP(B34,ssH!L:L,ssH!M:M))</f>
        <v>46140</v>
      </c>
      <c r="AB34" s="49" t="str">
        <f t="shared" si="8"/>
        <v/>
      </c>
      <c r="AC34" s="52">
        <f>_xlfn.XLOOKUP(B34,TL!C:C,TL!C:C)</f>
        <v>0</v>
      </c>
      <c r="AD34" s="52">
        <f>_xlfn.XLOOKUP(B34,Y!C:C,Y!C:C)</f>
        <v>0</v>
      </c>
      <c r="AE34" s="52">
        <f>_xlfn.XLOOKUP(B34,MA!C:C,MA!C:C)</f>
        <v>0</v>
      </c>
    </row>
    <row r="35" spans="1:31" x14ac:dyDescent="0.25">
      <c r="A35" s="29">
        <f>ssH!$AG$1</f>
        <v>46140</v>
      </c>
      <c r="C35" s="47">
        <f t="shared" si="9"/>
        <v>0</v>
      </c>
      <c r="D35" s="42">
        <f>_xlfn.XLOOKUP(ssH!$AG$3&amp;B35,ssH!A:A,ssH!D:D,0)</f>
        <v>0</v>
      </c>
      <c r="E35" s="42">
        <f>_xlfn.XLOOKUP(ssH!$AG$5&amp;B35,ssH!A:A,ssH!D:D,0)</f>
        <v>0</v>
      </c>
      <c r="F35" s="42">
        <f>_xlfn.XLOOKUP(ssH!$AG$6&amp;B35,ssH!A:A,ssH!D:D,0)</f>
        <v>0</v>
      </c>
      <c r="G35" s="48">
        <f>_xlfn.XLOOKUP(A35&amp;B35,ssH!A:A,ssH!F:F,-100%)</f>
        <v>-1</v>
      </c>
      <c r="H35" s="46">
        <f>_xlfn.XLOOKUP(ssH!$AG$3&amp;B35,ssH!A:A,ssH!F:F,0)</f>
        <v>0</v>
      </c>
      <c r="I35" s="46">
        <f>_xlfn.XLOOKUP(ssH!$AG$5&amp;B35,ssH!A:A,ssH!F:F,0)</f>
        <v>0</v>
      </c>
      <c r="J35" s="46">
        <f>_xlfn.XLOOKUP(ssH!$AG$6&amp;B35,ssH!A:A,ssH!F:F,0)</f>
        <v>0</v>
      </c>
      <c r="K35" s="46">
        <f>_xlfn.XLOOKUP(B35,ssL!C:C,ssL!G:G,"Removed")</f>
        <v>0</v>
      </c>
      <c r="L35" s="27">
        <f>_xlfn.XLOOKUP(A35&amp;B35,ssH!A:A,ssH!D:D,0)</f>
        <v>0</v>
      </c>
      <c r="M35" s="42" t="str">
        <f>_xlfn.XLOOKUP(A35&amp;B35,ssH!A:A,ssH!I:I,"")</f>
        <v/>
      </c>
      <c r="N35" s="51" t="str">
        <f t="shared" si="0"/>
        <v/>
      </c>
      <c r="O35" s="51" t="str">
        <f t="shared" si="1"/>
        <v/>
      </c>
      <c r="P35" s="51" t="str">
        <f t="shared" si="2"/>
        <v/>
      </c>
      <c r="Q35" s="52">
        <f t="shared" si="3"/>
        <v>0</v>
      </c>
      <c r="R35" s="51">
        <f t="shared" si="4"/>
        <v>2</v>
      </c>
      <c r="S35" s="51">
        <f t="shared" si="5"/>
        <v>0</v>
      </c>
      <c r="T35" s="51">
        <f t="shared" si="6"/>
        <v>0</v>
      </c>
      <c r="U35" s="52">
        <f t="shared" si="7"/>
        <v>2</v>
      </c>
      <c r="V35" s="52">
        <f t="shared" si="10"/>
        <v>0</v>
      </c>
      <c r="W35" s="52" t="str" cm="1">
        <f t="array" ref="W35">_xlfn.IFS(B35="","",AND(G35&gt;=0,L35&gt;0),"BuySome",AND(G35&gt;=0,K35="KMSignal"),"BuySome",AND(G35&lt;0,L35&gt;0),"BuyWatch",AND(Q35&lt;0,L35&gt;0),"BuyWatch",AND(G35&gt;=0,L35=0),"BuyWatch",L35&gt;0,"BuySome",TRUE,"")</f>
        <v/>
      </c>
      <c r="X35" s="47" t="str">
        <f>_xlfn.XLOOKUP(W35,Parm!$AN$2:$AN$25,Parm!$AO$2:$AO$25,"")</f>
        <v/>
      </c>
      <c r="Y35" s="52" t="str" cm="1">
        <f t="array" ref="Y35">_xlfn.IFS(B35="","",OR(Q35=-100,U35=-100),"SellAll",OR(Q35&lt;0,U35&lt;0),"SellSome",AND(Q35&gt;0,U35&gt;0),"BuySome",OR(Q35&gt;0,U35&gt;0),"BuyWatch",TRUE,"")</f>
        <v/>
      </c>
      <c r="Z35" s="47" t="str">
        <f>_xlfn.XLOOKUP(Y35,Parm!$AN$2:$AN$25,Parm!$AO$2:$AO$25,"")</f>
        <v/>
      </c>
      <c r="AA35" s="286">
        <f>IF(C35&lt;&gt;-100,A35,_xlfn.XLOOKUP(B35,ssH!L:L,ssH!M:M))</f>
        <v>46140</v>
      </c>
      <c r="AB35" s="49" t="str">
        <f t="shared" si="8"/>
        <v/>
      </c>
      <c r="AC35" s="52">
        <f>_xlfn.XLOOKUP(B35,TL!C:C,TL!C:C)</f>
        <v>0</v>
      </c>
      <c r="AD35" s="52">
        <f>_xlfn.XLOOKUP(B35,Y!C:C,Y!C:C)</f>
        <v>0</v>
      </c>
      <c r="AE35" s="52">
        <f>_xlfn.XLOOKUP(B35,MA!C:C,MA!C:C)</f>
        <v>0</v>
      </c>
    </row>
    <row r="36" spans="1:31" x14ac:dyDescent="0.25">
      <c r="A36" s="29">
        <f>ssH!$AG$1</f>
        <v>46140</v>
      </c>
      <c r="C36" s="47">
        <f t="shared" si="9"/>
        <v>0</v>
      </c>
      <c r="D36" s="42">
        <f>_xlfn.XLOOKUP(ssH!$AG$3&amp;B36,ssH!A:A,ssH!D:D,0)</f>
        <v>0</v>
      </c>
      <c r="E36" s="42">
        <f>_xlfn.XLOOKUP(ssH!$AG$5&amp;B36,ssH!A:A,ssH!D:D,0)</f>
        <v>0</v>
      </c>
      <c r="F36" s="42">
        <f>_xlfn.XLOOKUP(ssH!$AG$6&amp;B36,ssH!A:A,ssH!D:D,0)</f>
        <v>0</v>
      </c>
      <c r="G36" s="48">
        <f>_xlfn.XLOOKUP(A36&amp;B36,ssH!A:A,ssH!F:F,-100%)</f>
        <v>-1</v>
      </c>
      <c r="H36" s="46">
        <f>_xlfn.XLOOKUP(ssH!$AG$3&amp;B36,ssH!A:A,ssH!F:F,0)</f>
        <v>0</v>
      </c>
      <c r="I36" s="46">
        <f>_xlfn.XLOOKUP(ssH!$AG$5&amp;B36,ssH!A:A,ssH!F:F,0)</f>
        <v>0</v>
      </c>
      <c r="J36" s="46">
        <f>_xlfn.XLOOKUP(ssH!$AG$6&amp;B36,ssH!A:A,ssH!F:F,0)</f>
        <v>0</v>
      </c>
      <c r="K36" s="46">
        <f>_xlfn.XLOOKUP(B36,ssL!C:C,ssL!G:G,"Removed")</f>
        <v>0</v>
      </c>
      <c r="L36" s="27">
        <f>_xlfn.XLOOKUP(A36&amp;B36,ssH!A:A,ssH!D:D,0)</f>
        <v>0</v>
      </c>
      <c r="M36" s="42" t="str">
        <f>_xlfn.XLOOKUP(A36&amp;B36,ssH!A:A,ssH!I:I,"")</f>
        <v/>
      </c>
      <c r="N36" s="51" t="str">
        <f t="shared" si="0"/>
        <v/>
      </c>
      <c r="O36" s="51" t="str">
        <f t="shared" si="1"/>
        <v/>
      </c>
      <c r="P36" s="51" t="str">
        <f t="shared" si="2"/>
        <v/>
      </c>
      <c r="Q36" s="52">
        <f t="shared" si="3"/>
        <v>0</v>
      </c>
      <c r="R36" s="51">
        <f t="shared" si="4"/>
        <v>2</v>
      </c>
      <c r="S36" s="51">
        <f t="shared" si="5"/>
        <v>0</v>
      </c>
      <c r="T36" s="51">
        <f t="shared" si="6"/>
        <v>0</v>
      </c>
      <c r="U36" s="52">
        <f t="shared" si="7"/>
        <v>2</v>
      </c>
      <c r="V36" s="52">
        <f t="shared" si="10"/>
        <v>0</v>
      </c>
      <c r="W36" s="52" t="str" cm="1">
        <f t="array" ref="W36">_xlfn.IFS(B36="","",AND(G36&gt;=0,L36&gt;0),"BuySome",AND(G36&gt;=0,K36="KMSignal"),"BuySome",AND(G36&lt;0,L36&gt;0),"BuyWatch",AND(Q36&lt;0,L36&gt;0),"BuyWatch",AND(G36&gt;=0,L36=0),"BuyWatch",L36&gt;0,"BuySome",TRUE,"")</f>
        <v/>
      </c>
      <c r="X36" s="47" t="str">
        <f>_xlfn.XLOOKUP(W36,Parm!$AN$2:$AN$25,Parm!$AO$2:$AO$25,"")</f>
        <v/>
      </c>
      <c r="Y36" s="52" t="str" cm="1">
        <f t="array" ref="Y36">_xlfn.IFS(B36="","",OR(Q36=-100,U36=-100),"SellAll",OR(Q36&lt;0,U36&lt;0),"SellSome",AND(Q36&gt;0,U36&gt;0),"BuySome",OR(Q36&gt;0,U36&gt;0),"BuyWatch",TRUE,"")</f>
        <v/>
      </c>
      <c r="Z36" s="47" t="str">
        <f>_xlfn.XLOOKUP(Y36,Parm!$AN$2:$AN$25,Parm!$AO$2:$AO$25,"")</f>
        <v/>
      </c>
      <c r="AA36" s="286">
        <f>IF(C36&lt;&gt;-100,A36,_xlfn.XLOOKUP(B36,ssH!L:L,ssH!M:M))</f>
        <v>46140</v>
      </c>
      <c r="AB36" s="49" t="str">
        <f t="shared" si="8"/>
        <v/>
      </c>
      <c r="AC36" s="52">
        <f>_xlfn.XLOOKUP(B36,TL!C:C,TL!C:C)</f>
        <v>0</v>
      </c>
      <c r="AD36" s="52">
        <f>_xlfn.XLOOKUP(B36,Y!C:C,Y!C:C)</f>
        <v>0</v>
      </c>
      <c r="AE36" s="52">
        <f>_xlfn.XLOOKUP(B36,MA!C:C,MA!C:C)</f>
        <v>0</v>
      </c>
    </row>
    <row r="37" spans="1:31" x14ac:dyDescent="0.25">
      <c r="A37" s="29">
        <f>ssH!$AG$1</f>
        <v>46140</v>
      </c>
      <c r="C37" s="47">
        <f t="shared" si="9"/>
        <v>0</v>
      </c>
      <c r="D37" s="42">
        <f>_xlfn.XLOOKUP(ssH!$AG$3&amp;B37,ssH!A:A,ssH!D:D,0)</f>
        <v>0</v>
      </c>
      <c r="E37" s="42">
        <f>_xlfn.XLOOKUP(ssH!$AG$5&amp;B37,ssH!A:A,ssH!D:D,0)</f>
        <v>0</v>
      </c>
      <c r="F37" s="42">
        <f>_xlfn.XLOOKUP(ssH!$AG$6&amp;B37,ssH!A:A,ssH!D:D,0)</f>
        <v>0</v>
      </c>
      <c r="G37" s="48">
        <f>_xlfn.XLOOKUP(A37&amp;B37,ssH!A:A,ssH!F:F,-100%)</f>
        <v>-1</v>
      </c>
      <c r="H37" s="46">
        <f>_xlfn.XLOOKUP(ssH!$AG$3&amp;B37,ssH!A:A,ssH!F:F,0)</f>
        <v>0</v>
      </c>
      <c r="I37" s="46">
        <f>_xlfn.XLOOKUP(ssH!$AG$5&amp;B37,ssH!A:A,ssH!F:F,0)</f>
        <v>0</v>
      </c>
      <c r="J37" s="46">
        <f>_xlfn.XLOOKUP(ssH!$AG$6&amp;B37,ssH!A:A,ssH!F:F,0)</f>
        <v>0</v>
      </c>
      <c r="K37" s="46">
        <f>_xlfn.XLOOKUP(B37,ssL!C:C,ssL!G:G,"Removed")</f>
        <v>0</v>
      </c>
      <c r="L37" s="27">
        <f>_xlfn.XLOOKUP(A37&amp;B37,ssH!A:A,ssH!D:D,0)</f>
        <v>0</v>
      </c>
      <c r="M37" s="42" t="str">
        <f>_xlfn.XLOOKUP(A37&amp;B37,ssH!A:A,ssH!I:I,"")</f>
        <v/>
      </c>
      <c r="N37" s="51" t="str">
        <f t="shared" si="0"/>
        <v/>
      </c>
      <c r="O37" s="51" t="str">
        <f t="shared" si="1"/>
        <v/>
      </c>
      <c r="P37" s="51" t="str">
        <f t="shared" si="2"/>
        <v/>
      </c>
      <c r="Q37" s="52">
        <f t="shared" si="3"/>
        <v>0</v>
      </c>
      <c r="R37" s="51">
        <f t="shared" si="4"/>
        <v>2</v>
      </c>
      <c r="S37" s="51">
        <f t="shared" si="5"/>
        <v>0</v>
      </c>
      <c r="T37" s="51">
        <f t="shared" si="6"/>
        <v>0</v>
      </c>
      <c r="U37" s="52">
        <f t="shared" si="7"/>
        <v>2</v>
      </c>
      <c r="V37" s="52">
        <f t="shared" si="10"/>
        <v>0</v>
      </c>
      <c r="W37" s="52" t="str" cm="1">
        <f t="array" ref="W37">_xlfn.IFS(B37="","",AND(G37&gt;=0,L37&gt;0),"BuySome",AND(G37&gt;=0,K37="KMSignal"),"BuySome",AND(G37&lt;0,L37&gt;0),"BuyWatch",AND(Q37&lt;0,L37&gt;0),"BuyWatch",AND(G37&gt;=0,L37=0),"BuyWatch",L37&gt;0,"BuySome",TRUE,"")</f>
        <v/>
      </c>
      <c r="X37" s="47" t="str">
        <f>_xlfn.XLOOKUP(W37,Parm!$AN$2:$AN$25,Parm!$AO$2:$AO$25,"")</f>
        <v/>
      </c>
      <c r="Y37" s="52" t="str" cm="1">
        <f t="array" ref="Y37">_xlfn.IFS(B37="","",OR(Q37=-100,U37=-100),"SellAll",OR(Q37&lt;0,U37&lt;0),"SellSome",AND(Q37&gt;0,U37&gt;0),"BuySome",OR(Q37&gt;0,U37&gt;0),"BuyWatch",TRUE,"")</f>
        <v/>
      </c>
      <c r="Z37" s="47" t="str">
        <f>_xlfn.XLOOKUP(Y37,Parm!$AN$2:$AN$25,Parm!$AO$2:$AO$25,"")</f>
        <v/>
      </c>
      <c r="AA37" s="286">
        <f>IF(C37&lt;&gt;-100,A37,_xlfn.XLOOKUP(B37,ssH!L:L,ssH!M:M))</f>
        <v>46140</v>
      </c>
      <c r="AB37" s="49" t="str">
        <f t="shared" si="8"/>
        <v/>
      </c>
      <c r="AC37" s="52">
        <f>_xlfn.XLOOKUP(B37,TL!C:C,TL!C:C)</f>
        <v>0</v>
      </c>
      <c r="AD37" s="52">
        <f>_xlfn.XLOOKUP(B37,Y!C:C,Y!C:C)</f>
        <v>0</v>
      </c>
      <c r="AE37" s="52">
        <f>_xlfn.XLOOKUP(B37,MA!C:C,MA!C:C)</f>
        <v>0</v>
      </c>
    </row>
    <row r="38" spans="1:31" x14ac:dyDescent="0.25">
      <c r="A38" s="29">
        <f>ssH!$AG$1</f>
        <v>46140</v>
      </c>
      <c r="C38" s="47">
        <f t="shared" si="9"/>
        <v>0</v>
      </c>
      <c r="D38" s="42">
        <f>_xlfn.XLOOKUP(ssH!$AG$3&amp;B38,ssH!A:A,ssH!D:D,0)</f>
        <v>0</v>
      </c>
      <c r="E38" s="42">
        <f>_xlfn.XLOOKUP(ssH!$AG$5&amp;B38,ssH!A:A,ssH!D:D,0)</f>
        <v>0</v>
      </c>
      <c r="F38" s="42">
        <f>_xlfn.XLOOKUP(ssH!$AG$6&amp;B38,ssH!A:A,ssH!D:D,0)</f>
        <v>0</v>
      </c>
      <c r="G38" s="48">
        <f>_xlfn.XLOOKUP(A38&amp;B38,ssH!A:A,ssH!F:F,-100%)</f>
        <v>-1</v>
      </c>
      <c r="H38" s="46">
        <f>_xlfn.XLOOKUP(ssH!$AG$3&amp;B38,ssH!A:A,ssH!F:F,0)</f>
        <v>0</v>
      </c>
      <c r="I38" s="46">
        <f>_xlfn.XLOOKUP(ssH!$AG$5&amp;B38,ssH!A:A,ssH!F:F,0)</f>
        <v>0</v>
      </c>
      <c r="J38" s="46">
        <f>_xlfn.XLOOKUP(ssH!$AG$6&amp;B38,ssH!A:A,ssH!F:F,0)</f>
        <v>0</v>
      </c>
      <c r="K38" s="46">
        <f>_xlfn.XLOOKUP(B38,ssL!C:C,ssL!G:G,"Removed")</f>
        <v>0</v>
      </c>
      <c r="L38" s="27">
        <f>_xlfn.XLOOKUP(A38&amp;B38,ssH!A:A,ssH!D:D,0)</f>
        <v>0</v>
      </c>
      <c r="M38" s="42" t="str">
        <f>_xlfn.XLOOKUP(A38&amp;B38,ssH!A:A,ssH!I:I,"")</f>
        <v/>
      </c>
      <c r="N38" s="51" t="str">
        <f t="shared" si="0"/>
        <v/>
      </c>
      <c r="O38" s="51" t="str">
        <f t="shared" si="1"/>
        <v/>
      </c>
      <c r="P38" s="51" t="str">
        <f t="shared" si="2"/>
        <v/>
      </c>
      <c r="Q38" s="52">
        <f t="shared" si="3"/>
        <v>0</v>
      </c>
      <c r="R38" s="51">
        <f t="shared" si="4"/>
        <v>2</v>
      </c>
      <c r="S38" s="51">
        <f t="shared" si="5"/>
        <v>0</v>
      </c>
      <c r="T38" s="51">
        <f t="shared" si="6"/>
        <v>0</v>
      </c>
      <c r="U38" s="52">
        <f t="shared" si="7"/>
        <v>2</v>
      </c>
      <c r="V38" s="52">
        <f t="shared" si="10"/>
        <v>0</v>
      </c>
      <c r="W38" s="52" t="str" cm="1">
        <f t="array" ref="W38">_xlfn.IFS(B38="","",AND(G38&gt;=0,L38&gt;0),"BuySome",AND(G38&gt;=0,K38="KMSignal"),"BuySome",AND(G38&lt;0,L38&gt;0),"BuyWatch",AND(Q38&lt;0,L38&gt;0),"BuyWatch",AND(G38&gt;=0,L38=0),"BuyWatch",L38&gt;0,"BuySome",TRUE,"")</f>
        <v/>
      </c>
      <c r="X38" s="47" t="str">
        <f>_xlfn.XLOOKUP(W38,Parm!$AN$2:$AN$25,Parm!$AO$2:$AO$25,"")</f>
        <v/>
      </c>
      <c r="Y38" s="52" t="str" cm="1">
        <f t="array" ref="Y38">_xlfn.IFS(B38="","",OR(Q38=-100,U38=-100),"SellAll",OR(Q38&lt;0,U38&lt;0),"SellSome",AND(Q38&gt;0,U38&gt;0),"BuySome",OR(Q38&gt;0,U38&gt;0),"BuyWatch",TRUE,"")</f>
        <v/>
      </c>
      <c r="Z38" s="47" t="str">
        <f>_xlfn.XLOOKUP(Y38,Parm!$AN$2:$AN$25,Parm!$AO$2:$AO$25,"")</f>
        <v/>
      </c>
      <c r="AA38" s="286">
        <f>IF(C38&lt;&gt;-100,A38,_xlfn.XLOOKUP(B38,ssH!L:L,ssH!M:M))</f>
        <v>46140</v>
      </c>
      <c r="AB38" s="49" t="str">
        <f t="shared" si="8"/>
        <v/>
      </c>
      <c r="AC38" s="52">
        <f>_xlfn.XLOOKUP(B38,TL!C:C,TL!C:C)</f>
        <v>0</v>
      </c>
      <c r="AD38" s="52">
        <f>_xlfn.XLOOKUP(B38,Y!C:C,Y!C:C)</f>
        <v>0</v>
      </c>
      <c r="AE38" s="52">
        <f>_xlfn.XLOOKUP(B38,MA!C:C,MA!C:C)</f>
        <v>0</v>
      </c>
    </row>
    <row r="39" spans="1:31" x14ac:dyDescent="0.25">
      <c r="A39" s="29">
        <f>ssH!$AG$1</f>
        <v>46140</v>
      </c>
      <c r="C39" s="47">
        <f t="shared" si="9"/>
        <v>0</v>
      </c>
      <c r="D39" s="42">
        <f>_xlfn.XLOOKUP(ssH!$AG$3&amp;B39,ssH!A:A,ssH!D:D,0)</f>
        <v>0</v>
      </c>
      <c r="E39" s="42">
        <f>_xlfn.XLOOKUP(ssH!$AG$5&amp;B39,ssH!A:A,ssH!D:D,0)</f>
        <v>0</v>
      </c>
      <c r="F39" s="42">
        <f>_xlfn.XLOOKUP(ssH!$AG$6&amp;B39,ssH!A:A,ssH!D:D,0)</f>
        <v>0</v>
      </c>
      <c r="G39" s="48">
        <f>_xlfn.XLOOKUP(A39&amp;B39,ssH!A:A,ssH!F:F,-100%)</f>
        <v>-1</v>
      </c>
      <c r="H39" s="46">
        <f>_xlfn.XLOOKUP(ssH!$AG$3&amp;B39,ssH!A:A,ssH!F:F,0)</f>
        <v>0</v>
      </c>
      <c r="I39" s="46">
        <f>_xlfn.XLOOKUP(ssH!$AG$5&amp;B39,ssH!A:A,ssH!F:F,0)</f>
        <v>0</v>
      </c>
      <c r="J39" s="46">
        <f>_xlfn.XLOOKUP(ssH!$AG$6&amp;B39,ssH!A:A,ssH!F:F,0)</f>
        <v>0</v>
      </c>
      <c r="K39" s="46">
        <f>_xlfn.XLOOKUP(B39,ssL!C:C,ssL!G:G,"Removed")</f>
        <v>0</v>
      </c>
      <c r="L39" s="27">
        <f>_xlfn.XLOOKUP(A39&amp;B39,ssH!A:A,ssH!D:D,0)</f>
        <v>0</v>
      </c>
      <c r="M39" s="42" t="str">
        <f>_xlfn.XLOOKUP(A39&amp;B39,ssH!A:A,ssH!I:I,"")</f>
        <v/>
      </c>
      <c r="N39" s="51" t="str">
        <f t="shared" si="0"/>
        <v/>
      </c>
      <c r="O39" s="51" t="str">
        <f t="shared" si="1"/>
        <v/>
      </c>
      <c r="P39" s="51" t="str">
        <f t="shared" si="2"/>
        <v/>
      </c>
      <c r="Q39" s="52">
        <f t="shared" si="3"/>
        <v>0</v>
      </c>
      <c r="R39" s="51">
        <f t="shared" si="4"/>
        <v>2</v>
      </c>
      <c r="S39" s="51">
        <f t="shared" si="5"/>
        <v>0</v>
      </c>
      <c r="T39" s="51">
        <f t="shared" si="6"/>
        <v>0</v>
      </c>
      <c r="U39" s="52">
        <f t="shared" si="7"/>
        <v>2</v>
      </c>
      <c r="V39" s="52">
        <f t="shared" si="10"/>
        <v>0</v>
      </c>
      <c r="W39" s="52" t="str" cm="1">
        <f t="array" ref="W39">_xlfn.IFS(B39="","",AND(G39&gt;=0,L39&gt;0),"BuySome",AND(G39&gt;=0,K39="KMSignal"),"BuySome",AND(G39&lt;0,L39&gt;0),"BuyWatch",AND(Q39&lt;0,L39&gt;0),"BuyWatch",AND(G39&gt;=0,L39=0),"BuyWatch",L39&gt;0,"BuySome",TRUE,"")</f>
        <v/>
      </c>
      <c r="X39" s="47" t="str">
        <f>_xlfn.XLOOKUP(W39,Parm!$AN$2:$AN$25,Parm!$AO$2:$AO$25,"")</f>
        <v/>
      </c>
      <c r="Y39" s="52" t="str" cm="1">
        <f t="array" ref="Y39">_xlfn.IFS(B39="","",OR(Q39=-100,U39=-100),"SellAll",OR(Q39&lt;0,U39&lt;0),"SellSome",AND(Q39&gt;0,U39&gt;0),"BuySome",OR(Q39&gt;0,U39&gt;0),"BuyWatch",TRUE,"")</f>
        <v/>
      </c>
      <c r="Z39" s="47" t="str">
        <f>_xlfn.XLOOKUP(Y39,Parm!$AN$2:$AN$25,Parm!$AO$2:$AO$25,"")</f>
        <v/>
      </c>
      <c r="AA39" s="286">
        <f>IF(C39&lt;&gt;-100,A39,_xlfn.XLOOKUP(B39,ssH!L:L,ssH!M:M))</f>
        <v>46140</v>
      </c>
      <c r="AB39" s="49" t="str">
        <f t="shared" si="8"/>
        <v/>
      </c>
      <c r="AC39" s="52">
        <f>_xlfn.XLOOKUP(B39,TL!C:C,TL!C:C)</f>
        <v>0</v>
      </c>
      <c r="AD39" s="52">
        <f>_xlfn.XLOOKUP(B39,Y!C:C,Y!C:C)</f>
        <v>0</v>
      </c>
      <c r="AE39" s="52">
        <f>_xlfn.XLOOKUP(B39,MA!C:C,MA!C:C)</f>
        <v>0</v>
      </c>
    </row>
    <row r="40" spans="1:31" x14ac:dyDescent="0.25">
      <c r="A40" s="29">
        <f>ssH!$AG$1</f>
        <v>46140</v>
      </c>
      <c r="C40" s="47">
        <f t="shared" si="9"/>
        <v>0</v>
      </c>
      <c r="D40" s="42">
        <f>_xlfn.XLOOKUP(ssH!$AG$3&amp;B40,ssH!A:A,ssH!D:D,0)</f>
        <v>0</v>
      </c>
      <c r="E40" s="42">
        <f>_xlfn.XLOOKUP(ssH!$AG$5&amp;B40,ssH!A:A,ssH!D:D,0)</f>
        <v>0</v>
      </c>
      <c r="F40" s="42">
        <f>_xlfn.XLOOKUP(ssH!$AG$6&amp;B40,ssH!A:A,ssH!D:D,0)</f>
        <v>0</v>
      </c>
      <c r="G40" s="48">
        <f>_xlfn.XLOOKUP(A40&amp;B40,ssH!A:A,ssH!F:F,-100%)</f>
        <v>-1</v>
      </c>
      <c r="H40" s="46">
        <f>_xlfn.XLOOKUP(ssH!$AG$3&amp;B40,ssH!A:A,ssH!F:F,0)</f>
        <v>0</v>
      </c>
      <c r="I40" s="46">
        <f>_xlfn.XLOOKUP(ssH!$AG$5&amp;B40,ssH!A:A,ssH!F:F,0)</f>
        <v>0</v>
      </c>
      <c r="J40" s="46">
        <f>_xlfn.XLOOKUP(ssH!$AG$6&amp;B40,ssH!A:A,ssH!F:F,0)</f>
        <v>0</v>
      </c>
      <c r="K40" s="46">
        <f>_xlfn.XLOOKUP(B40,ssL!C:C,ssL!G:G,"Removed")</f>
        <v>0</v>
      </c>
      <c r="L40" s="27">
        <f>_xlfn.XLOOKUP(A40&amp;B40,ssH!A:A,ssH!D:D,0)</f>
        <v>0</v>
      </c>
      <c r="M40" s="42" t="str">
        <f>_xlfn.XLOOKUP(A40&amp;B40,ssH!A:A,ssH!I:I,"")</f>
        <v/>
      </c>
      <c r="N40" s="51" t="str">
        <f t="shared" si="0"/>
        <v/>
      </c>
      <c r="O40" s="51" t="str">
        <f t="shared" si="1"/>
        <v/>
      </c>
      <c r="P40" s="51" t="str">
        <f t="shared" si="2"/>
        <v/>
      </c>
      <c r="Q40" s="52">
        <f t="shared" si="3"/>
        <v>0</v>
      </c>
      <c r="R40" s="51">
        <f t="shared" si="4"/>
        <v>2</v>
      </c>
      <c r="S40" s="51">
        <f t="shared" si="5"/>
        <v>0</v>
      </c>
      <c r="T40" s="51">
        <f t="shared" si="6"/>
        <v>0</v>
      </c>
      <c r="U40" s="52">
        <f t="shared" si="7"/>
        <v>2</v>
      </c>
      <c r="V40" s="52">
        <f t="shared" si="10"/>
        <v>0</v>
      </c>
      <c r="W40" s="52" t="str" cm="1">
        <f t="array" ref="W40">_xlfn.IFS(B40="","",AND(G40&gt;=0,L40&gt;0),"BuySome",AND(G40&gt;=0,K40="KMSignal"),"BuySome",AND(G40&lt;0,L40&gt;0),"BuyWatch",AND(Q40&lt;0,L40&gt;0),"BuyWatch",AND(G40&gt;=0,L40=0),"BuyWatch",L40&gt;0,"BuySome",TRUE,"")</f>
        <v/>
      </c>
      <c r="X40" s="47" t="str">
        <f>_xlfn.XLOOKUP(W40,Parm!$AN$2:$AN$25,Parm!$AO$2:$AO$25,"")</f>
        <v/>
      </c>
      <c r="Y40" s="52" t="str" cm="1">
        <f t="array" ref="Y40">_xlfn.IFS(B40="","",OR(Q40=-100,U40=-100),"SellAll",OR(Q40&lt;0,U40&lt;0),"SellSome",AND(Q40&gt;0,U40&gt;0),"BuySome",OR(Q40&gt;0,U40&gt;0),"BuyWatch",TRUE,"")</f>
        <v/>
      </c>
      <c r="Z40" s="47" t="str">
        <f>_xlfn.XLOOKUP(Y40,Parm!$AN$2:$AN$25,Parm!$AO$2:$AO$25,"")</f>
        <v/>
      </c>
      <c r="AA40" s="286">
        <f>IF(C40&lt;&gt;-100,A40,_xlfn.XLOOKUP(B40,ssH!L:L,ssH!M:M))</f>
        <v>46140</v>
      </c>
      <c r="AB40" s="49" t="str">
        <f t="shared" si="8"/>
        <v/>
      </c>
      <c r="AC40" s="52">
        <f>_xlfn.XLOOKUP(B40,TL!C:C,TL!C:C)</f>
        <v>0</v>
      </c>
      <c r="AD40" s="52">
        <f>_xlfn.XLOOKUP(B40,Y!C:C,Y!C:C)</f>
        <v>0</v>
      </c>
      <c r="AE40" s="52">
        <f>_xlfn.XLOOKUP(B40,MA!C:C,MA!C:C)</f>
        <v>0</v>
      </c>
    </row>
    <row r="41" spans="1:31" x14ac:dyDescent="0.25">
      <c r="A41" s="29">
        <f>ssH!$AG$1</f>
        <v>46140</v>
      </c>
      <c r="C41" s="47">
        <f t="shared" si="9"/>
        <v>0</v>
      </c>
      <c r="D41" s="42">
        <f>_xlfn.XLOOKUP(ssH!$AG$3&amp;B41,ssH!A:A,ssH!D:D,0)</f>
        <v>0</v>
      </c>
      <c r="E41" s="42">
        <f>_xlfn.XLOOKUP(ssH!$AG$5&amp;B41,ssH!A:A,ssH!D:D,0)</f>
        <v>0</v>
      </c>
      <c r="F41" s="42">
        <f>_xlfn.XLOOKUP(ssH!$AG$6&amp;B41,ssH!A:A,ssH!D:D,0)</f>
        <v>0</v>
      </c>
      <c r="G41" s="48">
        <f>_xlfn.XLOOKUP(A41&amp;B41,ssH!A:A,ssH!F:F,-100%)</f>
        <v>-1</v>
      </c>
      <c r="H41" s="46">
        <f>_xlfn.XLOOKUP(ssH!$AG$3&amp;B41,ssH!A:A,ssH!F:F,0)</f>
        <v>0</v>
      </c>
      <c r="I41" s="46">
        <f>_xlfn.XLOOKUP(ssH!$AG$5&amp;B41,ssH!A:A,ssH!F:F,0)</f>
        <v>0</v>
      </c>
      <c r="J41" s="46">
        <f>_xlfn.XLOOKUP(ssH!$AG$6&amp;B41,ssH!A:A,ssH!F:F,0)</f>
        <v>0</v>
      </c>
      <c r="K41" s="46">
        <f>_xlfn.XLOOKUP(B41,ssL!C:C,ssL!G:G,"Removed")</f>
        <v>0</v>
      </c>
      <c r="L41" s="27">
        <f>_xlfn.XLOOKUP(A41&amp;B41,ssH!A:A,ssH!D:D,0)</f>
        <v>0</v>
      </c>
      <c r="M41" s="42" t="str">
        <f>_xlfn.XLOOKUP(A41&amp;B41,ssH!A:A,ssH!I:I,"")</f>
        <v/>
      </c>
      <c r="N41" s="51" t="str">
        <f t="shared" si="0"/>
        <v/>
      </c>
      <c r="O41" s="51" t="str">
        <f t="shared" si="1"/>
        <v/>
      </c>
      <c r="P41" s="51" t="str">
        <f t="shared" si="2"/>
        <v/>
      </c>
      <c r="Q41" s="52">
        <f t="shared" si="3"/>
        <v>0</v>
      </c>
      <c r="R41" s="51">
        <f t="shared" si="4"/>
        <v>2</v>
      </c>
      <c r="S41" s="51">
        <f t="shared" si="5"/>
        <v>0</v>
      </c>
      <c r="T41" s="51">
        <f t="shared" si="6"/>
        <v>0</v>
      </c>
      <c r="U41" s="52">
        <f t="shared" si="7"/>
        <v>2</v>
      </c>
      <c r="V41" s="52">
        <f t="shared" si="10"/>
        <v>0</v>
      </c>
      <c r="W41" s="52" t="str" cm="1">
        <f t="array" ref="W41">_xlfn.IFS(B41="","",AND(G41&gt;=0,L41&gt;0),"BuySome",AND(G41&gt;=0,K41="KMSignal"),"BuySome",AND(G41&lt;0,L41&gt;0),"BuyWatch",AND(Q41&lt;0,L41&gt;0),"BuyWatch",AND(G41&gt;=0,L41=0),"BuyWatch",L41&gt;0,"BuySome",TRUE,"")</f>
        <v/>
      </c>
      <c r="X41" s="47" t="str">
        <f>_xlfn.XLOOKUP(W41,Parm!$AN$2:$AN$25,Parm!$AO$2:$AO$25,"")</f>
        <v/>
      </c>
      <c r="Y41" s="52" t="str" cm="1">
        <f t="array" ref="Y41">_xlfn.IFS(B41="","",OR(Q41=-100,U41=-100),"SellAll",OR(Q41&lt;0,U41&lt;0),"SellSome",AND(Q41&gt;0,U41&gt;0),"BuySome",OR(Q41&gt;0,U41&gt;0),"BuyWatch",TRUE,"")</f>
        <v/>
      </c>
      <c r="Z41" s="47" t="str">
        <f>_xlfn.XLOOKUP(Y41,Parm!$AN$2:$AN$25,Parm!$AO$2:$AO$25,"")</f>
        <v/>
      </c>
      <c r="AA41" s="286">
        <f>IF(C41&lt;&gt;-100,A41,_xlfn.XLOOKUP(B41,ssH!L:L,ssH!M:M))</f>
        <v>46140</v>
      </c>
      <c r="AB41" s="49" t="str">
        <f t="shared" si="8"/>
        <v/>
      </c>
      <c r="AC41" s="52">
        <f>_xlfn.XLOOKUP(B41,TL!C:C,TL!C:C)</f>
        <v>0</v>
      </c>
      <c r="AD41" s="52">
        <f>_xlfn.XLOOKUP(B41,Y!C:C,Y!C:C)</f>
        <v>0</v>
      </c>
      <c r="AE41" s="52">
        <f>_xlfn.XLOOKUP(B41,MA!C:C,MA!C:C)</f>
        <v>0</v>
      </c>
    </row>
    <row r="42" spans="1:31" x14ac:dyDescent="0.25">
      <c r="A42" s="29">
        <f>ssH!$AG$1</f>
        <v>46140</v>
      </c>
      <c r="C42" s="47">
        <f t="shared" si="9"/>
        <v>0</v>
      </c>
      <c r="D42" s="42">
        <f>_xlfn.XLOOKUP(ssH!$AG$3&amp;B42,ssH!A:A,ssH!D:D,0)</f>
        <v>0</v>
      </c>
      <c r="E42" s="42">
        <f>_xlfn.XLOOKUP(ssH!$AG$5&amp;B42,ssH!A:A,ssH!D:D,0)</f>
        <v>0</v>
      </c>
      <c r="F42" s="42">
        <f>_xlfn.XLOOKUP(ssH!$AG$6&amp;B42,ssH!A:A,ssH!D:D,0)</f>
        <v>0</v>
      </c>
      <c r="G42" s="48">
        <f>_xlfn.XLOOKUP(A42&amp;B42,ssH!A:A,ssH!F:F,-100%)</f>
        <v>-1</v>
      </c>
      <c r="H42" s="46">
        <f>_xlfn.XLOOKUP(ssH!$AG$3&amp;B42,ssH!A:A,ssH!F:F,0)</f>
        <v>0</v>
      </c>
      <c r="I42" s="46">
        <f>_xlfn.XLOOKUP(ssH!$AG$5&amp;B42,ssH!A:A,ssH!F:F,0)</f>
        <v>0</v>
      </c>
      <c r="J42" s="46">
        <f>_xlfn.XLOOKUP(ssH!$AG$6&amp;B42,ssH!A:A,ssH!F:F,0)</f>
        <v>0</v>
      </c>
      <c r="K42" s="46">
        <f>_xlfn.XLOOKUP(B42,ssL!C:C,ssL!G:G,"Removed")</f>
        <v>0</v>
      </c>
      <c r="L42" s="27">
        <f>_xlfn.XLOOKUP(A42&amp;B42,ssH!A:A,ssH!D:D,0)</f>
        <v>0</v>
      </c>
      <c r="M42" s="42" t="str">
        <f>_xlfn.XLOOKUP(A42&amp;B42,ssH!A:A,ssH!I:I,"")</f>
        <v/>
      </c>
      <c r="N42" s="51" t="str">
        <f t="shared" si="0"/>
        <v/>
      </c>
      <c r="O42" s="51" t="str">
        <f t="shared" si="1"/>
        <v/>
      </c>
      <c r="P42" s="51" t="str">
        <f t="shared" si="2"/>
        <v/>
      </c>
      <c r="Q42" s="52">
        <f t="shared" si="3"/>
        <v>0</v>
      </c>
      <c r="R42" s="51">
        <f t="shared" si="4"/>
        <v>2</v>
      </c>
      <c r="S42" s="51">
        <f t="shared" si="5"/>
        <v>0</v>
      </c>
      <c r="T42" s="51">
        <f t="shared" si="6"/>
        <v>0</v>
      </c>
      <c r="U42" s="52">
        <f t="shared" si="7"/>
        <v>2</v>
      </c>
      <c r="V42" s="52">
        <f t="shared" si="10"/>
        <v>0</v>
      </c>
      <c r="W42" s="52" t="str" cm="1">
        <f t="array" ref="W42">_xlfn.IFS(B42="","",AND(G42&gt;=0,L42&gt;0),"BuySome",AND(G42&gt;=0,K42="KMSignal"),"BuySome",AND(G42&lt;0,L42&gt;0),"BuyWatch",AND(Q42&lt;0,L42&gt;0),"BuyWatch",AND(G42&gt;=0,L42=0),"BuyWatch",L42&gt;0,"BuySome",TRUE,"")</f>
        <v/>
      </c>
      <c r="X42" s="47" t="str">
        <f>_xlfn.XLOOKUP(W42,Parm!$AN$2:$AN$25,Parm!$AO$2:$AO$25,"")</f>
        <v/>
      </c>
      <c r="Y42" s="52" t="str" cm="1">
        <f t="array" ref="Y42">_xlfn.IFS(B42="","",OR(Q42=-100,U42=-100),"SellAll",OR(Q42&lt;0,U42&lt;0),"SellSome",AND(Q42&gt;0,U42&gt;0),"BuySome",OR(Q42&gt;0,U42&gt;0),"BuyWatch",TRUE,"")</f>
        <v/>
      </c>
      <c r="Z42" s="47" t="str">
        <f>_xlfn.XLOOKUP(Y42,Parm!$AN$2:$AN$25,Parm!$AO$2:$AO$25,"")</f>
        <v/>
      </c>
      <c r="AA42" s="286">
        <f>IF(C42&lt;&gt;-100,A42,_xlfn.XLOOKUP(B42,ssH!L:L,ssH!M:M))</f>
        <v>46140</v>
      </c>
      <c r="AB42" s="49" t="str">
        <f t="shared" si="8"/>
        <v/>
      </c>
      <c r="AC42" s="52">
        <f>_xlfn.XLOOKUP(B42,TL!C:C,TL!C:C)</f>
        <v>0</v>
      </c>
      <c r="AD42" s="52">
        <f>_xlfn.XLOOKUP(B42,Y!C:C,Y!C:C)</f>
        <v>0</v>
      </c>
      <c r="AE42" s="52">
        <f>_xlfn.XLOOKUP(B42,MA!C:C,MA!C:C)</f>
        <v>0</v>
      </c>
    </row>
    <row r="43" spans="1:31" x14ac:dyDescent="0.25">
      <c r="A43" s="29">
        <f>ssH!$AG$1</f>
        <v>46140</v>
      </c>
      <c r="C43" s="47">
        <f t="shared" si="9"/>
        <v>0</v>
      </c>
      <c r="D43" s="42">
        <f>_xlfn.XLOOKUP(ssH!$AG$3&amp;B43,ssH!A:A,ssH!D:D,0)</f>
        <v>0</v>
      </c>
      <c r="E43" s="42">
        <f>_xlfn.XLOOKUP(ssH!$AG$5&amp;B43,ssH!A:A,ssH!D:D,0)</f>
        <v>0</v>
      </c>
      <c r="F43" s="42">
        <f>_xlfn.XLOOKUP(ssH!$AG$6&amp;B43,ssH!A:A,ssH!D:D,0)</f>
        <v>0</v>
      </c>
      <c r="G43" s="48">
        <f>_xlfn.XLOOKUP(A43&amp;B43,ssH!A:A,ssH!F:F,-100%)</f>
        <v>-1</v>
      </c>
      <c r="H43" s="46">
        <f>_xlfn.XLOOKUP(ssH!$AG$3&amp;B43,ssH!A:A,ssH!F:F,0)</f>
        <v>0</v>
      </c>
      <c r="I43" s="46">
        <f>_xlfn.XLOOKUP(ssH!$AG$5&amp;B43,ssH!A:A,ssH!F:F,0)</f>
        <v>0</v>
      </c>
      <c r="J43" s="46">
        <f>_xlfn.XLOOKUP(ssH!$AG$6&amp;B43,ssH!A:A,ssH!F:F,0)</f>
        <v>0</v>
      </c>
      <c r="K43" s="46">
        <f>_xlfn.XLOOKUP(B43,ssL!C:C,ssL!G:G,"Removed")</f>
        <v>0</v>
      </c>
      <c r="L43" s="27">
        <f>_xlfn.XLOOKUP(A43&amp;B43,ssH!A:A,ssH!D:D,0)</f>
        <v>0</v>
      </c>
      <c r="M43" s="42" t="str">
        <f>_xlfn.XLOOKUP(A43&amp;B43,ssH!A:A,ssH!I:I,"")</f>
        <v/>
      </c>
      <c r="N43" s="51" t="str">
        <f t="shared" si="0"/>
        <v/>
      </c>
      <c r="O43" s="51" t="str">
        <f t="shared" si="1"/>
        <v/>
      </c>
      <c r="P43" s="51" t="str">
        <f t="shared" si="2"/>
        <v/>
      </c>
      <c r="Q43" s="52">
        <f t="shared" si="3"/>
        <v>0</v>
      </c>
      <c r="R43" s="51">
        <f t="shared" si="4"/>
        <v>2</v>
      </c>
      <c r="S43" s="51">
        <f t="shared" si="5"/>
        <v>0</v>
      </c>
      <c r="T43" s="51">
        <f t="shared" si="6"/>
        <v>0</v>
      </c>
      <c r="U43" s="52">
        <f t="shared" si="7"/>
        <v>2</v>
      </c>
      <c r="V43" s="52">
        <f t="shared" si="10"/>
        <v>0</v>
      </c>
      <c r="W43" s="52" t="str" cm="1">
        <f t="array" ref="W43">_xlfn.IFS(B43="","",AND(G43&gt;=0,L43&gt;0),"BuySome",AND(G43&gt;=0,K43="KMSignal"),"BuySome",AND(G43&lt;0,L43&gt;0),"BuyWatch",AND(Q43&lt;0,L43&gt;0),"BuyWatch",AND(G43&gt;=0,L43=0),"BuyWatch",L43&gt;0,"BuySome",TRUE,"")</f>
        <v/>
      </c>
      <c r="X43" s="47" t="str">
        <f>_xlfn.XLOOKUP(W43,Parm!$AN$2:$AN$25,Parm!$AO$2:$AO$25,"")</f>
        <v/>
      </c>
      <c r="Y43" s="52" t="str" cm="1">
        <f t="array" ref="Y43">_xlfn.IFS(B43="","",OR(Q43=-100,U43=-100),"SellAll",OR(Q43&lt;0,U43&lt;0),"SellSome",AND(Q43&gt;0,U43&gt;0),"BuySome",OR(Q43&gt;0,U43&gt;0),"BuyWatch",TRUE,"")</f>
        <v/>
      </c>
      <c r="Z43" s="47" t="str">
        <f>_xlfn.XLOOKUP(Y43,Parm!$AN$2:$AN$25,Parm!$AO$2:$AO$25,"")</f>
        <v/>
      </c>
      <c r="AA43" s="286">
        <f>IF(C43&lt;&gt;-100,A43,_xlfn.XLOOKUP(B43,ssH!L:L,ssH!M:M))</f>
        <v>46140</v>
      </c>
      <c r="AB43" s="49" t="str">
        <f t="shared" si="8"/>
        <v/>
      </c>
      <c r="AC43" s="52">
        <f>_xlfn.XLOOKUP(B43,TL!C:C,TL!C:C)</f>
        <v>0</v>
      </c>
      <c r="AD43" s="52">
        <f>_xlfn.XLOOKUP(B43,Y!C:C,Y!C:C)</f>
        <v>0</v>
      </c>
      <c r="AE43" s="52">
        <f>_xlfn.XLOOKUP(B43,MA!C:C,MA!C:C)</f>
        <v>0</v>
      </c>
    </row>
    <row r="44" spans="1:31" x14ac:dyDescent="0.25">
      <c r="A44" s="29">
        <f>ssH!$AG$1</f>
        <v>46140</v>
      </c>
      <c r="C44" s="47">
        <f t="shared" si="9"/>
        <v>0</v>
      </c>
      <c r="D44" s="42">
        <f>_xlfn.XLOOKUP(ssH!$AG$3&amp;B44,ssH!A:A,ssH!D:D,0)</f>
        <v>0</v>
      </c>
      <c r="E44" s="42">
        <f>_xlfn.XLOOKUP(ssH!$AG$5&amp;B44,ssH!A:A,ssH!D:D,0)</f>
        <v>0</v>
      </c>
      <c r="F44" s="42">
        <f>_xlfn.XLOOKUP(ssH!$AG$6&amp;B44,ssH!A:A,ssH!D:D,0)</f>
        <v>0</v>
      </c>
      <c r="G44" s="48">
        <f>_xlfn.XLOOKUP(A44&amp;B44,ssH!A:A,ssH!F:F,-100%)</f>
        <v>-1</v>
      </c>
      <c r="H44" s="46">
        <f>_xlfn.XLOOKUP(ssH!$AG$3&amp;B44,ssH!A:A,ssH!F:F,0)</f>
        <v>0</v>
      </c>
      <c r="I44" s="46">
        <f>_xlfn.XLOOKUP(ssH!$AG$5&amp;B44,ssH!A:A,ssH!F:F,0)</f>
        <v>0</v>
      </c>
      <c r="J44" s="46">
        <f>_xlfn.XLOOKUP(ssH!$AG$6&amp;B44,ssH!A:A,ssH!F:F,0)</f>
        <v>0</v>
      </c>
      <c r="K44" s="46">
        <f>_xlfn.XLOOKUP(B44,ssL!C:C,ssL!G:G,"Removed")</f>
        <v>0</v>
      </c>
      <c r="L44" s="27">
        <f>_xlfn.XLOOKUP(A44&amp;B44,ssH!A:A,ssH!D:D,0)</f>
        <v>0</v>
      </c>
      <c r="M44" s="42" t="str">
        <f>_xlfn.XLOOKUP(A44&amp;B44,ssH!A:A,ssH!I:I,"")</f>
        <v/>
      </c>
      <c r="N44" s="51" t="str">
        <f t="shared" si="0"/>
        <v/>
      </c>
      <c r="O44" s="51" t="str">
        <f t="shared" si="1"/>
        <v/>
      </c>
      <c r="P44" s="51" t="str">
        <f t="shared" si="2"/>
        <v/>
      </c>
      <c r="Q44" s="52">
        <f t="shared" si="3"/>
        <v>0</v>
      </c>
      <c r="R44" s="51">
        <f t="shared" si="4"/>
        <v>2</v>
      </c>
      <c r="S44" s="51">
        <f t="shared" si="5"/>
        <v>0</v>
      </c>
      <c r="T44" s="51">
        <f t="shared" si="6"/>
        <v>0</v>
      </c>
      <c r="U44" s="52">
        <f t="shared" si="7"/>
        <v>2</v>
      </c>
      <c r="V44" s="52">
        <f t="shared" si="10"/>
        <v>0</v>
      </c>
      <c r="W44" s="52" t="str" cm="1">
        <f t="array" ref="W44">_xlfn.IFS(B44="","",AND(G44&gt;=0,L44&gt;0),"BuySome",AND(G44&gt;=0,K44="KMSignal"),"BuySome",AND(G44&lt;0,L44&gt;0),"BuyWatch",AND(Q44&lt;0,L44&gt;0),"BuyWatch",AND(G44&gt;=0,L44=0),"BuyWatch",L44&gt;0,"BuySome",TRUE,"")</f>
        <v/>
      </c>
      <c r="X44" s="47" t="str">
        <f>_xlfn.XLOOKUP(W44,Parm!$AN$2:$AN$25,Parm!$AO$2:$AO$25,"")</f>
        <v/>
      </c>
      <c r="Y44" s="52" t="str" cm="1">
        <f t="array" ref="Y44">_xlfn.IFS(B44="","",OR(Q44=-100,U44=-100),"SellAll",OR(Q44&lt;0,U44&lt;0),"SellSome",AND(Q44&gt;0,U44&gt;0),"BuySome",OR(Q44&gt;0,U44&gt;0),"BuyWatch",TRUE,"")</f>
        <v/>
      </c>
      <c r="Z44" s="47" t="str">
        <f>_xlfn.XLOOKUP(Y44,Parm!$AN$2:$AN$25,Parm!$AO$2:$AO$25,"")</f>
        <v/>
      </c>
      <c r="AA44" s="286">
        <f>IF(C44&lt;&gt;-100,A44,_xlfn.XLOOKUP(B44,ssH!L:L,ssH!M:M))</f>
        <v>46140</v>
      </c>
      <c r="AB44" s="49" t="str">
        <f t="shared" si="8"/>
        <v/>
      </c>
      <c r="AC44" s="52">
        <f>_xlfn.XLOOKUP(B44,TL!C:C,TL!C:C)</f>
        <v>0</v>
      </c>
      <c r="AD44" s="52">
        <f>_xlfn.XLOOKUP(B44,Y!C:C,Y!C:C)</f>
        <v>0</v>
      </c>
      <c r="AE44" s="52">
        <f>_xlfn.XLOOKUP(B44,MA!C:C,MA!C:C)</f>
        <v>0</v>
      </c>
    </row>
    <row r="45" spans="1:31" x14ac:dyDescent="0.25">
      <c r="A45" s="29">
        <f>ssH!$AG$1</f>
        <v>46140</v>
      </c>
      <c r="C45" s="47">
        <f t="shared" si="9"/>
        <v>0</v>
      </c>
      <c r="D45" s="42">
        <f>_xlfn.XLOOKUP(ssH!$AG$3&amp;B45,ssH!A:A,ssH!D:D,0)</f>
        <v>0</v>
      </c>
      <c r="E45" s="42">
        <f>_xlfn.XLOOKUP(ssH!$AG$5&amp;B45,ssH!A:A,ssH!D:D,0)</f>
        <v>0</v>
      </c>
      <c r="F45" s="42">
        <f>_xlfn.XLOOKUP(ssH!$AG$6&amp;B45,ssH!A:A,ssH!D:D,0)</f>
        <v>0</v>
      </c>
      <c r="G45" s="48">
        <f>_xlfn.XLOOKUP(A45&amp;B45,ssH!A:A,ssH!F:F,-100%)</f>
        <v>-1</v>
      </c>
      <c r="H45" s="46">
        <f>_xlfn.XLOOKUP(ssH!$AG$3&amp;B45,ssH!A:A,ssH!F:F,0)</f>
        <v>0</v>
      </c>
      <c r="I45" s="46">
        <f>_xlfn.XLOOKUP(ssH!$AG$5&amp;B45,ssH!A:A,ssH!F:F,0)</f>
        <v>0</v>
      </c>
      <c r="J45" s="46">
        <f>_xlfn.XLOOKUP(ssH!$AG$6&amp;B45,ssH!A:A,ssH!F:F,0)</f>
        <v>0</v>
      </c>
      <c r="K45" s="46">
        <f>_xlfn.XLOOKUP(B45,ssL!C:C,ssL!G:G,"Removed")</f>
        <v>0</v>
      </c>
      <c r="L45" s="27">
        <f>_xlfn.XLOOKUP(A45&amp;B45,ssH!A:A,ssH!D:D,0)</f>
        <v>0</v>
      </c>
      <c r="M45" s="42" t="str">
        <f>_xlfn.XLOOKUP(A45&amp;B45,ssH!A:A,ssH!I:I,"")</f>
        <v/>
      </c>
      <c r="N45" s="51" t="str">
        <f t="shared" si="0"/>
        <v/>
      </c>
      <c r="O45" s="51" t="str">
        <f t="shared" si="1"/>
        <v/>
      </c>
      <c r="P45" s="51" t="str">
        <f t="shared" si="2"/>
        <v/>
      </c>
      <c r="Q45" s="52">
        <f t="shared" si="3"/>
        <v>0</v>
      </c>
      <c r="R45" s="51">
        <f t="shared" si="4"/>
        <v>2</v>
      </c>
      <c r="S45" s="51">
        <f t="shared" si="5"/>
        <v>0</v>
      </c>
      <c r="T45" s="51">
        <f t="shared" si="6"/>
        <v>0</v>
      </c>
      <c r="U45" s="52">
        <f t="shared" si="7"/>
        <v>2</v>
      </c>
      <c r="V45" s="52">
        <f t="shared" si="10"/>
        <v>0</v>
      </c>
      <c r="W45" s="52" t="str" cm="1">
        <f t="array" ref="W45">_xlfn.IFS(B45="","",AND(G45&gt;=0,L45&gt;0),"BuySome",AND(G45&gt;=0,K45="KMSignal"),"BuySome",AND(G45&lt;0,L45&gt;0),"BuyWatch",AND(Q45&lt;0,L45&gt;0),"BuyWatch",AND(G45&gt;=0,L45=0),"BuyWatch",L45&gt;0,"BuySome",TRUE,"")</f>
        <v/>
      </c>
      <c r="X45" s="47" t="str">
        <f>_xlfn.XLOOKUP(W45,Parm!$AN$2:$AN$25,Parm!$AO$2:$AO$25,"")</f>
        <v/>
      </c>
      <c r="Y45" s="52" t="str" cm="1">
        <f t="array" ref="Y45">_xlfn.IFS(B45="","",OR(Q45=-100,U45=-100),"SellAll",OR(Q45&lt;0,U45&lt;0),"SellSome",AND(Q45&gt;0,U45&gt;0),"BuySome",OR(Q45&gt;0,U45&gt;0),"BuyWatch",TRUE,"")</f>
        <v/>
      </c>
      <c r="Z45" s="47" t="str">
        <f>_xlfn.XLOOKUP(Y45,Parm!$AN$2:$AN$25,Parm!$AO$2:$AO$25,"")</f>
        <v/>
      </c>
      <c r="AA45" s="286">
        <f>IF(C45&lt;&gt;-100,A45,_xlfn.XLOOKUP(B45,ssH!L:L,ssH!M:M))</f>
        <v>46140</v>
      </c>
      <c r="AB45" s="49" t="str">
        <f t="shared" si="8"/>
        <v/>
      </c>
      <c r="AC45" s="52">
        <f>_xlfn.XLOOKUP(B45,TL!C:C,TL!C:C)</f>
        <v>0</v>
      </c>
      <c r="AD45" s="52">
        <f>_xlfn.XLOOKUP(B45,Y!C:C,Y!C:C)</f>
        <v>0</v>
      </c>
      <c r="AE45" s="52">
        <f>_xlfn.XLOOKUP(B45,MA!C:C,MA!C:C)</f>
        <v>0</v>
      </c>
    </row>
    <row r="46" spans="1:31" x14ac:dyDescent="0.25">
      <c r="A46" s="29">
        <f>ssH!$AG$1</f>
        <v>46140</v>
      </c>
      <c r="C46" s="47">
        <f t="shared" si="9"/>
        <v>0</v>
      </c>
      <c r="D46" s="42">
        <f>_xlfn.XLOOKUP(ssH!$AG$3&amp;B46,ssH!A:A,ssH!D:D,0)</f>
        <v>0</v>
      </c>
      <c r="E46" s="42">
        <f>_xlfn.XLOOKUP(ssH!$AG$5&amp;B46,ssH!A:A,ssH!D:D,0)</f>
        <v>0</v>
      </c>
      <c r="F46" s="42">
        <f>_xlfn.XLOOKUP(ssH!$AG$6&amp;B46,ssH!A:A,ssH!D:D,0)</f>
        <v>0</v>
      </c>
      <c r="G46" s="48">
        <f>_xlfn.XLOOKUP(A46&amp;B46,ssH!A:A,ssH!F:F,-100%)</f>
        <v>-1</v>
      </c>
      <c r="H46" s="46">
        <f>_xlfn.XLOOKUP(ssH!$AG$3&amp;B46,ssH!A:A,ssH!F:F,0)</f>
        <v>0</v>
      </c>
      <c r="I46" s="46">
        <f>_xlfn.XLOOKUP(ssH!$AG$5&amp;B46,ssH!A:A,ssH!F:F,0)</f>
        <v>0</v>
      </c>
      <c r="J46" s="46">
        <f>_xlfn.XLOOKUP(ssH!$AG$6&amp;B46,ssH!A:A,ssH!F:F,0)</f>
        <v>0</v>
      </c>
      <c r="K46" s="46">
        <f>_xlfn.XLOOKUP(B46,ssL!C:C,ssL!G:G,"Removed")</f>
        <v>0</v>
      </c>
      <c r="L46" s="27">
        <f>_xlfn.XLOOKUP(A46&amp;B46,ssH!A:A,ssH!D:D,0)</f>
        <v>0</v>
      </c>
      <c r="M46" s="42" t="str">
        <f>_xlfn.XLOOKUP(A46&amp;B46,ssH!A:A,ssH!I:I,"")</f>
        <v/>
      </c>
      <c r="N46" s="51" t="str">
        <f t="shared" si="0"/>
        <v/>
      </c>
      <c r="O46" s="51" t="str">
        <f t="shared" si="1"/>
        <v/>
      </c>
      <c r="P46" s="51" t="str">
        <f t="shared" si="2"/>
        <v/>
      </c>
      <c r="Q46" s="52">
        <f t="shared" si="3"/>
        <v>0</v>
      </c>
      <c r="R46" s="51">
        <f t="shared" si="4"/>
        <v>2</v>
      </c>
      <c r="S46" s="51">
        <f t="shared" si="5"/>
        <v>0</v>
      </c>
      <c r="T46" s="51">
        <f t="shared" si="6"/>
        <v>0</v>
      </c>
      <c r="U46" s="52">
        <f t="shared" si="7"/>
        <v>2</v>
      </c>
      <c r="V46" s="52">
        <f t="shared" si="10"/>
        <v>0</v>
      </c>
      <c r="W46" s="52" t="str" cm="1">
        <f t="array" ref="W46">_xlfn.IFS(B46="","",AND(G46&gt;=0,L46&gt;0),"BuySome",AND(G46&gt;=0,K46="KMSignal"),"BuySome",AND(G46&lt;0,L46&gt;0),"BuyWatch",AND(Q46&lt;0,L46&gt;0),"BuyWatch",AND(G46&gt;=0,L46=0),"BuyWatch",L46&gt;0,"BuySome",TRUE,"")</f>
        <v/>
      </c>
      <c r="X46" s="47" t="str">
        <f>_xlfn.XLOOKUP(W46,Parm!$AN$2:$AN$25,Parm!$AO$2:$AO$25,"")</f>
        <v/>
      </c>
      <c r="Y46" s="52" t="str" cm="1">
        <f t="array" ref="Y46">_xlfn.IFS(B46="","",OR(Q46=-100,U46=-100),"SellAll",OR(Q46&lt;0,U46&lt;0),"SellSome",AND(Q46&gt;0,U46&gt;0),"BuySome",OR(Q46&gt;0,U46&gt;0),"BuyWatch",TRUE,"")</f>
        <v/>
      </c>
      <c r="Z46" s="47" t="str">
        <f>_xlfn.XLOOKUP(Y46,Parm!$AN$2:$AN$25,Parm!$AO$2:$AO$25,"")</f>
        <v/>
      </c>
      <c r="AA46" s="286">
        <f>IF(C46&lt;&gt;-100,A46,_xlfn.XLOOKUP(B46,ssH!L:L,ssH!M:M))</f>
        <v>46140</v>
      </c>
      <c r="AB46" s="49" t="str">
        <f t="shared" si="8"/>
        <v/>
      </c>
      <c r="AC46" s="52">
        <f>_xlfn.XLOOKUP(B46,TL!C:C,TL!C:C)</f>
        <v>0</v>
      </c>
      <c r="AD46" s="52">
        <f>_xlfn.XLOOKUP(B46,Y!C:C,Y!C:C)</f>
        <v>0</v>
      </c>
      <c r="AE46" s="52">
        <f>_xlfn.XLOOKUP(B46,MA!C:C,MA!C:C)</f>
        <v>0</v>
      </c>
    </row>
    <row r="47" spans="1:31" x14ac:dyDescent="0.25">
      <c r="A47" s="29">
        <f>ssH!$AG$1</f>
        <v>46140</v>
      </c>
      <c r="C47" s="47">
        <f t="shared" si="9"/>
        <v>0</v>
      </c>
      <c r="D47" s="42">
        <f>_xlfn.XLOOKUP(ssH!$AG$3&amp;B47,ssH!A:A,ssH!D:D,0)</f>
        <v>0</v>
      </c>
      <c r="E47" s="42">
        <f>_xlfn.XLOOKUP(ssH!$AG$5&amp;B47,ssH!A:A,ssH!D:D,0)</f>
        <v>0</v>
      </c>
      <c r="F47" s="42">
        <f>_xlfn.XLOOKUP(ssH!$AG$6&amp;B47,ssH!A:A,ssH!D:D,0)</f>
        <v>0</v>
      </c>
      <c r="G47" s="48">
        <f>_xlfn.XLOOKUP(A47&amp;B47,ssH!A:A,ssH!F:F,-100%)</f>
        <v>-1</v>
      </c>
      <c r="H47" s="46">
        <f>_xlfn.XLOOKUP(ssH!$AG$3&amp;B47,ssH!A:A,ssH!F:F,0)</f>
        <v>0</v>
      </c>
      <c r="I47" s="46">
        <f>_xlfn.XLOOKUP(ssH!$AG$5&amp;B47,ssH!A:A,ssH!F:F,0)</f>
        <v>0</v>
      </c>
      <c r="J47" s="46">
        <f>_xlfn.XLOOKUP(ssH!$AG$6&amp;B47,ssH!A:A,ssH!F:F,0)</f>
        <v>0</v>
      </c>
      <c r="K47" s="46">
        <f>_xlfn.XLOOKUP(B47,ssL!C:C,ssL!G:G,"Removed")</f>
        <v>0</v>
      </c>
      <c r="L47" s="27">
        <f>_xlfn.XLOOKUP(A47&amp;B47,ssH!A:A,ssH!D:D,0)</f>
        <v>0</v>
      </c>
      <c r="M47" s="42" t="str">
        <f>_xlfn.XLOOKUP(A47&amp;B47,ssH!A:A,ssH!I:I,"")</f>
        <v/>
      </c>
      <c r="N47" s="51" t="str">
        <f t="shared" si="0"/>
        <v/>
      </c>
      <c r="O47" s="51" t="str">
        <f t="shared" si="1"/>
        <v/>
      </c>
      <c r="P47" s="51" t="str">
        <f t="shared" si="2"/>
        <v/>
      </c>
      <c r="Q47" s="52">
        <f t="shared" si="3"/>
        <v>0</v>
      </c>
      <c r="R47" s="51">
        <f t="shared" si="4"/>
        <v>2</v>
      </c>
      <c r="S47" s="51">
        <f t="shared" si="5"/>
        <v>0</v>
      </c>
      <c r="T47" s="51">
        <f t="shared" si="6"/>
        <v>0</v>
      </c>
      <c r="U47" s="52">
        <f t="shared" si="7"/>
        <v>2</v>
      </c>
      <c r="V47" s="52">
        <f t="shared" si="10"/>
        <v>0</v>
      </c>
      <c r="W47" s="52" t="str" cm="1">
        <f t="array" ref="W47">_xlfn.IFS(B47="","",AND(G47&gt;=0,L47&gt;0),"BuySome",AND(G47&gt;=0,K47="KMSignal"),"BuySome",AND(G47&lt;0,L47&gt;0),"BuyWatch",AND(Q47&lt;0,L47&gt;0),"BuyWatch",AND(G47&gt;=0,L47=0),"BuyWatch",L47&gt;0,"BuySome",TRUE,"")</f>
        <v/>
      </c>
      <c r="X47" s="47" t="str">
        <f>_xlfn.XLOOKUP(W47,Parm!$AN$2:$AN$25,Parm!$AO$2:$AO$25,"")</f>
        <v/>
      </c>
      <c r="Y47" s="52" t="str" cm="1">
        <f t="array" ref="Y47">_xlfn.IFS(B47="","",OR(Q47=-100,U47=-100),"SellAll",OR(Q47&lt;0,U47&lt;0),"SellSome",AND(Q47&gt;0,U47&gt;0),"BuySome",OR(Q47&gt;0,U47&gt;0),"BuyWatch",TRUE,"")</f>
        <v/>
      </c>
      <c r="Z47" s="47" t="str">
        <f>_xlfn.XLOOKUP(Y47,Parm!$AN$2:$AN$25,Parm!$AO$2:$AO$25,"")</f>
        <v/>
      </c>
      <c r="AA47" s="286">
        <f>IF(C47&lt;&gt;-100,A47,_xlfn.XLOOKUP(B47,ssH!L:L,ssH!M:M))</f>
        <v>46140</v>
      </c>
      <c r="AB47" s="49" t="str">
        <f t="shared" si="8"/>
        <v/>
      </c>
      <c r="AC47" s="52">
        <f>_xlfn.XLOOKUP(B47,TL!C:C,TL!C:C)</f>
        <v>0</v>
      </c>
      <c r="AD47" s="52">
        <f>_xlfn.XLOOKUP(B47,Y!C:C,Y!C:C)</f>
        <v>0</v>
      </c>
      <c r="AE47" s="52">
        <f>_xlfn.XLOOKUP(B47,MA!C:C,MA!C:C)</f>
        <v>0</v>
      </c>
    </row>
    <row r="48" spans="1:31" x14ac:dyDescent="0.25">
      <c r="A48" s="29">
        <f>ssH!$AG$1</f>
        <v>46140</v>
      </c>
      <c r="C48" s="47">
        <f t="shared" si="9"/>
        <v>0</v>
      </c>
      <c r="D48" s="42">
        <f>_xlfn.XLOOKUP(ssH!$AG$3&amp;B48,ssH!A:A,ssH!D:D,0)</f>
        <v>0</v>
      </c>
      <c r="E48" s="42">
        <f>_xlfn.XLOOKUP(ssH!$AG$5&amp;B48,ssH!A:A,ssH!D:D,0)</f>
        <v>0</v>
      </c>
      <c r="F48" s="42">
        <f>_xlfn.XLOOKUP(ssH!$AG$6&amp;B48,ssH!A:A,ssH!D:D,0)</f>
        <v>0</v>
      </c>
      <c r="G48" s="48">
        <f>_xlfn.XLOOKUP(A48&amp;B48,ssH!A:A,ssH!F:F,-100%)</f>
        <v>-1</v>
      </c>
      <c r="H48" s="46">
        <f>_xlfn.XLOOKUP(ssH!$AG$3&amp;B48,ssH!A:A,ssH!F:F,0)</f>
        <v>0</v>
      </c>
      <c r="I48" s="46">
        <f>_xlfn.XLOOKUP(ssH!$AG$5&amp;B48,ssH!A:A,ssH!F:F,0)</f>
        <v>0</v>
      </c>
      <c r="J48" s="46">
        <f>_xlfn.XLOOKUP(ssH!$AG$6&amp;B48,ssH!A:A,ssH!F:F,0)</f>
        <v>0</v>
      </c>
      <c r="K48" s="46">
        <f>_xlfn.XLOOKUP(B48,ssL!C:C,ssL!G:G,"Removed")</f>
        <v>0</v>
      </c>
      <c r="L48" s="27">
        <f>_xlfn.XLOOKUP(A48&amp;B48,ssH!A:A,ssH!D:D,0)</f>
        <v>0</v>
      </c>
      <c r="M48" s="42" t="str">
        <f>_xlfn.XLOOKUP(A48&amp;B48,ssH!A:A,ssH!I:I,"")</f>
        <v/>
      </c>
      <c r="N48" s="51" t="str">
        <f t="shared" si="0"/>
        <v/>
      </c>
      <c r="O48" s="51" t="str">
        <f t="shared" si="1"/>
        <v/>
      </c>
      <c r="P48" s="51" t="str">
        <f t="shared" si="2"/>
        <v/>
      </c>
      <c r="Q48" s="52">
        <f t="shared" si="3"/>
        <v>0</v>
      </c>
      <c r="R48" s="51">
        <f t="shared" si="4"/>
        <v>2</v>
      </c>
      <c r="S48" s="51">
        <f t="shared" si="5"/>
        <v>0</v>
      </c>
      <c r="T48" s="51">
        <f t="shared" si="6"/>
        <v>0</v>
      </c>
      <c r="U48" s="52">
        <f t="shared" si="7"/>
        <v>2</v>
      </c>
      <c r="V48" s="52">
        <f t="shared" si="10"/>
        <v>0</v>
      </c>
      <c r="W48" s="52" t="str" cm="1">
        <f t="array" ref="W48">_xlfn.IFS(B48="","",AND(G48&gt;=0,L48&gt;0),"BuySome",AND(G48&gt;=0,K48="KMSignal"),"BuySome",AND(G48&lt;0,L48&gt;0),"BuyWatch",AND(Q48&lt;0,L48&gt;0),"BuyWatch",AND(G48&gt;=0,L48=0),"BuyWatch",L48&gt;0,"BuySome",TRUE,"")</f>
        <v/>
      </c>
      <c r="X48" s="47" t="str">
        <f>_xlfn.XLOOKUP(W48,Parm!$AN$2:$AN$25,Parm!$AO$2:$AO$25,"")</f>
        <v/>
      </c>
      <c r="Y48" s="52" t="str" cm="1">
        <f t="array" ref="Y48">_xlfn.IFS(B48="","",OR(Q48=-100,U48=-100),"SellAll",OR(Q48&lt;0,U48&lt;0),"SellSome",AND(Q48&gt;0,U48&gt;0),"BuySome",OR(Q48&gt;0,U48&gt;0),"BuyWatch",TRUE,"")</f>
        <v/>
      </c>
      <c r="Z48" s="47" t="str">
        <f>_xlfn.XLOOKUP(Y48,Parm!$AN$2:$AN$25,Parm!$AO$2:$AO$25,"")</f>
        <v/>
      </c>
      <c r="AA48" s="286">
        <f>IF(C48&lt;&gt;-100,A48,_xlfn.XLOOKUP(B48,ssH!L:L,ssH!M:M))</f>
        <v>46140</v>
      </c>
      <c r="AB48" s="49" t="str">
        <f t="shared" si="8"/>
        <v/>
      </c>
      <c r="AC48" s="52">
        <f>_xlfn.XLOOKUP(B48,TL!C:C,TL!C:C)</f>
        <v>0</v>
      </c>
      <c r="AD48" s="52">
        <f>_xlfn.XLOOKUP(B48,Y!C:C,Y!C:C)</f>
        <v>0</v>
      </c>
      <c r="AE48" s="52">
        <f>_xlfn.XLOOKUP(B48,MA!C:C,MA!C:C)</f>
        <v>0</v>
      </c>
    </row>
    <row r="49" spans="1:31" x14ac:dyDescent="0.25">
      <c r="A49" s="29">
        <f>ssH!$AG$1</f>
        <v>46140</v>
      </c>
      <c r="C49" s="47">
        <f t="shared" si="9"/>
        <v>0</v>
      </c>
      <c r="D49" s="42">
        <f>_xlfn.XLOOKUP(ssH!$AG$3&amp;B49,ssH!A:A,ssH!D:D,0)</f>
        <v>0</v>
      </c>
      <c r="E49" s="42">
        <f>_xlfn.XLOOKUP(ssH!$AG$5&amp;B49,ssH!A:A,ssH!D:D,0)</f>
        <v>0</v>
      </c>
      <c r="F49" s="42">
        <f>_xlfn.XLOOKUP(ssH!$AG$6&amp;B49,ssH!A:A,ssH!D:D,0)</f>
        <v>0</v>
      </c>
      <c r="G49" s="48">
        <f>_xlfn.XLOOKUP(A49&amp;B49,ssH!A:A,ssH!F:F,-100%)</f>
        <v>-1</v>
      </c>
      <c r="H49" s="46">
        <f>_xlfn.XLOOKUP(ssH!$AG$3&amp;B49,ssH!A:A,ssH!F:F,0)</f>
        <v>0</v>
      </c>
      <c r="I49" s="46">
        <f>_xlfn.XLOOKUP(ssH!$AG$5&amp;B49,ssH!A:A,ssH!F:F,0)</f>
        <v>0</v>
      </c>
      <c r="J49" s="46">
        <f>_xlfn.XLOOKUP(ssH!$AG$6&amp;B49,ssH!A:A,ssH!F:F,0)</f>
        <v>0</v>
      </c>
      <c r="K49" s="46">
        <f>_xlfn.XLOOKUP(B49,ssL!C:C,ssL!G:G,"Removed")</f>
        <v>0</v>
      </c>
      <c r="L49" s="27">
        <f>_xlfn.XLOOKUP(A49&amp;B49,ssH!A:A,ssH!D:D,0)</f>
        <v>0</v>
      </c>
      <c r="M49" s="42" t="str">
        <f>_xlfn.XLOOKUP(A49&amp;B49,ssH!A:A,ssH!I:I,"")</f>
        <v/>
      </c>
      <c r="N49" s="51" t="str">
        <f t="shared" si="0"/>
        <v/>
      </c>
      <c r="O49" s="51" t="str">
        <f t="shared" si="1"/>
        <v/>
      </c>
      <c r="P49" s="51" t="str">
        <f t="shared" si="2"/>
        <v/>
      </c>
      <c r="Q49" s="52">
        <f t="shared" si="3"/>
        <v>0</v>
      </c>
      <c r="R49" s="51">
        <f t="shared" si="4"/>
        <v>2</v>
      </c>
      <c r="S49" s="51">
        <f t="shared" si="5"/>
        <v>0</v>
      </c>
      <c r="T49" s="51">
        <f t="shared" si="6"/>
        <v>0</v>
      </c>
      <c r="U49" s="52">
        <f t="shared" si="7"/>
        <v>2</v>
      </c>
      <c r="V49" s="52">
        <f t="shared" si="10"/>
        <v>0</v>
      </c>
      <c r="W49" s="52" t="str" cm="1">
        <f t="array" ref="W49">_xlfn.IFS(B49="","",AND(G49&gt;=0,L49&gt;0),"BuySome",AND(G49&gt;=0,K49="KMSignal"),"BuySome",AND(G49&lt;0,L49&gt;0),"BuyWatch",AND(Q49&lt;0,L49&gt;0),"BuyWatch",AND(G49&gt;=0,L49=0),"BuyWatch",L49&gt;0,"BuySome",TRUE,"")</f>
        <v/>
      </c>
      <c r="X49" s="47" t="str">
        <f>_xlfn.XLOOKUP(W49,Parm!$AN$2:$AN$25,Parm!$AO$2:$AO$25,"")</f>
        <v/>
      </c>
      <c r="Y49" s="52" t="str" cm="1">
        <f t="array" ref="Y49">_xlfn.IFS(B49="","",OR(Q49=-100,U49=-100),"SellAll",OR(Q49&lt;0,U49&lt;0),"SellSome",AND(Q49&gt;0,U49&gt;0),"BuySome",OR(Q49&gt;0,U49&gt;0),"BuyWatch",TRUE,"")</f>
        <v/>
      </c>
      <c r="Z49" s="47" t="str">
        <f>_xlfn.XLOOKUP(Y49,Parm!$AN$2:$AN$25,Parm!$AO$2:$AO$25,"")</f>
        <v/>
      </c>
      <c r="AA49" s="286">
        <f>IF(C49&lt;&gt;-100,A49,_xlfn.XLOOKUP(B49,ssH!L:L,ssH!M:M))</f>
        <v>46140</v>
      </c>
      <c r="AB49" s="49" t="str">
        <f t="shared" si="8"/>
        <v/>
      </c>
      <c r="AC49" s="52">
        <f>_xlfn.XLOOKUP(B49,TL!C:C,TL!C:C)</f>
        <v>0</v>
      </c>
      <c r="AD49" s="52">
        <f>_xlfn.XLOOKUP(B49,Y!C:C,Y!C:C)</f>
        <v>0</v>
      </c>
      <c r="AE49" s="52">
        <f>_xlfn.XLOOKUP(B49,MA!C:C,MA!C:C)</f>
        <v>0</v>
      </c>
    </row>
    <row r="50" spans="1:31" x14ac:dyDescent="0.25">
      <c r="A50" s="29">
        <f>ssH!$AG$1</f>
        <v>46140</v>
      </c>
      <c r="C50" s="47">
        <f t="shared" si="9"/>
        <v>0</v>
      </c>
      <c r="D50" s="42">
        <f>_xlfn.XLOOKUP(ssH!$AG$3&amp;B50,ssH!A:A,ssH!D:D,0)</f>
        <v>0</v>
      </c>
      <c r="E50" s="42">
        <f>_xlfn.XLOOKUP(ssH!$AG$5&amp;B50,ssH!A:A,ssH!D:D,0)</f>
        <v>0</v>
      </c>
      <c r="F50" s="42">
        <f>_xlfn.XLOOKUP(ssH!$AG$6&amp;B50,ssH!A:A,ssH!D:D,0)</f>
        <v>0</v>
      </c>
      <c r="G50" s="48">
        <f>_xlfn.XLOOKUP(A50&amp;B50,ssH!A:A,ssH!F:F,-100%)</f>
        <v>-1</v>
      </c>
      <c r="H50" s="46">
        <f>_xlfn.XLOOKUP(ssH!$AG$3&amp;B50,ssH!A:A,ssH!F:F,0)</f>
        <v>0</v>
      </c>
      <c r="I50" s="46">
        <f>_xlfn.XLOOKUP(ssH!$AG$5&amp;B50,ssH!A:A,ssH!F:F,0)</f>
        <v>0</v>
      </c>
      <c r="J50" s="46">
        <f>_xlfn.XLOOKUP(ssH!$AG$6&amp;B50,ssH!A:A,ssH!F:F,0)</f>
        <v>0</v>
      </c>
      <c r="K50" s="46">
        <f>_xlfn.XLOOKUP(B50,ssL!C:C,ssL!G:G,"Removed")</f>
        <v>0</v>
      </c>
      <c r="L50" s="27">
        <f>_xlfn.XLOOKUP(A50&amp;B50,ssH!A:A,ssH!D:D,0)</f>
        <v>0</v>
      </c>
      <c r="M50" s="42" t="str">
        <f>_xlfn.XLOOKUP(A50&amp;B50,ssH!A:A,ssH!I:I,"")</f>
        <v/>
      </c>
      <c r="N50" s="51" t="str">
        <f t="shared" si="0"/>
        <v/>
      </c>
      <c r="O50" s="51" t="str">
        <f t="shared" si="1"/>
        <v/>
      </c>
      <c r="P50" s="51" t="str">
        <f t="shared" si="2"/>
        <v/>
      </c>
      <c r="Q50" s="52">
        <f t="shared" si="3"/>
        <v>0</v>
      </c>
      <c r="R50" s="51">
        <f t="shared" si="4"/>
        <v>2</v>
      </c>
      <c r="S50" s="51">
        <f t="shared" si="5"/>
        <v>0</v>
      </c>
      <c r="T50" s="51">
        <f t="shared" si="6"/>
        <v>0</v>
      </c>
      <c r="U50" s="52">
        <f t="shared" si="7"/>
        <v>2</v>
      </c>
      <c r="V50" s="52">
        <f t="shared" si="10"/>
        <v>0</v>
      </c>
      <c r="W50" s="52" t="str" cm="1">
        <f t="array" ref="W50">_xlfn.IFS(B50="","",AND(G50&gt;=0,L50&gt;0),"BuySome",AND(G50&gt;=0,K50="KMSignal"),"BuySome",AND(G50&lt;0,L50&gt;0),"BuyWatch",AND(Q50&lt;0,L50&gt;0),"BuyWatch",AND(G50&gt;=0,L50=0),"BuyWatch",L50&gt;0,"BuySome",TRUE,"")</f>
        <v/>
      </c>
      <c r="X50" s="47" t="str">
        <f>_xlfn.XLOOKUP(W50,Parm!$AN$2:$AN$25,Parm!$AO$2:$AO$25,"")</f>
        <v/>
      </c>
      <c r="Y50" s="52" t="str" cm="1">
        <f t="array" ref="Y50">_xlfn.IFS(B50="","",OR(Q50=-100,U50=-100),"SellAll",OR(Q50&lt;0,U50&lt;0),"SellSome",AND(Q50&gt;0,U50&gt;0),"BuySome",OR(Q50&gt;0,U50&gt;0),"BuyWatch",TRUE,"")</f>
        <v/>
      </c>
      <c r="Z50" s="47" t="str">
        <f>_xlfn.XLOOKUP(Y50,Parm!$AN$2:$AN$25,Parm!$AO$2:$AO$25,"")</f>
        <v/>
      </c>
      <c r="AA50" s="286">
        <f>IF(C50&lt;&gt;-100,A50,_xlfn.XLOOKUP(B50,ssH!L:L,ssH!M:M))</f>
        <v>46140</v>
      </c>
      <c r="AB50" s="49" t="str">
        <f t="shared" si="8"/>
        <v/>
      </c>
      <c r="AC50" s="52">
        <f>_xlfn.XLOOKUP(B50,TL!C:C,TL!C:C)</f>
        <v>0</v>
      </c>
      <c r="AD50" s="52">
        <f>_xlfn.XLOOKUP(B50,Y!C:C,Y!C:C)</f>
        <v>0</v>
      </c>
      <c r="AE50" s="52">
        <f>_xlfn.XLOOKUP(B50,MA!C:C,MA!C:C)</f>
        <v>0</v>
      </c>
    </row>
    <row r="51" spans="1:31" x14ac:dyDescent="0.25">
      <c r="A51" s="29">
        <f>ssH!$AG$1</f>
        <v>46140</v>
      </c>
      <c r="C51" s="47">
        <f t="shared" si="9"/>
        <v>0</v>
      </c>
      <c r="D51" s="42">
        <f>_xlfn.XLOOKUP(ssH!$AG$3&amp;B51,ssH!A:A,ssH!D:D,0)</f>
        <v>0</v>
      </c>
      <c r="E51" s="42">
        <f>_xlfn.XLOOKUP(ssH!$AG$5&amp;B51,ssH!A:A,ssH!D:D,0)</f>
        <v>0</v>
      </c>
      <c r="F51" s="42">
        <f>_xlfn.XLOOKUP(ssH!$AG$6&amp;B51,ssH!A:A,ssH!D:D,0)</f>
        <v>0</v>
      </c>
      <c r="G51" s="48">
        <f>_xlfn.XLOOKUP(A51&amp;B51,ssH!A:A,ssH!F:F,-100%)</f>
        <v>-1</v>
      </c>
      <c r="H51" s="46">
        <f>_xlfn.XLOOKUP(ssH!$AG$3&amp;B51,ssH!A:A,ssH!F:F,0)</f>
        <v>0</v>
      </c>
      <c r="I51" s="46">
        <f>_xlfn.XLOOKUP(ssH!$AG$5&amp;B51,ssH!A:A,ssH!F:F,0)</f>
        <v>0</v>
      </c>
      <c r="J51" s="46">
        <f>_xlfn.XLOOKUP(ssH!$AG$6&amp;B51,ssH!A:A,ssH!F:F,0)</f>
        <v>0</v>
      </c>
      <c r="K51" s="46">
        <f>_xlfn.XLOOKUP(B51,ssL!C:C,ssL!G:G,"Removed")</f>
        <v>0</v>
      </c>
      <c r="L51" s="27">
        <f>_xlfn.XLOOKUP(A51&amp;B51,ssH!A:A,ssH!D:D,0)</f>
        <v>0</v>
      </c>
      <c r="M51" s="42" t="str">
        <f>_xlfn.XLOOKUP(A51&amp;B51,ssH!A:A,ssH!I:I,"")</f>
        <v/>
      </c>
      <c r="N51" s="51" t="str">
        <f t="shared" si="0"/>
        <v/>
      </c>
      <c r="O51" s="51" t="str">
        <f t="shared" si="1"/>
        <v/>
      </c>
      <c r="P51" s="51" t="str">
        <f t="shared" si="2"/>
        <v/>
      </c>
      <c r="Q51" s="52">
        <f t="shared" si="3"/>
        <v>0</v>
      </c>
      <c r="R51" s="51">
        <f t="shared" si="4"/>
        <v>2</v>
      </c>
      <c r="S51" s="51">
        <f t="shared" si="5"/>
        <v>0</v>
      </c>
      <c r="T51" s="51">
        <f t="shared" si="6"/>
        <v>0</v>
      </c>
      <c r="U51" s="52">
        <f t="shared" si="7"/>
        <v>2</v>
      </c>
      <c r="V51" s="52">
        <f t="shared" si="10"/>
        <v>0</v>
      </c>
      <c r="W51" s="52" t="str" cm="1">
        <f t="array" ref="W51">_xlfn.IFS(B51="","",AND(G51&gt;=0,L51&gt;0),"BuySome",AND(G51&gt;=0,K51="KMSignal"),"BuySome",AND(G51&lt;0,L51&gt;0),"BuyWatch",AND(Q51&lt;0,L51&gt;0),"BuyWatch",AND(G51&gt;=0,L51=0),"BuyWatch",L51&gt;0,"BuySome",TRUE,"")</f>
        <v/>
      </c>
      <c r="X51" s="47" t="str">
        <f>_xlfn.XLOOKUP(W51,Parm!$AN$2:$AN$25,Parm!$AO$2:$AO$25,"")</f>
        <v/>
      </c>
      <c r="Y51" s="52" t="str" cm="1">
        <f t="array" ref="Y51">_xlfn.IFS(B51="","",OR(Q51=-100,U51=-100),"SellAll",OR(Q51&lt;0,U51&lt;0),"SellSome",AND(Q51&gt;0,U51&gt;0),"BuySome",OR(Q51&gt;0,U51&gt;0),"BuyWatch",TRUE,"")</f>
        <v/>
      </c>
      <c r="Z51" s="47" t="str">
        <f>_xlfn.XLOOKUP(Y51,Parm!$AN$2:$AN$25,Parm!$AO$2:$AO$25,"")</f>
        <v/>
      </c>
      <c r="AA51" s="286">
        <f>IF(C51&lt;&gt;-100,A51,_xlfn.XLOOKUP(B51,ssH!L:L,ssH!M:M))</f>
        <v>46140</v>
      </c>
      <c r="AB51" s="49" t="str">
        <f t="shared" si="8"/>
        <v/>
      </c>
      <c r="AC51" s="52">
        <f>_xlfn.XLOOKUP(B51,TL!C:C,TL!C:C)</f>
        <v>0</v>
      </c>
      <c r="AD51" s="52">
        <f>_xlfn.XLOOKUP(B51,Y!C:C,Y!C:C)</f>
        <v>0</v>
      </c>
      <c r="AE51" s="52">
        <f>_xlfn.XLOOKUP(B51,MA!C:C,MA!C:C)</f>
        <v>0</v>
      </c>
    </row>
    <row r="52" spans="1:31" x14ac:dyDescent="0.25">
      <c r="A52" s="29">
        <f>ssH!$AG$1</f>
        <v>46140</v>
      </c>
      <c r="C52" s="47">
        <f t="shared" si="9"/>
        <v>0</v>
      </c>
      <c r="D52" s="42">
        <f>_xlfn.XLOOKUP(ssH!$AG$3&amp;B52,ssH!A:A,ssH!D:D,0)</f>
        <v>0</v>
      </c>
      <c r="E52" s="42">
        <f>_xlfn.XLOOKUP(ssH!$AG$5&amp;B52,ssH!A:A,ssH!D:D,0)</f>
        <v>0</v>
      </c>
      <c r="F52" s="42">
        <f>_xlfn.XLOOKUP(ssH!$AG$6&amp;B52,ssH!A:A,ssH!D:D,0)</f>
        <v>0</v>
      </c>
      <c r="G52" s="48">
        <f>_xlfn.XLOOKUP(A52&amp;B52,ssH!A:A,ssH!F:F,-100%)</f>
        <v>-1</v>
      </c>
      <c r="H52" s="46">
        <f>_xlfn.XLOOKUP(ssH!$AG$3&amp;B52,ssH!A:A,ssH!F:F,0)</f>
        <v>0</v>
      </c>
      <c r="I52" s="46">
        <f>_xlfn.XLOOKUP(ssH!$AG$5&amp;B52,ssH!A:A,ssH!F:F,0)</f>
        <v>0</v>
      </c>
      <c r="J52" s="46">
        <f>_xlfn.XLOOKUP(ssH!$AG$6&amp;B52,ssH!A:A,ssH!F:F,0)</f>
        <v>0</v>
      </c>
      <c r="K52" s="46">
        <f>_xlfn.XLOOKUP(B52,ssL!C:C,ssL!G:G,"Removed")</f>
        <v>0</v>
      </c>
      <c r="L52" s="27">
        <f>_xlfn.XLOOKUP(A52&amp;B52,ssH!A:A,ssH!D:D,0)</f>
        <v>0</v>
      </c>
      <c r="M52" s="42" t="str">
        <f>_xlfn.XLOOKUP(A52&amp;B52,ssH!A:A,ssH!I:I,"")</f>
        <v/>
      </c>
      <c r="N52" s="51" t="str">
        <f t="shared" si="0"/>
        <v/>
      </c>
      <c r="O52" s="51" t="str">
        <f t="shared" si="1"/>
        <v/>
      </c>
      <c r="P52" s="51" t="str">
        <f t="shared" si="2"/>
        <v/>
      </c>
      <c r="Q52" s="52">
        <f t="shared" si="3"/>
        <v>0</v>
      </c>
      <c r="R52" s="51">
        <f t="shared" si="4"/>
        <v>2</v>
      </c>
      <c r="S52" s="51">
        <f t="shared" si="5"/>
        <v>0</v>
      </c>
      <c r="T52" s="51">
        <f t="shared" si="6"/>
        <v>0</v>
      </c>
      <c r="U52" s="52">
        <f t="shared" si="7"/>
        <v>2</v>
      </c>
      <c r="V52" s="52">
        <f t="shared" si="10"/>
        <v>0</v>
      </c>
      <c r="W52" s="52" t="str" cm="1">
        <f t="array" ref="W52">_xlfn.IFS(B52="","",AND(G52&gt;=0,L52&gt;0),"BuySome",AND(G52&gt;=0,K52="KMSignal"),"BuySome",AND(G52&lt;0,L52&gt;0),"BuyWatch",AND(Q52&lt;0,L52&gt;0),"BuyWatch",AND(G52&gt;=0,L52=0),"BuyWatch",L52&gt;0,"BuySome",TRUE,"")</f>
        <v/>
      </c>
      <c r="X52" s="47" t="str">
        <f>_xlfn.XLOOKUP(W52,Parm!$AN$2:$AN$25,Parm!$AO$2:$AO$25,"")</f>
        <v/>
      </c>
      <c r="Y52" s="52" t="str" cm="1">
        <f t="array" ref="Y52">_xlfn.IFS(B52="","",OR(Q52=-100,U52=-100),"SellAll",OR(Q52&lt;0,U52&lt;0),"SellSome",AND(Q52&gt;0,U52&gt;0),"BuySome",OR(Q52&gt;0,U52&gt;0),"BuyWatch",TRUE,"")</f>
        <v/>
      </c>
      <c r="Z52" s="47" t="str">
        <f>_xlfn.XLOOKUP(Y52,Parm!$AN$2:$AN$25,Parm!$AO$2:$AO$25,"")</f>
        <v/>
      </c>
      <c r="AA52" s="286">
        <f>IF(C52&lt;&gt;-100,A52,_xlfn.XLOOKUP(B52,ssH!L:L,ssH!M:M))</f>
        <v>46140</v>
      </c>
      <c r="AB52" s="49" t="str">
        <f t="shared" si="8"/>
        <v/>
      </c>
      <c r="AC52" s="52">
        <f>_xlfn.XLOOKUP(B52,TL!C:C,TL!C:C)</f>
        <v>0</v>
      </c>
      <c r="AD52" s="52">
        <f>_xlfn.XLOOKUP(B52,Y!C:C,Y!C:C)</f>
        <v>0</v>
      </c>
      <c r="AE52" s="52">
        <f>_xlfn.XLOOKUP(B52,MA!C:C,MA!C:C)</f>
        <v>0</v>
      </c>
    </row>
    <row r="53" spans="1:31" x14ac:dyDescent="0.25">
      <c r="A53" s="29">
        <f>ssH!$AG$1</f>
        <v>46140</v>
      </c>
      <c r="C53" s="47">
        <f t="shared" si="9"/>
        <v>0</v>
      </c>
      <c r="D53" s="42">
        <f>_xlfn.XLOOKUP(ssH!$AG$3&amp;B53,ssH!A:A,ssH!D:D,0)</f>
        <v>0</v>
      </c>
      <c r="E53" s="42">
        <f>_xlfn.XLOOKUP(ssH!$AG$5&amp;B53,ssH!A:A,ssH!D:D,0)</f>
        <v>0</v>
      </c>
      <c r="F53" s="42">
        <f>_xlfn.XLOOKUP(ssH!$AG$6&amp;B53,ssH!A:A,ssH!D:D,0)</f>
        <v>0</v>
      </c>
      <c r="G53" s="48">
        <f>_xlfn.XLOOKUP(A53&amp;B53,ssH!A:A,ssH!F:F,-100%)</f>
        <v>-1</v>
      </c>
      <c r="H53" s="46">
        <f>_xlfn.XLOOKUP(ssH!$AG$3&amp;B53,ssH!A:A,ssH!F:F,0)</f>
        <v>0</v>
      </c>
      <c r="I53" s="46">
        <f>_xlfn.XLOOKUP(ssH!$AG$5&amp;B53,ssH!A:A,ssH!F:F,0)</f>
        <v>0</v>
      </c>
      <c r="J53" s="46">
        <f>_xlfn.XLOOKUP(ssH!$AG$6&amp;B53,ssH!A:A,ssH!F:F,0)</f>
        <v>0</v>
      </c>
      <c r="K53" s="46">
        <f>_xlfn.XLOOKUP(B53,ssL!C:C,ssL!G:G,"Removed")</f>
        <v>0</v>
      </c>
      <c r="L53" s="27">
        <f>_xlfn.XLOOKUP(A53&amp;B53,ssH!A:A,ssH!D:D,0)</f>
        <v>0</v>
      </c>
      <c r="M53" s="42" t="str">
        <f>_xlfn.XLOOKUP(A53&amp;B53,ssH!A:A,ssH!I:I,"")</f>
        <v/>
      </c>
      <c r="N53" s="51" t="str">
        <f t="shared" si="0"/>
        <v/>
      </c>
      <c r="O53" s="51" t="str">
        <f t="shared" si="1"/>
        <v/>
      </c>
      <c r="P53" s="51" t="str">
        <f t="shared" si="2"/>
        <v/>
      </c>
      <c r="Q53" s="52">
        <f t="shared" si="3"/>
        <v>0</v>
      </c>
      <c r="R53" s="51">
        <f t="shared" si="4"/>
        <v>2</v>
      </c>
      <c r="S53" s="51">
        <f t="shared" si="5"/>
        <v>0</v>
      </c>
      <c r="T53" s="51">
        <f t="shared" si="6"/>
        <v>0</v>
      </c>
      <c r="U53" s="52">
        <f t="shared" si="7"/>
        <v>2</v>
      </c>
      <c r="V53" s="52">
        <f t="shared" si="10"/>
        <v>0</v>
      </c>
      <c r="W53" s="52" t="str" cm="1">
        <f t="array" ref="W53">_xlfn.IFS(B53="","",AND(G53&gt;=0,L53&gt;0),"BuySome",AND(G53&gt;=0,K53="KMSignal"),"BuySome",AND(G53&lt;0,L53&gt;0),"BuyWatch",AND(Q53&lt;0,L53&gt;0),"BuyWatch",AND(G53&gt;=0,L53=0),"BuyWatch",L53&gt;0,"BuySome",TRUE,"")</f>
        <v/>
      </c>
      <c r="X53" s="47" t="str">
        <f>_xlfn.XLOOKUP(W53,Parm!$AN$2:$AN$25,Parm!$AO$2:$AO$25,"")</f>
        <v/>
      </c>
      <c r="Y53" s="52" t="str" cm="1">
        <f t="array" ref="Y53">_xlfn.IFS(B53="","",OR(Q53=-100,U53=-100),"SellAll",OR(Q53&lt;0,U53&lt;0),"SellSome",AND(Q53&gt;0,U53&gt;0),"BuySome",OR(Q53&gt;0,U53&gt;0),"BuyWatch",TRUE,"")</f>
        <v/>
      </c>
      <c r="Z53" s="47" t="str">
        <f>_xlfn.XLOOKUP(Y53,Parm!$AN$2:$AN$25,Parm!$AO$2:$AO$25,"")</f>
        <v/>
      </c>
      <c r="AA53" s="286">
        <f>IF(C53&lt;&gt;-100,A53,_xlfn.XLOOKUP(B53,ssH!L:L,ssH!M:M))</f>
        <v>46140</v>
      </c>
      <c r="AB53" s="49" t="str">
        <f t="shared" si="8"/>
        <v/>
      </c>
      <c r="AC53" s="52">
        <f>_xlfn.XLOOKUP(B53,TL!C:C,TL!C:C)</f>
        <v>0</v>
      </c>
      <c r="AD53" s="52">
        <f>_xlfn.XLOOKUP(B53,Y!C:C,Y!C:C)</f>
        <v>0</v>
      </c>
      <c r="AE53" s="52">
        <f>_xlfn.XLOOKUP(B53,MA!C:C,MA!C:C)</f>
        <v>0</v>
      </c>
    </row>
    <row r="54" spans="1:31" x14ac:dyDescent="0.25">
      <c r="A54" s="29">
        <f>ssH!$AG$1</f>
        <v>46140</v>
      </c>
      <c r="C54" s="47">
        <f t="shared" si="9"/>
        <v>0</v>
      </c>
      <c r="D54" s="42">
        <f>_xlfn.XLOOKUP(ssH!$AG$3&amp;B54,ssH!A:A,ssH!D:D,0)</f>
        <v>0</v>
      </c>
      <c r="E54" s="42">
        <f>_xlfn.XLOOKUP(ssH!$AG$5&amp;B54,ssH!A:A,ssH!D:D,0)</f>
        <v>0</v>
      </c>
      <c r="F54" s="42">
        <f>_xlfn.XLOOKUP(ssH!$AG$6&amp;B54,ssH!A:A,ssH!D:D,0)</f>
        <v>0</v>
      </c>
      <c r="G54" s="48">
        <f>_xlfn.XLOOKUP(A54&amp;B54,ssH!A:A,ssH!F:F,-100%)</f>
        <v>-1</v>
      </c>
      <c r="H54" s="46">
        <f>_xlfn.XLOOKUP(ssH!$AG$3&amp;B54,ssH!A:A,ssH!F:F,0)</f>
        <v>0</v>
      </c>
      <c r="I54" s="46">
        <f>_xlfn.XLOOKUP(ssH!$AG$5&amp;B54,ssH!A:A,ssH!F:F,0)</f>
        <v>0</v>
      </c>
      <c r="J54" s="46">
        <f>_xlfn.XLOOKUP(ssH!$AG$6&amp;B54,ssH!A:A,ssH!F:F,0)</f>
        <v>0</v>
      </c>
      <c r="K54" s="46">
        <f>_xlfn.XLOOKUP(B54,ssL!C:C,ssL!G:G,"Removed")</f>
        <v>0</v>
      </c>
      <c r="L54" s="27">
        <f>_xlfn.XLOOKUP(A54&amp;B54,ssH!A:A,ssH!D:D,0)</f>
        <v>0</v>
      </c>
      <c r="M54" s="42" t="str">
        <f>_xlfn.XLOOKUP(A54&amp;B54,ssH!A:A,ssH!I:I,"")</f>
        <v/>
      </c>
      <c r="N54" s="51" t="str">
        <f t="shared" si="0"/>
        <v/>
      </c>
      <c r="O54" s="51" t="str">
        <f t="shared" si="1"/>
        <v/>
      </c>
      <c r="P54" s="51" t="str">
        <f t="shared" si="2"/>
        <v/>
      </c>
      <c r="Q54" s="52">
        <f t="shared" si="3"/>
        <v>0</v>
      </c>
      <c r="R54" s="51">
        <f t="shared" si="4"/>
        <v>2</v>
      </c>
      <c r="S54" s="51">
        <f t="shared" si="5"/>
        <v>0</v>
      </c>
      <c r="T54" s="51">
        <f t="shared" si="6"/>
        <v>0</v>
      </c>
      <c r="U54" s="52">
        <f t="shared" si="7"/>
        <v>2</v>
      </c>
      <c r="V54" s="52">
        <f t="shared" si="10"/>
        <v>0</v>
      </c>
      <c r="W54" s="52" t="str" cm="1">
        <f t="array" ref="W54">_xlfn.IFS(B54="","",AND(G54&gt;=0,L54&gt;0),"BuySome",AND(G54&gt;=0,K54="KMSignal"),"BuySome",AND(G54&lt;0,L54&gt;0),"BuyWatch",AND(Q54&lt;0,L54&gt;0),"BuyWatch",AND(G54&gt;=0,L54=0),"BuyWatch",L54&gt;0,"BuySome",TRUE,"")</f>
        <v/>
      </c>
      <c r="X54" s="47" t="str">
        <f>_xlfn.XLOOKUP(W54,Parm!$AN$2:$AN$25,Parm!$AO$2:$AO$25,"")</f>
        <v/>
      </c>
      <c r="Y54" s="52" t="str" cm="1">
        <f t="array" ref="Y54">_xlfn.IFS(B54="","",OR(Q54=-100,U54=-100),"SellAll",OR(Q54&lt;0,U54&lt;0),"SellSome",AND(Q54&gt;0,U54&gt;0),"BuySome",OR(Q54&gt;0,U54&gt;0),"BuyWatch",TRUE,"")</f>
        <v/>
      </c>
      <c r="Z54" s="47" t="str">
        <f>_xlfn.XLOOKUP(Y54,Parm!$AN$2:$AN$25,Parm!$AO$2:$AO$25,"")</f>
        <v/>
      </c>
      <c r="AA54" s="286">
        <f>IF(C54&lt;&gt;-100,A54,_xlfn.XLOOKUP(B54,ssH!L:L,ssH!M:M))</f>
        <v>46140</v>
      </c>
      <c r="AB54" s="49" t="str">
        <f t="shared" si="8"/>
        <v/>
      </c>
      <c r="AC54" s="52">
        <f>_xlfn.XLOOKUP(B54,TL!C:C,TL!C:C)</f>
        <v>0</v>
      </c>
      <c r="AD54" s="52">
        <f>_xlfn.XLOOKUP(B54,Y!C:C,Y!C:C)</f>
        <v>0</v>
      </c>
      <c r="AE54" s="52">
        <f>_xlfn.XLOOKUP(B54,MA!C:C,MA!C:C)</f>
        <v>0</v>
      </c>
    </row>
    <row r="55" spans="1:31" x14ac:dyDescent="0.25">
      <c r="A55" s="29">
        <f>ssH!$AG$1</f>
        <v>46140</v>
      </c>
      <c r="C55" s="47">
        <f t="shared" si="9"/>
        <v>0</v>
      </c>
      <c r="D55" s="42">
        <f>_xlfn.XLOOKUP(ssH!$AG$3&amp;B55,ssH!A:A,ssH!D:D,0)</f>
        <v>0</v>
      </c>
      <c r="E55" s="42">
        <f>_xlfn.XLOOKUP(ssH!$AG$5&amp;B55,ssH!A:A,ssH!D:D,0)</f>
        <v>0</v>
      </c>
      <c r="F55" s="42">
        <f>_xlfn.XLOOKUP(ssH!$AG$6&amp;B55,ssH!A:A,ssH!D:D,0)</f>
        <v>0</v>
      </c>
      <c r="G55" s="48">
        <f>_xlfn.XLOOKUP(A55&amp;B55,ssH!A:A,ssH!F:F,-100%)</f>
        <v>-1</v>
      </c>
      <c r="H55" s="46">
        <f>_xlfn.XLOOKUP(ssH!$AG$3&amp;B55,ssH!A:A,ssH!F:F,0)</f>
        <v>0</v>
      </c>
      <c r="I55" s="46">
        <f>_xlfn.XLOOKUP(ssH!$AG$5&amp;B55,ssH!A:A,ssH!F:F,0)</f>
        <v>0</v>
      </c>
      <c r="J55" s="46">
        <f>_xlfn.XLOOKUP(ssH!$AG$6&amp;B55,ssH!A:A,ssH!F:F,0)</f>
        <v>0</v>
      </c>
      <c r="K55" s="46">
        <f>_xlfn.XLOOKUP(B55,ssL!C:C,ssL!G:G,"Removed")</f>
        <v>0</v>
      </c>
      <c r="L55" s="27">
        <f>_xlfn.XLOOKUP(A55&amp;B55,ssH!A:A,ssH!D:D,0)</f>
        <v>0</v>
      </c>
      <c r="M55" s="42" t="str">
        <f>_xlfn.XLOOKUP(A55&amp;B55,ssH!A:A,ssH!I:I,"")</f>
        <v/>
      </c>
      <c r="N55" s="51" t="str">
        <f t="shared" si="0"/>
        <v/>
      </c>
      <c r="O55" s="51" t="str">
        <f t="shared" si="1"/>
        <v/>
      </c>
      <c r="P55" s="51" t="str">
        <f t="shared" si="2"/>
        <v/>
      </c>
      <c r="Q55" s="52">
        <f t="shared" si="3"/>
        <v>0</v>
      </c>
      <c r="R55" s="51">
        <f t="shared" si="4"/>
        <v>2</v>
      </c>
      <c r="S55" s="51">
        <f t="shared" si="5"/>
        <v>0</v>
      </c>
      <c r="T55" s="51">
        <f t="shared" si="6"/>
        <v>0</v>
      </c>
      <c r="U55" s="52">
        <f t="shared" si="7"/>
        <v>2</v>
      </c>
      <c r="V55" s="52">
        <f t="shared" si="10"/>
        <v>0</v>
      </c>
      <c r="W55" s="52" t="str" cm="1">
        <f t="array" ref="W55">_xlfn.IFS(B55="","",AND(G55&gt;=0,L55&gt;0),"BuySome",AND(G55&gt;=0,K55="KMSignal"),"BuySome",AND(G55&lt;0,L55&gt;0),"BuyWatch",AND(Q55&lt;0,L55&gt;0),"BuyWatch",AND(G55&gt;=0,L55=0),"BuyWatch",L55&gt;0,"BuySome",TRUE,"")</f>
        <v/>
      </c>
      <c r="X55" s="47" t="str">
        <f>_xlfn.XLOOKUP(W55,Parm!$AN$2:$AN$25,Parm!$AO$2:$AO$25,"")</f>
        <v/>
      </c>
      <c r="Y55" s="52" t="str" cm="1">
        <f t="array" ref="Y55">_xlfn.IFS(B55="","",OR(Q55=-100,U55=-100),"SellAll",OR(Q55&lt;0,U55&lt;0),"SellSome",AND(Q55&gt;0,U55&gt;0),"BuySome",OR(Q55&gt;0,U55&gt;0),"BuyWatch",TRUE,"")</f>
        <v/>
      </c>
      <c r="Z55" s="47" t="str">
        <f>_xlfn.XLOOKUP(Y55,Parm!$AN$2:$AN$25,Parm!$AO$2:$AO$25,"")</f>
        <v/>
      </c>
      <c r="AA55" s="286">
        <f>IF(C55&lt;&gt;-100,A55,_xlfn.XLOOKUP(B55,ssH!L:L,ssH!M:M))</f>
        <v>46140</v>
      </c>
      <c r="AB55" s="49" t="str">
        <f t="shared" si="8"/>
        <v/>
      </c>
      <c r="AC55" s="52">
        <f>_xlfn.XLOOKUP(B55,TL!C:C,TL!C:C)</f>
        <v>0</v>
      </c>
      <c r="AD55" s="52">
        <f>_xlfn.XLOOKUP(B55,Y!C:C,Y!C:C)</f>
        <v>0</v>
      </c>
      <c r="AE55" s="52">
        <f>_xlfn.XLOOKUP(B55,MA!C:C,MA!C:C)</f>
        <v>0</v>
      </c>
    </row>
    <row r="56" spans="1:31" x14ac:dyDescent="0.25">
      <c r="A56" s="29">
        <f>ssH!$AG$1</f>
        <v>46140</v>
      </c>
      <c r="C56" s="47">
        <f t="shared" si="9"/>
        <v>0</v>
      </c>
      <c r="D56" s="42">
        <f>_xlfn.XLOOKUP(ssH!$AG$3&amp;B56,ssH!A:A,ssH!D:D,0)</f>
        <v>0</v>
      </c>
      <c r="E56" s="42">
        <f>_xlfn.XLOOKUP(ssH!$AG$5&amp;B56,ssH!A:A,ssH!D:D,0)</f>
        <v>0</v>
      </c>
      <c r="F56" s="42">
        <f>_xlfn.XLOOKUP(ssH!$AG$6&amp;B56,ssH!A:A,ssH!D:D,0)</f>
        <v>0</v>
      </c>
      <c r="G56" s="48">
        <f>_xlfn.XLOOKUP(A56&amp;B56,ssH!A:A,ssH!F:F,-100%)</f>
        <v>-1</v>
      </c>
      <c r="H56" s="46">
        <f>_xlfn.XLOOKUP(ssH!$AG$3&amp;B56,ssH!A:A,ssH!F:F,0)</f>
        <v>0</v>
      </c>
      <c r="I56" s="46">
        <f>_xlfn.XLOOKUP(ssH!$AG$5&amp;B56,ssH!A:A,ssH!F:F,0)</f>
        <v>0</v>
      </c>
      <c r="J56" s="46">
        <f>_xlfn.XLOOKUP(ssH!$AG$6&amp;B56,ssH!A:A,ssH!F:F,0)</f>
        <v>0</v>
      </c>
      <c r="K56" s="46">
        <f>_xlfn.XLOOKUP(B56,ssL!C:C,ssL!G:G,"Removed")</f>
        <v>0</v>
      </c>
      <c r="L56" s="27">
        <f>_xlfn.XLOOKUP(A56&amp;B56,ssH!A:A,ssH!D:D,0)</f>
        <v>0</v>
      </c>
      <c r="M56" s="42" t="str">
        <f>_xlfn.XLOOKUP(A56&amp;B56,ssH!A:A,ssH!I:I,"")</f>
        <v/>
      </c>
      <c r="N56" s="51" t="str">
        <f t="shared" si="0"/>
        <v/>
      </c>
      <c r="O56" s="51" t="str">
        <f t="shared" si="1"/>
        <v/>
      </c>
      <c r="P56" s="51" t="str">
        <f t="shared" si="2"/>
        <v/>
      </c>
      <c r="Q56" s="52">
        <f t="shared" si="3"/>
        <v>0</v>
      </c>
      <c r="R56" s="51">
        <f t="shared" si="4"/>
        <v>2</v>
      </c>
      <c r="S56" s="51">
        <f t="shared" si="5"/>
        <v>0</v>
      </c>
      <c r="T56" s="51">
        <f t="shared" si="6"/>
        <v>0</v>
      </c>
      <c r="U56" s="52">
        <f t="shared" si="7"/>
        <v>2</v>
      </c>
      <c r="V56" s="52">
        <f t="shared" si="10"/>
        <v>0</v>
      </c>
      <c r="W56" s="52" t="str" cm="1">
        <f t="array" ref="W56">_xlfn.IFS(B56="","",AND(G56&gt;=0,L56&gt;0),"BuySome",AND(G56&gt;=0,K56="KMSignal"),"BuySome",AND(G56&lt;0,L56&gt;0),"BuyWatch",AND(Q56&lt;0,L56&gt;0),"BuyWatch",AND(G56&gt;=0,L56=0),"BuyWatch",L56&gt;0,"BuySome",TRUE,"")</f>
        <v/>
      </c>
      <c r="X56" s="47" t="str">
        <f>_xlfn.XLOOKUP(W56,Parm!$AN$2:$AN$25,Parm!$AO$2:$AO$25,"")</f>
        <v/>
      </c>
      <c r="Y56" s="52" t="str" cm="1">
        <f t="array" ref="Y56">_xlfn.IFS(B56="","",OR(Q56=-100,U56=-100),"SellAll",OR(Q56&lt;0,U56&lt;0),"SellSome",AND(Q56&gt;0,U56&gt;0),"BuySome",OR(Q56&gt;0,U56&gt;0),"BuyWatch",TRUE,"")</f>
        <v/>
      </c>
      <c r="Z56" s="47" t="str">
        <f>_xlfn.XLOOKUP(Y56,Parm!$AN$2:$AN$25,Parm!$AO$2:$AO$25,"")</f>
        <v/>
      </c>
      <c r="AA56" s="286">
        <f>IF(C56&lt;&gt;-100,A56,_xlfn.XLOOKUP(B56,ssH!L:L,ssH!M:M))</f>
        <v>46140</v>
      </c>
      <c r="AB56" s="49" t="str">
        <f t="shared" si="8"/>
        <v/>
      </c>
      <c r="AC56" s="52">
        <f>_xlfn.XLOOKUP(B56,TL!C:C,TL!C:C)</f>
        <v>0</v>
      </c>
      <c r="AD56" s="52">
        <f>_xlfn.XLOOKUP(B56,Y!C:C,Y!C:C)</f>
        <v>0</v>
      </c>
      <c r="AE56" s="52">
        <f>_xlfn.XLOOKUP(B56,MA!C:C,MA!C:C)</f>
        <v>0</v>
      </c>
    </row>
    <row r="57" spans="1:31" x14ac:dyDescent="0.25">
      <c r="A57" s="29">
        <f>ssH!$AG$1</f>
        <v>46140</v>
      </c>
      <c r="C57" s="47">
        <f t="shared" si="9"/>
        <v>0</v>
      </c>
      <c r="D57" s="42">
        <f>_xlfn.XLOOKUP(ssH!$AG$3&amp;B57,ssH!A:A,ssH!D:D,0)</f>
        <v>0</v>
      </c>
      <c r="E57" s="42">
        <f>_xlfn.XLOOKUP(ssH!$AG$5&amp;B57,ssH!A:A,ssH!D:D,0)</f>
        <v>0</v>
      </c>
      <c r="F57" s="42">
        <f>_xlfn.XLOOKUP(ssH!$AG$6&amp;B57,ssH!A:A,ssH!D:D,0)</f>
        <v>0</v>
      </c>
      <c r="G57" s="48">
        <f>_xlfn.XLOOKUP(A57&amp;B57,ssH!A:A,ssH!F:F,-100%)</f>
        <v>-1</v>
      </c>
      <c r="H57" s="46">
        <f>_xlfn.XLOOKUP(ssH!$AG$3&amp;B57,ssH!A:A,ssH!F:F,0)</f>
        <v>0</v>
      </c>
      <c r="I57" s="46">
        <f>_xlfn.XLOOKUP(ssH!$AG$5&amp;B57,ssH!A:A,ssH!F:F,0)</f>
        <v>0</v>
      </c>
      <c r="J57" s="46">
        <f>_xlfn.XLOOKUP(ssH!$AG$6&amp;B57,ssH!A:A,ssH!F:F,0)</f>
        <v>0</v>
      </c>
      <c r="K57" s="46">
        <f>_xlfn.XLOOKUP(B57,ssL!C:C,ssL!G:G,"Removed")</f>
        <v>0</v>
      </c>
      <c r="L57" s="27">
        <f>_xlfn.XLOOKUP(A57&amp;B57,ssH!A:A,ssH!D:D,0)</f>
        <v>0</v>
      </c>
      <c r="M57" s="42" t="str">
        <f>_xlfn.XLOOKUP(A57&amp;B57,ssH!A:A,ssH!I:I,"")</f>
        <v/>
      </c>
      <c r="N57" s="51" t="str">
        <f t="shared" si="0"/>
        <v/>
      </c>
      <c r="O57" s="51" t="str">
        <f t="shared" si="1"/>
        <v/>
      </c>
      <c r="P57" s="51" t="str">
        <f t="shared" si="2"/>
        <v/>
      </c>
      <c r="Q57" s="52">
        <f t="shared" si="3"/>
        <v>0</v>
      </c>
      <c r="R57" s="51">
        <f t="shared" si="4"/>
        <v>2</v>
      </c>
      <c r="S57" s="51">
        <f t="shared" si="5"/>
        <v>0</v>
      </c>
      <c r="T57" s="51">
        <f t="shared" si="6"/>
        <v>0</v>
      </c>
      <c r="U57" s="52">
        <f t="shared" si="7"/>
        <v>2</v>
      </c>
      <c r="V57" s="52">
        <f t="shared" si="10"/>
        <v>0</v>
      </c>
      <c r="W57" s="52" t="str" cm="1">
        <f t="array" ref="W57">_xlfn.IFS(B57="","",AND(G57&gt;=0,L57&gt;0),"BuySome",AND(G57&gt;=0,K57="KMSignal"),"BuySome",AND(G57&lt;0,L57&gt;0),"BuyWatch",AND(Q57&lt;0,L57&gt;0),"BuyWatch",AND(G57&gt;=0,L57=0),"BuyWatch",L57&gt;0,"BuySome",TRUE,"")</f>
        <v/>
      </c>
      <c r="X57" s="47" t="str">
        <f>_xlfn.XLOOKUP(W57,Parm!$AN$2:$AN$25,Parm!$AO$2:$AO$25,"")</f>
        <v/>
      </c>
      <c r="Y57" s="52" t="str" cm="1">
        <f t="array" ref="Y57">_xlfn.IFS(B57="","",OR(Q57=-100,U57=-100),"SellAll",OR(Q57&lt;0,U57&lt;0),"SellSome",AND(Q57&gt;0,U57&gt;0),"BuySome",OR(Q57&gt;0,U57&gt;0),"BuyWatch",TRUE,"")</f>
        <v/>
      </c>
      <c r="Z57" s="47" t="str">
        <f>_xlfn.XLOOKUP(Y57,Parm!$AN$2:$AN$25,Parm!$AO$2:$AO$25,"")</f>
        <v/>
      </c>
      <c r="AA57" s="286">
        <f>IF(C57&lt;&gt;-100,A57,_xlfn.XLOOKUP(B57,ssH!L:L,ssH!M:M))</f>
        <v>46140</v>
      </c>
      <c r="AB57" s="49" t="str">
        <f t="shared" si="8"/>
        <v/>
      </c>
      <c r="AC57" s="52">
        <f>_xlfn.XLOOKUP(B57,TL!C:C,TL!C:C)</f>
        <v>0</v>
      </c>
      <c r="AD57" s="52">
        <f>_xlfn.XLOOKUP(B57,Y!C:C,Y!C:C)</f>
        <v>0</v>
      </c>
      <c r="AE57" s="52">
        <f>_xlfn.XLOOKUP(B57,MA!C:C,MA!C:C)</f>
        <v>0</v>
      </c>
    </row>
    <row r="58" spans="1:31" x14ac:dyDescent="0.25">
      <c r="A58" s="29">
        <f>ssH!$AG$1</f>
        <v>46140</v>
      </c>
      <c r="C58" s="47">
        <f t="shared" si="9"/>
        <v>0</v>
      </c>
      <c r="D58" s="42">
        <f>_xlfn.XLOOKUP(ssH!$AG$3&amp;B58,ssH!A:A,ssH!D:D,0)</f>
        <v>0</v>
      </c>
      <c r="E58" s="42">
        <f>_xlfn.XLOOKUP(ssH!$AG$5&amp;B58,ssH!A:A,ssH!D:D,0)</f>
        <v>0</v>
      </c>
      <c r="F58" s="42">
        <f>_xlfn.XLOOKUP(ssH!$AG$6&amp;B58,ssH!A:A,ssH!D:D,0)</f>
        <v>0</v>
      </c>
      <c r="G58" s="48">
        <f>_xlfn.XLOOKUP(A58&amp;B58,ssH!A:A,ssH!F:F,-100%)</f>
        <v>-1</v>
      </c>
      <c r="H58" s="46">
        <f>_xlfn.XLOOKUP(ssH!$AG$3&amp;B58,ssH!A:A,ssH!F:F,0)</f>
        <v>0</v>
      </c>
      <c r="I58" s="46">
        <f>_xlfn.XLOOKUP(ssH!$AG$5&amp;B58,ssH!A:A,ssH!F:F,0)</f>
        <v>0</v>
      </c>
      <c r="J58" s="46">
        <f>_xlfn.XLOOKUP(ssH!$AG$6&amp;B58,ssH!A:A,ssH!F:F,0)</f>
        <v>0</v>
      </c>
      <c r="K58" s="46">
        <f>_xlfn.XLOOKUP(B58,ssL!C:C,ssL!G:G,"Removed")</f>
        <v>0</v>
      </c>
      <c r="L58" s="27">
        <f>_xlfn.XLOOKUP(A58&amp;B58,ssH!A:A,ssH!D:D,0)</f>
        <v>0</v>
      </c>
      <c r="M58" s="42" t="str">
        <f>_xlfn.XLOOKUP(A58&amp;B58,ssH!A:A,ssH!I:I,"")</f>
        <v/>
      </c>
      <c r="N58" s="51" t="str">
        <f t="shared" si="0"/>
        <v/>
      </c>
      <c r="O58" s="51" t="str">
        <f t="shared" si="1"/>
        <v/>
      </c>
      <c r="P58" s="51" t="str">
        <f t="shared" si="2"/>
        <v/>
      </c>
      <c r="Q58" s="52">
        <f t="shared" si="3"/>
        <v>0</v>
      </c>
      <c r="R58" s="51">
        <f t="shared" si="4"/>
        <v>2</v>
      </c>
      <c r="S58" s="51">
        <f t="shared" si="5"/>
        <v>0</v>
      </c>
      <c r="T58" s="51">
        <f t="shared" si="6"/>
        <v>0</v>
      </c>
      <c r="U58" s="52">
        <f t="shared" si="7"/>
        <v>2</v>
      </c>
      <c r="V58" s="52">
        <f t="shared" si="10"/>
        <v>0</v>
      </c>
      <c r="W58" s="52" t="str" cm="1">
        <f t="array" ref="W58">_xlfn.IFS(B58="","",AND(G58&gt;=0,L58&gt;0),"BuySome",AND(G58&gt;=0,K58="KMSignal"),"BuySome",AND(G58&lt;0,L58&gt;0),"BuyWatch",AND(Q58&lt;0,L58&gt;0),"BuyWatch",AND(G58&gt;=0,L58=0),"BuyWatch",L58&gt;0,"BuySome",TRUE,"")</f>
        <v/>
      </c>
      <c r="X58" s="47" t="str">
        <f>_xlfn.XLOOKUP(W58,Parm!$AN$2:$AN$25,Parm!$AO$2:$AO$25,"")</f>
        <v/>
      </c>
      <c r="Y58" s="52" t="str" cm="1">
        <f t="array" ref="Y58">_xlfn.IFS(B58="","",OR(Q58=-100,U58=-100),"SellAll",OR(Q58&lt;0,U58&lt;0),"SellSome",AND(Q58&gt;0,U58&gt;0),"BuySome",OR(Q58&gt;0,U58&gt;0),"BuyWatch",TRUE,"")</f>
        <v/>
      </c>
      <c r="Z58" s="47" t="str">
        <f>_xlfn.XLOOKUP(Y58,Parm!$AN$2:$AN$25,Parm!$AO$2:$AO$25,"")</f>
        <v/>
      </c>
      <c r="AA58" s="286">
        <f>IF(C58&lt;&gt;-100,A58,_xlfn.XLOOKUP(B58,ssH!L:L,ssH!M:M))</f>
        <v>46140</v>
      </c>
      <c r="AB58" s="49" t="str">
        <f t="shared" si="8"/>
        <v/>
      </c>
      <c r="AC58" s="52">
        <f>_xlfn.XLOOKUP(B58,TL!C:C,TL!C:C)</f>
        <v>0</v>
      </c>
      <c r="AD58" s="52">
        <f>_xlfn.XLOOKUP(B58,Y!C:C,Y!C:C)</f>
        <v>0</v>
      </c>
      <c r="AE58" s="52">
        <f>_xlfn.XLOOKUP(B58,MA!C:C,MA!C:C)</f>
        <v>0</v>
      </c>
    </row>
    <row r="59" spans="1:31" x14ac:dyDescent="0.25">
      <c r="A59" s="29">
        <f>ssH!$AG$1</f>
        <v>46140</v>
      </c>
      <c r="C59" s="47">
        <f t="shared" si="9"/>
        <v>0</v>
      </c>
      <c r="D59" s="42">
        <f>_xlfn.XLOOKUP(ssH!$AG$3&amp;B59,ssH!A:A,ssH!D:D,0)</f>
        <v>0</v>
      </c>
      <c r="E59" s="42">
        <f>_xlfn.XLOOKUP(ssH!$AG$5&amp;B59,ssH!A:A,ssH!D:D,0)</f>
        <v>0</v>
      </c>
      <c r="F59" s="42">
        <f>_xlfn.XLOOKUP(ssH!$AG$6&amp;B59,ssH!A:A,ssH!D:D,0)</f>
        <v>0</v>
      </c>
      <c r="G59" s="48">
        <f>_xlfn.XLOOKUP(A59&amp;B59,ssH!A:A,ssH!F:F,-100%)</f>
        <v>-1</v>
      </c>
      <c r="H59" s="46">
        <f>_xlfn.XLOOKUP(ssH!$AG$3&amp;B59,ssH!A:A,ssH!F:F,0)</f>
        <v>0</v>
      </c>
      <c r="I59" s="46">
        <f>_xlfn.XLOOKUP(ssH!$AG$5&amp;B59,ssH!A:A,ssH!F:F,0)</f>
        <v>0</v>
      </c>
      <c r="J59" s="46">
        <f>_xlfn.XLOOKUP(ssH!$AG$6&amp;B59,ssH!A:A,ssH!F:F,0)</f>
        <v>0</v>
      </c>
      <c r="K59" s="46">
        <f>_xlfn.XLOOKUP(B59,ssL!C:C,ssL!G:G,"Removed")</f>
        <v>0</v>
      </c>
      <c r="L59" s="27">
        <f>_xlfn.XLOOKUP(A59&amp;B59,ssH!A:A,ssH!D:D,0)</f>
        <v>0</v>
      </c>
      <c r="M59" s="42" t="str">
        <f>_xlfn.XLOOKUP(A59&amp;B59,ssH!A:A,ssH!I:I,"")</f>
        <v/>
      </c>
      <c r="N59" s="51" t="str">
        <f t="shared" si="0"/>
        <v/>
      </c>
      <c r="O59" s="51" t="str">
        <f t="shared" si="1"/>
        <v/>
      </c>
      <c r="P59" s="51" t="str">
        <f t="shared" si="2"/>
        <v/>
      </c>
      <c r="Q59" s="52">
        <f t="shared" si="3"/>
        <v>0</v>
      </c>
      <c r="R59" s="51">
        <f t="shared" si="4"/>
        <v>2</v>
      </c>
      <c r="S59" s="51">
        <f t="shared" si="5"/>
        <v>0</v>
      </c>
      <c r="T59" s="51">
        <f t="shared" si="6"/>
        <v>0</v>
      </c>
      <c r="U59" s="52">
        <f t="shared" si="7"/>
        <v>2</v>
      </c>
      <c r="V59" s="52">
        <f t="shared" si="10"/>
        <v>0</v>
      </c>
      <c r="W59" s="52" t="str" cm="1">
        <f t="array" ref="W59">_xlfn.IFS(B59="","",AND(G59&gt;=0,L59&gt;0),"BuySome",AND(G59&gt;=0,K59="KMSignal"),"BuySome",AND(G59&lt;0,L59&gt;0),"BuyWatch",AND(Q59&lt;0,L59&gt;0),"BuyWatch",AND(G59&gt;=0,L59=0),"BuyWatch",L59&gt;0,"BuySome",TRUE,"")</f>
        <v/>
      </c>
      <c r="X59" s="47" t="str">
        <f>_xlfn.XLOOKUP(W59,Parm!$AN$2:$AN$25,Parm!$AO$2:$AO$25,"")</f>
        <v/>
      </c>
      <c r="Y59" s="52" t="str" cm="1">
        <f t="array" ref="Y59">_xlfn.IFS(B59="","",OR(Q59=-100,U59=-100),"SellAll",OR(Q59&lt;0,U59&lt;0),"SellSome",AND(Q59&gt;0,U59&gt;0),"BuySome",OR(Q59&gt;0,U59&gt;0),"BuyWatch",TRUE,"")</f>
        <v/>
      </c>
      <c r="Z59" s="47" t="str">
        <f>_xlfn.XLOOKUP(Y59,Parm!$AN$2:$AN$25,Parm!$AO$2:$AO$25,"")</f>
        <v/>
      </c>
      <c r="AA59" s="286">
        <f>IF(C59&lt;&gt;-100,A59,_xlfn.XLOOKUP(B59,ssH!L:L,ssH!M:M))</f>
        <v>46140</v>
      </c>
      <c r="AB59" s="49" t="str">
        <f t="shared" si="8"/>
        <v/>
      </c>
      <c r="AC59" s="52">
        <f>_xlfn.XLOOKUP(B59,TL!C:C,TL!C:C)</f>
        <v>0</v>
      </c>
      <c r="AD59" s="52">
        <f>_xlfn.XLOOKUP(B59,Y!C:C,Y!C:C)</f>
        <v>0</v>
      </c>
      <c r="AE59" s="52">
        <f>_xlfn.XLOOKUP(B59,MA!C:C,MA!C:C)</f>
        <v>0</v>
      </c>
    </row>
    <row r="60" spans="1:31" x14ac:dyDescent="0.25">
      <c r="A60" s="29">
        <f>ssH!$AG$1</f>
        <v>46140</v>
      </c>
      <c r="C60" s="47">
        <f t="shared" si="9"/>
        <v>0</v>
      </c>
      <c r="D60" s="42">
        <f>_xlfn.XLOOKUP(ssH!$AG$3&amp;B60,ssH!A:A,ssH!D:D,0)</f>
        <v>0</v>
      </c>
      <c r="E60" s="42">
        <f>_xlfn.XLOOKUP(ssH!$AG$5&amp;B60,ssH!A:A,ssH!D:D,0)</f>
        <v>0</v>
      </c>
      <c r="F60" s="42">
        <f>_xlfn.XLOOKUP(ssH!$AG$6&amp;B60,ssH!A:A,ssH!D:D,0)</f>
        <v>0</v>
      </c>
      <c r="G60" s="48">
        <f>_xlfn.XLOOKUP(A60&amp;B60,ssH!A:A,ssH!F:F,-100%)</f>
        <v>-1</v>
      </c>
      <c r="H60" s="46">
        <f>_xlfn.XLOOKUP(ssH!$AG$3&amp;B60,ssH!A:A,ssH!F:F,0)</f>
        <v>0</v>
      </c>
      <c r="I60" s="46">
        <f>_xlfn.XLOOKUP(ssH!$AG$5&amp;B60,ssH!A:A,ssH!F:F,0)</f>
        <v>0</v>
      </c>
      <c r="J60" s="46">
        <f>_xlfn.XLOOKUP(ssH!$AG$6&amp;B60,ssH!A:A,ssH!F:F,0)</f>
        <v>0</v>
      </c>
      <c r="K60" s="46">
        <f>_xlfn.XLOOKUP(B60,ssL!C:C,ssL!G:G,"Removed")</f>
        <v>0</v>
      </c>
      <c r="L60" s="27">
        <f>_xlfn.XLOOKUP(A60&amp;B60,ssH!A:A,ssH!D:D,0)</f>
        <v>0</v>
      </c>
      <c r="M60" s="42" t="str">
        <f>_xlfn.XLOOKUP(A60&amp;B60,ssH!A:A,ssH!I:I,"")</f>
        <v/>
      </c>
      <c r="N60" s="51" t="str">
        <f t="shared" si="0"/>
        <v/>
      </c>
      <c r="O60" s="51" t="str">
        <f t="shared" si="1"/>
        <v/>
      </c>
      <c r="P60" s="51" t="str">
        <f t="shared" si="2"/>
        <v/>
      </c>
      <c r="Q60" s="52">
        <f t="shared" si="3"/>
        <v>0</v>
      </c>
      <c r="R60" s="51">
        <f t="shared" si="4"/>
        <v>2</v>
      </c>
      <c r="S60" s="51">
        <f t="shared" si="5"/>
        <v>0</v>
      </c>
      <c r="T60" s="51">
        <f t="shared" si="6"/>
        <v>0</v>
      </c>
      <c r="U60" s="52">
        <f t="shared" si="7"/>
        <v>2</v>
      </c>
      <c r="V60" s="52">
        <f t="shared" si="10"/>
        <v>0</v>
      </c>
      <c r="W60" s="52" t="str" cm="1">
        <f t="array" ref="W60">_xlfn.IFS(B60="","",AND(G60&gt;=0,L60&gt;0),"BuySome",AND(G60&gt;=0,K60="KMSignal"),"BuySome",AND(G60&lt;0,L60&gt;0),"BuyWatch",AND(Q60&lt;0,L60&gt;0),"BuyWatch",AND(G60&gt;=0,L60=0),"BuyWatch",L60&gt;0,"BuySome",TRUE,"")</f>
        <v/>
      </c>
      <c r="X60" s="47" t="str">
        <f>_xlfn.XLOOKUP(W60,Parm!$AN$2:$AN$25,Parm!$AO$2:$AO$25,"")</f>
        <v/>
      </c>
      <c r="Y60" s="52" t="str" cm="1">
        <f t="array" ref="Y60">_xlfn.IFS(B60="","",OR(Q60=-100,U60=-100),"SellAll",OR(Q60&lt;0,U60&lt;0),"SellSome",AND(Q60&gt;0,U60&gt;0),"BuySome",OR(Q60&gt;0,U60&gt;0),"BuyWatch",TRUE,"")</f>
        <v/>
      </c>
      <c r="Z60" s="47" t="str">
        <f>_xlfn.XLOOKUP(Y60,Parm!$AN$2:$AN$25,Parm!$AO$2:$AO$25,"")</f>
        <v/>
      </c>
      <c r="AA60" s="286">
        <f>IF(C60&lt;&gt;-100,A60,_xlfn.XLOOKUP(B60,ssH!L:L,ssH!M:M))</f>
        <v>46140</v>
      </c>
      <c r="AB60" s="49" t="str">
        <f t="shared" si="8"/>
        <v/>
      </c>
      <c r="AC60" s="52">
        <f>_xlfn.XLOOKUP(B60,TL!C:C,TL!C:C)</f>
        <v>0</v>
      </c>
      <c r="AD60" s="52">
        <f>_xlfn.XLOOKUP(B60,Y!C:C,Y!C:C)</f>
        <v>0</v>
      </c>
      <c r="AE60" s="52">
        <f>_xlfn.XLOOKUP(B60,MA!C:C,MA!C:C)</f>
        <v>0</v>
      </c>
    </row>
    <row r="61" spans="1:31" x14ac:dyDescent="0.25">
      <c r="A61" s="29">
        <f>ssH!$AG$1</f>
        <v>46140</v>
      </c>
      <c r="C61" s="47">
        <f t="shared" si="9"/>
        <v>0</v>
      </c>
      <c r="D61" s="42">
        <f>_xlfn.XLOOKUP(ssH!$AG$3&amp;B61,ssH!A:A,ssH!D:D,0)</f>
        <v>0</v>
      </c>
      <c r="E61" s="42">
        <f>_xlfn.XLOOKUP(ssH!$AG$5&amp;B61,ssH!A:A,ssH!D:D,0)</f>
        <v>0</v>
      </c>
      <c r="F61" s="42">
        <f>_xlfn.XLOOKUP(ssH!$AG$6&amp;B61,ssH!A:A,ssH!D:D,0)</f>
        <v>0</v>
      </c>
      <c r="G61" s="48">
        <f>_xlfn.XLOOKUP(A61&amp;B61,ssH!A:A,ssH!F:F,-100%)</f>
        <v>-1</v>
      </c>
      <c r="H61" s="46">
        <f>_xlfn.XLOOKUP(ssH!$AG$3&amp;B61,ssH!A:A,ssH!F:F,0)</f>
        <v>0</v>
      </c>
      <c r="I61" s="46">
        <f>_xlfn.XLOOKUP(ssH!$AG$5&amp;B61,ssH!A:A,ssH!F:F,0)</f>
        <v>0</v>
      </c>
      <c r="J61" s="46">
        <f>_xlfn.XLOOKUP(ssH!$AG$6&amp;B61,ssH!A:A,ssH!F:F,0)</f>
        <v>0</v>
      </c>
      <c r="K61" s="46">
        <f>_xlfn.XLOOKUP(B61,ssL!C:C,ssL!G:G,"Removed")</f>
        <v>0</v>
      </c>
      <c r="L61" s="27">
        <f>_xlfn.XLOOKUP(A61&amp;B61,ssH!A:A,ssH!D:D,0)</f>
        <v>0</v>
      </c>
      <c r="M61" s="42" t="str">
        <f>_xlfn.XLOOKUP(A61&amp;B61,ssH!A:A,ssH!I:I,"")</f>
        <v/>
      </c>
      <c r="N61" s="51" t="str">
        <f t="shared" si="0"/>
        <v/>
      </c>
      <c r="O61" s="51" t="str">
        <f t="shared" si="1"/>
        <v/>
      </c>
      <c r="P61" s="51" t="str">
        <f t="shared" si="2"/>
        <v/>
      </c>
      <c r="Q61" s="52">
        <f t="shared" si="3"/>
        <v>0</v>
      </c>
      <c r="R61" s="51">
        <f t="shared" si="4"/>
        <v>2</v>
      </c>
      <c r="S61" s="51">
        <f t="shared" si="5"/>
        <v>0</v>
      </c>
      <c r="T61" s="51">
        <f t="shared" si="6"/>
        <v>0</v>
      </c>
      <c r="U61" s="52">
        <f t="shared" si="7"/>
        <v>2</v>
      </c>
      <c r="V61" s="52">
        <f t="shared" si="10"/>
        <v>0</v>
      </c>
      <c r="W61" s="52" t="str" cm="1">
        <f t="array" ref="W61">_xlfn.IFS(B61="","",AND(G61&gt;=0,L61&gt;0),"BuySome",AND(G61&gt;=0,K61="KMSignal"),"BuySome",AND(G61&lt;0,L61&gt;0),"BuyWatch",AND(Q61&lt;0,L61&gt;0),"BuyWatch",AND(G61&gt;=0,L61=0),"BuyWatch",L61&gt;0,"BuySome",TRUE,"")</f>
        <v/>
      </c>
      <c r="X61" s="47" t="str">
        <f>_xlfn.XLOOKUP(W61,Parm!$AN$2:$AN$25,Parm!$AO$2:$AO$25,"")</f>
        <v/>
      </c>
      <c r="Y61" s="52" t="str" cm="1">
        <f t="array" ref="Y61">_xlfn.IFS(B61="","",OR(Q61=-100,U61=-100),"SellAll",OR(Q61&lt;0,U61&lt;0),"SellSome",AND(Q61&gt;0,U61&gt;0),"BuySome",OR(Q61&gt;0,U61&gt;0),"BuyWatch",TRUE,"")</f>
        <v/>
      </c>
      <c r="Z61" s="47" t="str">
        <f>_xlfn.XLOOKUP(Y61,Parm!$AN$2:$AN$25,Parm!$AO$2:$AO$25,"")</f>
        <v/>
      </c>
      <c r="AA61" s="286">
        <f>IF(C61&lt;&gt;-100,A61,_xlfn.XLOOKUP(B61,ssH!L:L,ssH!M:M))</f>
        <v>46140</v>
      </c>
      <c r="AB61" s="49" t="str">
        <f t="shared" si="8"/>
        <v/>
      </c>
      <c r="AC61" s="52">
        <f>_xlfn.XLOOKUP(B61,TL!C:C,TL!C:C)</f>
        <v>0</v>
      </c>
      <c r="AD61" s="52">
        <f>_xlfn.XLOOKUP(B61,Y!C:C,Y!C:C)</f>
        <v>0</v>
      </c>
      <c r="AE61" s="52">
        <f>_xlfn.XLOOKUP(B61,MA!C:C,MA!C:C)</f>
        <v>0</v>
      </c>
    </row>
    <row r="62" spans="1:31" x14ac:dyDescent="0.25">
      <c r="A62" s="29">
        <f>ssH!$AG$1</f>
        <v>46140</v>
      </c>
      <c r="C62" s="47">
        <f t="shared" si="9"/>
        <v>0</v>
      </c>
      <c r="D62" s="42">
        <f>_xlfn.XLOOKUP(ssH!$AG$3&amp;B62,ssH!A:A,ssH!D:D,0)</f>
        <v>0</v>
      </c>
      <c r="E62" s="42">
        <f>_xlfn.XLOOKUP(ssH!$AG$5&amp;B62,ssH!A:A,ssH!D:D,0)</f>
        <v>0</v>
      </c>
      <c r="F62" s="42">
        <f>_xlfn.XLOOKUP(ssH!$AG$6&amp;B62,ssH!A:A,ssH!D:D,0)</f>
        <v>0</v>
      </c>
      <c r="G62" s="48">
        <f>_xlfn.XLOOKUP(A62&amp;B62,ssH!A:A,ssH!F:F,-100%)</f>
        <v>-1</v>
      </c>
      <c r="H62" s="46">
        <f>_xlfn.XLOOKUP(ssH!$AG$3&amp;B62,ssH!A:A,ssH!F:F,0)</f>
        <v>0</v>
      </c>
      <c r="I62" s="46">
        <f>_xlfn.XLOOKUP(ssH!$AG$5&amp;B62,ssH!A:A,ssH!F:F,0)</f>
        <v>0</v>
      </c>
      <c r="J62" s="46">
        <f>_xlfn.XLOOKUP(ssH!$AG$6&amp;B62,ssH!A:A,ssH!F:F,0)</f>
        <v>0</v>
      </c>
      <c r="K62" s="46">
        <f>_xlfn.XLOOKUP(B62,ssL!C:C,ssL!G:G,"Removed")</f>
        <v>0</v>
      </c>
      <c r="L62" s="27">
        <f>_xlfn.XLOOKUP(A62&amp;B62,ssH!A:A,ssH!D:D,0)</f>
        <v>0</v>
      </c>
      <c r="M62" s="42" t="str">
        <f>_xlfn.XLOOKUP(A62&amp;B62,ssH!A:A,ssH!I:I,"")</f>
        <v/>
      </c>
      <c r="N62" s="51" t="str">
        <f t="shared" si="0"/>
        <v/>
      </c>
      <c r="O62" s="51" t="str">
        <f t="shared" si="1"/>
        <v/>
      </c>
      <c r="P62" s="51" t="str">
        <f t="shared" si="2"/>
        <v/>
      </c>
      <c r="Q62" s="52">
        <f t="shared" si="3"/>
        <v>0</v>
      </c>
      <c r="R62" s="51">
        <f t="shared" si="4"/>
        <v>2</v>
      </c>
      <c r="S62" s="51">
        <f t="shared" si="5"/>
        <v>0</v>
      </c>
      <c r="T62" s="51">
        <f t="shared" si="6"/>
        <v>0</v>
      </c>
      <c r="U62" s="52">
        <f t="shared" si="7"/>
        <v>2</v>
      </c>
      <c r="V62" s="52">
        <f t="shared" si="10"/>
        <v>0</v>
      </c>
      <c r="W62" s="52" t="str" cm="1">
        <f t="array" ref="W62">_xlfn.IFS(B62="","",AND(G62&gt;=0,L62&gt;0),"BuySome",AND(G62&gt;=0,K62="KMSignal"),"BuySome",AND(G62&lt;0,L62&gt;0),"BuyWatch",AND(Q62&lt;0,L62&gt;0),"BuyWatch",AND(G62&gt;=0,L62=0),"BuyWatch",L62&gt;0,"BuySome",TRUE,"")</f>
        <v/>
      </c>
      <c r="X62" s="47" t="str">
        <f>_xlfn.XLOOKUP(W62,Parm!$AN$2:$AN$25,Parm!$AO$2:$AO$25,"")</f>
        <v/>
      </c>
      <c r="Y62" s="52" t="str" cm="1">
        <f t="array" ref="Y62">_xlfn.IFS(B62="","",OR(Q62=-100,U62=-100),"SellAll",OR(Q62&lt;0,U62&lt;0),"SellSome",AND(Q62&gt;0,U62&gt;0),"BuySome",OR(Q62&gt;0,U62&gt;0),"BuyWatch",TRUE,"")</f>
        <v/>
      </c>
      <c r="Z62" s="47" t="str">
        <f>_xlfn.XLOOKUP(Y62,Parm!$AN$2:$AN$25,Parm!$AO$2:$AO$25,"")</f>
        <v/>
      </c>
      <c r="AA62" s="286">
        <f>IF(C62&lt;&gt;-100,A62,_xlfn.XLOOKUP(B62,ssH!L:L,ssH!M:M))</f>
        <v>46140</v>
      </c>
      <c r="AB62" s="49" t="str">
        <f t="shared" si="8"/>
        <v/>
      </c>
      <c r="AC62" s="52">
        <f>_xlfn.XLOOKUP(B62,TL!C:C,TL!C:C)</f>
        <v>0</v>
      </c>
      <c r="AD62" s="52">
        <f>_xlfn.XLOOKUP(B62,Y!C:C,Y!C:C)</f>
        <v>0</v>
      </c>
      <c r="AE62" s="52">
        <f>_xlfn.XLOOKUP(B62,MA!C:C,MA!C:C)</f>
        <v>0</v>
      </c>
    </row>
    <row r="63" spans="1:31" x14ac:dyDescent="0.25">
      <c r="A63" s="29">
        <f>ssH!$AG$1</f>
        <v>46140</v>
      </c>
      <c r="C63" s="47">
        <f t="shared" si="9"/>
        <v>0</v>
      </c>
      <c r="D63" s="42">
        <f>_xlfn.XLOOKUP(ssH!$AG$3&amp;B63,ssH!A:A,ssH!D:D,0)</f>
        <v>0</v>
      </c>
      <c r="E63" s="42">
        <f>_xlfn.XLOOKUP(ssH!$AG$5&amp;B63,ssH!A:A,ssH!D:D,0)</f>
        <v>0</v>
      </c>
      <c r="F63" s="42">
        <f>_xlfn.XLOOKUP(ssH!$AG$6&amp;B63,ssH!A:A,ssH!D:D,0)</f>
        <v>0</v>
      </c>
      <c r="G63" s="48">
        <f>_xlfn.XLOOKUP(A63&amp;B63,ssH!A:A,ssH!F:F,-100%)</f>
        <v>-1</v>
      </c>
      <c r="H63" s="46">
        <f>_xlfn.XLOOKUP(ssH!$AG$3&amp;B63,ssH!A:A,ssH!F:F,0)</f>
        <v>0</v>
      </c>
      <c r="I63" s="46">
        <f>_xlfn.XLOOKUP(ssH!$AG$5&amp;B63,ssH!A:A,ssH!F:F,0)</f>
        <v>0</v>
      </c>
      <c r="J63" s="46">
        <f>_xlfn.XLOOKUP(ssH!$AG$6&amp;B63,ssH!A:A,ssH!F:F,0)</f>
        <v>0</v>
      </c>
      <c r="K63" s="46">
        <f>_xlfn.XLOOKUP(B63,ssL!C:C,ssL!G:G,"Removed")</f>
        <v>0</v>
      </c>
      <c r="L63" s="27">
        <f>_xlfn.XLOOKUP(A63&amp;B63,ssH!A:A,ssH!D:D,0)</f>
        <v>0</v>
      </c>
      <c r="M63" s="42" t="str">
        <f>_xlfn.XLOOKUP(A63&amp;B63,ssH!A:A,ssH!I:I,"")</f>
        <v/>
      </c>
      <c r="N63" s="51" t="str">
        <f t="shared" si="0"/>
        <v/>
      </c>
      <c r="O63" s="51" t="str">
        <f t="shared" si="1"/>
        <v/>
      </c>
      <c r="P63" s="51" t="str">
        <f t="shared" si="2"/>
        <v/>
      </c>
      <c r="Q63" s="52">
        <f t="shared" si="3"/>
        <v>0</v>
      </c>
      <c r="R63" s="51">
        <f t="shared" si="4"/>
        <v>2</v>
      </c>
      <c r="S63" s="51">
        <f t="shared" si="5"/>
        <v>0</v>
      </c>
      <c r="T63" s="51">
        <f t="shared" si="6"/>
        <v>0</v>
      </c>
      <c r="U63" s="52">
        <f t="shared" si="7"/>
        <v>2</v>
      </c>
      <c r="V63" s="52">
        <f t="shared" si="10"/>
        <v>0</v>
      </c>
      <c r="W63" s="52" t="str" cm="1">
        <f t="array" ref="W63">_xlfn.IFS(B63="","",AND(G63&gt;=0,L63&gt;0),"BuySome",AND(G63&gt;=0,K63="KMSignal"),"BuySome",AND(G63&lt;0,L63&gt;0),"BuyWatch",AND(Q63&lt;0,L63&gt;0),"BuyWatch",AND(G63&gt;=0,L63=0),"BuyWatch",L63&gt;0,"BuySome",TRUE,"")</f>
        <v/>
      </c>
      <c r="X63" s="47" t="str">
        <f>_xlfn.XLOOKUP(W63,Parm!$AN$2:$AN$25,Parm!$AO$2:$AO$25,"")</f>
        <v/>
      </c>
      <c r="Y63" s="52" t="str" cm="1">
        <f t="array" ref="Y63">_xlfn.IFS(B63="","",OR(Q63=-100,U63=-100),"SellAll",OR(Q63&lt;0,U63&lt;0),"SellSome",AND(Q63&gt;0,U63&gt;0),"BuySome",OR(Q63&gt;0,U63&gt;0),"BuyWatch",TRUE,"")</f>
        <v/>
      </c>
      <c r="Z63" s="47" t="str">
        <f>_xlfn.XLOOKUP(Y63,Parm!$AN$2:$AN$25,Parm!$AO$2:$AO$25,"")</f>
        <v/>
      </c>
      <c r="AA63" s="286">
        <f>IF(C63&lt;&gt;-100,A63,_xlfn.XLOOKUP(B63,ssH!L:L,ssH!M:M))</f>
        <v>46140</v>
      </c>
      <c r="AB63" s="49" t="str">
        <f t="shared" si="8"/>
        <v/>
      </c>
      <c r="AC63" s="52">
        <f>_xlfn.XLOOKUP(B63,TL!C:C,TL!C:C)</f>
        <v>0</v>
      </c>
      <c r="AD63" s="52">
        <f>_xlfn.XLOOKUP(B63,Y!C:C,Y!C:C)</f>
        <v>0</v>
      </c>
      <c r="AE63" s="52">
        <f>_xlfn.XLOOKUP(B63,MA!C:C,MA!C:C)</f>
        <v>0</v>
      </c>
    </row>
    <row r="64" spans="1:31" x14ac:dyDescent="0.25">
      <c r="A64" s="29">
        <f>ssH!$AG$1</f>
        <v>46140</v>
      </c>
      <c r="C64" s="47">
        <f t="shared" si="9"/>
        <v>0</v>
      </c>
      <c r="D64" s="42">
        <f>_xlfn.XLOOKUP(ssH!$AG$3&amp;B64,ssH!A:A,ssH!D:D,0)</f>
        <v>0</v>
      </c>
      <c r="E64" s="42">
        <f>_xlfn.XLOOKUP(ssH!$AG$5&amp;B64,ssH!A:A,ssH!D:D,0)</f>
        <v>0</v>
      </c>
      <c r="F64" s="42">
        <f>_xlfn.XLOOKUP(ssH!$AG$6&amp;B64,ssH!A:A,ssH!D:D,0)</f>
        <v>0</v>
      </c>
      <c r="G64" s="48">
        <f>_xlfn.XLOOKUP(A64&amp;B64,ssH!A:A,ssH!F:F,-100%)</f>
        <v>-1</v>
      </c>
      <c r="H64" s="46">
        <f>_xlfn.XLOOKUP(ssH!$AG$3&amp;B64,ssH!A:A,ssH!F:F,0)</f>
        <v>0</v>
      </c>
      <c r="I64" s="46">
        <f>_xlfn.XLOOKUP(ssH!$AG$5&amp;B64,ssH!A:A,ssH!F:F,0)</f>
        <v>0</v>
      </c>
      <c r="J64" s="46">
        <f>_xlfn.XLOOKUP(ssH!$AG$6&amp;B64,ssH!A:A,ssH!F:F,0)</f>
        <v>0</v>
      </c>
      <c r="K64" s="46">
        <f>_xlfn.XLOOKUP(B64,ssL!C:C,ssL!G:G,"Removed")</f>
        <v>0</v>
      </c>
      <c r="L64" s="27">
        <f>_xlfn.XLOOKUP(A64&amp;B64,ssH!A:A,ssH!D:D,0)</f>
        <v>0</v>
      </c>
      <c r="M64" s="42" t="str">
        <f>_xlfn.XLOOKUP(A64&amp;B64,ssH!A:A,ssH!I:I,"")</f>
        <v/>
      </c>
      <c r="N64" s="51" t="str">
        <f t="shared" si="0"/>
        <v/>
      </c>
      <c r="O64" s="51" t="str">
        <f t="shared" si="1"/>
        <v/>
      </c>
      <c r="P64" s="51" t="str">
        <f t="shared" si="2"/>
        <v/>
      </c>
      <c r="Q64" s="52">
        <f t="shared" si="3"/>
        <v>0</v>
      </c>
      <c r="R64" s="51">
        <f t="shared" si="4"/>
        <v>2</v>
      </c>
      <c r="S64" s="51">
        <f t="shared" si="5"/>
        <v>0</v>
      </c>
      <c r="T64" s="51">
        <f t="shared" si="6"/>
        <v>0</v>
      </c>
      <c r="U64" s="52">
        <f t="shared" si="7"/>
        <v>2</v>
      </c>
      <c r="V64" s="52">
        <f t="shared" si="10"/>
        <v>0</v>
      </c>
      <c r="W64" s="52" t="str" cm="1">
        <f t="array" ref="W64">_xlfn.IFS(B64="","",AND(G64&gt;=0,L64&gt;0),"BuySome",AND(G64&gt;=0,K64="KMSignal"),"BuySome",AND(G64&lt;0,L64&gt;0),"BuyWatch",AND(Q64&lt;0,L64&gt;0),"BuyWatch",AND(G64&gt;=0,L64=0),"BuyWatch",L64&gt;0,"BuySome",TRUE,"")</f>
        <v/>
      </c>
      <c r="X64" s="47" t="str">
        <f>_xlfn.XLOOKUP(W64,Parm!$AN$2:$AN$25,Parm!$AO$2:$AO$25,"")</f>
        <v/>
      </c>
      <c r="Y64" s="52" t="str" cm="1">
        <f t="array" ref="Y64">_xlfn.IFS(B64="","",OR(Q64=-100,U64=-100),"SellAll",OR(Q64&lt;0,U64&lt;0),"SellSome",AND(Q64&gt;0,U64&gt;0),"BuySome",OR(Q64&gt;0,U64&gt;0),"BuyWatch",TRUE,"")</f>
        <v/>
      </c>
      <c r="Z64" s="47" t="str">
        <f>_xlfn.XLOOKUP(Y64,Parm!$AN$2:$AN$25,Parm!$AO$2:$AO$25,"")</f>
        <v/>
      </c>
      <c r="AA64" s="286">
        <f>IF(C64&lt;&gt;-100,A64,_xlfn.XLOOKUP(B64,ssH!L:L,ssH!M:M))</f>
        <v>46140</v>
      </c>
      <c r="AB64" s="49" t="str">
        <f t="shared" si="8"/>
        <v/>
      </c>
      <c r="AC64" s="52">
        <f>_xlfn.XLOOKUP(B64,TL!C:C,TL!C:C)</f>
        <v>0</v>
      </c>
      <c r="AD64" s="52">
        <f>_xlfn.XLOOKUP(B64,Y!C:C,Y!C:C)</f>
        <v>0</v>
      </c>
      <c r="AE64" s="52">
        <f>_xlfn.XLOOKUP(B64,MA!C:C,MA!C:C)</f>
        <v>0</v>
      </c>
    </row>
    <row r="65" spans="1:31" x14ac:dyDescent="0.25">
      <c r="A65" s="29">
        <f>ssH!$AG$1</f>
        <v>46140</v>
      </c>
      <c r="C65" s="47">
        <f t="shared" si="9"/>
        <v>0</v>
      </c>
      <c r="D65" s="42">
        <f>_xlfn.XLOOKUP(ssH!$AG$3&amp;B65,ssH!A:A,ssH!D:D,0)</f>
        <v>0</v>
      </c>
      <c r="E65" s="42">
        <f>_xlfn.XLOOKUP(ssH!$AG$5&amp;B65,ssH!A:A,ssH!D:D,0)</f>
        <v>0</v>
      </c>
      <c r="F65" s="42">
        <f>_xlfn.XLOOKUP(ssH!$AG$6&amp;B65,ssH!A:A,ssH!D:D,0)</f>
        <v>0</v>
      </c>
      <c r="G65" s="48">
        <f>_xlfn.XLOOKUP(A65&amp;B65,ssH!A:A,ssH!F:F,-100%)</f>
        <v>-1</v>
      </c>
      <c r="H65" s="46">
        <f>_xlfn.XLOOKUP(ssH!$AG$3&amp;B65,ssH!A:A,ssH!F:F,0)</f>
        <v>0</v>
      </c>
      <c r="I65" s="46">
        <f>_xlfn.XLOOKUP(ssH!$AG$5&amp;B65,ssH!A:A,ssH!F:F,0)</f>
        <v>0</v>
      </c>
      <c r="J65" s="46">
        <f>_xlfn.XLOOKUP(ssH!$AG$6&amp;B65,ssH!A:A,ssH!F:F,0)</f>
        <v>0</v>
      </c>
      <c r="K65" s="46">
        <f>_xlfn.XLOOKUP(B65,ssL!C:C,ssL!G:G,"Removed")</f>
        <v>0</v>
      </c>
      <c r="L65" s="27">
        <f>_xlfn.XLOOKUP(A65&amp;B65,ssH!A:A,ssH!D:D,0)</f>
        <v>0</v>
      </c>
      <c r="M65" s="42" t="str">
        <f>_xlfn.XLOOKUP(A65&amp;B65,ssH!A:A,ssH!I:I,"")</f>
        <v/>
      </c>
      <c r="N65" s="51" t="str">
        <f t="shared" si="0"/>
        <v/>
      </c>
      <c r="O65" s="51" t="str">
        <f t="shared" si="1"/>
        <v/>
      </c>
      <c r="P65" s="51" t="str">
        <f t="shared" si="2"/>
        <v/>
      </c>
      <c r="Q65" s="52">
        <f t="shared" si="3"/>
        <v>0</v>
      </c>
      <c r="R65" s="51">
        <f t="shared" si="4"/>
        <v>2</v>
      </c>
      <c r="S65" s="51">
        <f t="shared" si="5"/>
        <v>0</v>
      </c>
      <c r="T65" s="51">
        <f t="shared" si="6"/>
        <v>0</v>
      </c>
      <c r="U65" s="52">
        <f t="shared" si="7"/>
        <v>2</v>
      </c>
      <c r="V65" s="52">
        <f t="shared" si="10"/>
        <v>0</v>
      </c>
      <c r="W65" s="52" t="str" cm="1">
        <f t="array" ref="W65">_xlfn.IFS(B65="","",AND(G65&gt;=0,L65&gt;0),"BuySome",AND(G65&gt;=0,K65="KMSignal"),"BuySome",AND(G65&lt;0,L65&gt;0),"BuyWatch",AND(Q65&lt;0,L65&gt;0),"BuyWatch",AND(G65&gt;=0,L65=0),"BuyWatch",L65&gt;0,"BuySome",TRUE,"")</f>
        <v/>
      </c>
      <c r="X65" s="47" t="str">
        <f>_xlfn.XLOOKUP(W65,Parm!$AN$2:$AN$25,Parm!$AO$2:$AO$25,"")</f>
        <v/>
      </c>
      <c r="Y65" s="52" t="str" cm="1">
        <f t="array" ref="Y65">_xlfn.IFS(B65="","",OR(Q65=-100,U65=-100),"SellAll",OR(Q65&lt;0,U65&lt;0),"SellSome",AND(Q65&gt;0,U65&gt;0),"BuySome",OR(Q65&gt;0,U65&gt;0),"BuyWatch",TRUE,"")</f>
        <v/>
      </c>
      <c r="Z65" s="47" t="str">
        <f>_xlfn.XLOOKUP(Y65,Parm!$AN$2:$AN$25,Parm!$AO$2:$AO$25,"")</f>
        <v/>
      </c>
      <c r="AA65" s="286">
        <f>IF(C65&lt;&gt;-100,A65,_xlfn.XLOOKUP(B65,ssH!L:L,ssH!M:M))</f>
        <v>46140</v>
      </c>
      <c r="AB65" s="49" t="str">
        <f t="shared" si="8"/>
        <v/>
      </c>
      <c r="AC65" s="52">
        <f>_xlfn.XLOOKUP(B65,TL!C:C,TL!C:C)</f>
        <v>0</v>
      </c>
      <c r="AD65" s="52">
        <f>_xlfn.XLOOKUP(B65,Y!C:C,Y!C:C)</f>
        <v>0</v>
      </c>
      <c r="AE65" s="52">
        <f>_xlfn.XLOOKUP(B65,MA!C:C,MA!C:C)</f>
        <v>0</v>
      </c>
    </row>
    <row r="66" spans="1:31" x14ac:dyDescent="0.25">
      <c r="A66" s="29">
        <f>ssH!$AG$1</f>
        <v>46140</v>
      </c>
      <c r="C66" s="47">
        <f t="shared" si="9"/>
        <v>0</v>
      </c>
      <c r="D66" s="42">
        <f>_xlfn.XLOOKUP(ssH!$AG$3&amp;B66,ssH!A:A,ssH!D:D,0)</f>
        <v>0</v>
      </c>
      <c r="E66" s="42">
        <f>_xlfn.XLOOKUP(ssH!$AG$5&amp;B66,ssH!A:A,ssH!D:D,0)</f>
        <v>0</v>
      </c>
      <c r="F66" s="42">
        <f>_xlfn.XLOOKUP(ssH!$AG$6&amp;B66,ssH!A:A,ssH!D:D,0)</f>
        <v>0</v>
      </c>
      <c r="G66" s="48">
        <f>_xlfn.XLOOKUP(A66&amp;B66,ssH!A:A,ssH!F:F,-100%)</f>
        <v>-1</v>
      </c>
      <c r="H66" s="46">
        <f>_xlfn.XLOOKUP(ssH!$AG$3&amp;B66,ssH!A:A,ssH!F:F,0)</f>
        <v>0</v>
      </c>
      <c r="I66" s="46">
        <f>_xlfn.XLOOKUP(ssH!$AG$5&amp;B66,ssH!A:A,ssH!F:F,0)</f>
        <v>0</v>
      </c>
      <c r="J66" s="46">
        <f>_xlfn.XLOOKUP(ssH!$AG$6&amp;B66,ssH!A:A,ssH!F:F,0)</f>
        <v>0</v>
      </c>
      <c r="K66" s="46">
        <f>_xlfn.XLOOKUP(B66,ssL!C:C,ssL!G:G,"Removed")</f>
        <v>0</v>
      </c>
      <c r="L66" s="27">
        <f>_xlfn.XLOOKUP(A66&amp;B66,ssH!A:A,ssH!D:D,0)</f>
        <v>0</v>
      </c>
      <c r="M66" s="42" t="str">
        <f>_xlfn.XLOOKUP(A66&amp;B66,ssH!A:A,ssH!I:I,"")</f>
        <v/>
      </c>
      <c r="N66" s="51" t="str">
        <f t="shared" ref="N66:N129" si="11">IF(AND(C66&lt;&gt;"",C66&gt;0),IF(AND(C66&gt;0,D66&gt;0),D66-$C66,MAX(C:C)+1-C66)*$AH$2,"")</f>
        <v/>
      </c>
      <c r="O66" s="51" t="str">
        <f t="shared" ref="O66:O129" si="12">IF(AND(D66&lt;&gt;"",D66&gt;0),IF(AND(D66&gt;0,E66&gt;0),E66-$D66,MAX(D:D)+1-D66)*$AH$4,"")</f>
        <v/>
      </c>
      <c r="P66" s="51" t="str">
        <f t="shared" ref="P66:P129" si="13">IF(AND(E66&lt;&gt;"",E66&gt;0),IF(AND(E66&gt;0,F66&gt;0),F66-$E66,MAX(E:E)+1-E66)*$AH$5,"")</f>
        <v/>
      </c>
      <c r="Q66" s="52">
        <f t="shared" ref="Q66:Q129" si="14">IF(K66="Removed",-100,SUM(N66:P66))</f>
        <v>0</v>
      </c>
      <c r="R66" s="51">
        <f t="shared" ref="R66:R129" si="15">IF(G66=H66,0,IF(AND(G66&lt;&gt;""),IF(AND(G66&lt;&gt;0,H66&lt;&gt;0),G66-H66,MAX(G:G)+1-G66)*$AH$2,""))</f>
        <v>2</v>
      </c>
      <c r="S66" s="51">
        <f t="shared" ref="S66:S129" si="16">IF(H66=I66,0,IF(AND(H66&lt;&gt;""),IF(AND(H66&lt;&gt;0,I66&lt;&gt;0),H66-I66,MAX(H:H)+1-H66)*$AH$4,""))</f>
        <v>0</v>
      </c>
      <c r="T66" s="51">
        <f t="shared" ref="T66:T129" si="17">IF(I66=J66,0,IF(AND(I66&lt;&gt;""),IF(AND(I66&lt;&gt;0,J66&lt;&gt;0),I66-J66,MAX(I:I)+1-I66)*$AH$5,""))</f>
        <v>0</v>
      </c>
      <c r="U66" s="52">
        <f t="shared" ref="U66:U129" si="18">IF(K66="Removed",-100,SUM(R66:T66))</f>
        <v>2</v>
      </c>
      <c r="V66" s="52">
        <f t="shared" si="10"/>
        <v>0</v>
      </c>
      <c r="W66" s="52" t="str" cm="1">
        <f t="array" ref="W66">_xlfn.IFS(B66="","",AND(G66&gt;=0,L66&gt;0),"BuySome",AND(G66&gt;=0,K66="KMSignal"),"BuySome",AND(G66&lt;0,L66&gt;0),"BuyWatch",AND(Q66&lt;0,L66&gt;0),"BuyWatch",AND(G66&gt;=0,L66=0),"BuyWatch",L66&gt;0,"BuySome",TRUE,"")</f>
        <v/>
      </c>
      <c r="X66" s="47" t="str">
        <f>_xlfn.XLOOKUP(W66,Parm!$AN$2:$AN$25,Parm!$AO$2:$AO$25,"")</f>
        <v/>
      </c>
      <c r="Y66" s="52" t="str" cm="1">
        <f t="array" ref="Y66">_xlfn.IFS(B66="","",OR(Q66=-100,U66=-100),"SellAll",OR(Q66&lt;0,U66&lt;0),"SellSome",AND(Q66&gt;0,U66&gt;0),"BuySome",OR(Q66&gt;0,U66&gt;0),"BuyWatch",TRUE,"")</f>
        <v/>
      </c>
      <c r="Z66" s="47" t="str">
        <f>_xlfn.XLOOKUP(Y66,Parm!$AN$2:$AN$25,Parm!$AO$2:$AO$25,"")</f>
        <v/>
      </c>
      <c r="AA66" s="286">
        <f>IF(C66&lt;&gt;-100,A66,_xlfn.XLOOKUP(B66,ssH!L:L,ssH!M:M))</f>
        <v>46140</v>
      </c>
      <c r="AB66" s="49" t="str">
        <f t="shared" ref="AB66:AB129" si="19">IF(ISNA(AC66),B66,"")</f>
        <v/>
      </c>
      <c r="AC66" s="52">
        <f>_xlfn.XLOOKUP(B66,TL!C:C,TL!C:C)</f>
        <v>0</v>
      </c>
      <c r="AD66" s="52">
        <f>_xlfn.XLOOKUP(B66,Y!C:C,Y!C:C)</f>
        <v>0</v>
      </c>
      <c r="AE66" s="52">
        <f>_xlfn.XLOOKUP(B66,MA!C:C,MA!C:C)</f>
        <v>0</v>
      </c>
    </row>
    <row r="67" spans="1:31" x14ac:dyDescent="0.25">
      <c r="A67" s="29">
        <f>ssH!$AG$1</f>
        <v>46140</v>
      </c>
      <c r="C67" s="47">
        <f t="shared" ref="C67:C130" si="20">IF(K67="Removed",-100, L67)</f>
        <v>0</v>
      </c>
      <c r="D67" s="42">
        <f>_xlfn.XLOOKUP(ssH!$AG$3&amp;B67,ssH!A:A,ssH!D:D,0)</f>
        <v>0</v>
      </c>
      <c r="E67" s="42">
        <f>_xlfn.XLOOKUP(ssH!$AG$5&amp;B67,ssH!A:A,ssH!D:D,0)</f>
        <v>0</v>
      </c>
      <c r="F67" s="42">
        <f>_xlfn.XLOOKUP(ssH!$AG$6&amp;B67,ssH!A:A,ssH!D:D,0)</f>
        <v>0</v>
      </c>
      <c r="G67" s="48">
        <f>_xlfn.XLOOKUP(A67&amp;B67,ssH!A:A,ssH!F:F,-100%)</f>
        <v>-1</v>
      </c>
      <c r="H67" s="46">
        <f>_xlfn.XLOOKUP(ssH!$AG$3&amp;B67,ssH!A:A,ssH!F:F,0)</f>
        <v>0</v>
      </c>
      <c r="I67" s="46">
        <f>_xlfn.XLOOKUP(ssH!$AG$5&amp;B67,ssH!A:A,ssH!F:F,0)</f>
        <v>0</v>
      </c>
      <c r="J67" s="46">
        <f>_xlfn.XLOOKUP(ssH!$AG$6&amp;B67,ssH!A:A,ssH!F:F,0)</f>
        <v>0</v>
      </c>
      <c r="K67" s="46">
        <f>_xlfn.XLOOKUP(B67,ssL!C:C,ssL!G:G,"Removed")</f>
        <v>0</v>
      </c>
      <c r="L67" s="27">
        <f>_xlfn.XLOOKUP(A67&amp;B67,ssH!A:A,ssH!D:D,0)</f>
        <v>0</v>
      </c>
      <c r="M67" s="42" t="str">
        <f>_xlfn.XLOOKUP(A67&amp;B67,ssH!A:A,ssH!I:I,"")</f>
        <v/>
      </c>
      <c r="N67" s="51" t="str">
        <f t="shared" si="11"/>
        <v/>
      </c>
      <c r="O67" s="51" t="str">
        <f t="shared" si="12"/>
        <v/>
      </c>
      <c r="P67" s="51" t="str">
        <f t="shared" si="13"/>
        <v/>
      </c>
      <c r="Q67" s="52">
        <f t="shared" si="14"/>
        <v>0</v>
      </c>
      <c r="R67" s="51">
        <f t="shared" si="15"/>
        <v>2</v>
      </c>
      <c r="S67" s="51">
        <f t="shared" si="16"/>
        <v>0</v>
      </c>
      <c r="T67" s="51">
        <f t="shared" si="17"/>
        <v>0</v>
      </c>
      <c r="U67" s="52">
        <f t="shared" si="18"/>
        <v>2</v>
      </c>
      <c r="V67" s="52">
        <f t="shared" ref="V67:V130" si="21">B67</f>
        <v>0</v>
      </c>
      <c r="W67" s="52" t="str" cm="1">
        <f t="array" ref="W67">_xlfn.IFS(B67="","",AND(G67&gt;=0,L67&gt;0),"BuySome",AND(G67&gt;=0,K67="KMSignal"),"BuySome",AND(G67&lt;0,L67&gt;0),"BuyWatch",AND(Q67&lt;0,L67&gt;0),"BuyWatch",AND(G67&gt;=0,L67=0),"BuyWatch",L67&gt;0,"BuySome",TRUE,"")</f>
        <v/>
      </c>
      <c r="X67" s="47" t="str">
        <f>_xlfn.XLOOKUP(W67,Parm!$AN$2:$AN$25,Parm!$AO$2:$AO$25,"")</f>
        <v/>
      </c>
      <c r="Y67" s="52" t="str" cm="1">
        <f t="array" ref="Y67">_xlfn.IFS(B67="","",OR(Q67=-100,U67=-100),"SellAll",OR(Q67&lt;0,U67&lt;0),"SellSome",AND(Q67&gt;0,U67&gt;0),"BuySome",OR(Q67&gt;0,U67&gt;0),"BuyWatch",TRUE,"")</f>
        <v/>
      </c>
      <c r="Z67" s="47" t="str">
        <f>_xlfn.XLOOKUP(Y67,Parm!$AN$2:$AN$25,Parm!$AO$2:$AO$25,"")</f>
        <v/>
      </c>
      <c r="AA67" s="286">
        <f>IF(C67&lt;&gt;-100,A67,_xlfn.XLOOKUP(B67,ssH!L:L,ssH!M:M))</f>
        <v>46140</v>
      </c>
      <c r="AB67" s="49" t="str">
        <f t="shared" si="19"/>
        <v/>
      </c>
      <c r="AC67" s="52">
        <f>_xlfn.XLOOKUP(B67,TL!C:C,TL!C:C)</f>
        <v>0</v>
      </c>
      <c r="AD67" s="52">
        <f>_xlfn.XLOOKUP(B67,Y!C:C,Y!C:C)</f>
        <v>0</v>
      </c>
      <c r="AE67" s="52">
        <f>_xlfn.XLOOKUP(B67,MA!C:C,MA!C:C)</f>
        <v>0</v>
      </c>
    </row>
    <row r="68" spans="1:31" x14ac:dyDescent="0.25">
      <c r="A68" s="29">
        <f>ssH!$AG$1</f>
        <v>46140</v>
      </c>
      <c r="C68" s="47">
        <f t="shared" si="20"/>
        <v>0</v>
      </c>
      <c r="D68" s="42">
        <f>_xlfn.XLOOKUP(ssH!$AG$3&amp;B68,ssH!A:A,ssH!D:D,0)</f>
        <v>0</v>
      </c>
      <c r="E68" s="42">
        <f>_xlfn.XLOOKUP(ssH!$AG$5&amp;B68,ssH!A:A,ssH!D:D,0)</f>
        <v>0</v>
      </c>
      <c r="F68" s="42">
        <f>_xlfn.XLOOKUP(ssH!$AG$6&amp;B68,ssH!A:A,ssH!D:D,0)</f>
        <v>0</v>
      </c>
      <c r="G68" s="48">
        <f>_xlfn.XLOOKUP(A68&amp;B68,ssH!A:A,ssH!F:F,-100%)</f>
        <v>-1</v>
      </c>
      <c r="H68" s="46">
        <f>_xlfn.XLOOKUP(ssH!$AG$3&amp;B68,ssH!A:A,ssH!F:F,0)</f>
        <v>0</v>
      </c>
      <c r="I68" s="46">
        <f>_xlfn.XLOOKUP(ssH!$AG$5&amp;B68,ssH!A:A,ssH!F:F,0)</f>
        <v>0</v>
      </c>
      <c r="J68" s="46">
        <f>_xlfn.XLOOKUP(ssH!$AG$6&amp;B68,ssH!A:A,ssH!F:F,0)</f>
        <v>0</v>
      </c>
      <c r="K68" s="46">
        <f>_xlfn.XLOOKUP(B68,ssL!C:C,ssL!G:G,"Removed")</f>
        <v>0</v>
      </c>
      <c r="L68" s="27">
        <f>_xlfn.XLOOKUP(A68&amp;B68,ssH!A:A,ssH!D:D,0)</f>
        <v>0</v>
      </c>
      <c r="M68" s="42" t="str">
        <f>_xlfn.XLOOKUP(A68&amp;B68,ssH!A:A,ssH!I:I,"")</f>
        <v/>
      </c>
      <c r="N68" s="51" t="str">
        <f t="shared" si="11"/>
        <v/>
      </c>
      <c r="O68" s="51" t="str">
        <f t="shared" si="12"/>
        <v/>
      </c>
      <c r="P68" s="51" t="str">
        <f t="shared" si="13"/>
        <v/>
      </c>
      <c r="Q68" s="52">
        <f t="shared" si="14"/>
        <v>0</v>
      </c>
      <c r="R68" s="51">
        <f t="shared" si="15"/>
        <v>2</v>
      </c>
      <c r="S68" s="51">
        <f t="shared" si="16"/>
        <v>0</v>
      </c>
      <c r="T68" s="51">
        <f t="shared" si="17"/>
        <v>0</v>
      </c>
      <c r="U68" s="52">
        <f t="shared" si="18"/>
        <v>2</v>
      </c>
      <c r="V68" s="52">
        <f t="shared" si="21"/>
        <v>0</v>
      </c>
      <c r="W68" s="52" t="str" cm="1">
        <f t="array" ref="W68">_xlfn.IFS(B68="","",AND(G68&gt;=0,L68&gt;0),"BuySome",AND(G68&gt;=0,K68="KMSignal"),"BuySome",AND(G68&lt;0,L68&gt;0),"BuyWatch",AND(Q68&lt;0,L68&gt;0),"BuyWatch",AND(G68&gt;=0,L68=0),"BuyWatch",L68&gt;0,"BuySome",TRUE,"")</f>
        <v/>
      </c>
      <c r="X68" s="47" t="str">
        <f>_xlfn.XLOOKUP(W68,Parm!$AN$2:$AN$25,Parm!$AO$2:$AO$25,"")</f>
        <v/>
      </c>
      <c r="Y68" s="52" t="str" cm="1">
        <f t="array" ref="Y68">_xlfn.IFS(B68="","",OR(Q68=-100,U68=-100),"SellAll",OR(Q68&lt;0,U68&lt;0),"SellSome",AND(Q68&gt;0,U68&gt;0),"BuySome",OR(Q68&gt;0,U68&gt;0),"BuyWatch",TRUE,"")</f>
        <v/>
      </c>
      <c r="Z68" s="47" t="str">
        <f>_xlfn.XLOOKUP(Y68,Parm!$AN$2:$AN$25,Parm!$AO$2:$AO$25,"")</f>
        <v/>
      </c>
      <c r="AA68" s="286">
        <f>IF(C68&lt;&gt;-100,A68,_xlfn.XLOOKUP(B68,ssH!L:L,ssH!M:M))</f>
        <v>46140</v>
      </c>
      <c r="AB68" s="49" t="str">
        <f t="shared" si="19"/>
        <v/>
      </c>
      <c r="AC68" s="52">
        <f>_xlfn.XLOOKUP(B68,TL!C:C,TL!C:C)</f>
        <v>0</v>
      </c>
      <c r="AD68" s="52">
        <f>_xlfn.XLOOKUP(B68,Y!C:C,Y!C:C)</f>
        <v>0</v>
      </c>
      <c r="AE68" s="52">
        <f>_xlfn.XLOOKUP(B68,MA!C:C,MA!C:C)</f>
        <v>0</v>
      </c>
    </row>
    <row r="69" spans="1:31" x14ac:dyDescent="0.25">
      <c r="A69" s="29">
        <f>ssH!$AG$1</f>
        <v>46140</v>
      </c>
      <c r="C69" s="47">
        <f t="shared" si="20"/>
        <v>0</v>
      </c>
      <c r="D69" s="42">
        <f>_xlfn.XLOOKUP(ssH!$AG$3&amp;B69,ssH!A:A,ssH!D:D,0)</f>
        <v>0</v>
      </c>
      <c r="E69" s="42">
        <f>_xlfn.XLOOKUP(ssH!$AG$5&amp;B69,ssH!A:A,ssH!D:D,0)</f>
        <v>0</v>
      </c>
      <c r="F69" s="42">
        <f>_xlfn.XLOOKUP(ssH!$AG$6&amp;B69,ssH!A:A,ssH!D:D,0)</f>
        <v>0</v>
      </c>
      <c r="G69" s="48">
        <f>_xlfn.XLOOKUP(A69&amp;B69,ssH!A:A,ssH!F:F,-100%)</f>
        <v>-1</v>
      </c>
      <c r="H69" s="46">
        <f>_xlfn.XLOOKUP(ssH!$AG$3&amp;B69,ssH!A:A,ssH!F:F,0)</f>
        <v>0</v>
      </c>
      <c r="I69" s="46">
        <f>_xlfn.XLOOKUP(ssH!$AG$5&amp;B69,ssH!A:A,ssH!F:F,0)</f>
        <v>0</v>
      </c>
      <c r="J69" s="46">
        <f>_xlfn.XLOOKUP(ssH!$AG$6&amp;B69,ssH!A:A,ssH!F:F,0)</f>
        <v>0</v>
      </c>
      <c r="K69" s="46">
        <f>_xlfn.XLOOKUP(B69,ssL!C:C,ssL!G:G,"Removed")</f>
        <v>0</v>
      </c>
      <c r="L69" s="27">
        <f>_xlfn.XLOOKUP(A69&amp;B69,ssH!A:A,ssH!D:D,0)</f>
        <v>0</v>
      </c>
      <c r="M69" s="42" t="str">
        <f>_xlfn.XLOOKUP(A69&amp;B69,ssH!A:A,ssH!I:I,"")</f>
        <v/>
      </c>
      <c r="N69" s="51" t="str">
        <f t="shared" si="11"/>
        <v/>
      </c>
      <c r="O69" s="51" t="str">
        <f t="shared" si="12"/>
        <v/>
      </c>
      <c r="P69" s="51" t="str">
        <f t="shared" si="13"/>
        <v/>
      </c>
      <c r="Q69" s="52">
        <f t="shared" si="14"/>
        <v>0</v>
      </c>
      <c r="R69" s="51">
        <f t="shared" si="15"/>
        <v>2</v>
      </c>
      <c r="S69" s="51">
        <f t="shared" si="16"/>
        <v>0</v>
      </c>
      <c r="T69" s="51">
        <f t="shared" si="17"/>
        <v>0</v>
      </c>
      <c r="U69" s="52">
        <f t="shared" si="18"/>
        <v>2</v>
      </c>
      <c r="V69" s="52">
        <f t="shared" si="21"/>
        <v>0</v>
      </c>
      <c r="W69" s="52" t="str" cm="1">
        <f t="array" ref="W69">_xlfn.IFS(B69="","",AND(G69&gt;=0,L69&gt;0),"BuySome",AND(G69&gt;=0,K69="KMSignal"),"BuySome",AND(G69&lt;0,L69&gt;0),"BuyWatch",AND(Q69&lt;0,L69&gt;0),"BuyWatch",AND(G69&gt;=0,L69=0),"BuyWatch",L69&gt;0,"BuySome",TRUE,"")</f>
        <v/>
      </c>
      <c r="X69" s="47" t="str">
        <f>_xlfn.XLOOKUP(W69,Parm!$AN$2:$AN$25,Parm!$AO$2:$AO$25,"")</f>
        <v/>
      </c>
      <c r="Y69" s="52" t="str" cm="1">
        <f t="array" ref="Y69">_xlfn.IFS(B69="","",OR(Q69=-100,U69=-100),"SellAll",OR(Q69&lt;0,U69&lt;0),"SellSome",AND(Q69&gt;0,U69&gt;0),"BuySome",OR(Q69&gt;0,U69&gt;0),"BuyWatch",TRUE,"")</f>
        <v/>
      </c>
      <c r="Z69" s="47" t="str">
        <f>_xlfn.XLOOKUP(Y69,Parm!$AN$2:$AN$25,Parm!$AO$2:$AO$25,"")</f>
        <v/>
      </c>
      <c r="AA69" s="286">
        <f>IF(C69&lt;&gt;-100,A69,_xlfn.XLOOKUP(B69,ssH!L:L,ssH!M:M))</f>
        <v>46140</v>
      </c>
      <c r="AB69" s="49" t="str">
        <f t="shared" si="19"/>
        <v/>
      </c>
      <c r="AC69" s="52">
        <f>_xlfn.XLOOKUP(B69,TL!C:C,TL!C:C)</f>
        <v>0</v>
      </c>
      <c r="AD69" s="52">
        <f>_xlfn.XLOOKUP(B69,Y!C:C,Y!C:C)</f>
        <v>0</v>
      </c>
      <c r="AE69" s="52">
        <f>_xlfn.XLOOKUP(B69,MA!C:C,MA!C:C)</f>
        <v>0</v>
      </c>
    </row>
    <row r="70" spans="1:31" x14ac:dyDescent="0.25">
      <c r="A70" s="29">
        <f>ssH!$AG$1</f>
        <v>46140</v>
      </c>
      <c r="C70" s="47">
        <f t="shared" si="20"/>
        <v>0</v>
      </c>
      <c r="D70" s="42">
        <f>_xlfn.XLOOKUP(ssH!$AG$3&amp;B70,ssH!A:A,ssH!D:D,0)</f>
        <v>0</v>
      </c>
      <c r="E70" s="42">
        <f>_xlfn.XLOOKUP(ssH!$AG$5&amp;B70,ssH!A:A,ssH!D:D,0)</f>
        <v>0</v>
      </c>
      <c r="F70" s="42">
        <f>_xlfn.XLOOKUP(ssH!$AG$6&amp;B70,ssH!A:A,ssH!D:D,0)</f>
        <v>0</v>
      </c>
      <c r="G70" s="48">
        <f>_xlfn.XLOOKUP(A70&amp;B70,ssH!A:A,ssH!F:F,-100%)</f>
        <v>-1</v>
      </c>
      <c r="H70" s="46">
        <f>_xlfn.XLOOKUP(ssH!$AG$3&amp;B70,ssH!A:A,ssH!F:F,0)</f>
        <v>0</v>
      </c>
      <c r="I70" s="46">
        <f>_xlfn.XLOOKUP(ssH!$AG$5&amp;B70,ssH!A:A,ssH!F:F,0)</f>
        <v>0</v>
      </c>
      <c r="J70" s="46">
        <f>_xlfn.XLOOKUP(ssH!$AG$6&amp;B70,ssH!A:A,ssH!F:F,0)</f>
        <v>0</v>
      </c>
      <c r="K70" s="46">
        <f>_xlfn.XLOOKUP(B70,ssL!C:C,ssL!G:G,"Removed")</f>
        <v>0</v>
      </c>
      <c r="L70" s="27">
        <f>_xlfn.XLOOKUP(A70&amp;B70,ssH!A:A,ssH!D:D,0)</f>
        <v>0</v>
      </c>
      <c r="M70" s="42" t="str">
        <f>_xlfn.XLOOKUP(A70&amp;B70,ssH!A:A,ssH!I:I,"")</f>
        <v/>
      </c>
      <c r="N70" s="51" t="str">
        <f t="shared" si="11"/>
        <v/>
      </c>
      <c r="O70" s="51" t="str">
        <f t="shared" si="12"/>
        <v/>
      </c>
      <c r="P70" s="51" t="str">
        <f t="shared" si="13"/>
        <v/>
      </c>
      <c r="Q70" s="52">
        <f t="shared" si="14"/>
        <v>0</v>
      </c>
      <c r="R70" s="51">
        <f t="shared" si="15"/>
        <v>2</v>
      </c>
      <c r="S70" s="51">
        <f t="shared" si="16"/>
        <v>0</v>
      </c>
      <c r="T70" s="51">
        <f t="shared" si="17"/>
        <v>0</v>
      </c>
      <c r="U70" s="52">
        <f t="shared" si="18"/>
        <v>2</v>
      </c>
      <c r="V70" s="52">
        <f t="shared" si="21"/>
        <v>0</v>
      </c>
      <c r="W70" s="52" t="str" cm="1">
        <f t="array" ref="W70">_xlfn.IFS(B70="","",AND(G70&gt;=0,L70&gt;0),"BuySome",AND(G70&gt;=0,K70="KMSignal"),"BuySome",AND(G70&lt;0,L70&gt;0),"BuyWatch",AND(Q70&lt;0,L70&gt;0),"BuyWatch",AND(G70&gt;=0,L70=0),"BuyWatch",L70&gt;0,"BuySome",TRUE,"")</f>
        <v/>
      </c>
      <c r="X70" s="47" t="str">
        <f>_xlfn.XLOOKUP(W70,Parm!$AN$2:$AN$25,Parm!$AO$2:$AO$25,"")</f>
        <v/>
      </c>
      <c r="Y70" s="52" t="str" cm="1">
        <f t="array" ref="Y70">_xlfn.IFS(B70="","",OR(Q70=-100,U70=-100),"SellAll",OR(Q70&lt;0,U70&lt;0),"SellSome",AND(Q70&gt;0,U70&gt;0),"BuySome",OR(Q70&gt;0,U70&gt;0),"BuyWatch",TRUE,"")</f>
        <v/>
      </c>
      <c r="Z70" s="47" t="str">
        <f>_xlfn.XLOOKUP(Y70,Parm!$AN$2:$AN$25,Parm!$AO$2:$AO$25,"")</f>
        <v/>
      </c>
      <c r="AA70" s="286">
        <f>IF(C70&lt;&gt;-100,A70,_xlfn.XLOOKUP(B70,ssH!L:L,ssH!M:M))</f>
        <v>46140</v>
      </c>
      <c r="AB70" s="49" t="str">
        <f t="shared" si="19"/>
        <v/>
      </c>
      <c r="AC70" s="52">
        <f>_xlfn.XLOOKUP(B70,TL!C:C,TL!C:C)</f>
        <v>0</v>
      </c>
      <c r="AD70" s="52">
        <f>_xlfn.XLOOKUP(B70,Y!C:C,Y!C:C)</f>
        <v>0</v>
      </c>
      <c r="AE70" s="52">
        <f>_xlfn.XLOOKUP(B70,MA!C:C,MA!C:C)</f>
        <v>0</v>
      </c>
    </row>
    <row r="71" spans="1:31" x14ac:dyDescent="0.25">
      <c r="A71" s="29">
        <f>ssH!$AG$1</f>
        <v>46140</v>
      </c>
      <c r="C71" s="47">
        <f t="shared" si="20"/>
        <v>0</v>
      </c>
      <c r="D71" s="42">
        <f>_xlfn.XLOOKUP(ssH!$AG$3&amp;B71,ssH!A:A,ssH!D:D,0)</f>
        <v>0</v>
      </c>
      <c r="E71" s="42">
        <f>_xlfn.XLOOKUP(ssH!$AG$5&amp;B71,ssH!A:A,ssH!D:D,0)</f>
        <v>0</v>
      </c>
      <c r="F71" s="42">
        <f>_xlfn.XLOOKUP(ssH!$AG$6&amp;B71,ssH!A:A,ssH!D:D,0)</f>
        <v>0</v>
      </c>
      <c r="G71" s="48">
        <f>_xlfn.XLOOKUP(A71&amp;B71,ssH!A:A,ssH!F:F,-100%)</f>
        <v>-1</v>
      </c>
      <c r="H71" s="46">
        <f>_xlfn.XLOOKUP(ssH!$AG$3&amp;B71,ssH!A:A,ssH!F:F,0)</f>
        <v>0</v>
      </c>
      <c r="I71" s="46">
        <f>_xlfn.XLOOKUP(ssH!$AG$5&amp;B71,ssH!A:A,ssH!F:F,0)</f>
        <v>0</v>
      </c>
      <c r="J71" s="46">
        <f>_xlfn.XLOOKUP(ssH!$AG$6&amp;B71,ssH!A:A,ssH!F:F,0)</f>
        <v>0</v>
      </c>
      <c r="K71" s="46">
        <f>_xlfn.XLOOKUP(B71,ssL!C:C,ssL!G:G,"Removed")</f>
        <v>0</v>
      </c>
      <c r="L71" s="27">
        <f>_xlfn.XLOOKUP(A71&amp;B71,ssH!A:A,ssH!D:D,0)</f>
        <v>0</v>
      </c>
      <c r="M71" s="42" t="str">
        <f>_xlfn.XLOOKUP(A71&amp;B71,ssH!A:A,ssH!I:I,"")</f>
        <v/>
      </c>
      <c r="N71" s="51" t="str">
        <f t="shared" si="11"/>
        <v/>
      </c>
      <c r="O71" s="51" t="str">
        <f t="shared" si="12"/>
        <v/>
      </c>
      <c r="P71" s="51" t="str">
        <f t="shared" si="13"/>
        <v/>
      </c>
      <c r="Q71" s="52">
        <f t="shared" si="14"/>
        <v>0</v>
      </c>
      <c r="R71" s="51">
        <f t="shared" si="15"/>
        <v>2</v>
      </c>
      <c r="S71" s="51">
        <f t="shared" si="16"/>
        <v>0</v>
      </c>
      <c r="T71" s="51">
        <f t="shared" si="17"/>
        <v>0</v>
      </c>
      <c r="U71" s="52">
        <f t="shared" si="18"/>
        <v>2</v>
      </c>
      <c r="V71" s="52">
        <f t="shared" si="21"/>
        <v>0</v>
      </c>
      <c r="W71" s="52" t="str" cm="1">
        <f t="array" ref="W71">_xlfn.IFS(B71="","",AND(G71&gt;=0,L71&gt;0),"BuySome",AND(G71&gt;=0,K71="KMSignal"),"BuySome",AND(G71&lt;0,L71&gt;0),"BuyWatch",AND(Q71&lt;0,L71&gt;0),"BuyWatch",AND(G71&gt;=0,L71=0),"BuyWatch",L71&gt;0,"BuySome",TRUE,"")</f>
        <v/>
      </c>
      <c r="X71" s="47" t="str">
        <f>_xlfn.XLOOKUP(W71,Parm!$AN$2:$AN$25,Parm!$AO$2:$AO$25,"")</f>
        <v/>
      </c>
      <c r="Y71" s="52" t="str" cm="1">
        <f t="array" ref="Y71">_xlfn.IFS(B71="","",OR(Q71=-100,U71=-100),"SellAll",OR(Q71&lt;0,U71&lt;0),"SellSome",AND(Q71&gt;0,U71&gt;0),"BuySome",OR(Q71&gt;0,U71&gt;0),"BuyWatch",TRUE,"")</f>
        <v/>
      </c>
      <c r="Z71" s="47" t="str">
        <f>_xlfn.XLOOKUP(Y71,Parm!$AN$2:$AN$25,Parm!$AO$2:$AO$25,"")</f>
        <v/>
      </c>
      <c r="AA71" s="286">
        <f>IF(C71&lt;&gt;-100,A71,_xlfn.XLOOKUP(B71,ssH!L:L,ssH!M:M))</f>
        <v>46140</v>
      </c>
      <c r="AB71" s="49" t="str">
        <f t="shared" si="19"/>
        <v/>
      </c>
      <c r="AC71" s="52">
        <f>_xlfn.XLOOKUP(B71,TL!C:C,TL!C:C)</f>
        <v>0</v>
      </c>
      <c r="AD71" s="52">
        <f>_xlfn.XLOOKUP(B71,Y!C:C,Y!C:C)</f>
        <v>0</v>
      </c>
      <c r="AE71" s="52">
        <f>_xlfn.XLOOKUP(B71,MA!C:C,MA!C:C)</f>
        <v>0</v>
      </c>
    </row>
    <row r="72" spans="1:31" x14ac:dyDescent="0.25">
      <c r="A72" s="29">
        <f>ssH!$AG$1</f>
        <v>46140</v>
      </c>
      <c r="C72" s="47">
        <f t="shared" si="20"/>
        <v>0</v>
      </c>
      <c r="D72" s="42">
        <f>_xlfn.XLOOKUP(ssH!$AG$3&amp;B72,ssH!A:A,ssH!D:D,0)</f>
        <v>0</v>
      </c>
      <c r="E72" s="42">
        <f>_xlfn.XLOOKUP(ssH!$AG$5&amp;B72,ssH!A:A,ssH!D:D,0)</f>
        <v>0</v>
      </c>
      <c r="F72" s="42">
        <f>_xlfn.XLOOKUP(ssH!$AG$6&amp;B72,ssH!A:A,ssH!D:D,0)</f>
        <v>0</v>
      </c>
      <c r="G72" s="48">
        <f>_xlfn.XLOOKUP(A72&amp;B72,ssH!A:A,ssH!F:F,-100%)</f>
        <v>-1</v>
      </c>
      <c r="H72" s="46">
        <f>_xlfn.XLOOKUP(ssH!$AG$3&amp;B72,ssH!A:A,ssH!F:F,0)</f>
        <v>0</v>
      </c>
      <c r="I72" s="46">
        <f>_xlfn.XLOOKUP(ssH!$AG$5&amp;B72,ssH!A:A,ssH!F:F,0)</f>
        <v>0</v>
      </c>
      <c r="J72" s="46">
        <f>_xlfn.XLOOKUP(ssH!$AG$6&amp;B72,ssH!A:A,ssH!F:F,0)</f>
        <v>0</v>
      </c>
      <c r="K72" s="46">
        <f>_xlfn.XLOOKUP(B72,ssL!C:C,ssL!G:G,"Removed")</f>
        <v>0</v>
      </c>
      <c r="L72" s="27">
        <f>_xlfn.XLOOKUP(A72&amp;B72,ssH!A:A,ssH!D:D,0)</f>
        <v>0</v>
      </c>
      <c r="M72" s="42" t="str">
        <f>_xlfn.XLOOKUP(A72&amp;B72,ssH!A:A,ssH!I:I,"")</f>
        <v/>
      </c>
      <c r="N72" s="51" t="str">
        <f t="shared" si="11"/>
        <v/>
      </c>
      <c r="O72" s="51" t="str">
        <f t="shared" si="12"/>
        <v/>
      </c>
      <c r="P72" s="51" t="str">
        <f t="shared" si="13"/>
        <v/>
      </c>
      <c r="Q72" s="52">
        <f t="shared" si="14"/>
        <v>0</v>
      </c>
      <c r="R72" s="51">
        <f t="shared" si="15"/>
        <v>2</v>
      </c>
      <c r="S72" s="51">
        <f t="shared" si="16"/>
        <v>0</v>
      </c>
      <c r="T72" s="51">
        <f t="shared" si="17"/>
        <v>0</v>
      </c>
      <c r="U72" s="52">
        <f t="shared" si="18"/>
        <v>2</v>
      </c>
      <c r="V72" s="52">
        <f t="shared" si="21"/>
        <v>0</v>
      </c>
      <c r="W72" s="52" t="str" cm="1">
        <f t="array" ref="W72">_xlfn.IFS(B72="","",AND(G72&gt;=0,L72&gt;0),"BuySome",AND(G72&gt;=0,K72="KMSignal"),"BuySome",AND(G72&lt;0,L72&gt;0),"BuyWatch",AND(Q72&lt;0,L72&gt;0),"BuyWatch",AND(G72&gt;=0,L72=0),"BuyWatch",L72&gt;0,"BuySome",TRUE,"")</f>
        <v/>
      </c>
      <c r="X72" s="47" t="str">
        <f>_xlfn.XLOOKUP(W72,Parm!$AN$2:$AN$25,Parm!$AO$2:$AO$25,"")</f>
        <v/>
      </c>
      <c r="Y72" s="52" t="str" cm="1">
        <f t="array" ref="Y72">_xlfn.IFS(B72="","",OR(Q72=-100,U72=-100),"SellAll",OR(Q72&lt;0,U72&lt;0),"SellSome",AND(Q72&gt;0,U72&gt;0),"BuySome",OR(Q72&gt;0,U72&gt;0),"BuyWatch",TRUE,"")</f>
        <v/>
      </c>
      <c r="Z72" s="47" t="str">
        <f>_xlfn.XLOOKUP(Y72,Parm!$AN$2:$AN$25,Parm!$AO$2:$AO$25,"")</f>
        <v/>
      </c>
      <c r="AA72" s="286">
        <f>IF(C72&lt;&gt;-100,A72,_xlfn.XLOOKUP(B72,ssH!L:L,ssH!M:M))</f>
        <v>46140</v>
      </c>
      <c r="AB72" s="49" t="str">
        <f t="shared" si="19"/>
        <v/>
      </c>
      <c r="AC72" s="52">
        <f>_xlfn.XLOOKUP(B72,TL!C:C,TL!C:C)</f>
        <v>0</v>
      </c>
      <c r="AD72" s="52">
        <f>_xlfn.XLOOKUP(B72,Y!C:C,Y!C:C)</f>
        <v>0</v>
      </c>
      <c r="AE72" s="52">
        <f>_xlfn.XLOOKUP(B72,MA!C:C,MA!C:C)</f>
        <v>0</v>
      </c>
    </row>
    <row r="73" spans="1:31" x14ac:dyDescent="0.25">
      <c r="A73" s="29">
        <f>ssH!$AG$1</f>
        <v>46140</v>
      </c>
      <c r="C73" s="47">
        <f t="shared" si="20"/>
        <v>0</v>
      </c>
      <c r="D73" s="42">
        <f>_xlfn.XLOOKUP(ssH!$AG$3&amp;B73,ssH!A:A,ssH!D:D,0)</f>
        <v>0</v>
      </c>
      <c r="E73" s="42">
        <f>_xlfn.XLOOKUP(ssH!$AG$5&amp;B73,ssH!A:A,ssH!D:D,0)</f>
        <v>0</v>
      </c>
      <c r="F73" s="42">
        <f>_xlfn.XLOOKUP(ssH!$AG$6&amp;B73,ssH!A:A,ssH!D:D,0)</f>
        <v>0</v>
      </c>
      <c r="G73" s="48">
        <f>_xlfn.XLOOKUP(A73&amp;B73,ssH!A:A,ssH!F:F,-100%)</f>
        <v>-1</v>
      </c>
      <c r="H73" s="46">
        <f>_xlfn.XLOOKUP(ssH!$AG$3&amp;B73,ssH!A:A,ssH!F:F,0)</f>
        <v>0</v>
      </c>
      <c r="I73" s="46">
        <f>_xlfn.XLOOKUP(ssH!$AG$5&amp;B73,ssH!A:A,ssH!F:F,0)</f>
        <v>0</v>
      </c>
      <c r="J73" s="46">
        <f>_xlfn.XLOOKUP(ssH!$AG$6&amp;B73,ssH!A:A,ssH!F:F,0)</f>
        <v>0</v>
      </c>
      <c r="K73" s="46">
        <f>_xlfn.XLOOKUP(B73,ssL!C:C,ssL!G:G,"Removed")</f>
        <v>0</v>
      </c>
      <c r="L73" s="27">
        <f>_xlfn.XLOOKUP(A73&amp;B73,ssH!A:A,ssH!D:D,0)</f>
        <v>0</v>
      </c>
      <c r="M73" s="42" t="str">
        <f>_xlfn.XLOOKUP(A73&amp;B73,ssH!A:A,ssH!I:I,"")</f>
        <v/>
      </c>
      <c r="N73" s="51" t="str">
        <f t="shared" si="11"/>
        <v/>
      </c>
      <c r="O73" s="51" t="str">
        <f t="shared" si="12"/>
        <v/>
      </c>
      <c r="P73" s="51" t="str">
        <f t="shared" si="13"/>
        <v/>
      </c>
      <c r="Q73" s="52">
        <f t="shared" si="14"/>
        <v>0</v>
      </c>
      <c r="R73" s="51">
        <f t="shared" si="15"/>
        <v>2</v>
      </c>
      <c r="S73" s="51">
        <f t="shared" si="16"/>
        <v>0</v>
      </c>
      <c r="T73" s="51">
        <f t="shared" si="17"/>
        <v>0</v>
      </c>
      <c r="U73" s="52">
        <f t="shared" si="18"/>
        <v>2</v>
      </c>
      <c r="V73" s="52">
        <f t="shared" si="21"/>
        <v>0</v>
      </c>
      <c r="W73" s="52" t="str" cm="1">
        <f t="array" ref="W73">_xlfn.IFS(B73="","",AND(G73&gt;=0,L73&gt;0),"BuySome",AND(G73&gt;=0,K73="KMSignal"),"BuySome",AND(G73&lt;0,L73&gt;0),"BuyWatch",AND(Q73&lt;0,L73&gt;0),"BuyWatch",AND(G73&gt;=0,L73=0),"BuyWatch",L73&gt;0,"BuySome",TRUE,"")</f>
        <v/>
      </c>
      <c r="X73" s="47" t="str">
        <f>_xlfn.XLOOKUP(W73,Parm!$AN$2:$AN$25,Parm!$AO$2:$AO$25,"")</f>
        <v/>
      </c>
      <c r="Y73" s="52" t="str" cm="1">
        <f t="array" ref="Y73">_xlfn.IFS(B73="","",OR(Q73=-100,U73=-100),"SellAll",OR(Q73&lt;0,U73&lt;0),"SellSome",AND(Q73&gt;0,U73&gt;0),"BuySome",OR(Q73&gt;0,U73&gt;0),"BuyWatch",TRUE,"")</f>
        <v/>
      </c>
      <c r="Z73" s="47" t="str">
        <f>_xlfn.XLOOKUP(Y73,Parm!$AN$2:$AN$25,Parm!$AO$2:$AO$25,"")</f>
        <v/>
      </c>
      <c r="AA73" s="286">
        <f>IF(C73&lt;&gt;-100,A73,_xlfn.XLOOKUP(B73,ssH!L:L,ssH!M:M))</f>
        <v>46140</v>
      </c>
      <c r="AB73" s="49" t="str">
        <f t="shared" si="19"/>
        <v/>
      </c>
      <c r="AC73" s="52">
        <f>_xlfn.XLOOKUP(B73,TL!C:C,TL!C:C)</f>
        <v>0</v>
      </c>
      <c r="AD73" s="52">
        <f>_xlfn.XLOOKUP(B73,Y!C:C,Y!C:C)</f>
        <v>0</v>
      </c>
      <c r="AE73" s="52">
        <f>_xlfn.XLOOKUP(B73,MA!C:C,MA!C:C)</f>
        <v>0</v>
      </c>
    </row>
    <row r="74" spans="1:31" x14ac:dyDescent="0.25">
      <c r="A74" s="29">
        <f>ssH!$AG$1</f>
        <v>46140</v>
      </c>
      <c r="C74" s="47">
        <f t="shared" si="20"/>
        <v>0</v>
      </c>
      <c r="D74" s="42">
        <f>_xlfn.XLOOKUP(ssH!$AG$3&amp;B74,ssH!A:A,ssH!D:D,0)</f>
        <v>0</v>
      </c>
      <c r="E74" s="42">
        <f>_xlfn.XLOOKUP(ssH!$AG$5&amp;B74,ssH!A:A,ssH!D:D,0)</f>
        <v>0</v>
      </c>
      <c r="F74" s="42">
        <f>_xlfn.XLOOKUP(ssH!$AG$6&amp;B74,ssH!A:A,ssH!D:D,0)</f>
        <v>0</v>
      </c>
      <c r="G74" s="48">
        <f>_xlfn.XLOOKUP(A74&amp;B74,ssH!A:A,ssH!F:F,-100%)</f>
        <v>-1</v>
      </c>
      <c r="H74" s="46">
        <f>_xlfn.XLOOKUP(ssH!$AG$3&amp;B74,ssH!A:A,ssH!F:F,0)</f>
        <v>0</v>
      </c>
      <c r="I74" s="46">
        <f>_xlfn.XLOOKUP(ssH!$AG$5&amp;B74,ssH!A:A,ssH!F:F,0)</f>
        <v>0</v>
      </c>
      <c r="J74" s="46">
        <f>_xlfn.XLOOKUP(ssH!$AG$6&amp;B74,ssH!A:A,ssH!F:F,0)</f>
        <v>0</v>
      </c>
      <c r="K74" s="46">
        <f>_xlfn.XLOOKUP(B74,ssL!C:C,ssL!G:G,"Removed")</f>
        <v>0</v>
      </c>
      <c r="L74" s="27">
        <f>_xlfn.XLOOKUP(A74&amp;B74,ssH!A:A,ssH!D:D,0)</f>
        <v>0</v>
      </c>
      <c r="M74" s="42" t="str">
        <f>_xlfn.XLOOKUP(A74&amp;B74,ssH!A:A,ssH!I:I,"")</f>
        <v/>
      </c>
      <c r="N74" s="51" t="str">
        <f t="shared" si="11"/>
        <v/>
      </c>
      <c r="O74" s="51" t="str">
        <f t="shared" si="12"/>
        <v/>
      </c>
      <c r="P74" s="51" t="str">
        <f t="shared" si="13"/>
        <v/>
      </c>
      <c r="Q74" s="52">
        <f t="shared" si="14"/>
        <v>0</v>
      </c>
      <c r="R74" s="51">
        <f t="shared" si="15"/>
        <v>2</v>
      </c>
      <c r="S74" s="51">
        <f t="shared" si="16"/>
        <v>0</v>
      </c>
      <c r="T74" s="51">
        <f t="shared" si="17"/>
        <v>0</v>
      </c>
      <c r="U74" s="52">
        <f t="shared" si="18"/>
        <v>2</v>
      </c>
      <c r="V74" s="52">
        <f t="shared" si="21"/>
        <v>0</v>
      </c>
      <c r="W74" s="52" t="str" cm="1">
        <f t="array" ref="W74">_xlfn.IFS(B74="","",AND(G74&gt;=0,L74&gt;0),"BuySome",AND(G74&gt;=0,K74="KMSignal"),"BuySome",AND(G74&lt;0,L74&gt;0),"BuyWatch",AND(Q74&lt;0,L74&gt;0),"BuyWatch",AND(G74&gt;=0,L74=0),"BuyWatch",L74&gt;0,"BuySome",TRUE,"")</f>
        <v/>
      </c>
      <c r="X74" s="47" t="str">
        <f>_xlfn.XLOOKUP(W74,Parm!$AN$2:$AN$25,Parm!$AO$2:$AO$25,"")</f>
        <v/>
      </c>
      <c r="Y74" s="52" t="str" cm="1">
        <f t="array" ref="Y74">_xlfn.IFS(B74="","",OR(Q74=-100,U74=-100),"SellAll",OR(Q74&lt;0,U74&lt;0),"SellSome",AND(Q74&gt;0,U74&gt;0),"BuySome",OR(Q74&gt;0,U74&gt;0),"BuyWatch",TRUE,"")</f>
        <v/>
      </c>
      <c r="Z74" s="47" t="str">
        <f>_xlfn.XLOOKUP(Y74,Parm!$AN$2:$AN$25,Parm!$AO$2:$AO$25,"")</f>
        <v/>
      </c>
      <c r="AA74" s="286">
        <f>IF(C74&lt;&gt;-100,A74,_xlfn.XLOOKUP(B74,ssH!L:L,ssH!M:M))</f>
        <v>46140</v>
      </c>
      <c r="AB74" s="49" t="str">
        <f t="shared" si="19"/>
        <v/>
      </c>
      <c r="AC74" s="52">
        <f>_xlfn.XLOOKUP(B74,TL!C:C,TL!C:C)</f>
        <v>0</v>
      </c>
      <c r="AD74" s="52">
        <f>_xlfn.XLOOKUP(B74,Y!C:C,Y!C:C)</f>
        <v>0</v>
      </c>
      <c r="AE74" s="52">
        <f>_xlfn.XLOOKUP(B74,MA!C:C,MA!C:C)</f>
        <v>0</v>
      </c>
    </row>
    <row r="75" spans="1:31" x14ac:dyDescent="0.25">
      <c r="A75" s="29">
        <f>ssH!$AG$1</f>
        <v>46140</v>
      </c>
      <c r="C75" s="47">
        <f t="shared" si="20"/>
        <v>0</v>
      </c>
      <c r="D75" s="42">
        <f>_xlfn.XLOOKUP(ssH!$AG$3&amp;B75,ssH!A:A,ssH!D:D,0)</f>
        <v>0</v>
      </c>
      <c r="E75" s="42">
        <f>_xlfn.XLOOKUP(ssH!$AG$5&amp;B75,ssH!A:A,ssH!D:D,0)</f>
        <v>0</v>
      </c>
      <c r="F75" s="42">
        <f>_xlfn.XLOOKUP(ssH!$AG$6&amp;B75,ssH!A:A,ssH!D:D,0)</f>
        <v>0</v>
      </c>
      <c r="G75" s="48">
        <f>_xlfn.XLOOKUP(A75&amp;B75,ssH!A:A,ssH!F:F,-100%)</f>
        <v>-1</v>
      </c>
      <c r="H75" s="46">
        <f>_xlfn.XLOOKUP(ssH!$AG$3&amp;B75,ssH!A:A,ssH!F:F,0)</f>
        <v>0</v>
      </c>
      <c r="I75" s="46">
        <f>_xlfn.XLOOKUP(ssH!$AG$5&amp;B75,ssH!A:A,ssH!F:F,0)</f>
        <v>0</v>
      </c>
      <c r="J75" s="46">
        <f>_xlfn.XLOOKUP(ssH!$AG$6&amp;B75,ssH!A:A,ssH!F:F,0)</f>
        <v>0</v>
      </c>
      <c r="K75" s="46">
        <f>_xlfn.XLOOKUP(B75,ssL!C:C,ssL!G:G,"Removed")</f>
        <v>0</v>
      </c>
      <c r="L75" s="27">
        <f>_xlfn.XLOOKUP(A75&amp;B75,ssH!A:A,ssH!D:D,0)</f>
        <v>0</v>
      </c>
      <c r="M75" s="42" t="str">
        <f>_xlfn.XLOOKUP(A75&amp;B75,ssH!A:A,ssH!I:I,"")</f>
        <v/>
      </c>
      <c r="N75" s="51" t="str">
        <f t="shared" si="11"/>
        <v/>
      </c>
      <c r="O75" s="51" t="str">
        <f t="shared" si="12"/>
        <v/>
      </c>
      <c r="P75" s="51" t="str">
        <f t="shared" si="13"/>
        <v/>
      </c>
      <c r="Q75" s="52">
        <f t="shared" si="14"/>
        <v>0</v>
      </c>
      <c r="R75" s="51">
        <f t="shared" si="15"/>
        <v>2</v>
      </c>
      <c r="S75" s="51">
        <f t="shared" si="16"/>
        <v>0</v>
      </c>
      <c r="T75" s="51">
        <f t="shared" si="17"/>
        <v>0</v>
      </c>
      <c r="U75" s="52">
        <f t="shared" si="18"/>
        <v>2</v>
      </c>
      <c r="V75" s="52">
        <f t="shared" si="21"/>
        <v>0</v>
      </c>
      <c r="W75" s="52" t="str" cm="1">
        <f t="array" ref="W75">_xlfn.IFS(B75="","",AND(G75&gt;=0,L75&gt;0),"BuySome",AND(G75&gt;=0,K75="KMSignal"),"BuySome",AND(G75&lt;0,L75&gt;0),"BuyWatch",AND(Q75&lt;0,L75&gt;0),"BuyWatch",AND(G75&gt;=0,L75=0),"BuyWatch",L75&gt;0,"BuySome",TRUE,"")</f>
        <v/>
      </c>
      <c r="X75" s="47" t="str">
        <f>_xlfn.XLOOKUP(W75,Parm!$AN$2:$AN$25,Parm!$AO$2:$AO$25,"")</f>
        <v/>
      </c>
      <c r="Y75" s="52" t="str" cm="1">
        <f t="array" ref="Y75">_xlfn.IFS(B75="","",OR(Q75=-100,U75=-100),"SellAll",OR(Q75&lt;0,U75&lt;0),"SellSome",AND(Q75&gt;0,U75&gt;0),"BuySome",OR(Q75&gt;0,U75&gt;0),"BuyWatch",TRUE,"")</f>
        <v/>
      </c>
      <c r="Z75" s="47" t="str">
        <f>_xlfn.XLOOKUP(Y75,Parm!$AN$2:$AN$25,Parm!$AO$2:$AO$25,"")</f>
        <v/>
      </c>
      <c r="AA75" s="286">
        <f>IF(C75&lt;&gt;-100,A75,_xlfn.XLOOKUP(B75,ssH!L:L,ssH!M:M))</f>
        <v>46140</v>
      </c>
      <c r="AB75" s="49" t="str">
        <f t="shared" si="19"/>
        <v/>
      </c>
      <c r="AC75" s="52">
        <f>_xlfn.XLOOKUP(B75,TL!C:C,TL!C:C)</f>
        <v>0</v>
      </c>
      <c r="AD75" s="52">
        <f>_xlfn.XLOOKUP(B75,Y!C:C,Y!C:C)</f>
        <v>0</v>
      </c>
      <c r="AE75" s="52">
        <f>_xlfn.XLOOKUP(B75,MA!C:C,MA!C:C)</f>
        <v>0</v>
      </c>
    </row>
    <row r="76" spans="1:31" x14ac:dyDescent="0.25">
      <c r="A76" s="29">
        <f>ssH!$AG$1</f>
        <v>46140</v>
      </c>
      <c r="C76" s="47">
        <f t="shared" si="20"/>
        <v>0</v>
      </c>
      <c r="D76" s="42">
        <f>_xlfn.XLOOKUP(ssH!$AG$3&amp;B76,ssH!A:A,ssH!D:D,0)</f>
        <v>0</v>
      </c>
      <c r="E76" s="42">
        <f>_xlfn.XLOOKUP(ssH!$AG$5&amp;B76,ssH!A:A,ssH!D:D,0)</f>
        <v>0</v>
      </c>
      <c r="F76" s="42">
        <f>_xlfn.XLOOKUP(ssH!$AG$6&amp;B76,ssH!A:A,ssH!D:D,0)</f>
        <v>0</v>
      </c>
      <c r="G76" s="48">
        <f>_xlfn.XLOOKUP(A76&amp;B76,ssH!A:A,ssH!F:F,-100%)</f>
        <v>-1</v>
      </c>
      <c r="H76" s="46">
        <f>_xlfn.XLOOKUP(ssH!$AG$3&amp;B76,ssH!A:A,ssH!F:F,0)</f>
        <v>0</v>
      </c>
      <c r="I76" s="46">
        <f>_xlfn.XLOOKUP(ssH!$AG$5&amp;B76,ssH!A:A,ssH!F:F,0)</f>
        <v>0</v>
      </c>
      <c r="J76" s="46">
        <f>_xlfn.XLOOKUP(ssH!$AG$6&amp;B76,ssH!A:A,ssH!F:F,0)</f>
        <v>0</v>
      </c>
      <c r="K76" s="46">
        <f>_xlfn.XLOOKUP(B76,ssL!C:C,ssL!G:G,"Removed")</f>
        <v>0</v>
      </c>
      <c r="L76" s="27">
        <f>_xlfn.XLOOKUP(A76&amp;B76,ssH!A:A,ssH!D:D,0)</f>
        <v>0</v>
      </c>
      <c r="M76" s="42" t="str">
        <f>_xlfn.XLOOKUP(A76&amp;B76,ssH!A:A,ssH!I:I,"")</f>
        <v/>
      </c>
      <c r="N76" s="51" t="str">
        <f t="shared" si="11"/>
        <v/>
      </c>
      <c r="O76" s="51" t="str">
        <f t="shared" si="12"/>
        <v/>
      </c>
      <c r="P76" s="51" t="str">
        <f t="shared" si="13"/>
        <v/>
      </c>
      <c r="Q76" s="52">
        <f t="shared" si="14"/>
        <v>0</v>
      </c>
      <c r="R76" s="51">
        <f t="shared" si="15"/>
        <v>2</v>
      </c>
      <c r="S76" s="51">
        <f t="shared" si="16"/>
        <v>0</v>
      </c>
      <c r="T76" s="51">
        <f t="shared" si="17"/>
        <v>0</v>
      </c>
      <c r="U76" s="52">
        <f t="shared" si="18"/>
        <v>2</v>
      </c>
      <c r="V76" s="52">
        <f t="shared" si="21"/>
        <v>0</v>
      </c>
      <c r="W76" s="52" t="str" cm="1">
        <f t="array" ref="W76">_xlfn.IFS(B76="","",AND(G76&gt;=0,L76&gt;0),"BuySome",AND(G76&gt;=0,K76="KMSignal"),"BuySome",AND(G76&lt;0,L76&gt;0),"BuyWatch",AND(Q76&lt;0,L76&gt;0),"BuyWatch",AND(G76&gt;=0,L76=0),"BuyWatch",L76&gt;0,"BuySome",TRUE,"")</f>
        <v/>
      </c>
      <c r="X76" s="47" t="str">
        <f>_xlfn.XLOOKUP(W76,Parm!$AN$2:$AN$25,Parm!$AO$2:$AO$25,"")</f>
        <v/>
      </c>
      <c r="Y76" s="52" t="str" cm="1">
        <f t="array" ref="Y76">_xlfn.IFS(B76="","",OR(Q76=-100,U76=-100),"SellAll",OR(Q76&lt;0,U76&lt;0),"SellSome",AND(Q76&gt;0,U76&gt;0),"BuySome",OR(Q76&gt;0,U76&gt;0),"BuyWatch",TRUE,"")</f>
        <v/>
      </c>
      <c r="Z76" s="47" t="str">
        <f>_xlfn.XLOOKUP(Y76,Parm!$AN$2:$AN$25,Parm!$AO$2:$AO$25,"")</f>
        <v/>
      </c>
      <c r="AA76" s="286">
        <f>IF(C76&lt;&gt;-100,A76,_xlfn.XLOOKUP(B76,ssH!L:L,ssH!M:M))</f>
        <v>46140</v>
      </c>
      <c r="AB76" s="49" t="str">
        <f t="shared" si="19"/>
        <v/>
      </c>
      <c r="AC76" s="52">
        <f>_xlfn.XLOOKUP(B76,TL!C:C,TL!C:C)</f>
        <v>0</v>
      </c>
      <c r="AD76" s="52">
        <f>_xlfn.XLOOKUP(B76,Y!C:C,Y!C:C)</f>
        <v>0</v>
      </c>
      <c r="AE76" s="52">
        <f>_xlfn.XLOOKUP(B76,MA!C:C,MA!C:C)</f>
        <v>0</v>
      </c>
    </row>
    <row r="77" spans="1:31" x14ac:dyDescent="0.25">
      <c r="A77" s="29">
        <f>ssH!$AG$1</f>
        <v>46140</v>
      </c>
      <c r="C77" s="47">
        <f t="shared" si="20"/>
        <v>0</v>
      </c>
      <c r="D77" s="42">
        <f>_xlfn.XLOOKUP(ssH!$AG$3&amp;B77,ssH!A:A,ssH!D:D,0)</f>
        <v>0</v>
      </c>
      <c r="E77" s="42">
        <f>_xlfn.XLOOKUP(ssH!$AG$5&amp;B77,ssH!A:A,ssH!D:D,0)</f>
        <v>0</v>
      </c>
      <c r="F77" s="42">
        <f>_xlfn.XLOOKUP(ssH!$AG$6&amp;B77,ssH!A:A,ssH!D:D,0)</f>
        <v>0</v>
      </c>
      <c r="G77" s="48">
        <f>_xlfn.XLOOKUP(A77&amp;B77,ssH!A:A,ssH!F:F,-100%)</f>
        <v>-1</v>
      </c>
      <c r="H77" s="46">
        <f>_xlfn.XLOOKUP(ssH!$AG$3&amp;B77,ssH!A:A,ssH!F:F,0)</f>
        <v>0</v>
      </c>
      <c r="I77" s="46">
        <f>_xlfn.XLOOKUP(ssH!$AG$5&amp;B77,ssH!A:A,ssH!F:F,0)</f>
        <v>0</v>
      </c>
      <c r="J77" s="46">
        <f>_xlfn.XLOOKUP(ssH!$AG$6&amp;B77,ssH!A:A,ssH!F:F,0)</f>
        <v>0</v>
      </c>
      <c r="K77" s="46">
        <f>_xlfn.XLOOKUP(B77,ssL!C:C,ssL!G:G,"Removed")</f>
        <v>0</v>
      </c>
      <c r="L77" s="27">
        <f>_xlfn.XLOOKUP(A77&amp;B77,ssH!A:A,ssH!D:D,0)</f>
        <v>0</v>
      </c>
      <c r="M77" s="42" t="str">
        <f>_xlfn.XLOOKUP(A77&amp;B77,ssH!A:A,ssH!I:I,"")</f>
        <v/>
      </c>
      <c r="N77" s="51" t="str">
        <f t="shared" si="11"/>
        <v/>
      </c>
      <c r="O77" s="51" t="str">
        <f t="shared" si="12"/>
        <v/>
      </c>
      <c r="P77" s="51" t="str">
        <f t="shared" si="13"/>
        <v/>
      </c>
      <c r="Q77" s="52">
        <f t="shared" si="14"/>
        <v>0</v>
      </c>
      <c r="R77" s="51">
        <f t="shared" si="15"/>
        <v>2</v>
      </c>
      <c r="S77" s="51">
        <f t="shared" si="16"/>
        <v>0</v>
      </c>
      <c r="T77" s="51">
        <f t="shared" si="17"/>
        <v>0</v>
      </c>
      <c r="U77" s="52">
        <f t="shared" si="18"/>
        <v>2</v>
      </c>
      <c r="V77" s="52">
        <f t="shared" si="21"/>
        <v>0</v>
      </c>
      <c r="W77" s="52" t="str" cm="1">
        <f t="array" ref="W77">_xlfn.IFS(B77="","",AND(G77&gt;=0,L77&gt;0),"BuySome",AND(G77&gt;=0,K77="KMSignal"),"BuySome",AND(G77&lt;0,L77&gt;0),"BuyWatch",AND(Q77&lt;0,L77&gt;0),"BuyWatch",AND(G77&gt;=0,L77=0),"BuyWatch",L77&gt;0,"BuySome",TRUE,"")</f>
        <v/>
      </c>
      <c r="X77" s="47" t="str">
        <f>_xlfn.XLOOKUP(W77,Parm!$AN$2:$AN$25,Parm!$AO$2:$AO$25,"")</f>
        <v/>
      </c>
      <c r="Y77" s="52" t="str" cm="1">
        <f t="array" ref="Y77">_xlfn.IFS(B77="","",OR(Q77=-100,U77=-100),"SellAll",OR(Q77&lt;0,U77&lt;0),"SellSome",AND(Q77&gt;0,U77&gt;0),"BuySome",OR(Q77&gt;0,U77&gt;0),"BuyWatch",TRUE,"")</f>
        <v/>
      </c>
      <c r="Z77" s="47" t="str">
        <f>_xlfn.XLOOKUP(Y77,Parm!$AN$2:$AN$25,Parm!$AO$2:$AO$25,"")</f>
        <v/>
      </c>
      <c r="AA77" s="286">
        <f>IF(C77&lt;&gt;-100,A77,_xlfn.XLOOKUP(B77,ssH!L:L,ssH!M:M))</f>
        <v>46140</v>
      </c>
      <c r="AB77" s="49" t="str">
        <f t="shared" si="19"/>
        <v/>
      </c>
      <c r="AC77" s="52">
        <f>_xlfn.XLOOKUP(B77,TL!C:C,TL!C:C)</f>
        <v>0</v>
      </c>
      <c r="AD77" s="52">
        <f>_xlfn.XLOOKUP(B77,Y!C:C,Y!C:C)</f>
        <v>0</v>
      </c>
      <c r="AE77" s="52">
        <f>_xlfn.XLOOKUP(B77,MA!C:C,MA!C:C)</f>
        <v>0</v>
      </c>
    </row>
    <row r="78" spans="1:31" x14ac:dyDescent="0.25">
      <c r="A78" s="29">
        <f>ssH!$AG$1</f>
        <v>46140</v>
      </c>
      <c r="C78" s="47">
        <f t="shared" si="20"/>
        <v>0</v>
      </c>
      <c r="D78" s="42">
        <f>_xlfn.XLOOKUP(ssH!$AG$3&amp;B78,ssH!A:A,ssH!D:D,0)</f>
        <v>0</v>
      </c>
      <c r="E78" s="42">
        <f>_xlfn.XLOOKUP(ssH!$AG$5&amp;B78,ssH!A:A,ssH!D:D,0)</f>
        <v>0</v>
      </c>
      <c r="F78" s="42">
        <f>_xlfn.XLOOKUP(ssH!$AG$6&amp;B78,ssH!A:A,ssH!D:D,0)</f>
        <v>0</v>
      </c>
      <c r="G78" s="48">
        <f>_xlfn.XLOOKUP(A78&amp;B78,ssH!A:A,ssH!F:F,-100%)</f>
        <v>-1</v>
      </c>
      <c r="H78" s="46">
        <f>_xlfn.XLOOKUP(ssH!$AG$3&amp;B78,ssH!A:A,ssH!F:F,0)</f>
        <v>0</v>
      </c>
      <c r="I78" s="46">
        <f>_xlfn.XLOOKUP(ssH!$AG$5&amp;B78,ssH!A:A,ssH!F:F,0)</f>
        <v>0</v>
      </c>
      <c r="J78" s="46">
        <f>_xlfn.XLOOKUP(ssH!$AG$6&amp;B78,ssH!A:A,ssH!F:F,0)</f>
        <v>0</v>
      </c>
      <c r="K78" s="46">
        <f>_xlfn.XLOOKUP(B78,ssL!C:C,ssL!G:G,"Removed")</f>
        <v>0</v>
      </c>
      <c r="L78" s="27">
        <f>_xlfn.XLOOKUP(A78&amp;B78,ssH!A:A,ssH!D:D,0)</f>
        <v>0</v>
      </c>
      <c r="M78" s="42" t="str">
        <f>_xlfn.XLOOKUP(A78&amp;B78,ssH!A:A,ssH!I:I,"")</f>
        <v/>
      </c>
      <c r="N78" s="51" t="str">
        <f t="shared" si="11"/>
        <v/>
      </c>
      <c r="O78" s="51" t="str">
        <f t="shared" si="12"/>
        <v/>
      </c>
      <c r="P78" s="51" t="str">
        <f t="shared" si="13"/>
        <v/>
      </c>
      <c r="Q78" s="52">
        <f t="shared" si="14"/>
        <v>0</v>
      </c>
      <c r="R78" s="51">
        <f t="shared" si="15"/>
        <v>2</v>
      </c>
      <c r="S78" s="51">
        <f t="shared" si="16"/>
        <v>0</v>
      </c>
      <c r="T78" s="51">
        <f t="shared" si="17"/>
        <v>0</v>
      </c>
      <c r="U78" s="52">
        <f t="shared" si="18"/>
        <v>2</v>
      </c>
      <c r="V78" s="52">
        <f t="shared" si="21"/>
        <v>0</v>
      </c>
      <c r="W78" s="52" t="str" cm="1">
        <f t="array" ref="W78">_xlfn.IFS(B78="","",AND(G78&gt;=0,L78&gt;0),"BuySome",AND(G78&gt;=0,K78="KMSignal"),"BuySome",AND(G78&lt;0,L78&gt;0),"BuyWatch",AND(Q78&lt;0,L78&gt;0),"BuyWatch",AND(G78&gt;=0,L78=0),"BuyWatch",L78&gt;0,"BuySome",TRUE,"")</f>
        <v/>
      </c>
      <c r="X78" s="47" t="str">
        <f>_xlfn.XLOOKUP(W78,Parm!$AN$2:$AN$25,Parm!$AO$2:$AO$25,"")</f>
        <v/>
      </c>
      <c r="Y78" s="52" t="str" cm="1">
        <f t="array" ref="Y78">_xlfn.IFS(B78="","",OR(Q78=-100,U78=-100),"SellAll",OR(Q78&lt;0,U78&lt;0),"SellSome",AND(Q78&gt;0,U78&gt;0),"BuySome",OR(Q78&gt;0,U78&gt;0),"BuyWatch",TRUE,"")</f>
        <v/>
      </c>
      <c r="Z78" s="47" t="str">
        <f>_xlfn.XLOOKUP(Y78,Parm!$AN$2:$AN$25,Parm!$AO$2:$AO$25,"")</f>
        <v/>
      </c>
      <c r="AA78" s="286">
        <f>IF(C78&lt;&gt;-100,A78,_xlfn.XLOOKUP(B78,ssH!L:L,ssH!M:M))</f>
        <v>46140</v>
      </c>
      <c r="AB78" s="49" t="str">
        <f t="shared" si="19"/>
        <v/>
      </c>
      <c r="AC78" s="52">
        <f>_xlfn.XLOOKUP(B78,TL!C:C,TL!C:C)</f>
        <v>0</v>
      </c>
      <c r="AD78" s="52">
        <f>_xlfn.XLOOKUP(B78,Y!C:C,Y!C:C)</f>
        <v>0</v>
      </c>
      <c r="AE78" s="52">
        <f>_xlfn.XLOOKUP(B78,MA!C:C,MA!C:C)</f>
        <v>0</v>
      </c>
    </row>
    <row r="79" spans="1:31" x14ac:dyDescent="0.25">
      <c r="A79" s="29">
        <f>ssH!$AG$1</f>
        <v>46140</v>
      </c>
      <c r="C79" s="47">
        <f t="shared" si="20"/>
        <v>0</v>
      </c>
      <c r="D79" s="42">
        <f>_xlfn.XLOOKUP(ssH!$AG$3&amp;B79,ssH!A:A,ssH!D:D,0)</f>
        <v>0</v>
      </c>
      <c r="E79" s="42">
        <f>_xlfn.XLOOKUP(ssH!$AG$5&amp;B79,ssH!A:A,ssH!D:D,0)</f>
        <v>0</v>
      </c>
      <c r="F79" s="42">
        <f>_xlfn.XLOOKUP(ssH!$AG$6&amp;B79,ssH!A:A,ssH!D:D,0)</f>
        <v>0</v>
      </c>
      <c r="G79" s="48">
        <f>_xlfn.XLOOKUP(A79&amp;B79,ssH!A:A,ssH!F:F,-100%)</f>
        <v>-1</v>
      </c>
      <c r="H79" s="46">
        <f>_xlfn.XLOOKUP(ssH!$AG$3&amp;B79,ssH!A:A,ssH!F:F,0)</f>
        <v>0</v>
      </c>
      <c r="I79" s="46">
        <f>_xlfn.XLOOKUP(ssH!$AG$5&amp;B79,ssH!A:A,ssH!F:F,0)</f>
        <v>0</v>
      </c>
      <c r="J79" s="46">
        <f>_xlfn.XLOOKUP(ssH!$AG$6&amp;B79,ssH!A:A,ssH!F:F,0)</f>
        <v>0</v>
      </c>
      <c r="K79" s="46">
        <f>_xlfn.XLOOKUP(B79,ssL!C:C,ssL!G:G,"Removed")</f>
        <v>0</v>
      </c>
      <c r="L79" s="27">
        <f>_xlfn.XLOOKUP(A79&amp;B79,ssH!A:A,ssH!D:D,0)</f>
        <v>0</v>
      </c>
      <c r="M79" s="42" t="str">
        <f>_xlfn.XLOOKUP(A79&amp;B79,ssH!A:A,ssH!I:I,"")</f>
        <v/>
      </c>
      <c r="N79" s="51" t="str">
        <f t="shared" si="11"/>
        <v/>
      </c>
      <c r="O79" s="51" t="str">
        <f t="shared" si="12"/>
        <v/>
      </c>
      <c r="P79" s="51" t="str">
        <f t="shared" si="13"/>
        <v/>
      </c>
      <c r="Q79" s="52">
        <f t="shared" si="14"/>
        <v>0</v>
      </c>
      <c r="R79" s="51">
        <f t="shared" si="15"/>
        <v>2</v>
      </c>
      <c r="S79" s="51">
        <f t="shared" si="16"/>
        <v>0</v>
      </c>
      <c r="T79" s="51">
        <f t="shared" si="17"/>
        <v>0</v>
      </c>
      <c r="U79" s="52">
        <f t="shared" si="18"/>
        <v>2</v>
      </c>
      <c r="V79" s="52">
        <f t="shared" si="21"/>
        <v>0</v>
      </c>
      <c r="W79" s="52" t="str" cm="1">
        <f t="array" ref="W79">_xlfn.IFS(B79="","",AND(G79&gt;=0,L79&gt;0),"BuySome",AND(G79&gt;=0,K79="KMSignal"),"BuySome",AND(G79&lt;0,L79&gt;0),"BuyWatch",AND(Q79&lt;0,L79&gt;0),"BuyWatch",AND(G79&gt;=0,L79=0),"BuyWatch",L79&gt;0,"BuySome",TRUE,"")</f>
        <v/>
      </c>
      <c r="X79" s="47" t="str">
        <f>_xlfn.XLOOKUP(W79,Parm!$AN$2:$AN$25,Parm!$AO$2:$AO$25,"")</f>
        <v/>
      </c>
      <c r="Y79" s="52" t="str" cm="1">
        <f t="array" ref="Y79">_xlfn.IFS(B79="","",OR(Q79=-100,U79=-100),"SellAll",OR(Q79&lt;0,U79&lt;0),"SellSome",AND(Q79&gt;0,U79&gt;0),"BuySome",OR(Q79&gt;0,U79&gt;0),"BuyWatch",TRUE,"")</f>
        <v/>
      </c>
      <c r="Z79" s="47" t="str">
        <f>_xlfn.XLOOKUP(Y79,Parm!$AN$2:$AN$25,Parm!$AO$2:$AO$25,"")</f>
        <v/>
      </c>
      <c r="AA79" s="286">
        <f>IF(C79&lt;&gt;-100,A79,_xlfn.XLOOKUP(B79,ssH!L:L,ssH!M:M))</f>
        <v>46140</v>
      </c>
      <c r="AB79" s="49" t="str">
        <f t="shared" si="19"/>
        <v/>
      </c>
      <c r="AC79" s="52">
        <f>_xlfn.XLOOKUP(B79,TL!C:C,TL!C:C)</f>
        <v>0</v>
      </c>
      <c r="AD79" s="52">
        <f>_xlfn.XLOOKUP(B79,Y!C:C,Y!C:C)</f>
        <v>0</v>
      </c>
      <c r="AE79" s="52">
        <f>_xlfn.XLOOKUP(B79,MA!C:C,MA!C:C)</f>
        <v>0</v>
      </c>
    </row>
    <row r="80" spans="1:31" x14ac:dyDescent="0.25">
      <c r="A80" s="29">
        <f>ssH!$AG$1</f>
        <v>46140</v>
      </c>
      <c r="C80" s="47">
        <f t="shared" si="20"/>
        <v>0</v>
      </c>
      <c r="D80" s="42">
        <f>_xlfn.XLOOKUP(ssH!$AG$3&amp;B80,ssH!A:A,ssH!D:D,0)</f>
        <v>0</v>
      </c>
      <c r="E80" s="42">
        <f>_xlfn.XLOOKUP(ssH!$AG$5&amp;B80,ssH!A:A,ssH!D:D,0)</f>
        <v>0</v>
      </c>
      <c r="F80" s="42">
        <f>_xlfn.XLOOKUP(ssH!$AG$6&amp;B80,ssH!A:A,ssH!D:D,0)</f>
        <v>0</v>
      </c>
      <c r="G80" s="48">
        <f>_xlfn.XLOOKUP(A80&amp;B80,ssH!A:A,ssH!F:F,-100%)</f>
        <v>-1</v>
      </c>
      <c r="H80" s="46">
        <f>_xlfn.XLOOKUP(ssH!$AG$3&amp;B80,ssH!A:A,ssH!F:F,0)</f>
        <v>0</v>
      </c>
      <c r="I80" s="46">
        <f>_xlfn.XLOOKUP(ssH!$AG$5&amp;B80,ssH!A:A,ssH!F:F,0)</f>
        <v>0</v>
      </c>
      <c r="J80" s="46">
        <f>_xlfn.XLOOKUP(ssH!$AG$6&amp;B80,ssH!A:A,ssH!F:F,0)</f>
        <v>0</v>
      </c>
      <c r="K80" s="46">
        <f>_xlfn.XLOOKUP(B80,ssL!C:C,ssL!G:G,"Removed")</f>
        <v>0</v>
      </c>
      <c r="L80" s="27">
        <f>_xlfn.XLOOKUP(A80&amp;B80,ssH!A:A,ssH!D:D,0)</f>
        <v>0</v>
      </c>
      <c r="M80" s="42" t="str">
        <f>_xlfn.XLOOKUP(A80&amp;B80,ssH!A:A,ssH!I:I,"")</f>
        <v/>
      </c>
      <c r="N80" s="51" t="str">
        <f t="shared" si="11"/>
        <v/>
      </c>
      <c r="O80" s="51" t="str">
        <f t="shared" si="12"/>
        <v/>
      </c>
      <c r="P80" s="51" t="str">
        <f t="shared" si="13"/>
        <v/>
      </c>
      <c r="Q80" s="52">
        <f t="shared" si="14"/>
        <v>0</v>
      </c>
      <c r="R80" s="51">
        <f t="shared" si="15"/>
        <v>2</v>
      </c>
      <c r="S80" s="51">
        <f t="shared" si="16"/>
        <v>0</v>
      </c>
      <c r="T80" s="51">
        <f t="shared" si="17"/>
        <v>0</v>
      </c>
      <c r="U80" s="52">
        <f t="shared" si="18"/>
        <v>2</v>
      </c>
      <c r="V80" s="52">
        <f t="shared" si="21"/>
        <v>0</v>
      </c>
      <c r="W80" s="52" t="str" cm="1">
        <f t="array" ref="W80">_xlfn.IFS(B80="","",AND(G80&gt;=0,L80&gt;0),"BuySome",AND(G80&gt;=0,K80="KMSignal"),"BuySome",AND(G80&lt;0,L80&gt;0),"BuyWatch",AND(Q80&lt;0,L80&gt;0),"BuyWatch",AND(G80&gt;=0,L80=0),"BuyWatch",L80&gt;0,"BuySome",TRUE,"")</f>
        <v/>
      </c>
      <c r="X80" s="47" t="str">
        <f>_xlfn.XLOOKUP(W80,Parm!$AN$2:$AN$25,Parm!$AO$2:$AO$25,"")</f>
        <v/>
      </c>
      <c r="Y80" s="52" t="str" cm="1">
        <f t="array" ref="Y80">_xlfn.IFS(B80="","",OR(Q80=-100,U80=-100),"SellAll",OR(Q80&lt;0,U80&lt;0),"SellSome",AND(Q80&gt;0,U80&gt;0),"BuySome",OR(Q80&gt;0,U80&gt;0),"BuyWatch",TRUE,"")</f>
        <v/>
      </c>
      <c r="Z80" s="47" t="str">
        <f>_xlfn.XLOOKUP(Y80,Parm!$AN$2:$AN$25,Parm!$AO$2:$AO$25,"")</f>
        <v/>
      </c>
      <c r="AA80" s="286">
        <f>IF(C80&lt;&gt;-100,A80,_xlfn.XLOOKUP(B80,ssH!L:L,ssH!M:M))</f>
        <v>46140</v>
      </c>
      <c r="AB80" s="49" t="str">
        <f t="shared" si="19"/>
        <v/>
      </c>
      <c r="AC80" s="52">
        <f>_xlfn.XLOOKUP(B80,TL!C:C,TL!C:C)</f>
        <v>0</v>
      </c>
      <c r="AD80" s="52">
        <f>_xlfn.XLOOKUP(B80,Y!C:C,Y!C:C)</f>
        <v>0</v>
      </c>
      <c r="AE80" s="52">
        <f>_xlfn.XLOOKUP(B80,MA!C:C,MA!C:C)</f>
        <v>0</v>
      </c>
    </row>
    <row r="81" spans="1:31" x14ac:dyDescent="0.25">
      <c r="A81" s="29">
        <f>ssH!$AG$1</f>
        <v>46140</v>
      </c>
      <c r="C81" s="47">
        <f t="shared" si="20"/>
        <v>0</v>
      </c>
      <c r="D81" s="42">
        <f>_xlfn.XLOOKUP(ssH!$AG$3&amp;B81,ssH!A:A,ssH!D:D,0)</f>
        <v>0</v>
      </c>
      <c r="E81" s="42">
        <f>_xlfn.XLOOKUP(ssH!$AG$5&amp;B81,ssH!A:A,ssH!D:D,0)</f>
        <v>0</v>
      </c>
      <c r="F81" s="42">
        <f>_xlfn.XLOOKUP(ssH!$AG$6&amp;B81,ssH!A:A,ssH!D:D,0)</f>
        <v>0</v>
      </c>
      <c r="G81" s="48">
        <f>_xlfn.XLOOKUP(A81&amp;B81,ssH!A:A,ssH!F:F,-100%)</f>
        <v>-1</v>
      </c>
      <c r="H81" s="46">
        <f>_xlfn.XLOOKUP(ssH!$AG$3&amp;B81,ssH!A:A,ssH!F:F,0)</f>
        <v>0</v>
      </c>
      <c r="I81" s="46">
        <f>_xlfn.XLOOKUP(ssH!$AG$5&amp;B81,ssH!A:A,ssH!F:F,0)</f>
        <v>0</v>
      </c>
      <c r="J81" s="46">
        <f>_xlfn.XLOOKUP(ssH!$AG$6&amp;B81,ssH!A:A,ssH!F:F,0)</f>
        <v>0</v>
      </c>
      <c r="K81" s="46">
        <f>_xlfn.XLOOKUP(B81,ssL!C:C,ssL!G:G,"Removed")</f>
        <v>0</v>
      </c>
      <c r="L81" s="27">
        <f>_xlfn.XLOOKUP(A81&amp;B81,ssH!A:A,ssH!D:D,0)</f>
        <v>0</v>
      </c>
      <c r="M81" s="42" t="str">
        <f>_xlfn.XLOOKUP(A81&amp;B81,ssH!A:A,ssH!I:I,"")</f>
        <v/>
      </c>
      <c r="N81" s="51" t="str">
        <f t="shared" si="11"/>
        <v/>
      </c>
      <c r="O81" s="51" t="str">
        <f t="shared" si="12"/>
        <v/>
      </c>
      <c r="P81" s="51" t="str">
        <f t="shared" si="13"/>
        <v/>
      </c>
      <c r="Q81" s="52">
        <f t="shared" si="14"/>
        <v>0</v>
      </c>
      <c r="R81" s="51">
        <f t="shared" si="15"/>
        <v>2</v>
      </c>
      <c r="S81" s="51">
        <f t="shared" si="16"/>
        <v>0</v>
      </c>
      <c r="T81" s="51">
        <f t="shared" si="17"/>
        <v>0</v>
      </c>
      <c r="U81" s="52">
        <f t="shared" si="18"/>
        <v>2</v>
      </c>
      <c r="V81" s="52">
        <f t="shared" si="21"/>
        <v>0</v>
      </c>
      <c r="W81" s="52" t="str" cm="1">
        <f t="array" ref="W81">_xlfn.IFS(B81="","",AND(G81&gt;=0,L81&gt;0),"BuySome",AND(G81&gt;=0,K81="KMSignal"),"BuySome",AND(G81&lt;0,L81&gt;0),"BuyWatch",AND(Q81&lt;0,L81&gt;0),"BuyWatch",AND(G81&gt;=0,L81=0),"BuyWatch",L81&gt;0,"BuySome",TRUE,"")</f>
        <v/>
      </c>
      <c r="X81" s="47" t="str">
        <f>_xlfn.XLOOKUP(W81,Parm!$AN$2:$AN$25,Parm!$AO$2:$AO$25,"")</f>
        <v/>
      </c>
      <c r="Y81" s="52" t="str" cm="1">
        <f t="array" ref="Y81">_xlfn.IFS(B81="","",OR(Q81=-100,U81=-100),"SellAll",OR(Q81&lt;0,U81&lt;0),"SellSome",AND(Q81&gt;0,U81&gt;0),"BuySome",OR(Q81&gt;0,U81&gt;0),"BuyWatch",TRUE,"")</f>
        <v/>
      </c>
      <c r="Z81" s="47" t="str">
        <f>_xlfn.XLOOKUP(Y81,Parm!$AN$2:$AN$25,Parm!$AO$2:$AO$25,"")</f>
        <v/>
      </c>
      <c r="AA81" s="286">
        <f>IF(C81&lt;&gt;-100,A81,_xlfn.XLOOKUP(B81,ssH!L:L,ssH!M:M))</f>
        <v>46140</v>
      </c>
      <c r="AB81" s="49" t="str">
        <f t="shared" si="19"/>
        <v/>
      </c>
      <c r="AC81" s="52">
        <f>_xlfn.XLOOKUP(B81,TL!C:C,TL!C:C)</f>
        <v>0</v>
      </c>
      <c r="AD81" s="52">
        <f>_xlfn.XLOOKUP(B81,Y!C:C,Y!C:C)</f>
        <v>0</v>
      </c>
      <c r="AE81" s="52">
        <f>_xlfn.XLOOKUP(B81,MA!C:C,MA!C:C)</f>
        <v>0</v>
      </c>
    </row>
    <row r="82" spans="1:31" x14ac:dyDescent="0.25">
      <c r="A82" s="29">
        <f>ssH!$AG$1</f>
        <v>46140</v>
      </c>
      <c r="C82" s="47">
        <f t="shared" si="20"/>
        <v>0</v>
      </c>
      <c r="D82" s="42">
        <f>_xlfn.XLOOKUP(ssH!$AG$3&amp;B82,ssH!A:A,ssH!D:D,0)</f>
        <v>0</v>
      </c>
      <c r="E82" s="42">
        <f>_xlfn.XLOOKUP(ssH!$AG$5&amp;B82,ssH!A:A,ssH!D:D,0)</f>
        <v>0</v>
      </c>
      <c r="F82" s="42">
        <f>_xlfn.XLOOKUP(ssH!$AG$6&amp;B82,ssH!A:A,ssH!D:D,0)</f>
        <v>0</v>
      </c>
      <c r="G82" s="48">
        <f>_xlfn.XLOOKUP(A82&amp;B82,ssH!A:A,ssH!F:F,-100%)</f>
        <v>-1</v>
      </c>
      <c r="H82" s="46">
        <f>_xlfn.XLOOKUP(ssH!$AG$3&amp;B82,ssH!A:A,ssH!F:F,0)</f>
        <v>0</v>
      </c>
      <c r="I82" s="46">
        <f>_xlfn.XLOOKUP(ssH!$AG$5&amp;B82,ssH!A:A,ssH!F:F,0)</f>
        <v>0</v>
      </c>
      <c r="J82" s="46">
        <f>_xlfn.XLOOKUP(ssH!$AG$6&amp;B82,ssH!A:A,ssH!F:F,0)</f>
        <v>0</v>
      </c>
      <c r="K82" s="46">
        <f>_xlfn.XLOOKUP(B82,ssL!C:C,ssL!G:G,"Removed")</f>
        <v>0</v>
      </c>
      <c r="L82" s="27">
        <f>_xlfn.XLOOKUP(A82&amp;B82,ssH!A:A,ssH!D:D,0)</f>
        <v>0</v>
      </c>
      <c r="M82" s="42" t="str">
        <f>_xlfn.XLOOKUP(A82&amp;B82,ssH!A:A,ssH!I:I,"")</f>
        <v/>
      </c>
      <c r="N82" s="51" t="str">
        <f t="shared" si="11"/>
        <v/>
      </c>
      <c r="O82" s="51" t="str">
        <f t="shared" si="12"/>
        <v/>
      </c>
      <c r="P82" s="51" t="str">
        <f t="shared" si="13"/>
        <v/>
      </c>
      <c r="Q82" s="52">
        <f t="shared" si="14"/>
        <v>0</v>
      </c>
      <c r="R82" s="51">
        <f t="shared" si="15"/>
        <v>2</v>
      </c>
      <c r="S82" s="51">
        <f t="shared" si="16"/>
        <v>0</v>
      </c>
      <c r="T82" s="51">
        <f t="shared" si="17"/>
        <v>0</v>
      </c>
      <c r="U82" s="52">
        <f t="shared" si="18"/>
        <v>2</v>
      </c>
      <c r="V82" s="52">
        <f t="shared" si="21"/>
        <v>0</v>
      </c>
      <c r="W82" s="52" t="str" cm="1">
        <f t="array" ref="W82">_xlfn.IFS(B82="","",AND(G82&gt;=0,L82&gt;0),"BuySome",AND(G82&gt;=0,K82="KMSignal"),"BuySome",AND(G82&lt;0,L82&gt;0),"BuyWatch",AND(Q82&lt;0,L82&gt;0),"BuyWatch",AND(G82&gt;=0,L82=0),"BuyWatch",L82&gt;0,"BuySome",TRUE,"")</f>
        <v/>
      </c>
      <c r="X82" s="47" t="str">
        <f>_xlfn.XLOOKUP(W82,Parm!$AN$2:$AN$25,Parm!$AO$2:$AO$25,"")</f>
        <v/>
      </c>
      <c r="Y82" s="52" t="str" cm="1">
        <f t="array" ref="Y82">_xlfn.IFS(B82="","",OR(Q82=-100,U82=-100),"SellAll",OR(Q82&lt;0,U82&lt;0),"SellSome",AND(Q82&gt;0,U82&gt;0),"BuySome",OR(Q82&gt;0,U82&gt;0),"BuyWatch",TRUE,"")</f>
        <v/>
      </c>
      <c r="Z82" s="47" t="str">
        <f>_xlfn.XLOOKUP(Y82,Parm!$AN$2:$AN$25,Parm!$AO$2:$AO$25,"")</f>
        <v/>
      </c>
      <c r="AA82" s="286">
        <f>IF(C82&lt;&gt;-100,A82,_xlfn.XLOOKUP(B82,ssH!L:L,ssH!M:M))</f>
        <v>46140</v>
      </c>
      <c r="AB82" s="49" t="str">
        <f t="shared" si="19"/>
        <v/>
      </c>
      <c r="AC82" s="52">
        <f>_xlfn.XLOOKUP(B82,TL!C:C,TL!C:C)</f>
        <v>0</v>
      </c>
      <c r="AD82" s="52">
        <f>_xlfn.XLOOKUP(B82,Y!C:C,Y!C:C)</f>
        <v>0</v>
      </c>
      <c r="AE82" s="52">
        <f>_xlfn.XLOOKUP(B82,MA!C:C,MA!C:C)</f>
        <v>0</v>
      </c>
    </row>
    <row r="83" spans="1:31" x14ac:dyDescent="0.25">
      <c r="A83" s="29">
        <f>ssH!$AG$1</f>
        <v>46140</v>
      </c>
      <c r="C83" s="47">
        <f t="shared" si="20"/>
        <v>0</v>
      </c>
      <c r="D83" s="42">
        <f>_xlfn.XLOOKUP(ssH!$AG$3&amp;B83,ssH!A:A,ssH!D:D,0)</f>
        <v>0</v>
      </c>
      <c r="E83" s="42">
        <f>_xlfn.XLOOKUP(ssH!$AG$5&amp;B83,ssH!A:A,ssH!D:D,0)</f>
        <v>0</v>
      </c>
      <c r="F83" s="42">
        <f>_xlfn.XLOOKUP(ssH!$AG$6&amp;B83,ssH!A:A,ssH!D:D,0)</f>
        <v>0</v>
      </c>
      <c r="G83" s="48">
        <f>_xlfn.XLOOKUP(A83&amp;B83,ssH!A:A,ssH!F:F,-100%)</f>
        <v>-1</v>
      </c>
      <c r="H83" s="46">
        <f>_xlfn.XLOOKUP(ssH!$AG$3&amp;B83,ssH!A:A,ssH!F:F,0)</f>
        <v>0</v>
      </c>
      <c r="I83" s="46">
        <f>_xlfn.XLOOKUP(ssH!$AG$5&amp;B83,ssH!A:A,ssH!F:F,0)</f>
        <v>0</v>
      </c>
      <c r="J83" s="46">
        <f>_xlfn.XLOOKUP(ssH!$AG$6&amp;B83,ssH!A:A,ssH!F:F,0)</f>
        <v>0</v>
      </c>
      <c r="K83" s="46">
        <f>_xlfn.XLOOKUP(B83,ssL!C:C,ssL!G:G,"Removed")</f>
        <v>0</v>
      </c>
      <c r="L83" s="27">
        <f>_xlfn.XLOOKUP(A83&amp;B83,ssH!A:A,ssH!D:D,0)</f>
        <v>0</v>
      </c>
      <c r="M83" s="42" t="str">
        <f>_xlfn.XLOOKUP(A83&amp;B83,ssH!A:A,ssH!I:I,"")</f>
        <v/>
      </c>
      <c r="N83" s="51" t="str">
        <f t="shared" si="11"/>
        <v/>
      </c>
      <c r="O83" s="51" t="str">
        <f t="shared" si="12"/>
        <v/>
      </c>
      <c r="P83" s="51" t="str">
        <f t="shared" si="13"/>
        <v/>
      </c>
      <c r="Q83" s="52">
        <f t="shared" si="14"/>
        <v>0</v>
      </c>
      <c r="R83" s="51">
        <f t="shared" si="15"/>
        <v>2</v>
      </c>
      <c r="S83" s="51">
        <f t="shared" si="16"/>
        <v>0</v>
      </c>
      <c r="T83" s="51">
        <f t="shared" si="17"/>
        <v>0</v>
      </c>
      <c r="U83" s="52">
        <f t="shared" si="18"/>
        <v>2</v>
      </c>
      <c r="V83" s="52">
        <f t="shared" si="21"/>
        <v>0</v>
      </c>
      <c r="W83" s="52" t="str" cm="1">
        <f t="array" ref="W83">_xlfn.IFS(B83="","",AND(G83&gt;=0,L83&gt;0),"BuySome",AND(G83&gt;=0,K83="KMSignal"),"BuySome",AND(G83&lt;0,L83&gt;0),"BuyWatch",AND(Q83&lt;0,L83&gt;0),"BuyWatch",AND(G83&gt;=0,L83=0),"BuyWatch",L83&gt;0,"BuySome",TRUE,"")</f>
        <v/>
      </c>
      <c r="X83" s="47" t="str">
        <f>_xlfn.XLOOKUP(W83,Parm!$AN$2:$AN$25,Parm!$AO$2:$AO$25,"")</f>
        <v/>
      </c>
      <c r="Y83" s="52" t="str" cm="1">
        <f t="array" ref="Y83">_xlfn.IFS(B83="","",OR(Q83=-100,U83=-100),"SellAll",OR(Q83&lt;0,U83&lt;0),"SellSome",AND(Q83&gt;0,U83&gt;0),"BuySome",OR(Q83&gt;0,U83&gt;0),"BuyWatch",TRUE,"")</f>
        <v/>
      </c>
      <c r="Z83" s="47" t="str">
        <f>_xlfn.XLOOKUP(Y83,Parm!$AN$2:$AN$25,Parm!$AO$2:$AO$25,"")</f>
        <v/>
      </c>
      <c r="AA83" s="286">
        <f>IF(C83&lt;&gt;-100,A83,_xlfn.XLOOKUP(B83,ssH!L:L,ssH!M:M))</f>
        <v>46140</v>
      </c>
      <c r="AB83" s="49" t="str">
        <f t="shared" si="19"/>
        <v/>
      </c>
      <c r="AC83" s="52">
        <f>_xlfn.XLOOKUP(B83,TL!C:C,TL!C:C)</f>
        <v>0</v>
      </c>
      <c r="AD83" s="52">
        <f>_xlfn.XLOOKUP(B83,Y!C:C,Y!C:C)</f>
        <v>0</v>
      </c>
      <c r="AE83" s="52">
        <f>_xlfn.XLOOKUP(B83,MA!C:C,MA!C:C)</f>
        <v>0</v>
      </c>
    </row>
    <row r="84" spans="1:31" x14ac:dyDescent="0.25">
      <c r="A84" s="29">
        <f>ssH!$AG$1</f>
        <v>46140</v>
      </c>
      <c r="C84" s="47">
        <f t="shared" si="20"/>
        <v>0</v>
      </c>
      <c r="D84" s="42">
        <f>_xlfn.XLOOKUP(ssH!$AG$3&amp;B84,ssH!A:A,ssH!D:D,0)</f>
        <v>0</v>
      </c>
      <c r="E84" s="42">
        <f>_xlfn.XLOOKUP(ssH!$AG$5&amp;B84,ssH!A:A,ssH!D:D,0)</f>
        <v>0</v>
      </c>
      <c r="F84" s="42">
        <f>_xlfn.XLOOKUP(ssH!$AG$6&amp;B84,ssH!A:A,ssH!D:D,0)</f>
        <v>0</v>
      </c>
      <c r="G84" s="48">
        <f>_xlfn.XLOOKUP(A84&amp;B84,ssH!A:A,ssH!F:F,-100%)</f>
        <v>-1</v>
      </c>
      <c r="H84" s="46">
        <f>_xlfn.XLOOKUP(ssH!$AG$3&amp;B84,ssH!A:A,ssH!F:F,0)</f>
        <v>0</v>
      </c>
      <c r="I84" s="46">
        <f>_xlfn.XLOOKUP(ssH!$AG$5&amp;B84,ssH!A:A,ssH!F:F,0)</f>
        <v>0</v>
      </c>
      <c r="J84" s="46">
        <f>_xlfn.XLOOKUP(ssH!$AG$6&amp;B84,ssH!A:A,ssH!F:F,0)</f>
        <v>0</v>
      </c>
      <c r="K84" s="46">
        <f>_xlfn.XLOOKUP(B84,ssL!C:C,ssL!G:G,"Removed")</f>
        <v>0</v>
      </c>
      <c r="L84" s="27">
        <f>_xlfn.XLOOKUP(A84&amp;B84,ssH!A:A,ssH!D:D,0)</f>
        <v>0</v>
      </c>
      <c r="M84" s="42" t="str">
        <f>_xlfn.XLOOKUP(A84&amp;B84,ssH!A:A,ssH!I:I,"")</f>
        <v/>
      </c>
      <c r="N84" s="51" t="str">
        <f t="shared" si="11"/>
        <v/>
      </c>
      <c r="O84" s="51" t="str">
        <f t="shared" si="12"/>
        <v/>
      </c>
      <c r="P84" s="51" t="str">
        <f t="shared" si="13"/>
        <v/>
      </c>
      <c r="Q84" s="52">
        <f t="shared" si="14"/>
        <v>0</v>
      </c>
      <c r="R84" s="51">
        <f t="shared" si="15"/>
        <v>2</v>
      </c>
      <c r="S84" s="51">
        <f t="shared" si="16"/>
        <v>0</v>
      </c>
      <c r="T84" s="51">
        <f t="shared" si="17"/>
        <v>0</v>
      </c>
      <c r="U84" s="52">
        <f t="shared" si="18"/>
        <v>2</v>
      </c>
      <c r="V84" s="52">
        <f t="shared" si="21"/>
        <v>0</v>
      </c>
      <c r="W84" s="52" t="str" cm="1">
        <f t="array" ref="W84">_xlfn.IFS(B84="","",AND(G84&gt;=0,L84&gt;0),"BuySome",AND(G84&gt;=0,K84="KMSignal"),"BuySome",AND(G84&lt;0,L84&gt;0),"BuyWatch",AND(Q84&lt;0,L84&gt;0),"BuyWatch",AND(G84&gt;=0,L84=0),"BuyWatch",L84&gt;0,"BuySome",TRUE,"")</f>
        <v/>
      </c>
      <c r="X84" s="47" t="str">
        <f>_xlfn.XLOOKUP(W84,Parm!$AN$2:$AN$25,Parm!$AO$2:$AO$25,"")</f>
        <v/>
      </c>
      <c r="Y84" s="52" t="str" cm="1">
        <f t="array" ref="Y84">_xlfn.IFS(B84="","",OR(Q84=-100,U84=-100),"SellAll",OR(Q84&lt;0,U84&lt;0),"SellSome",AND(Q84&gt;0,U84&gt;0),"BuySome",OR(Q84&gt;0,U84&gt;0),"BuyWatch",TRUE,"")</f>
        <v/>
      </c>
      <c r="Z84" s="47" t="str">
        <f>_xlfn.XLOOKUP(Y84,Parm!$AN$2:$AN$25,Parm!$AO$2:$AO$25,"")</f>
        <v/>
      </c>
      <c r="AA84" s="286">
        <f>IF(C84&lt;&gt;-100,A84,_xlfn.XLOOKUP(B84,ssH!L:L,ssH!M:M))</f>
        <v>46140</v>
      </c>
      <c r="AB84" s="49" t="str">
        <f t="shared" si="19"/>
        <v/>
      </c>
      <c r="AC84" s="52">
        <f>_xlfn.XLOOKUP(B84,TL!C:C,TL!C:C)</f>
        <v>0</v>
      </c>
      <c r="AD84" s="52">
        <f>_xlfn.XLOOKUP(B84,Y!C:C,Y!C:C)</f>
        <v>0</v>
      </c>
      <c r="AE84" s="52">
        <f>_xlfn.XLOOKUP(B84,MA!C:C,MA!C:C)</f>
        <v>0</v>
      </c>
    </row>
    <row r="85" spans="1:31" x14ac:dyDescent="0.25">
      <c r="A85" s="29">
        <f>ssH!$AG$1</f>
        <v>46140</v>
      </c>
      <c r="C85" s="47">
        <f t="shared" si="20"/>
        <v>0</v>
      </c>
      <c r="D85" s="42">
        <f>_xlfn.XLOOKUP(ssH!$AG$3&amp;B85,ssH!A:A,ssH!D:D,0)</f>
        <v>0</v>
      </c>
      <c r="E85" s="42">
        <f>_xlfn.XLOOKUP(ssH!$AG$5&amp;B85,ssH!A:A,ssH!D:D,0)</f>
        <v>0</v>
      </c>
      <c r="F85" s="42">
        <f>_xlfn.XLOOKUP(ssH!$AG$6&amp;B85,ssH!A:A,ssH!D:D,0)</f>
        <v>0</v>
      </c>
      <c r="G85" s="48">
        <f>_xlfn.XLOOKUP(A85&amp;B85,ssH!A:A,ssH!F:F,-100%)</f>
        <v>-1</v>
      </c>
      <c r="H85" s="46">
        <f>_xlfn.XLOOKUP(ssH!$AG$3&amp;B85,ssH!A:A,ssH!F:F,0)</f>
        <v>0</v>
      </c>
      <c r="I85" s="46">
        <f>_xlfn.XLOOKUP(ssH!$AG$5&amp;B85,ssH!A:A,ssH!F:F,0)</f>
        <v>0</v>
      </c>
      <c r="J85" s="46">
        <f>_xlfn.XLOOKUP(ssH!$AG$6&amp;B85,ssH!A:A,ssH!F:F,0)</f>
        <v>0</v>
      </c>
      <c r="K85" s="46">
        <f>_xlfn.XLOOKUP(B85,ssL!C:C,ssL!G:G,"Removed")</f>
        <v>0</v>
      </c>
      <c r="L85" s="27">
        <f>_xlfn.XLOOKUP(A85&amp;B85,ssH!A:A,ssH!D:D,0)</f>
        <v>0</v>
      </c>
      <c r="M85" s="42" t="str">
        <f>_xlfn.XLOOKUP(A85&amp;B85,ssH!A:A,ssH!I:I,"")</f>
        <v/>
      </c>
      <c r="N85" s="51" t="str">
        <f t="shared" si="11"/>
        <v/>
      </c>
      <c r="O85" s="51" t="str">
        <f t="shared" si="12"/>
        <v/>
      </c>
      <c r="P85" s="51" t="str">
        <f t="shared" si="13"/>
        <v/>
      </c>
      <c r="Q85" s="52">
        <f t="shared" si="14"/>
        <v>0</v>
      </c>
      <c r="R85" s="51">
        <f t="shared" si="15"/>
        <v>2</v>
      </c>
      <c r="S85" s="51">
        <f t="shared" si="16"/>
        <v>0</v>
      </c>
      <c r="T85" s="51">
        <f t="shared" si="17"/>
        <v>0</v>
      </c>
      <c r="U85" s="52">
        <f t="shared" si="18"/>
        <v>2</v>
      </c>
      <c r="V85" s="52">
        <f t="shared" si="21"/>
        <v>0</v>
      </c>
      <c r="W85" s="52" t="str" cm="1">
        <f t="array" ref="W85">_xlfn.IFS(B85="","",AND(G85&gt;=0,L85&gt;0),"BuySome",AND(G85&gt;=0,K85="KMSignal"),"BuySome",AND(G85&lt;0,L85&gt;0),"BuyWatch",AND(Q85&lt;0,L85&gt;0),"BuyWatch",AND(G85&gt;=0,L85=0),"BuyWatch",L85&gt;0,"BuySome",TRUE,"")</f>
        <v/>
      </c>
      <c r="X85" s="47" t="str">
        <f>_xlfn.XLOOKUP(W85,Parm!$AN$2:$AN$25,Parm!$AO$2:$AO$25,"")</f>
        <v/>
      </c>
      <c r="Y85" s="52" t="str" cm="1">
        <f t="array" ref="Y85">_xlfn.IFS(B85="","",OR(Q85=-100,U85=-100),"SellAll",OR(Q85&lt;0,U85&lt;0),"SellSome",AND(Q85&gt;0,U85&gt;0),"BuySome",OR(Q85&gt;0,U85&gt;0),"BuyWatch",TRUE,"")</f>
        <v/>
      </c>
      <c r="Z85" s="47" t="str">
        <f>_xlfn.XLOOKUP(Y85,Parm!$AN$2:$AN$25,Parm!$AO$2:$AO$25,"")</f>
        <v/>
      </c>
      <c r="AA85" s="286">
        <f>IF(C85&lt;&gt;-100,A85,_xlfn.XLOOKUP(B85,ssH!L:L,ssH!M:M))</f>
        <v>46140</v>
      </c>
      <c r="AB85" s="49" t="str">
        <f t="shared" si="19"/>
        <v/>
      </c>
      <c r="AC85" s="52">
        <f>_xlfn.XLOOKUP(B85,TL!C:C,TL!C:C)</f>
        <v>0</v>
      </c>
      <c r="AD85" s="52">
        <f>_xlfn.XLOOKUP(B85,Y!C:C,Y!C:C)</f>
        <v>0</v>
      </c>
      <c r="AE85" s="52">
        <f>_xlfn.XLOOKUP(B85,MA!C:C,MA!C:C)</f>
        <v>0</v>
      </c>
    </row>
    <row r="86" spans="1:31" x14ac:dyDescent="0.25">
      <c r="A86" s="29">
        <f>ssH!$AG$1</f>
        <v>46140</v>
      </c>
      <c r="C86" s="47">
        <f t="shared" si="20"/>
        <v>0</v>
      </c>
      <c r="D86" s="42">
        <f>_xlfn.XLOOKUP(ssH!$AG$3&amp;B86,ssH!A:A,ssH!D:D,0)</f>
        <v>0</v>
      </c>
      <c r="E86" s="42">
        <f>_xlfn.XLOOKUP(ssH!$AG$5&amp;B86,ssH!A:A,ssH!D:D,0)</f>
        <v>0</v>
      </c>
      <c r="F86" s="42">
        <f>_xlfn.XLOOKUP(ssH!$AG$6&amp;B86,ssH!A:A,ssH!D:D,0)</f>
        <v>0</v>
      </c>
      <c r="G86" s="48">
        <f>_xlfn.XLOOKUP(A86&amp;B86,ssH!A:A,ssH!F:F,-100%)</f>
        <v>-1</v>
      </c>
      <c r="H86" s="46">
        <f>_xlfn.XLOOKUP(ssH!$AG$3&amp;B86,ssH!A:A,ssH!F:F,0)</f>
        <v>0</v>
      </c>
      <c r="I86" s="46">
        <f>_xlfn.XLOOKUP(ssH!$AG$5&amp;B86,ssH!A:A,ssH!F:F,0)</f>
        <v>0</v>
      </c>
      <c r="J86" s="46">
        <f>_xlfn.XLOOKUP(ssH!$AG$6&amp;B86,ssH!A:A,ssH!F:F,0)</f>
        <v>0</v>
      </c>
      <c r="K86" s="46">
        <f>_xlfn.XLOOKUP(B86,ssL!C:C,ssL!G:G,"Removed")</f>
        <v>0</v>
      </c>
      <c r="L86" s="27">
        <f>_xlfn.XLOOKUP(A86&amp;B86,ssH!A:A,ssH!D:D,0)</f>
        <v>0</v>
      </c>
      <c r="M86" s="42" t="str">
        <f>_xlfn.XLOOKUP(A86&amp;B86,ssH!A:A,ssH!I:I,"")</f>
        <v/>
      </c>
      <c r="N86" s="51" t="str">
        <f t="shared" si="11"/>
        <v/>
      </c>
      <c r="O86" s="51" t="str">
        <f t="shared" si="12"/>
        <v/>
      </c>
      <c r="P86" s="51" t="str">
        <f t="shared" si="13"/>
        <v/>
      </c>
      <c r="Q86" s="52">
        <f t="shared" si="14"/>
        <v>0</v>
      </c>
      <c r="R86" s="51">
        <f t="shared" si="15"/>
        <v>2</v>
      </c>
      <c r="S86" s="51">
        <f t="shared" si="16"/>
        <v>0</v>
      </c>
      <c r="T86" s="51">
        <f t="shared" si="17"/>
        <v>0</v>
      </c>
      <c r="U86" s="52">
        <f t="shared" si="18"/>
        <v>2</v>
      </c>
      <c r="V86" s="52">
        <f t="shared" si="21"/>
        <v>0</v>
      </c>
      <c r="W86" s="52" t="str" cm="1">
        <f t="array" ref="W86">_xlfn.IFS(B86="","",AND(G86&gt;=0,L86&gt;0),"BuySome",AND(G86&gt;=0,K86="KMSignal"),"BuySome",AND(G86&lt;0,L86&gt;0),"BuyWatch",AND(Q86&lt;0,L86&gt;0),"BuyWatch",AND(G86&gt;=0,L86=0),"BuyWatch",L86&gt;0,"BuySome",TRUE,"")</f>
        <v/>
      </c>
      <c r="X86" s="47" t="str">
        <f>_xlfn.XLOOKUP(W86,Parm!$AN$2:$AN$25,Parm!$AO$2:$AO$25,"")</f>
        <v/>
      </c>
      <c r="Y86" s="52" t="str" cm="1">
        <f t="array" ref="Y86">_xlfn.IFS(B86="","",OR(Q86=-100,U86=-100),"SellAll",OR(Q86&lt;0,U86&lt;0),"SellSome",AND(Q86&gt;0,U86&gt;0),"BuySome",OR(Q86&gt;0,U86&gt;0),"BuyWatch",TRUE,"")</f>
        <v/>
      </c>
      <c r="Z86" s="47" t="str">
        <f>_xlfn.XLOOKUP(Y86,Parm!$AN$2:$AN$25,Parm!$AO$2:$AO$25,"")</f>
        <v/>
      </c>
      <c r="AA86" s="286">
        <f>IF(C86&lt;&gt;-100,A86,_xlfn.XLOOKUP(B86,ssH!L:L,ssH!M:M))</f>
        <v>46140</v>
      </c>
      <c r="AB86" s="49" t="str">
        <f t="shared" si="19"/>
        <v/>
      </c>
      <c r="AC86" s="52">
        <f>_xlfn.XLOOKUP(B86,TL!C:C,TL!C:C)</f>
        <v>0</v>
      </c>
      <c r="AD86" s="52">
        <f>_xlfn.XLOOKUP(B86,Y!C:C,Y!C:C)</f>
        <v>0</v>
      </c>
      <c r="AE86" s="52">
        <f>_xlfn.XLOOKUP(B86,MA!C:C,MA!C:C)</f>
        <v>0</v>
      </c>
    </row>
    <row r="87" spans="1:31" x14ac:dyDescent="0.25">
      <c r="A87" s="29">
        <f>ssH!$AG$1</f>
        <v>46140</v>
      </c>
      <c r="C87" s="47">
        <f t="shared" si="20"/>
        <v>0</v>
      </c>
      <c r="D87" s="42">
        <f>_xlfn.XLOOKUP(ssH!$AG$3&amp;B87,ssH!A:A,ssH!D:D,0)</f>
        <v>0</v>
      </c>
      <c r="E87" s="42">
        <f>_xlfn.XLOOKUP(ssH!$AG$5&amp;B87,ssH!A:A,ssH!D:D,0)</f>
        <v>0</v>
      </c>
      <c r="F87" s="42">
        <f>_xlfn.XLOOKUP(ssH!$AG$6&amp;B87,ssH!A:A,ssH!D:D,0)</f>
        <v>0</v>
      </c>
      <c r="G87" s="48">
        <f>_xlfn.XLOOKUP(A87&amp;B87,ssH!A:A,ssH!F:F,-100%)</f>
        <v>-1</v>
      </c>
      <c r="H87" s="46">
        <f>_xlfn.XLOOKUP(ssH!$AG$3&amp;B87,ssH!A:A,ssH!F:F,0)</f>
        <v>0</v>
      </c>
      <c r="I87" s="46">
        <f>_xlfn.XLOOKUP(ssH!$AG$5&amp;B87,ssH!A:A,ssH!F:F,0)</f>
        <v>0</v>
      </c>
      <c r="J87" s="46">
        <f>_xlfn.XLOOKUP(ssH!$AG$6&amp;B87,ssH!A:A,ssH!F:F,0)</f>
        <v>0</v>
      </c>
      <c r="K87" s="46">
        <f>_xlfn.XLOOKUP(B87,ssL!C:C,ssL!G:G,"Removed")</f>
        <v>0</v>
      </c>
      <c r="L87" s="27">
        <f>_xlfn.XLOOKUP(A87&amp;B87,ssH!A:A,ssH!D:D,0)</f>
        <v>0</v>
      </c>
      <c r="M87" s="42" t="str">
        <f>_xlfn.XLOOKUP(A87&amp;B87,ssH!A:A,ssH!I:I,"")</f>
        <v/>
      </c>
      <c r="N87" s="51" t="str">
        <f t="shared" si="11"/>
        <v/>
      </c>
      <c r="O87" s="51" t="str">
        <f t="shared" si="12"/>
        <v/>
      </c>
      <c r="P87" s="51" t="str">
        <f t="shared" si="13"/>
        <v/>
      </c>
      <c r="Q87" s="52">
        <f t="shared" si="14"/>
        <v>0</v>
      </c>
      <c r="R87" s="51">
        <f t="shared" si="15"/>
        <v>2</v>
      </c>
      <c r="S87" s="51">
        <f t="shared" si="16"/>
        <v>0</v>
      </c>
      <c r="T87" s="51">
        <f t="shared" si="17"/>
        <v>0</v>
      </c>
      <c r="U87" s="52">
        <f t="shared" si="18"/>
        <v>2</v>
      </c>
      <c r="V87" s="52">
        <f t="shared" si="21"/>
        <v>0</v>
      </c>
      <c r="W87" s="52" t="str" cm="1">
        <f t="array" ref="W87">_xlfn.IFS(B87="","",AND(G87&gt;=0,L87&gt;0),"BuySome",AND(G87&gt;=0,K87="KMSignal"),"BuySome",AND(G87&lt;0,L87&gt;0),"BuyWatch",AND(Q87&lt;0,L87&gt;0),"BuyWatch",AND(G87&gt;=0,L87=0),"BuyWatch",L87&gt;0,"BuySome",TRUE,"")</f>
        <v/>
      </c>
      <c r="X87" s="47" t="str">
        <f>_xlfn.XLOOKUP(W87,Parm!$AN$2:$AN$25,Parm!$AO$2:$AO$25,"")</f>
        <v/>
      </c>
      <c r="Y87" s="52" t="str" cm="1">
        <f t="array" ref="Y87">_xlfn.IFS(B87="","",OR(Q87=-100,U87=-100),"SellAll",OR(Q87&lt;0,U87&lt;0),"SellSome",AND(Q87&gt;0,U87&gt;0),"BuySome",OR(Q87&gt;0,U87&gt;0),"BuyWatch",TRUE,"")</f>
        <v/>
      </c>
      <c r="Z87" s="47" t="str">
        <f>_xlfn.XLOOKUP(Y87,Parm!$AN$2:$AN$25,Parm!$AO$2:$AO$25,"")</f>
        <v/>
      </c>
      <c r="AA87" s="286">
        <f>IF(C87&lt;&gt;-100,A87,_xlfn.XLOOKUP(B87,ssH!L:L,ssH!M:M))</f>
        <v>46140</v>
      </c>
      <c r="AB87" s="49" t="str">
        <f t="shared" si="19"/>
        <v/>
      </c>
      <c r="AC87" s="52">
        <f>_xlfn.XLOOKUP(B87,TL!C:C,TL!C:C)</f>
        <v>0</v>
      </c>
      <c r="AD87" s="52">
        <f>_xlfn.XLOOKUP(B87,Y!C:C,Y!C:C)</f>
        <v>0</v>
      </c>
      <c r="AE87" s="52">
        <f>_xlfn.XLOOKUP(B87,MA!C:C,MA!C:C)</f>
        <v>0</v>
      </c>
    </row>
    <row r="88" spans="1:31" x14ac:dyDescent="0.25">
      <c r="A88" s="29">
        <f>ssH!$AG$1</f>
        <v>46140</v>
      </c>
      <c r="C88" s="47">
        <f t="shared" si="20"/>
        <v>0</v>
      </c>
      <c r="D88" s="42">
        <f>_xlfn.XLOOKUP(ssH!$AG$3&amp;B88,ssH!A:A,ssH!D:D,0)</f>
        <v>0</v>
      </c>
      <c r="E88" s="42">
        <f>_xlfn.XLOOKUP(ssH!$AG$5&amp;B88,ssH!A:A,ssH!D:D,0)</f>
        <v>0</v>
      </c>
      <c r="F88" s="42">
        <f>_xlfn.XLOOKUP(ssH!$AG$6&amp;B88,ssH!A:A,ssH!D:D,0)</f>
        <v>0</v>
      </c>
      <c r="G88" s="48">
        <f>_xlfn.XLOOKUP(A88&amp;B88,ssH!A:A,ssH!F:F,-100%)</f>
        <v>-1</v>
      </c>
      <c r="H88" s="46">
        <f>_xlfn.XLOOKUP(ssH!$AG$3&amp;B88,ssH!A:A,ssH!F:F,0)</f>
        <v>0</v>
      </c>
      <c r="I88" s="46">
        <f>_xlfn.XLOOKUP(ssH!$AG$5&amp;B88,ssH!A:A,ssH!F:F,0)</f>
        <v>0</v>
      </c>
      <c r="J88" s="46">
        <f>_xlfn.XLOOKUP(ssH!$AG$6&amp;B88,ssH!A:A,ssH!F:F,0)</f>
        <v>0</v>
      </c>
      <c r="K88" s="46">
        <f>_xlfn.XLOOKUP(B88,ssL!C:C,ssL!G:G,"Removed")</f>
        <v>0</v>
      </c>
      <c r="L88" s="27">
        <f>_xlfn.XLOOKUP(A88&amp;B88,ssH!A:A,ssH!D:D,0)</f>
        <v>0</v>
      </c>
      <c r="M88" s="42" t="str">
        <f>_xlfn.XLOOKUP(A88&amp;B88,ssH!A:A,ssH!I:I,"")</f>
        <v/>
      </c>
      <c r="N88" s="51" t="str">
        <f t="shared" si="11"/>
        <v/>
      </c>
      <c r="O88" s="51" t="str">
        <f t="shared" si="12"/>
        <v/>
      </c>
      <c r="P88" s="51" t="str">
        <f t="shared" si="13"/>
        <v/>
      </c>
      <c r="Q88" s="52">
        <f t="shared" si="14"/>
        <v>0</v>
      </c>
      <c r="R88" s="51">
        <f t="shared" si="15"/>
        <v>2</v>
      </c>
      <c r="S88" s="51">
        <f t="shared" si="16"/>
        <v>0</v>
      </c>
      <c r="T88" s="51">
        <f t="shared" si="17"/>
        <v>0</v>
      </c>
      <c r="U88" s="52">
        <f t="shared" si="18"/>
        <v>2</v>
      </c>
      <c r="V88" s="52">
        <f t="shared" si="21"/>
        <v>0</v>
      </c>
      <c r="W88" s="52" t="str" cm="1">
        <f t="array" ref="W88">_xlfn.IFS(B88="","",AND(G88&gt;=0,L88&gt;0),"BuySome",AND(G88&gt;=0,K88="KMSignal"),"BuySome",AND(G88&lt;0,L88&gt;0),"BuyWatch",AND(Q88&lt;0,L88&gt;0),"BuyWatch",AND(G88&gt;=0,L88=0),"BuyWatch",L88&gt;0,"BuySome",TRUE,"")</f>
        <v/>
      </c>
      <c r="X88" s="47" t="str">
        <f>_xlfn.XLOOKUP(W88,Parm!$AN$2:$AN$25,Parm!$AO$2:$AO$25,"")</f>
        <v/>
      </c>
      <c r="Y88" s="52" t="str" cm="1">
        <f t="array" ref="Y88">_xlfn.IFS(B88="","",OR(Q88=-100,U88=-100),"SellAll",OR(Q88&lt;0,U88&lt;0),"SellSome",AND(Q88&gt;0,U88&gt;0),"BuySome",OR(Q88&gt;0,U88&gt;0),"BuyWatch",TRUE,"")</f>
        <v/>
      </c>
      <c r="Z88" s="47" t="str">
        <f>_xlfn.XLOOKUP(Y88,Parm!$AN$2:$AN$25,Parm!$AO$2:$AO$25,"")</f>
        <v/>
      </c>
      <c r="AA88" s="286">
        <f>IF(C88&lt;&gt;-100,A88,_xlfn.XLOOKUP(B88,ssH!L:L,ssH!M:M))</f>
        <v>46140</v>
      </c>
      <c r="AB88" s="49" t="str">
        <f t="shared" si="19"/>
        <v/>
      </c>
      <c r="AC88" s="52">
        <f>_xlfn.XLOOKUP(B88,TL!C:C,TL!C:C)</f>
        <v>0</v>
      </c>
      <c r="AD88" s="52">
        <f>_xlfn.XLOOKUP(B88,Y!C:C,Y!C:C)</f>
        <v>0</v>
      </c>
      <c r="AE88" s="52">
        <f>_xlfn.XLOOKUP(B88,MA!C:C,MA!C:C)</f>
        <v>0</v>
      </c>
    </row>
    <row r="89" spans="1:31" x14ac:dyDescent="0.25">
      <c r="A89" s="29">
        <f>ssH!$AG$1</f>
        <v>46140</v>
      </c>
      <c r="C89" s="47">
        <f t="shared" si="20"/>
        <v>0</v>
      </c>
      <c r="D89" s="42">
        <f>_xlfn.XLOOKUP(ssH!$AG$3&amp;B89,ssH!A:A,ssH!D:D,0)</f>
        <v>0</v>
      </c>
      <c r="E89" s="42">
        <f>_xlfn.XLOOKUP(ssH!$AG$5&amp;B89,ssH!A:A,ssH!D:D,0)</f>
        <v>0</v>
      </c>
      <c r="F89" s="42">
        <f>_xlfn.XLOOKUP(ssH!$AG$6&amp;B89,ssH!A:A,ssH!D:D,0)</f>
        <v>0</v>
      </c>
      <c r="G89" s="48">
        <f>_xlfn.XLOOKUP(A89&amp;B89,ssH!A:A,ssH!F:F,-100%)</f>
        <v>-1</v>
      </c>
      <c r="H89" s="46">
        <f>_xlfn.XLOOKUP(ssH!$AG$3&amp;B89,ssH!A:A,ssH!F:F,0)</f>
        <v>0</v>
      </c>
      <c r="I89" s="46">
        <f>_xlfn.XLOOKUP(ssH!$AG$5&amp;B89,ssH!A:A,ssH!F:F,0)</f>
        <v>0</v>
      </c>
      <c r="J89" s="46">
        <f>_xlfn.XLOOKUP(ssH!$AG$6&amp;B89,ssH!A:A,ssH!F:F,0)</f>
        <v>0</v>
      </c>
      <c r="K89" s="46">
        <f>_xlfn.XLOOKUP(B89,ssL!C:C,ssL!G:G,"Removed")</f>
        <v>0</v>
      </c>
      <c r="L89" s="27">
        <f>_xlfn.XLOOKUP(A89&amp;B89,ssH!A:A,ssH!D:D,0)</f>
        <v>0</v>
      </c>
      <c r="M89" s="42" t="str">
        <f>_xlfn.XLOOKUP(A89&amp;B89,ssH!A:A,ssH!I:I,"")</f>
        <v/>
      </c>
      <c r="N89" s="51" t="str">
        <f t="shared" si="11"/>
        <v/>
      </c>
      <c r="O89" s="51" t="str">
        <f t="shared" si="12"/>
        <v/>
      </c>
      <c r="P89" s="51" t="str">
        <f t="shared" si="13"/>
        <v/>
      </c>
      <c r="Q89" s="52">
        <f t="shared" si="14"/>
        <v>0</v>
      </c>
      <c r="R89" s="51">
        <f t="shared" si="15"/>
        <v>2</v>
      </c>
      <c r="S89" s="51">
        <f t="shared" si="16"/>
        <v>0</v>
      </c>
      <c r="T89" s="51">
        <f t="shared" si="17"/>
        <v>0</v>
      </c>
      <c r="U89" s="52">
        <f t="shared" si="18"/>
        <v>2</v>
      </c>
      <c r="V89" s="52">
        <f t="shared" si="21"/>
        <v>0</v>
      </c>
      <c r="W89" s="52" t="str" cm="1">
        <f t="array" ref="W89">_xlfn.IFS(B89="","",AND(G89&gt;=0,L89&gt;0),"BuySome",AND(G89&gt;=0,K89="KMSignal"),"BuySome",AND(G89&lt;0,L89&gt;0),"BuyWatch",AND(Q89&lt;0,L89&gt;0),"BuyWatch",AND(G89&gt;=0,L89=0),"BuyWatch",L89&gt;0,"BuySome",TRUE,"")</f>
        <v/>
      </c>
      <c r="X89" s="47" t="str">
        <f>_xlfn.XLOOKUP(W89,Parm!$AN$2:$AN$25,Parm!$AO$2:$AO$25,"")</f>
        <v/>
      </c>
      <c r="Y89" s="52" t="str" cm="1">
        <f t="array" ref="Y89">_xlfn.IFS(B89="","",OR(Q89=-100,U89=-100),"SellAll",OR(Q89&lt;0,U89&lt;0),"SellSome",AND(Q89&gt;0,U89&gt;0),"BuySome",OR(Q89&gt;0,U89&gt;0),"BuyWatch",TRUE,"")</f>
        <v/>
      </c>
      <c r="Z89" s="47" t="str">
        <f>_xlfn.XLOOKUP(Y89,Parm!$AN$2:$AN$25,Parm!$AO$2:$AO$25,"")</f>
        <v/>
      </c>
      <c r="AA89" s="286">
        <f>IF(C89&lt;&gt;-100,A89,_xlfn.XLOOKUP(B89,ssH!L:L,ssH!M:M))</f>
        <v>46140</v>
      </c>
      <c r="AB89" s="49" t="str">
        <f t="shared" si="19"/>
        <v/>
      </c>
      <c r="AC89" s="52">
        <f>_xlfn.XLOOKUP(B89,TL!C:C,TL!C:C)</f>
        <v>0</v>
      </c>
      <c r="AD89" s="52">
        <f>_xlfn.XLOOKUP(B89,Y!C:C,Y!C:C)</f>
        <v>0</v>
      </c>
      <c r="AE89" s="52">
        <f>_xlfn.XLOOKUP(B89,MA!C:C,MA!C:C)</f>
        <v>0</v>
      </c>
    </row>
    <row r="90" spans="1:31" x14ac:dyDescent="0.25">
      <c r="A90" s="29">
        <f>ssH!$AG$1</f>
        <v>46140</v>
      </c>
      <c r="C90" s="47">
        <f t="shared" si="20"/>
        <v>0</v>
      </c>
      <c r="D90" s="42">
        <f>_xlfn.XLOOKUP(ssH!$AG$3&amp;B90,ssH!A:A,ssH!D:D,0)</f>
        <v>0</v>
      </c>
      <c r="E90" s="42">
        <f>_xlfn.XLOOKUP(ssH!$AG$5&amp;B90,ssH!A:A,ssH!D:D,0)</f>
        <v>0</v>
      </c>
      <c r="F90" s="42">
        <f>_xlfn.XLOOKUP(ssH!$AG$6&amp;B90,ssH!A:A,ssH!D:D,0)</f>
        <v>0</v>
      </c>
      <c r="G90" s="48">
        <f>_xlfn.XLOOKUP(A90&amp;B90,ssH!A:A,ssH!F:F,-100%)</f>
        <v>-1</v>
      </c>
      <c r="H90" s="46">
        <f>_xlfn.XLOOKUP(ssH!$AG$3&amp;B90,ssH!A:A,ssH!F:F,0)</f>
        <v>0</v>
      </c>
      <c r="I90" s="46">
        <f>_xlfn.XLOOKUP(ssH!$AG$5&amp;B90,ssH!A:A,ssH!F:F,0)</f>
        <v>0</v>
      </c>
      <c r="J90" s="46">
        <f>_xlfn.XLOOKUP(ssH!$AG$6&amp;B90,ssH!A:A,ssH!F:F,0)</f>
        <v>0</v>
      </c>
      <c r="K90" s="46">
        <f>_xlfn.XLOOKUP(B90,ssL!C:C,ssL!G:G,"Removed")</f>
        <v>0</v>
      </c>
      <c r="L90" s="27">
        <f>_xlfn.XLOOKUP(A90&amp;B90,ssH!A:A,ssH!D:D,0)</f>
        <v>0</v>
      </c>
      <c r="M90" s="42" t="str">
        <f>_xlfn.XLOOKUP(A90&amp;B90,ssH!A:A,ssH!I:I,"")</f>
        <v/>
      </c>
      <c r="N90" s="51" t="str">
        <f t="shared" si="11"/>
        <v/>
      </c>
      <c r="O90" s="51" t="str">
        <f t="shared" si="12"/>
        <v/>
      </c>
      <c r="P90" s="51" t="str">
        <f t="shared" si="13"/>
        <v/>
      </c>
      <c r="Q90" s="52">
        <f t="shared" si="14"/>
        <v>0</v>
      </c>
      <c r="R90" s="51">
        <f t="shared" si="15"/>
        <v>2</v>
      </c>
      <c r="S90" s="51">
        <f t="shared" si="16"/>
        <v>0</v>
      </c>
      <c r="T90" s="51">
        <f t="shared" si="17"/>
        <v>0</v>
      </c>
      <c r="U90" s="52">
        <f t="shared" si="18"/>
        <v>2</v>
      </c>
      <c r="V90" s="52">
        <f t="shared" si="21"/>
        <v>0</v>
      </c>
      <c r="W90" s="52" t="str" cm="1">
        <f t="array" ref="W90">_xlfn.IFS(B90="","",AND(G90&gt;=0,L90&gt;0),"BuySome",AND(G90&gt;=0,K90="KMSignal"),"BuySome",AND(G90&lt;0,L90&gt;0),"BuyWatch",AND(Q90&lt;0,L90&gt;0),"BuyWatch",AND(G90&gt;=0,L90=0),"BuyWatch",L90&gt;0,"BuySome",TRUE,"")</f>
        <v/>
      </c>
      <c r="X90" s="47" t="str">
        <f>_xlfn.XLOOKUP(W90,Parm!$AN$2:$AN$25,Parm!$AO$2:$AO$25,"")</f>
        <v/>
      </c>
      <c r="Y90" s="52" t="str" cm="1">
        <f t="array" ref="Y90">_xlfn.IFS(B90="","",OR(Q90=-100,U90=-100),"SellAll",OR(Q90&lt;0,U90&lt;0),"SellSome",AND(Q90&gt;0,U90&gt;0),"BuySome",OR(Q90&gt;0,U90&gt;0),"BuyWatch",TRUE,"")</f>
        <v/>
      </c>
      <c r="Z90" s="47" t="str">
        <f>_xlfn.XLOOKUP(Y90,Parm!$AN$2:$AN$25,Parm!$AO$2:$AO$25,"")</f>
        <v/>
      </c>
      <c r="AA90" s="286">
        <f>IF(C90&lt;&gt;-100,A90,_xlfn.XLOOKUP(B90,ssH!L:L,ssH!M:M))</f>
        <v>46140</v>
      </c>
      <c r="AB90" s="49" t="str">
        <f t="shared" si="19"/>
        <v/>
      </c>
      <c r="AC90" s="52">
        <f>_xlfn.XLOOKUP(B90,TL!C:C,TL!C:C)</f>
        <v>0</v>
      </c>
      <c r="AD90" s="52">
        <f>_xlfn.XLOOKUP(B90,Y!C:C,Y!C:C)</f>
        <v>0</v>
      </c>
      <c r="AE90" s="52">
        <f>_xlfn.XLOOKUP(B90,MA!C:C,MA!C:C)</f>
        <v>0</v>
      </c>
    </row>
    <row r="91" spans="1:31" x14ac:dyDescent="0.25">
      <c r="A91" s="29">
        <f>ssH!$AG$1</f>
        <v>46140</v>
      </c>
      <c r="C91" s="47">
        <f t="shared" si="20"/>
        <v>0</v>
      </c>
      <c r="D91" s="42">
        <f>_xlfn.XLOOKUP(ssH!$AG$3&amp;B91,ssH!A:A,ssH!D:D,0)</f>
        <v>0</v>
      </c>
      <c r="E91" s="42">
        <f>_xlfn.XLOOKUP(ssH!$AG$5&amp;B91,ssH!A:A,ssH!D:D,0)</f>
        <v>0</v>
      </c>
      <c r="F91" s="42">
        <f>_xlfn.XLOOKUP(ssH!$AG$6&amp;B91,ssH!A:A,ssH!D:D,0)</f>
        <v>0</v>
      </c>
      <c r="G91" s="48">
        <f>_xlfn.XLOOKUP(A91&amp;B91,ssH!A:A,ssH!F:F,-100%)</f>
        <v>-1</v>
      </c>
      <c r="H91" s="46">
        <f>_xlfn.XLOOKUP(ssH!$AG$3&amp;B91,ssH!A:A,ssH!F:F,0)</f>
        <v>0</v>
      </c>
      <c r="I91" s="46">
        <f>_xlfn.XLOOKUP(ssH!$AG$5&amp;B91,ssH!A:A,ssH!F:F,0)</f>
        <v>0</v>
      </c>
      <c r="J91" s="46">
        <f>_xlfn.XLOOKUP(ssH!$AG$6&amp;B91,ssH!A:A,ssH!F:F,0)</f>
        <v>0</v>
      </c>
      <c r="K91" s="46">
        <f>_xlfn.XLOOKUP(B91,ssL!C:C,ssL!G:G,"Removed")</f>
        <v>0</v>
      </c>
      <c r="L91" s="27">
        <f>_xlfn.XLOOKUP(A91&amp;B91,ssH!A:A,ssH!D:D,0)</f>
        <v>0</v>
      </c>
      <c r="M91" s="42" t="str">
        <f>_xlfn.XLOOKUP(A91&amp;B91,ssH!A:A,ssH!I:I,"")</f>
        <v/>
      </c>
      <c r="N91" s="51" t="str">
        <f t="shared" si="11"/>
        <v/>
      </c>
      <c r="O91" s="51" t="str">
        <f t="shared" si="12"/>
        <v/>
      </c>
      <c r="P91" s="51" t="str">
        <f t="shared" si="13"/>
        <v/>
      </c>
      <c r="Q91" s="52">
        <f t="shared" si="14"/>
        <v>0</v>
      </c>
      <c r="R91" s="51">
        <f t="shared" si="15"/>
        <v>2</v>
      </c>
      <c r="S91" s="51">
        <f t="shared" si="16"/>
        <v>0</v>
      </c>
      <c r="T91" s="51">
        <f t="shared" si="17"/>
        <v>0</v>
      </c>
      <c r="U91" s="52">
        <f t="shared" si="18"/>
        <v>2</v>
      </c>
      <c r="V91" s="52">
        <f t="shared" si="21"/>
        <v>0</v>
      </c>
      <c r="W91" s="52" t="str" cm="1">
        <f t="array" ref="W91">_xlfn.IFS(B91="","",AND(G91&gt;=0,L91&gt;0),"BuySome",AND(G91&gt;=0,K91="KMSignal"),"BuySome",AND(G91&lt;0,L91&gt;0),"BuyWatch",AND(Q91&lt;0,L91&gt;0),"BuyWatch",AND(G91&gt;=0,L91=0),"BuyWatch",L91&gt;0,"BuySome",TRUE,"")</f>
        <v/>
      </c>
      <c r="X91" s="47" t="str">
        <f>_xlfn.XLOOKUP(W91,Parm!$AN$2:$AN$25,Parm!$AO$2:$AO$25,"")</f>
        <v/>
      </c>
      <c r="Y91" s="52" t="str" cm="1">
        <f t="array" ref="Y91">_xlfn.IFS(B91="","",OR(Q91=-100,U91=-100),"SellAll",OR(Q91&lt;0,U91&lt;0),"SellSome",AND(Q91&gt;0,U91&gt;0),"BuySome",OR(Q91&gt;0,U91&gt;0),"BuyWatch",TRUE,"")</f>
        <v/>
      </c>
      <c r="Z91" s="47" t="str">
        <f>_xlfn.XLOOKUP(Y91,Parm!$AN$2:$AN$25,Parm!$AO$2:$AO$25,"")</f>
        <v/>
      </c>
      <c r="AA91" s="286">
        <f>IF(C91&lt;&gt;-100,A91,_xlfn.XLOOKUP(B91,ssH!L:L,ssH!M:M))</f>
        <v>46140</v>
      </c>
      <c r="AB91" s="49" t="str">
        <f t="shared" si="19"/>
        <v/>
      </c>
      <c r="AC91" s="52">
        <f>_xlfn.XLOOKUP(B91,TL!C:C,TL!C:C)</f>
        <v>0</v>
      </c>
      <c r="AD91" s="52">
        <f>_xlfn.XLOOKUP(B91,Y!C:C,Y!C:C)</f>
        <v>0</v>
      </c>
      <c r="AE91" s="52">
        <f>_xlfn.XLOOKUP(B91,MA!C:C,MA!C:C)</f>
        <v>0</v>
      </c>
    </row>
    <row r="92" spans="1:31" x14ac:dyDescent="0.25">
      <c r="A92" s="29">
        <f>ssH!$AG$1</f>
        <v>46140</v>
      </c>
      <c r="C92" s="47">
        <f t="shared" si="20"/>
        <v>0</v>
      </c>
      <c r="D92" s="42">
        <f>_xlfn.XLOOKUP(ssH!$AG$3&amp;B92,ssH!A:A,ssH!D:D,0)</f>
        <v>0</v>
      </c>
      <c r="E92" s="42">
        <f>_xlfn.XLOOKUP(ssH!$AG$5&amp;B92,ssH!A:A,ssH!D:D,0)</f>
        <v>0</v>
      </c>
      <c r="F92" s="42">
        <f>_xlfn.XLOOKUP(ssH!$AG$6&amp;B92,ssH!A:A,ssH!D:D,0)</f>
        <v>0</v>
      </c>
      <c r="G92" s="48">
        <f>_xlfn.XLOOKUP(A92&amp;B92,ssH!A:A,ssH!F:F,-100%)</f>
        <v>-1</v>
      </c>
      <c r="H92" s="46">
        <f>_xlfn.XLOOKUP(ssH!$AG$3&amp;B92,ssH!A:A,ssH!F:F,0)</f>
        <v>0</v>
      </c>
      <c r="I92" s="46">
        <f>_xlfn.XLOOKUP(ssH!$AG$5&amp;B92,ssH!A:A,ssH!F:F,0)</f>
        <v>0</v>
      </c>
      <c r="J92" s="46">
        <f>_xlfn.XLOOKUP(ssH!$AG$6&amp;B92,ssH!A:A,ssH!F:F,0)</f>
        <v>0</v>
      </c>
      <c r="K92" s="46">
        <f>_xlfn.XLOOKUP(B92,ssL!C:C,ssL!G:G,"Removed")</f>
        <v>0</v>
      </c>
      <c r="L92" s="27">
        <f>_xlfn.XLOOKUP(A92&amp;B92,ssH!A:A,ssH!D:D,0)</f>
        <v>0</v>
      </c>
      <c r="M92" s="42" t="str">
        <f>_xlfn.XLOOKUP(A92&amp;B92,ssH!A:A,ssH!I:I,"")</f>
        <v/>
      </c>
      <c r="N92" s="51" t="str">
        <f t="shared" si="11"/>
        <v/>
      </c>
      <c r="O92" s="51" t="str">
        <f t="shared" si="12"/>
        <v/>
      </c>
      <c r="P92" s="51" t="str">
        <f t="shared" si="13"/>
        <v/>
      </c>
      <c r="Q92" s="52">
        <f t="shared" si="14"/>
        <v>0</v>
      </c>
      <c r="R92" s="51">
        <f t="shared" si="15"/>
        <v>2</v>
      </c>
      <c r="S92" s="51">
        <f t="shared" si="16"/>
        <v>0</v>
      </c>
      <c r="T92" s="51">
        <f t="shared" si="17"/>
        <v>0</v>
      </c>
      <c r="U92" s="52">
        <f t="shared" si="18"/>
        <v>2</v>
      </c>
      <c r="V92" s="52">
        <f t="shared" si="21"/>
        <v>0</v>
      </c>
      <c r="W92" s="52" t="str" cm="1">
        <f t="array" ref="W92">_xlfn.IFS(B92="","",AND(G92&gt;=0,L92&gt;0),"BuySome",AND(G92&gt;=0,K92="KMSignal"),"BuySome",AND(G92&lt;0,L92&gt;0),"BuyWatch",AND(Q92&lt;0,L92&gt;0),"BuyWatch",AND(G92&gt;=0,L92=0),"BuyWatch",L92&gt;0,"BuySome",TRUE,"")</f>
        <v/>
      </c>
      <c r="X92" s="47" t="str">
        <f>_xlfn.XLOOKUP(W92,Parm!$AN$2:$AN$25,Parm!$AO$2:$AO$25,"")</f>
        <v/>
      </c>
      <c r="Y92" s="52" t="str" cm="1">
        <f t="array" ref="Y92">_xlfn.IFS(B92="","",OR(Q92=-100,U92=-100),"SellAll",OR(Q92&lt;0,U92&lt;0),"SellSome",AND(Q92&gt;0,U92&gt;0),"BuySome",OR(Q92&gt;0,U92&gt;0),"BuyWatch",TRUE,"")</f>
        <v/>
      </c>
      <c r="Z92" s="47" t="str">
        <f>_xlfn.XLOOKUP(Y92,Parm!$AN$2:$AN$25,Parm!$AO$2:$AO$25,"")</f>
        <v/>
      </c>
      <c r="AA92" s="286">
        <f>IF(C92&lt;&gt;-100,A92,_xlfn.XLOOKUP(B92,ssH!L:L,ssH!M:M))</f>
        <v>46140</v>
      </c>
      <c r="AB92" s="49" t="str">
        <f t="shared" si="19"/>
        <v/>
      </c>
      <c r="AC92" s="52">
        <f>_xlfn.XLOOKUP(B92,TL!C:C,TL!C:C)</f>
        <v>0</v>
      </c>
      <c r="AD92" s="52">
        <f>_xlfn.XLOOKUP(B92,Y!C:C,Y!C:C)</f>
        <v>0</v>
      </c>
      <c r="AE92" s="52">
        <f>_xlfn.XLOOKUP(B92,MA!C:C,MA!C:C)</f>
        <v>0</v>
      </c>
    </row>
    <row r="93" spans="1:31" x14ac:dyDescent="0.25">
      <c r="A93" s="29">
        <f>ssH!$AG$1</f>
        <v>46140</v>
      </c>
      <c r="C93" s="47">
        <f t="shared" si="20"/>
        <v>0</v>
      </c>
      <c r="D93" s="42">
        <f>_xlfn.XLOOKUP(ssH!$AG$3&amp;B93,ssH!A:A,ssH!D:D,0)</f>
        <v>0</v>
      </c>
      <c r="E93" s="42">
        <f>_xlfn.XLOOKUP(ssH!$AG$5&amp;B93,ssH!A:A,ssH!D:D,0)</f>
        <v>0</v>
      </c>
      <c r="F93" s="42">
        <f>_xlfn.XLOOKUP(ssH!$AG$6&amp;B93,ssH!A:A,ssH!D:D,0)</f>
        <v>0</v>
      </c>
      <c r="G93" s="48">
        <f>_xlfn.XLOOKUP(A93&amp;B93,ssH!A:A,ssH!F:F,-100%)</f>
        <v>-1</v>
      </c>
      <c r="H93" s="46">
        <f>_xlfn.XLOOKUP(ssH!$AG$3&amp;B93,ssH!A:A,ssH!F:F,0)</f>
        <v>0</v>
      </c>
      <c r="I93" s="46">
        <f>_xlfn.XLOOKUP(ssH!$AG$5&amp;B93,ssH!A:A,ssH!F:F,0)</f>
        <v>0</v>
      </c>
      <c r="J93" s="46">
        <f>_xlfn.XLOOKUP(ssH!$AG$6&amp;B93,ssH!A:A,ssH!F:F,0)</f>
        <v>0</v>
      </c>
      <c r="K93" s="46">
        <f>_xlfn.XLOOKUP(B93,ssL!C:C,ssL!G:G,"Removed")</f>
        <v>0</v>
      </c>
      <c r="L93" s="27">
        <f>_xlfn.XLOOKUP(A93&amp;B93,ssH!A:A,ssH!D:D,0)</f>
        <v>0</v>
      </c>
      <c r="M93" s="42" t="str">
        <f>_xlfn.XLOOKUP(A93&amp;B93,ssH!A:A,ssH!I:I,"")</f>
        <v/>
      </c>
      <c r="N93" s="51" t="str">
        <f t="shared" si="11"/>
        <v/>
      </c>
      <c r="O93" s="51" t="str">
        <f t="shared" si="12"/>
        <v/>
      </c>
      <c r="P93" s="51" t="str">
        <f t="shared" si="13"/>
        <v/>
      </c>
      <c r="Q93" s="52">
        <f t="shared" si="14"/>
        <v>0</v>
      </c>
      <c r="R93" s="51">
        <f t="shared" si="15"/>
        <v>2</v>
      </c>
      <c r="S93" s="51">
        <f t="shared" si="16"/>
        <v>0</v>
      </c>
      <c r="T93" s="51">
        <f t="shared" si="17"/>
        <v>0</v>
      </c>
      <c r="U93" s="52">
        <f t="shared" si="18"/>
        <v>2</v>
      </c>
      <c r="V93" s="52">
        <f t="shared" si="21"/>
        <v>0</v>
      </c>
      <c r="W93" s="52" t="str" cm="1">
        <f t="array" ref="W93">_xlfn.IFS(B93="","",AND(G93&gt;=0,L93&gt;0),"BuySome",AND(G93&gt;=0,K93="KMSignal"),"BuySome",AND(G93&lt;0,L93&gt;0),"BuyWatch",AND(Q93&lt;0,L93&gt;0),"BuyWatch",AND(G93&gt;=0,L93=0),"BuyWatch",L93&gt;0,"BuySome",TRUE,"")</f>
        <v/>
      </c>
      <c r="X93" s="47" t="str">
        <f>_xlfn.XLOOKUP(W93,Parm!$AN$2:$AN$25,Parm!$AO$2:$AO$25,"")</f>
        <v/>
      </c>
      <c r="Y93" s="52" t="str" cm="1">
        <f t="array" ref="Y93">_xlfn.IFS(B93="","",OR(Q93=-100,U93=-100),"SellAll",OR(Q93&lt;0,U93&lt;0),"SellSome",AND(Q93&gt;0,U93&gt;0),"BuySome",OR(Q93&gt;0,U93&gt;0),"BuyWatch",TRUE,"")</f>
        <v/>
      </c>
      <c r="Z93" s="47" t="str">
        <f>_xlfn.XLOOKUP(Y93,Parm!$AN$2:$AN$25,Parm!$AO$2:$AO$25,"")</f>
        <v/>
      </c>
      <c r="AA93" s="286">
        <f>IF(C93&lt;&gt;-100,A93,_xlfn.XLOOKUP(B93,ssH!L:L,ssH!M:M))</f>
        <v>46140</v>
      </c>
      <c r="AB93" s="49" t="str">
        <f t="shared" si="19"/>
        <v/>
      </c>
      <c r="AC93" s="52">
        <f>_xlfn.XLOOKUP(B93,TL!C:C,TL!C:C)</f>
        <v>0</v>
      </c>
      <c r="AD93" s="52">
        <f>_xlfn.XLOOKUP(B93,Y!C:C,Y!C:C)</f>
        <v>0</v>
      </c>
      <c r="AE93" s="52">
        <f>_xlfn.XLOOKUP(B93,MA!C:C,MA!C:C)</f>
        <v>0</v>
      </c>
    </row>
    <row r="94" spans="1:31" x14ac:dyDescent="0.25">
      <c r="A94" s="29">
        <f>ssH!$AG$1</f>
        <v>46140</v>
      </c>
      <c r="C94" s="47">
        <f t="shared" si="20"/>
        <v>0</v>
      </c>
      <c r="D94" s="42">
        <f>_xlfn.XLOOKUP(ssH!$AG$3&amp;B94,ssH!A:A,ssH!D:D,0)</f>
        <v>0</v>
      </c>
      <c r="E94" s="42">
        <f>_xlfn.XLOOKUP(ssH!$AG$5&amp;B94,ssH!A:A,ssH!D:D,0)</f>
        <v>0</v>
      </c>
      <c r="F94" s="42">
        <f>_xlfn.XLOOKUP(ssH!$AG$6&amp;B94,ssH!A:A,ssH!D:D,0)</f>
        <v>0</v>
      </c>
      <c r="G94" s="48">
        <f>_xlfn.XLOOKUP(A94&amp;B94,ssH!A:A,ssH!F:F,-100%)</f>
        <v>-1</v>
      </c>
      <c r="H94" s="46">
        <f>_xlfn.XLOOKUP(ssH!$AG$3&amp;B94,ssH!A:A,ssH!F:F,0)</f>
        <v>0</v>
      </c>
      <c r="I94" s="46">
        <f>_xlfn.XLOOKUP(ssH!$AG$5&amp;B94,ssH!A:A,ssH!F:F,0)</f>
        <v>0</v>
      </c>
      <c r="J94" s="46">
        <f>_xlfn.XLOOKUP(ssH!$AG$6&amp;B94,ssH!A:A,ssH!F:F,0)</f>
        <v>0</v>
      </c>
      <c r="K94" s="46">
        <f>_xlfn.XLOOKUP(B94,ssL!C:C,ssL!G:G,"Removed")</f>
        <v>0</v>
      </c>
      <c r="L94" s="27">
        <f>_xlfn.XLOOKUP(A94&amp;B94,ssH!A:A,ssH!D:D,0)</f>
        <v>0</v>
      </c>
      <c r="M94" s="42" t="str">
        <f>_xlfn.XLOOKUP(A94&amp;B94,ssH!A:A,ssH!I:I,"")</f>
        <v/>
      </c>
      <c r="N94" s="51" t="str">
        <f t="shared" si="11"/>
        <v/>
      </c>
      <c r="O94" s="51" t="str">
        <f t="shared" si="12"/>
        <v/>
      </c>
      <c r="P94" s="51" t="str">
        <f t="shared" si="13"/>
        <v/>
      </c>
      <c r="Q94" s="52">
        <f t="shared" si="14"/>
        <v>0</v>
      </c>
      <c r="R94" s="51">
        <f t="shared" si="15"/>
        <v>2</v>
      </c>
      <c r="S94" s="51">
        <f t="shared" si="16"/>
        <v>0</v>
      </c>
      <c r="T94" s="51">
        <f t="shared" si="17"/>
        <v>0</v>
      </c>
      <c r="U94" s="52">
        <f t="shared" si="18"/>
        <v>2</v>
      </c>
      <c r="V94" s="52">
        <f t="shared" si="21"/>
        <v>0</v>
      </c>
      <c r="W94" s="52" t="str" cm="1">
        <f t="array" ref="W94">_xlfn.IFS(B94="","",AND(G94&gt;=0,L94&gt;0),"BuySome",AND(G94&gt;=0,K94="KMSignal"),"BuySome",AND(G94&lt;0,L94&gt;0),"BuyWatch",AND(Q94&lt;0,L94&gt;0),"BuyWatch",AND(G94&gt;=0,L94=0),"BuyWatch",L94&gt;0,"BuySome",TRUE,"")</f>
        <v/>
      </c>
      <c r="X94" s="47" t="str">
        <f>_xlfn.XLOOKUP(W94,Parm!$AN$2:$AN$25,Parm!$AO$2:$AO$25,"")</f>
        <v/>
      </c>
      <c r="Y94" s="52" t="str" cm="1">
        <f t="array" ref="Y94">_xlfn.IFS(B94="","",OR(Q94=-100,U94=-100),"SellAll",OR(Q94&lt;0,U94&lt;0),"SellSome",AND(Q94&gt;0,U94&gt;0),"BuySome",OR(Q94&gt;0,U94&gt;0),"BuyWatch",TRUE,"")</f>
        <v/>
      </c>
      <c r="Z94" s="47" t="str">
        <f>_xlfn.XLOOKUP(Y94,Parm!$AN$2:$AN$25,Parm!$AO$2:$AO$25,"")</f>
        <v/>
      </c>
      <c r="AA94" s="286">
        <f>IF(C94&lt;&gt;-100,A94,_xlfn.XLOOKUP(B94,ssH!L:L,ssH!M:M))</f>
        <v>46140</v>
      </c>
      <c r="AB94" s="49" t="str">
        <f t="shared" si="19"/>
        <v/>
      </c>
      <c r="AC94" s="52">
        <f>_xlfn.XLOOKUP(B94,TL!C:C,TL!C:C)</f>
        <v>0</v>
      </c>
      <c r="AD94" s="52">
        <f>_xlfn.XLOOKUP(B94,Y!C:C,Y!C:C)</f>
        <v>0</v>
      </c>
      <c r="AE94" s="52">
        <f>_xlfn.XLOOKUP(B94,MA!C:C,MA!C:C)</f>
        <v>0</v>
      </c>
    </row>
    <row r="95" spans="1:31" x14ac:dyDescent="0.25">
      <c r="A95" s="29">
        <f>ssH!$AG$1</f>
        <v>46140</v>
      </c>
      <c r="C95" s="47">
        <f t="shared" si="20"/>
        <v>0</v>
      </c>
      <c r="D95" s="42">
        <f>_xlfn.XLOOKUP(ssH!$AG$3&amp;B95,ssH!A:A,ssH!D:D,0)</f>
        <v>0</v>
      </c>
      <c r="E95" s="42">
        <f>_xlfn.XLOOKUP(ssH!$AG$5&amp;B95,ssH!A:A,ssH!D:D,0)</f>
        <v>0</v>
      </c>
      <c r="F95" s="42">
        <f>_xlfn.XLOOKUP(ssH!$AG$6&amp;B95,ssH!A:A,ssH!D:D,0)</f>
        <v>0</v>
      </c>
      <c r="G95" s="48">
        <f>_xlfn.XLOOKUP(A95&amp;B95,ssH!A:A,ssH!F:F,-100%)</f>
        <v>-1</v>
      </c>
      <c r="H95" s="46">
        <f>_xlfn.XLOOKUP(ssH!$AG$3&amp;B95,ssH!A:A,ssH!F:F,0)</f>
        <v>0</v>
      </c>
      <c r="I95" s="46">
        <f>_xlfn.XLOOKUP(ssH!$AG$5&amp;B95,ssH!A:A,ssH!F:F,0)</f>
        <v>0</v>
      </c>
      <c r="J95" s="46">
        <f>_xlfn.XLOOKUP(ssH!$AG$6&amp;B95,ssH!A:A,ssH!F:F,0)</f>
        <v>0</v>
      </c>
      <c r="K95" s="46">
        <f>_xlfn.XLOOKUP(B95,ssL!C:C,ssL!G:G,"Removed")</f>
        <v>0</v>
      </c>
      <c r="L95" s="27">
        <f>_xlfn.XLOOKUP(A95&amp;B95,ssH!A:A,ssH!D:D,0)</f>
        <v>0</v>
      </c>
      <c r="M95" s="42" t="str">
        <f>_xlfn.XLOOKUP(A95&amp;B95,ssH!A:A,ssH!I:I,"")</f>
        <v/>
      </c>
      <c r="N95" s="51" t="str">
        <f t="shared" si="11"/>
        <v/>
      </c>
      <c r="O95" s="51" t="str">
        <f t="shared" si="12"/>
        <v/>
      </c>
      <c r="P95" s="51" t="str">
        <f t="shared" si="13"/>
        <v/>
      </c>
      <c r="Q95" s="52">
        <f t="shared" si="14"/>
        <v>0</v>
      </c>
      <c r="R95" s="51">
        <f t="shared" si="15"/>
        <v>2</v>
      </c>
      <c r="S95" s="51">
        <f t="shared" si="16"/>
        <v>0</v>
      </c>
      <c r="T95" s="51">
        <f t="shared" si="17"/>
        <v>0</v>
      </c>
      <c r="U95" s="52">
        <f t="shared" si="18"/>
        <v>2</v>
      </c>
      <c r="V95" s="52">
        <f t="shared" si="21"/>
        <v>0</v>
      </c>
      <c r="W95" s="52" t="str" cm="1">
        <f t="array" ref="W95">_xlfn.IFS(B95="","",AND(G95&gt;=0,L95&gt;0),"BuySome",AND(G95&gt;=0,K95="KMSignal"),"BuySome",AND(G95&lt;0,L95&gt;0),"BuyWatch",AND(Q95&lt;0,L95&gt;0),"BuyWatch",AND(G95&gt;=0,L95=0),"BuyWatch",L95&gt;0,"BuySome",TRUE,"")</f>
        <v/>
      </c>
      <c r="X95" s="47" t="str">
        <f>_xlfn.XLOOKUP(W95,Parm!$AN$2:$AN$25,Parm!$AO$2:$AO$25,"")</f>
        <v/>
      </c>
      <c r="Y95" s="52" t="str" cm="1">
        <f t="array" ref="Y95">_xlfn.IFS(B95="","",OR(Q95=-100,U95=-100),"SellAll",OR(Q95&lt;0,U95&lt;0),"SellSome",AND(Q95&gt;0,U95&gt;0),"BuySome",OR(Q95&gt;0,U95&gt;0),"BuyWatch",TRUE,"")</f>
        <v/>
      </c>
      <c r="Z95" s="47" t="str">
        <f>_xlfn.XLOOKUP(Y95,Parm!$AN$2:$AN$25,Parm!$AO$2:$AO$25,"")</f>
        <v/>
      </c>
      <c r="AA95" s="286">
        <f>IF(C95&lt;&gt;-100,A95,_xlfn.XLOOKUP(B95,ssH!L:L,ssH!M:M))</f>
        <v>46140</v>
      </c>
      <c r="AB95" s="49" t="str">
        <f t="shared" si="19"/>
        <v/>
      </c>
      <c r="AC95" s="52">
        <f>_xlfn.XLOOKUP(B95,TL!C:C,TL!C:C)</f>
        <v>0</v>
      </c>
      <c r="AD95" s="52">
        <f>_xlfn.XLOOKUP(B95,Y!C:C,Y!C:C)</f>
        <v>0</v>
      </c>
      <c r="AE95" s="52">
        <f>_xlfn.XLOOKUP(B95,MA!C:C,MA!C:C)</f>
        <v>0</v>
      </c>
    </row>
    <row r="96" spans="1:31" x14ac:dyDescent="0.25">
      <c r="A96" s="29">
        <f>ssH!$AG$1</f>
        <v>46140</v>
      </c>
      <c r="C96" s="47">
        <f t="shared" si="20"/>
        <v>0</v>
      </c>
      <c r="D96" s="42">
        <f>_xlfn.XLOOKUP(ssH!$AG$3&amp;B96,ssH!A:A,ssH!D:D,0)</f>
        <v>0</v>
      </c>
      <c r="E96" s="42">
        <f>_xlfn.XLOOKUP(ssH!$AG$5&amp;B96,ssH!A:A,ssH!D:D,0)</f>
        <v>0</v>
      </c>
      <c r="F96" s="42">
        <f>_xlfn.XLOOKUP(ssH!$AG$6&amp;B96,ssH!A:A,ssH!D:D,0)</f>
        <v>0</v>
      </c>
      <c r="G96" s="48">
        <f>_xlfn.XLOOKUP(A96&amp;B96,ssH!A:A,ssH!F:F,-100%)</f>
        <v>-1</v>
      </c>
      <c r="H96" s="46">
        <f>_xlfn.XLOOKUP(ssH!$AG$3&amp;B96,ssH!A:A,ssH!F:F,0)</f>
        <v>0</v>
      </c>
      <c r="I96" s="46">
        <f>_xlfn.XLOOKUP(ssH!$AG$5&amp;B96,ssH!A:A,ssH!F:F,0)</f>
        <v>0</v>
      </c>
      <c r="J96" s="46">
        <f>_xlfn.XLOOKUP(ssH!$AG$6&amp;B96,ssH!A:A,ssH!F:F,0)</f>
        <v>0</v>
      </c>
      <c r="K96" s="46">
        <f>_xlfn.XLOOKUP(B96,ssL!C:C,ssL!G:G,"Removed")</f>
        <v>0</v>
      </c>
      <c r="L96" s="27">
        <f>_xlfn.XLOOKUP(A96&amp;B96,ssH!A:A,ssH!D:D,0)</f>
        <v>0</v>
      </c>
      <c r="M96" s="42" t="str">
        <f>_xlfn.XLOOKUP(A96&amp;B96,ssH!A:A,ssH!I:I,"")</f>
        <v/>
      </c>
      <c r="N96" s="51" t="str">
        <f t="shared" si="11"/>
        <v/>
      </c>
      <c r="O96" s="51" t="str">
        <f t="shared" si="12"/>
        <v/>
      </c>
      <c r="P96" s="51" t="str">
        <f t="shared" si="13"/>
        <v/>
      </c>
      <c r="Q96" s="52">
        <f t="shared" si="14"/>
        <v>0</v>
      </c>
      <c r="R96" s="51">
        <f t="shared" si="15"/>
        <v>2</v>
      </c>
      <c r="S96" s="51">
        <f t="shared" si="16"/>
        <v>0</v>
      </c>
      <c r="T96" s="51">
        <f t="shared" si="17"/>
        <v>0</v>
      </c>
      <c r="U96" s="52">
        <f t="shared" si="18"/>
        <v>2</v>
      </c>
      <c r="V96" s="52">
        <f t="shared" si="21"/>
        <v>0</v>
      </c>
      <c r="W96" s="52" t="str" cm="1">
        <f t="array" ref="W96">_xlfn.IFS(B96="","",AND(G96&gt;=0,L96&gt;0),"BuySome",AND(G96&gt;=0,K96="KMSignal"),"BuySome",AND(G96&lt;0,L96&gt;0),"BuyWatch",AND(Q96&lt;0,L96&gt;0),"BuyWatch",AND(G96&gt;=0,L96=0),"BuyWatch",L96&gt;0,"BuySome",TRUE,"")</f>
        <v/>
      </c>
      <c r="X96" s="47" t="str">
        <f>_xlfn.XLOOKUP(W96,Parm!$AN$2:$AN$25,Parm!$AO$2:$AO$25,"")</f>
        <v/>
      </c>
      <c r="Y96" s="52" t="str" cm="1">
        <f t="array" ref="Y96">_xlfn.IFS(B96="","",OR(Q96=-100,U96=-100),"SellAll",OR(Q96&lt;0,U96&lt;0),"SellSome",AND(Q96&gt;0,U96&gt;0),"BuySome",OR(Q96&gt;0,U96&gt;0),"BuyWatch",TRUE,"")</f>
        <v/>
      </c>
      <c r="Z96" s="47" t="str">
        <f>_xlfn.XLOOKUP(Y96,Parm!$AN$2:$AN$25,Parm!$AO$2:$AO$25,"")</f>
        <v/>
      </c>
      <c r="AA96" s="286">
        <f>IF(C96&lt;&gt;-100,A96,_xlfn.XLOOKUP(B96,ssH!L:L,ssH!M:M))</f>
        <v>46140</v>
      </c>
      <c r="AB96" s="49" t="str">
        <f t="shared" si="19"/>
        <v/>
      </c>
      <c r="AC96" s="52">
        <f>_xlfn.XLOOKUP(B96,TL!C:C,TL!C:C)</f>
        <v>0</v>
      </c>
      <c r="AD96" s="52">
        <f>_xlfn.XLOOKUP(B96,Y!C:C,Y!C:C)</f>
        <v>0</v>
      </c>
      <c r="AE96" s="52">
        <f>_xlfn.XLOOKUP(B96,MA!C:C,MA!C:C)</f>
        <v>0</v>
      </c>
    </row>
    <row r="97" spans="1:31" x14ac:dyDescent="0.25">
      <c r="A97" s="29">
        <f>ssH!$AG$1</f>
        <v>46140</v>
      </c>
      <c r="C97" s="47">
        <f t="shared" si="20"/>
        <v>0</v>
      </c>
      <c r="D97" s="42">
        <f>_xlfn.XLOOKUP(ssH!$AG$3&amp;B97,ssH!A:A,ssH!D:D,0)</f>
        <v>0</v>
      </c>
      <c r="E97" s="42">
        <f>_xlfn.XLOOKUP(ssH!$AG$5&amp;B97,ssH!A:A,ssH!D:D,0)</f>
        <v>0</v>
      </c>
      <c r="F97" s="42">
        <f>_xlfn.XLOOKUP(ssH!$AG$6&amp;B97,ssH!A:A,ssH!D:D,0)</f>
        <v>0</v>
      </c>
      <c r="G97" s="48">
        <f>_xlfn.XLOOKUP(A97&amp;B97,ssH!A:A,ssH!F:F,-100%)</f>
        <v>-1</v>
      </c>
      <c r="H97" s="46">
        <f>_xlfn.XLOOKUP(ssH!$AG$3&amp;B97,ssH!A:A,ssH!F:F,0)</f>
        <v>0</v>
      </c>
      <c r="I97" s="46">
        <f>_xlfn.XLOOKUP(ssH!$AG$5&amp;B97,ssH!A:A,ssH!F:F,0)</f>
        <v>0</v>
      </c>
      <c r="J97" s="46">
        <f>_xlfn.XLOOKUP(ssH!$AG$6&amp;B97,ssH!A:A,ssH!F:F,0)</f>
        <v>0</v>
      </c>
      <c r="K97" s="46">
        <f>_xlfn.XLOOKUP(B97,ssL!C:C,ssL!G:G,"Removed")</f>
        <v>0</v>
      </c>
      <c r="L97" s="27">
        <f>_xlfn.XLOOKUP(A97&amp;B97,ssH!A:A,ssH!D:D,0)</f>
        <v>0</v>
      </c>
      <c r="M97" s="42" t="str">
        <f>_xlfn.XLOOKUP(A97&amp;B97,ssH!A:A,ssH!I:I,"")</f>
        <v/>
      </c>
      <c r="N97" s="51" t="str">
        <f t="shared" si="11"/>
        <v/>
      </c>
      <c r="O97" s="51" t="str">
        <f t="shared" si="12"/>
        <v/>
      </c>
      <c r="P97" s="51" t="str">
        <f t="shared" si="13"/>
        <v/>
      </c>
      <c r="Q97" s="52">
        <f t="shared" si="14"/>
        <v>0</v>
      </c>
      <c r="R97" s="51">
        <f t="shared" si="15"/>
        <v>2</v>
      </c>
      <c r="S97" s="51">
        <f t="shared" si="16"/>
        <v>0</v>
      </c>
      <c r="T97" s="51">
        <f t="shared" si="17"/>
        <v>0</v>
      </c>
      <c r="U97" s="52">
        <f t="shared" si="18"/>
        <v>2</v>
      </c>
      <c r="V97" s="52">
        <f t="shared" si="21"/>
        <v>0</v>
      </c>
      <c r="W97" s="52" t="str" cm="1">
        <f t="array" ref="W97">_xlfn.IFS(B97="","",AND(G97&gt;=0,L97&gt;0),"BuySome",AND(G97&gt;=0,K97="KMSignal"),"BuySome",AND(G97&lt;0,L97&gt;0),"BuyWatch",AND(Q97&lt;0,L97&gt;0),"BuyWatch",AND(G97&gt;=0,L97=0),"BuyWatch",L97&gt;0,"BuySome",TRUE,"")</f>
        <v/>
      </c>
      <c r="X97" s="47" t="str">
        <f>_xlfn.XLOOKUP(W97,Parm!$AN$2:$AN$25,Parm!$AO$2:$AO$25,"")</f>
        <v/>
      </c>
      <c r="Y97" s="52" t="str" cm="1">
        <f t="array" ref="Y97">_xlfn.IFS(B97="","",OR(Q97=-100,U97=-100),"SellAll",OR(Q97&lt;0,U97&lt;0),"SellSome",AND(Q97&gt;0,U97&gt;0),"BuySome",OR(Q97&gt;0,U97&gt;0),"BuyWatch",TRUE,"")</f>
        <v/>
      </c>
      <c r="Z97" s="47" t="str">
        <f>_xlfn.XLOOKUP(Y97,Parm!$AN$2:$AN$25,Parm!$AO$2:$AO$25,"")</f>
        <v/>
      </c>
      <c r="AA97" s="286">
        <f>IF(C97&lt;&gt;-100,A97,_xlfn.XLOOKUP(B97,ssH!L:L,ssH!M:M))</f>
        <v>46140</v>
      </c>
      <c r="AB97" s="49" t="str">
        <f t="shared" si="19"/>
        <v/>
      </c>
      <c r="AC97" s="52">
        <f>_xlfn.XLOOKUP(B97,TL!C:C,TL!C:C)</f>
        <v>0</v>
      </c>
      <c r="AD97" s="52">
        <f>_xlfn.XLOOKUP(B97,Y!C:C,Y!C:C)</f>
        <v>0</v>
      </c>
      <c r="AE97" s="52">
        <f>_xlfn.XLOOKUP(B97,MA!C:C,MA!C:C)</f>
        <v>0</v>
      </c>
    </row>
    <row r="98" spans="1:31" x14ac:dyDescent="0.25">
      <c r="A98" s="29">
        <f>ssH!$AG$1</f>
        <v>46140</v>
      </c>
      <c r="C98" s="47">
        <f t="shared" si="20"/>
        <v>0</v>
      </c>
      <c r="D98" s="42">
        <f>_xlfn.XLOOKUP(ssH!$AG$3&amp;B98,ssH!A:A,ssH!D:D,0)</f>
        <v>0</v>
      </c>
      <c r="E98" s="42">
        <f>_xlfn.XLOOKUP(ssH!$AG$5&amp;B98,ssH!A:A,ssH!D:D,0)</f>
        <v>0</v>
      </c>
      <c r="F98" s="42">
        <f>_xlfn.XLOOKUP(ssH!$AG$6&amp;B98,ssH!A:A,ssH!D:D,0)</f>
        <v>0</v>
      </c>
      <c r="G98" s="48">
        <f>_xlfn.XLOOKUP(A98&amp;B98,ssH!A:A,ssH!F:F,-100%)</f>
        <v>-1</v>
      </c>
      <c r="H98" s="46">
        <f>_xlfn.XLOOKUP(ssH!$AG$3&amp;B98,ssH!A:A,ssH!F:F,0)</f>
        <v>0</v>
      </c>
      <c r="I98" s="46">
        <f>_xlfn.XLOOKUP(ssH!$AG$5&amp;B98,ssH!A:A,ssH!F:F,0)</f>
        <v>0</v>
      </c>
      <c r="J98" s="46">
        <f>_xlfn.XLOOKUP(ssH!$AG$6&amp;B98,ssH!A:A,ssH!F:F,0)</f>
        <v>0</v>
      </c>
      <c r="K98" s="46">
        <f>_xlfn.XLOOKUP(B98,ssL!C:C,ssL!G:G,"Removed")</f>
        <v>0</v>
      </c>
      <c r="L98" s="27">
        <f>_xlfn.XLOOKUP(A98&amp;B98,ssH!A:A,ssH!D:D,0)</f>
        <v>0</v>
      </c>
      <c r="M98" s="42" t="str">
        <f>_xlfn.XLOOKUP(A98&amp;B98,ssH!A:A,ssH!I:I,"")</f>
        <v/>
      </c>
      <c r="N98" s="51" t="str">
        <f t="shared" si="11"/>
        <v/>
      </c>
      <c r="O98" s="51" t="str">
        <f t="shared" si="12"/>
        <v/>
      </c>
      <c r="P98" s="51" t="str">
        <f t="shared" si="13"/>
        <v/>
      </c>
      <c r="Q98" s="52">
        <f t="shared" si="14"/>
        <v>0</v>
      </c>
      <c r="R98" s="51">
        <f t="shared" si="15"/>
        <v>2</v>
      </c>
      <c r="S98" s="51">
        <f t="shared" si="16"/>
        <v>0</v>
      </c>
      <c r="T98" s="51">
        <f t="shared" si="17"/>
        <v>0</v>
      </c>
      <c r="U98" s="52">
        <f t="shared" si="18"/>
        <v>2</v>
      </c>
      <c r="V98" s="52">
        <f t="shared" si="21"/>
        <v>0</v>
      </c>
      <c r="W98" s="52" t="str" cm="1">
        <f t="array" ref="W98">_xlfn.IFS(B98="","",AND(G98&gt;=0,L98&gt;0),"BuySome",AND(G98&gt;=0,K98="KMSignal"),"BuySome",AND(G98&lt;0,L98&gt;0),"BuyWatch",AND(Q98&lt;0,L98&gt;0),"BuyWatch",AND(G98&gt;=0,L98=0),"BuyWatch",L98&gt;0,"BuySome",TRUE,"")</f>
        <v/>
      </c>
      <c r="X98" s="47" t="str">
        <f>_xlfn.XLOOKUP(W98,Parm!$AN$2:$AN$25,Parm!$AO$2:$AO$25,"")</f>
        <v/>
      </c>
      <c r="Y98" s="52" t="str" cm="1">
        <f t="array" ref="Y98">_xlfn.IFS(B98="","",OR(Q98=-100,U98=-100),"SellAll",OR(Q98&lt;0,U98&lt;0),"SellSome",AND(Q98&gt;0,U98&gt;0),"BuySome",OR(Q98&gt;0,U98&gt;0),"BuyWatch",TRUE,"")</f>
        <v/>
      </c>
      <c r="Z98" s="47" t="str">
        <f>_xlfn.XLOOKUP(Y98,Parm!$AN$2:$AN$25,Parm!$AO$2:$AO$25,"")</f>
        <v/>
      </c>
      <c r="AA98" s="286">
        <f>IF(C98&lt;&gt;-100,A98,_xlfn.XLOOKUP(B98,ssH!L:L,ssH!M:M))</f>
        <v>46140</v>
      </c>
      <c r="AB98" s="49" t="str">
        <f t="shared" si="19"/>
        <v/>
      </c>
      <c r="AC98" s="52">
        <f>_xlfn.XLOOKUP(B98,TL!C:C,TL!C:C)</f>
        <v>0</v>
      </c>
      <c r="AD98" s="52">
        <f>_xlfn.XLOOKUP(B98,Y!C:C,Y!C:C)</f>
        <v>0</v>
      </c>
      <c r="AE98" s="52">
        <f>_xlfn.XLOOKUP(B98,MA!C:C,MA!C:C)</f>
        <v>0</v>
      </c>
    </row>
    <row r="99" spans="1:31" x14ac:dyDescent="0.25">
      <c r="A99" s="29">
        <f>ssH!$AG$1</f>
        <v>46140</v>
      </c>
      <c r="C99" s="47">
        <f t="shared" si="20"/>
        <v>0</v>
      </c>
      <c r="D99" s="42">
        <f>_xlfn.XLOOKUP(ssH!$AG$3&amp;B99,ssH!A:A,ssH!D:D,0)</f>
        <v>0</v>
      </c>
      <c r="E99" s="42">
        <f>_xlfn.XLOOKUP(ssH!$AG$5&amp;B99,ssH!A:A,ssH!D:D,0)</f>
        <v>0</v>
      </c>
      <c r="F99" s="42">
        <f>_xlfn.XLOOKUP(ssH!$AG$6&amp;B99,ssH!A:A,ssH!D:D,0)</f>
        <v>0</v>
      </c>
      <c r="G99" s="48">
        <f>_xlfn.XLOOKUP(A99&amp;B99,ssH!A:A,ssH!F:F,-100%)</f>
        <v>-1</v>
      </c>
      <c r="H99" s="46">
        <f>_xlfn.XLOOKUP(ssH!$AG$3&amp;B99,ssH!A:A,ssH!F:F,0)</f>
        <v>0</v>
      </c>
      <c r="I99" s="46">
        <f>_xlfn.XLOOKUP(ssH!$AG$5&amp;B99,ssH!A:A,ssH!F:F,0)</f>
        <v>0</v>
      </c>
      <c r="J99" s="46">
        <f>_xlfn.XLOOKUP(ssH!$AG$6&amp;B99,ssH!A:A,ssH!F:F,0)</f>
        <v>0</v>
      </c>
      <c r="K99" s="46">
        <f>_xlfn.XLOOKUP(B99,ssL!C:C,ssL!G:G,"Removed")</f>
        <v>0</v>
      </c>
      <c r="L99" s="27">
        <f>_xlfn.XLOOKUP(A99&amp;B99,ssH!A:A,ssH!D:D,0)</f>
        <v>0</v>
      </c>
      <c r="M99" s="42" t="str">
        <f>_xlfn.XLOOKUP(A99&amp;B99,ssH!A:A,ssH!I:I,"")</f>
        <v/>
      </c>
      <c r="N99" s="51" t="str">
        <f t="shared" si="11"/>
        <v/>
      </c>
      <c r="O99" s="51" t="str">
        <f t="shared" si="12"/>
        <v/>
      </c>
      <c r="P99" s="51" t="str">
        <f t="shared" si="13"/>
        <v/>
      </c>
      <c r="Q99" s="52">
        <f t="shared" si="14"/>
        <v>0</v>
      </c>
      <c r="R99" s="51">
        <f t="shared" si="15"/>
        <v>2</v>
      </c>
      <c r="S99" s="51">
        <f t="shared" si="16"/>
        <v>0</v>
      </c>
      <c r="T99" s="51">
        <f t="shared" si="17"/>
        <v>0</v>
      </c>
      <c r="U99" s="52">
        <f t="shared" si="18"/>
        <v>2</v>
      </c>
      <c r="V99" s="52">
        <f t="shared" si="21"/>
        <v>0</v>
      </c>
      <c r="W99" s="52" t="str" cm="1">
        <f t="array" ref="W99">_xlfn.IFS(B99="","",AND(G99&gt;=0,L99&gt;0),"BuySome",AND(G99&gt;=0,K99="KMSignal"),"BuySome",AND(G99&lt;0,L99&gt;0),"BuyWatch",AND(Q99&lt;0,L99&gt;0),"BuyWatch",AND(G99&gt;=0,L99=0),"BuyWatch",L99&gt;0,"BuySome",TRUE,"")</f>
        <v/>
      </c>
      <c r="X99" s="47" t="str">
        <f>_xlfn.XLOOKUP(W99,Parm!$AN$2:$AN$25,Parm!$AO$2:$AO$25,"")</f>
        <v/>
      </c>
      <c r="Y99" s="52" t="str" cm="1">
        <f t="array" ref="Y99">_xlfn.IFS(B99="","",OR(Q99=-100,U99=-100),"SellAll",OR(Q99&lt;0,U99&lt;0),"SellSome",AND(Q99&gt;0,U99&gt;0),"BuySome",OR(Q99&gt;0,U99&gt;0),"BuyWatch",TRUE,"")</f>
        <v/>
      </c>
      <c r="Z99" s="47" t="str">
        <f>_xlfn.XLOOKUP(Y99,Parm!$AN$2:$AN$25,Parm!$AO$2:$AO$25,"")</f>
        <v/>
      </c>
      <c r="AA99" s="286">
        <f>IF(C99&lt;&gt;-100,A99,_xlfn.XLOOKUP(B99,ssH!L:L,ssH!M:M))</f>
        <v>46140</v>
      </c>
      <c r="AB99" s="49" t="str">
        <f t="shared" si="19"/>
        <v/>
      </c>
      <c r="AC99" s="52">
        <f>_xlfn.XLOOKUP(B99,TL!C:C,TL!C:C)</f>
        <v>0</v>
      </c>
      <c r="AD99" s="52">
        <f>_xlfn.XLOOKUP(B99,Y!C:C,Y!C:C)</f>
        <v>0</v>
      </c>
      <c r="AE99" s="52">
        <f>_xlfn.XLOOKUP(B99,MA!C:C,MA!C:C)</f>
        <v>0</v>
      </c>
    </row>
    <row r="100" spans="1:31" x14ac:dyDescent="0.25">
      <c r="A100" s="29">
        <f>ssH!$AG$1</f>
        <v>46140</v>
      </c>
      <c r="C100" s="47">
        <f t="shared" si="20"/>
        <v>0</v>
      </c>
      <c r="D100" s="42">
        <f>_xlfn.XLOOKUP(ssH!$AG$3&amp;B100,ssH!A:A,ssH!D:D,0)</f>
        <v>0</v>
      </c>
      <c r="E100" s="42">
        <f>_xlfn.XLOOKUP(ssH!$AG$5&amp;B100,ssH!A:A,ssH!D:D,0)</f>
        <v>0</v>
      </c>
      <c r="F100" s="42">
        <f>_xlfn.XLOOKUP(ssH!$AG$6&amp;B100,ssH!A:A,ssH!D:D,0)</f>
        <v>0</v>
      </c>
      <c r="G100" s="48">
        <f>_xlfn.XLOOKUP(A100&amp;B100,ssH!A:A,ssH!F:F,-100%)</f>
        <v>-1</v>
      </c>
      <c r="H100" s="46">
        <f>_xlfn.XLOOKUP(ssH!$AG$3&amp;B100,ssH!A:A,ssH!F:F,0)</f>
        <v>0</v>
      </c>
      <c r="I100" s="46">
        <f>_xlfn.XLOOKUP(ssH!$AG$5&amp;B100,ssH!A:A,ssH!F:F,0)</f>
        <v>0</v>
      </c>
      <c r="J100" s="46">
        <f>_xlfn.XLOOKUP(ssH!$AG$6&amp;B100,ssH!A:A,ssH!F:F,0)</f>
        <v>0</v>
      </c>
      <c r="K100" s="46">
        <f>_xlfn.XLOOKUP(B100,ssL!C:C,ssL!G:G,"Removed")</f>
        <v>0</v>
      </c>
      <c r="L100" s="27">
        <f>_xlfn.XLOOKUP(A100&amp;B100,ssH!A:A,ssH!D:D,0)</f>
        <v>0</v>
      </c>
      <c r="M100" s="42" t="str">
        <f>_xlfn.XLOOKUP(A100&amp;B100,ssH!A:A,ssH!I:I,"")</f>
        <v/>
      </c>
      <c r="N100" s="51" t="str">
        <f t="shared" si="11"/>
        <v/>
      </c>
      <c r="O100" s="51" t="str">
        <f t="shared" si="12"/>
        <v/>
      </c>
      <c r="P100" s="51" t="str">
        <f t="shared" si="13"/>
        <v/>
      </c>
      <c r="Q100" s="52">
        <f t="shared" si="14"/>
        <v>0</v>
      </c>
      <c r="R100" s="51">
        <f t="shared" si="15"/>
        <v>2</v>
      </c>
      <c r="S100" s="51">
        <f t="shared" si="16"/>
        <v>0</v>
      </c>
      <c r="T100" s="51">
        <f t="shared" si="17"/>
        <v>0</v>
      </c>
      <c r="U100" s="52">
        <f t="shared" si="18"/>
        <v>2</v>
      </c>
      <c r="V100" s="52">
        <f t="shared" si="21"/>
        <v>0</v>
      </c>
      <c r="W100" s="52" t="str" cm="1">
        <f t="array" ref="W100">_xlfn.IFS(B100="","",AND(G100&gt;=0,L100&gt;0),"BuySome",AND(G100&gt;=0,K100="KMSignal"),"BuySome",AND(G100&lt;0,L100&gt;0),"BuyWatch",AND(Q100&lt;0,L100&gt;0),"BuyWatch",AND(G100&gt;=0,L100=0),"BuyWatch",L100&gt;0,"BuySome",TRUE,"")</f>
        <v/>
      </c>
      <c r="X100" s="47" t="str">
        <f>_xlfn.XLOOKUP(W100,Parm!$AN$2:$AN$25,Parm!$AO$2:$AO$25,"")</f>
        <v/>
      </c>
      <c r="Y100" s="52" t="str" cm="1">
        <f t="array" ref="Y100">_xlfn.IFS(B100="","",OR(Q100=-100,U100=-100),"SellAll",OR(Q100&lt;0,U100&lt;0),"SellSome",AND(Q100&gt;0,U100&gt;0),"BuySome",OR(Q100&gt;0,U100&gt;0),"BuyWatch",TRUE,"")</f>
        <v/>
      </c>
      <c r="Z100" s="47" t="str">
        <f>_xlfn.XLOOKUP(Y100,Parm!$AN$2:$AN$25,Parm!$AO$2:$AO$25,"")</f>
        <v/>
      </c>
      <c r="AA100" s="286">
        <f>IF(C100&lt;&gt;-100,A100,_xlfn.XLOOKUP(B100,ssH!L:L,ssH!M:M))</f>
        <v>46140</v>
      </c>
      <c r="AB100" s="49" t="str">
        <f t="shared" si="19"/>
        <v/>
      </c>
      <c r="AC100" s="52">
        <f>_xlfn.XLOOKUP(B100,TL!C:C,TL!C:C)</f>
        <v>0</v>
      </c>
      <c r="AD100" s="52">
        <f>_xlfn.XLOOKUP(B100,Y!C:C,Y!C:C)</f>
        <v>0</v>
      </c>
      <c r="AE100" s="52">
        <f>_xlfn.XLOOKUP(B100,MA!C:C,MA!C:C)</f>
        <v>0</v>
      </c>
    </row>
    <row r="101" spans="1:31" x14ac:dyDescent="0.25">
      <c r="A101" s="29">
        <f>ssH!$AG$1</f>
        <v>46140</v>
      </c>
      <c r="C101" s="47">
        <f t="shared" si="20"/>
        <v>0</v>
      </c>
      <c r="D101" s="42">
        <f>_xlfn.XLOOKUP(ssH!$AG$3&amp;B101,ssH!A:A,ssH!D:D,0)</f>
        <v>0</v>
      </c>
      <c r="E101" s="42">
        <f>_xlfn.XLOOKUP(ssH!$AG$5&amp;B101,ssH!A:A,ssH!D:D,0)</f>
        <v>0</v>
      </c>
      <c r="F101" s="42">
        <f>_xlfn.XLOOKUP(ssH!$AG$6&amp;B101,ssH!A:A,ssH!D:D,0)</f>
        <v>0</v>
      </c>
      <c r="G101" s="48">
        <f>_xlfn.XLOOKUP(A101&amp;B101,ssH!A:A,ssH!F:F,-100%)</f>
        <v>-1</v>
      </c>
      <c r="H101" s="46">
        <f>_xlfn.XLOOKUP(ssH!$AG$3&amp;B101,ssH!A:A,ssH!F:F,0)</f>
        <v>0</v>
      </c>
      <c r="I101" s="46">
        <f>_xlfn.XLOOKUP(ssH!$AG$5&amp;B101,ssH!A:A,ssH!F:F,0)</f>
        <v>0</v>
      </c>
      <c r="J101" s="46">
        <f>_xlfn.XLOOKUP(ssH!$AG$6&amp;B101,ssH!A:A,ssH!F:F,0)</f>
        <v>0</v>
      </c>
      <c r="K101" s="46">
        <f>_xlfn.XLOOKUP(B101,ssL!C:C,ssL!G:G,"Removed")</f>
        <v>0</v>
      </c>
      <c r="L101" s="27">
        <f>_xlfn.XLOOKUP(A101&amp;B101,ssH!A:A,ssH!D:D,0)</f>
        <v>0</v>
      </c>
      <c r="M101" s="42" t="str">
        <f>_xlfn.XLOOKUP(A101&amp;B101,ssH!A:A,ssH!I:I,"")</f>
        <v/>
      </c>
      <c r="N101" s="51" t="str">
        <f t="shared" si="11"/>
        <v/>
      </c>
      <c r="O101" s="51" t="str">
        <f t="shared" si="12"/>
        <v/>
      </c>
      <c r="P101" s="51" t="str">
        <f t="shared" si="13"/>
        <v/>
      </c>
      <c r="Q101" s="52">
        <f t="shared" si="14"/>
        <v>0</v>
      </c>
      <c r="R101" s="51">
        <f t="shared" si="15"/>
        <v>2</v>
      </c>
      <c r="S101" s="51">
        <f t="shared" si="16"/>
        <v>0</v>
      </c>
      <c r="T101" s="51">
        <f t="shared" si="17"/>
        <v>0</v>
      </c>
      <c r="U101" s="52">
        <f t="shared" si="18"/>
        <v>2</v>
      </c>
      <c r="V101" s="52">
        <f t="shared" si="21"/>
        <v>0</v>
      </c>
      <c r="W101" s="52" t="str" cm="1">
        <f t="array" ref="W101">_xlfn.IFS(B101="","",AND(G101&gt;=0,L101&gt;0),"BuySome",AND(G101&gt;=0,K101="KMSignal"),"BuySome",AND(G101&lt;0,L101&gt;0),"BuyWatch",AND(Q101&lt;0,L101&gt;0),"BuyWatch",AND(G101&gt;=0,L101=0),"BuyWatch",L101&gt;0,"BuySome",TRUE,"")</f>
        <v/>
      </c>
      <c r="X101" s="47" t="str">
        <f>_xlfn.XLOOKUP(W101,Parm!$AN$2:$AN$25,Parm!$AO$2:$AO$25,"")</f>
        <v/>
      </c>
      <c r="Y101" s="52" t="str" cm="1">
        <f t="array" ref="Y101">_xlfn.IFS(B101="","",OR(Q101=-100,U101=-100),"SellAll",OR(Q101&lt;0,U101&lt;0),"SellSome",AND(Q101&gt;0,U101&gt;0),"BuySome",OR(Q101&gt;0,U101&gt;0),"BuyWatch",TRUE,"")</f>
        <v/>
      </c>
      <c r="Z101" s="47" t="str">
        <f>_xlfn.XLOOKUP(Y101,Parm!$AN$2:$AN$25,Parm!$AO$2:$AO$25,"")</f>
        <v/>
      </c>
      <c r="AA101" s="286">
        <f>IF(C101&lt;&gt;-100,A101,_xlfn.XLOOKUP(B101,ssH!L:L,ssH!M:M))</f>
        <v>46140</v>
      </c>
      <c r="AB101" s="49" t="str">
        <f t="shared" si="19"/>
        <v/>
      </c>
      <c r="AC101" s="52">
        <f>_xlfn.XLOOKUP(B101,TL!C:C,TL!C:C)</f>
        <v>0</v>
      </c>
      <c r="AD101" s="52">
        <f>_xlfn.XLOOKUP(B101,Y!C:C,Y!C:C)</f>
        <v>0</v>
      </c>
      <c r="AE101" s="52">
        <f>_xlfn.XLOOKUP(B101,MA!C:C,MA!C:C)</f>
        <v>0</v>
      </c>
    </row>
    <row r="102" spans="1:31" x14ac:dyDescent="0.25">
      <c r="A102" s="29">
        <f>ssH!$AG$1</f>
        <v>46140</v>
      </c>
      <c r="C102" s="47">
        <f t="shared" si="20"/>
        <v>0</v>
      </c>
      <c r="D102" s="42">
        <f>_xlfn.XLOOKUP(ssH!$AG$3&amp;B102,ssH!A:A,ssH!D:D,0)</f>
        <v>0</v>
      </c>
      <c r="E102" s="42">
        <f>_xlfn.XLOOKUP(ssH!$AG$5&amp;B102,ssH!A:A,ssH!D:D,0)</f>
        <v>0</v>
      </c>
      <c r="F102" s="42">
        <f>_xlfn.XLOOKUP(ssH!$AG$6&amp;B102,ssH!A:A,ssH!D:D,0)</f>
        <v>0</v>
      </c>
      <c r="G102" s="48">
        <f>_xlfn.XLOOKUP(A102&amp;B102,ssH!A:A,ssH!F:F,-100%)</f>
        <v>-1</v>
      </c>
      <c r="H102" s="46">
        <f>_xlfn.XLOOKUP(ssH!$AG$3&amp;B102,ssH!A:A,ssH!F:F,0)</f>
        <v>0</v>
      </c>
      <c r="I102" s="46">
        <f>_xlfn.XLOOKUP(ssH!$AG$5&amp;B102,ssH!A:A,ssH!F:F,0)</f>
        <v>0</v>
      </c>
      <c r="J102" s="46">
        <f>_xlfn.XLOOKUP(ssH!$AG$6&amp;B102,ssH!A:A,ssH!F:F,0)</f>
        <v>0</v>
      </c>
      <c r="K102" s="46">
        <f>_xlfn.XLOOKUP(B102,ssL!C:C,ssL!G:G,"Removed")</f>
        <v>0</v>
      </c>
      <c r="L102" s="27">
        <f>_xlfn.XLOOKUP(A102&amp;B102,ssH!A:A,ssH!D:D,0)</f>
        <v>0</v>
      </c>
      <c r="M102" s="42" t="str">
        <f>_xlfn.XLOOKUP(A102&amp;B102,ssH!A:A,ssH!I:I,"")</f>
        <v/>
      </c>
      <c r="N102" s="51" t="str">
        <f t="shared" si="11"/>
        <v/>
      </c>
      <c r="O102" s="51" t="str">
        <f t="shared" si="12"/>
        <v/>
      </c>
      <c r="P102" s="51" t="str">
        <f t="shared" si="13"/>
        <v/>
      </c>
      <c r="Q102" s="52">
        <f t="shared" si="14"/>
        <v>0</v>
      </c>
      <c r="R102" s="51">
        <f t="shared" si="15"/>
        <v>2</v>
      </c>
      <c r="S102" s="51">
        <f t="shared" si="16"/>
        <v>0</v>
      </c>
      <c r="T102" s="51">
        <f t="shared" si="17"/>
        <v>0</v>
      </c>
      <c r="U102" s="52">
        <f t="shared" si="18"/>
        <v>2</v>
      </c>
      <c r="V102" s="52">
        <f t="shared" si="21"/>
        <v>0</v>
      </c>
      <c r="W102" s="52" t="str" cm="1">
        <f t="array" ref="W102">_xlfn.IFS(B102="","",AND(G102&gt;=0,L102&gt;0),"BuySome",AND(G102&gt;=0,K102="KMSignal"),"BuySome",AND(G102&lt;0,L102&gt;0),"BuyWatch",AND(Q102&lt;0,L102&gt;0),"BuyWatch",AND(G102&gt;=0,L102=0),"BuyWatch",L102&gt;0,"BuySome",TRUE,"")</f>
        <v/>
      </c>
      <c r="X102" s="47" t="str">
        <f>_xlfn.XLOOKUP(W102,Parm!$AN$2:$AN$25,Parm!$AO$2:$AO$25,"")</f>
        <v/>
      </c>
      <c r="Y102" s="52" t="str" cm="1">
        <f t="array" ref="Y102">_xlfn.IFS(B102="","",OR(Q102=-100,U102=-100),"SellAll",OR(Q102&lt;0,U102&lt;0),"SellSome",AND(Q102&gt;0,U102&gt;0),"BuySome",OR(Q102&gt;0,U102&gt;0),"BuyWatch",TRUE,"")</f>
        <v/>
      </c>
      <c r="Z102" s="47" t="str">
        <f>_xlfn.XLOOKUP(Y102,Parm!$AN$2:$AN$25,Parm!$AO$2:$AO$25,"")</f>
        <v/>
      </c>
      <c r="AA102" s="286">
        <f>IF(C102&lt;&gt;-100,A102,_xlfn.XLOOKUP(B102,ssH!L:L,ssH!M:M))</f>
        <v>46140</v>
      </c>
      <c r="AB102" s="49" t="str">
        <f t="shared" si="19"/>
        <v/>
      </c>
      <c r="AC102" s="52">
        <f>_xlfn.XLOOKUP(B102,TL!C:C,TL!C:C)</f>
        <v>0</v>
      </c>
      <c r="AD102" s="52">
        <f>_xlfn.XLOOKUP(B102,Y!C:C,Y!C:C)</f>
        <v>0</v>
      </c>
      <c r="AE102" s="52">
        <f>_xlfn.XLOOKUP(B102,MA!C:C,MA!C:C)</f>
        <v>0</v>
      </c>
    </row>
    <row r="103" spans="1:31" x14ac:dyDescent="0.25">
      <c r="A103" s="29">
        <f>ssH!$AG$1</f>
        <v>46140</v>
      </c>
      <c r="C103" s="47">
        <f t="shared" si="20"/>
        <v>0</v>
      </c>
      <c r="D103" s="42">
        <f>_xlfn.XLOOKUP(ssH!$AG$3&amp;B103,ssH!A:A,ssH!D:D,0)</f>
        <v>0</v>
      </c>
      <c r="E103" s="42">
        <f>_xlfn.XLOOKUP(ssH!$AG$5&amp;B103,ssH!A:A,ssH!D:D,0)</f>
        <v>0</v>
      </c>
      <c r="F103" s="42">
        <f>_xlfn.XLOOKUP(ssH!$AG$6&amp;B103,ssH!A:A,ssH!D:D,0)</f>
        <v>0</v>
      </c>
      <c r="G103" s="48">
        <f>_xlfn.XLOOKUP(A103&amp;B103,ssH!A:A,ssH!F:F,-100%)</f>
        <v>-1</v>
      </c>
      <c r="H103" s="46">
        <f>_xlfn.XLOOKUP(ssH!$AG$3&amp;B103,ssH!A:A,ssH!F:F,0)</f>
        <v>0</v>
      </c>
      <c r="I103" s="46">
        <f>_xlfn.XLOOKUP(ssH!$AG$5&amp;B103,ssH!A:A,ssH!F:F,0)</f>
        <v>0</v>
      </c>
      <c r="J103" s="46">
        <f>_xlfn.XLOOKUP(ssH!$AG$6&amp;B103,ssH!A:A,ssH!F:F,0)</f>
        <v>0</v>
      </c>
      <c r="K103" s="46">
        <f>_xlfn.XLOOKUP(B103,ssL!C:C,ssL!G:G,"Removed")</f>
        <v>0</v>
      </c>
      <c r="L103" s="27">
        <f>_xlfn.XLOOKUP(A103&amp;B103,ssH!A:A,ssH!D:D,0)</f>
        <v>0</v>
      </c>
      <c r="M103" s="42" t="str">
        <f>_xlfn.XLOOKUP(A103&amp;B103,ssH!A:A,ssH!I:I,"")</f>
        <v/>
      </c>
      <c r="N103" s="51" t="str">
        <f t="shared" si="11"/>
        <v/>
      </c>
      <c r="O103" s="51" t="str">
        <f t="shared" si="12"/>
        <v/>
      </c>
      <c r="P103" s="51" t="str">
        <f t="shared" si="13"/>
        <v/>
      </c>
      <c r="Q103" s="52">
        <f t="shared" si="14"/>
        <v>0</v>
      </c>
      <c r="R103" s="51">
        <f t="shared" si="15"/>
        <v>2</v>
      </c>
      <c r="S103" s="51">
        <f t="shared" si="16"/>
        <v>0</v>
      </c>
      <c r="T103" s="51">
        <f t="shared" si="17"/>
        <v>0</v>
      </c>
      <c r="U103" s="52">
        <f t="shared" si="18"/>
        <v>2</v>
      </c>
      <c r="V103" s="52">
        <f t="shared" si="21"/>
        <v>0</v>
      </c>
      <c r="W103" s="52" t="str" cm="1">
        <f t="array" ref="W103">_xlfn.IFS(B103="","",AND(G103&gt;=0,L103&gt;0),"BuySome",AND(G103&gt;=0,K103="KMSignal"),"BuySome",AND(G103&lt;0,L103&gt;0),"BuyWatch",AND(Q103&lt;0,L103&gt;0),"BuyWatch",AND(G103&gt;=0,L103=0),"BuyWatch",L103&gt;0,"BuySome",TRUE,"")</f>
        <v/>
      </c>
      <c r="X103" s="47" t="str">
        <f>_xlfn.XLOOKUP(W103,Parm!$AN$2:$AN$25,Parm!$AO$2:$AO$25,"")</f>
        <v/>
      </c>
      <c r="Y103" s="52" t="str" cm="1">
        <f t="array" ref="Y103">_xlfn.IFS(B103="","",OR(Q103=-100,U103=-100),"SellAll",OR(Q103&lt;0,U103&lt;0),"SellSome",AND(Q103&gt;0,U103&gt;0),"BuySome",OR(Q103&gt;0,U103&gt;0),"BuyWatch",TRUE,"")</f>
        <v/>
      </c>
      <c r="Z103" s="47" t="str">
        <f>_xlfn.XLOOKUP(Y103,Parm!$AN$2:$AN$25,Parm!$AO$2:$AO$25,"")</f>
        <v/>
      </c>
      <c r="AA103" s="286">
        <f>IF(C103&lt;&gt;-100,A103,_xlfn.XLOOKUP(B103,ssH!L:L,ssH!M:M))</f>
        <v>46140</v>
      </c>
      <c r="AB103" s="49" t="str">
        <f t="shared" si="19"/>
        <v/>
      </c>
      <c r="AC103" s="52">
        <f>_xlfn.XLOOKUP(B103,TL!C:C,TL!C:C)</f>
        <v>0</v>
      </c>
      <c r="AD103" s="52">
        <f>_xlfn.XLOOKUP(B103,Y!C:C,Y!C:C)</f>
        <v>0</v>
      </c>
      <c r="AE103" s="52">
        <f>_xlfn.XLOOKUP(B103,MA!C:C,MA!C:C)</f>
        <v>0</v>
      </c>
    </row>
    <row r="104" spans="1:31" x14ac:dyDescent="0.25">
      <c r="A104" s="29">
        <f>ssH!$AG$1</f>
        <v>46140</v>
      </c>
      <c r="C104" s="47">
        <f t="shared" si="20"/>
        <v>0</v>
      </c>
      <c r="D104" s="42">
        <f>_xlfn.XLOOKUP(ssH!$AG$3&amp;B104,ssH!A:A,ssH!D:D,0)</f>
        <v>0</v>
      </c>
      <c r="E104" s="42">
        <f>_xlfn.XLOOKUP(ssH!$AG$5&amp;B104,ssH!A:A,ssH!D:D,0)</f>
        <v>0</v>
      </c>
      <c r="F104" s="42">
        <f>_xlfn.XLOOKUP(ssH!$AG$6&amp;B104,ssH!A:A,ssH!D:D,0)</f>
        <v>0</v>
      </c>
      <c r="G104" s="48">
        <f>_xlfn.XLOOKUP(A104&amp;B104,ssH!A:A,ssH!F:F,-100%)</f>
        <v>-1</v>
      </c>
      <c r="H104" s="46">
        <f>_xlfn.XLOOKUP(ssH!$AG$3&amp;B104,ssH!A:A,ssH!F:F,0)</f>
        <v>0</v>
      </c>
      <c r="I104" s="46">
        <f>_xlfn.XLOOKUP(ssH!$AG$5&amp;B104,ssH!A:A,ssH!F:F,0)</f>
        <v>0</v>
      </c>
      <c r="J104" s="46">
        <f>_xlfn.XLOOKUP(ssH!$AG$6&amp;B104,ssH!A:A,ssH!F:F,0)</f>
        <v>0</v>
      </c>
      <c r="K104" s="46">
        <f>_xlfn.XLOOKUP(B104,ssL!C:C,ssL!G:G,"Removed")</f>
        <v>0</v>
      </c>
      <c r="L104" s="27">
        <f>_xlfn.XLOOKUP(A104&amp;B104,ssH!A:A,ssH!D:D,0)</f>
        <v>0</v>
      </c>
      <c r="M104" s="42" t="str">
        <f>_xlfn.XLOOKUP(A104&amp;B104,ssH!A:A,ssH!I:I,"")</f>
        <v/>
      </c>
      <c r="N104" s="51" t="str">
        <f t="shared" si="11"/>
        <v/>
      </c>
      <c r="O104" s="51" t="str">
        <f t="shared" si="12"/>
        <v/>
      </c>
      <c r="P104" s="51" t="str">
        <f t="shared" si="13"/>
        <v/>
      </c>
      <c r="Q104" s="52">
        <f t="shared" si="14"/>
        <v>0</v>
      </c>
      <c r="R104" s="51">
        <f t="shared" si="15"/>
        <v>2</v>
      </c>
      <c r="S104" s="51">
        <f t="shared" si="16"/>
        <v>0</v>
      </c>
      <c r="T104" s="51">
        <f t="shared" si="17"/>
        <v>0</v>
      </c>
      <c r="U104" s="52">
        <f t="shared" si="18"/>
        <v>2</v>
      </c>
      <c r="V104" s="52">
        <f t="shared" si="21"/>
        <v>0</v>
      </c>
      <c r="W104" s="52" t="str" cm="1">
        <f t="array" ref="W104">_xlfn.IFS(B104="","",AND(G104&gt;=0,L104&gt;0),"BuySome",AND(G104&gt;=0,K104="KMSignal"),"BuySome",AND(G104&lt;0,L104&gt;0),"BuyWatch",AND(Q104&lt;0,L104&gt;0),"BuyWatch",AND(G104&gt;=0,L104=0),"BuyWatch",L104&gt;0,"BuySome",TRUE,"")</f>
        <v/>
      </c>
      <c r="X104" s="47" t="str">
        <f>_xlfn.XLOOKUP(W104,Parm!$AN$2:$AN$25,Parm!$AO$2:$AO$25,"")</f>
        <v/>
      </c>
      <c r="Y104" s="52" t="str" cm="1">
        <f t="array" ref="Y104">_xlfn.IFS(B104="","",OR(Q104=-100,U104=-100),"SellAll",OR(Q104&lt;0,U104&lt;0),"SellSome",AND(Q104&gt;0,U104&gt;0),"BuySome",OR(Q104&gt;0,U104&gt;0),"BuyWatch",TRUE,"")</f>
        <v/>
      </c>
      <c r="Z104" s="47" t="str">
        <f>_xlfn.XLOOKUP(Y104,Parm!$AN$2:$AN$25,Parm!$AO$2:$AO$25,"")</f>
        <v/>
      </c>
      <c r="AA104" s="286">
        <f>IF(C104&lt;&gt;-100,A104,_xlfn.XLOOKUP(B104,ssH!L:L,ssH!M:M))</f>
        <v>46140</v>
      </c>
      <c r="AB104" s="49" t="str">
        <f t="shared" si="19"/>
        <v/>
      </c>
      <c r="AC104" s="52">
        <f>_xlfn.XLOOKUP(B104,TL!C:C,TL!C:C)</f>
        <v>0</v>
      </c>
      <c r="AD104" s="52">
        <f>_xlfn.XLOOKUP(B104,Y!C:C,Y!C:C)</f>
        <v>0</v>
      </c>
      <c r="AE104" s="52">
        <f>_xlfn.XLOOKUP(B104,MA!C:C,MA!C:C)</f>
        <v>0</v>
      </c>
    </row>
    <row r="105" spans="1:31" x14ac:dyDescent="0.25">
      <c r="A105" s="29">
        <f>ssH!$AG$1</f>
        <v>46140</v>
      </c>
      <c r="C105" s="47">
        <f t="shared" si="20"/>
        <v>0</v>
      </c>
      <c r="D105" s="42">
        <f>_xlfn.XLOOKUP(ssH!$AG$3&amp;B105,ssH!A:A,ssH!D:D,0)</f>
        <v>0</v>
      </c>
      <c r="E105" s="42">
        <f>_xlfn.XLOOKUP(ssH!$AG$5&amp;B105,ssH!A:A,ssH!D:D,0)</f>
        <v>0</v>
      </c>
      <c r="F105" s="42">
        <f>_xlfn.XLOOKUP(ssH!$AG$6&amp;B105,ssH!A:A,ssH!D:D,0)</f>
        <v>0</v>
      </c>
      <c r="G105" s="48">
        <f>_xlfn.XLOOKUP(A105&amp;B105,ssH!A:A,ssH!F:F,-100%)</f>
        <v>-1</v>
      </c>
      <c r="H105" s="46">
        <f>_xlfn.XLOOKUP(ssH!$AG$3&amp;B105,ssH!A:A,ssH!F:F,0)</f>
        <v>0</v>
      </c>
      <c r="I105" s="46">
        <f>_xlfn.XLOOKUP(ssH!$AG$5&amp;B105,ssH!A:A,ssH!F:F,0)</f>
        <v>0</v>
      </c>
      <c r="J105" s="46">
        <f>_xlfn.XLOOKUP(ssH!$AG$6&amp;B105,ssH!A:A,ssH!F:F,0)</f>
        <v>0</v>
      </c>
      <c r="K105" s="46">
        <f>_xlfn.XLOOKUP(B105,ssL!C:C,ssL!G:G,"Removed")</f>
        <v>0</v>
      </c>
      <c r="L105" s="27">
        <f>_xlfn.XLOOKUP(A105&amp;B105,ssH!A:A,ssH!D:D,0)</f>
        <v>0</v>
      </c>
      <c r="M105" s="42" t="str">
        <f>_xlfn.XLOOKUP(A105&amp;B105,ssH!A:A,ssH!I:I,"")</f>
        <v/>
      </c>
      <c r="N105" s="51" t="str">
        <f t="shared" si="11"/>
        <v/>
      </c>
      <c r="O105" s="51" t="str">
        <f t="shared" si="12"/>
        <v/>
      </c>
      <c r="P105" s="51" t="str">
        <f t="shared" si="13"/>
        <v/>
      </c>
      <c r="Q105" s="52">
        <f t="shared" si="14"/>
        <v>0</v>
      </c>
      <c r="R105" s="51">
        <f t="shared" si="15"/>
        <v>2</v>
      </c>
      <c r="S105" s="51">
        <f t="shared" si="16"/>
        <v>0</v>
      </c>
      <c r="T105" s="51">
        <f t="shared" si="17"/>
        <v>0</v>
      </c>
      <c r="U105" s="52">
        <f t="shared" si="18"/>
        <v>2</v>
      </c>
      <c r="V105" s="52">
        <f t="shared" si="21"/>
        <v>0</v>
      </c>
      <c r="W105" s="52" t="str" cm="1">
        <f t="array" ref="W105">_xlfn.IFS(B105="","",AND(G105&gt;=0,L105&gt;0),"BuySome",AND(G105&gt;=0,K105="KMSignal"),"BuySome",AND(G105&lt;0,L105&gt;0),"BuyWatch",AND(Q105&lt;0,L105&gt;0),"BuyWatch",AND(G105&gt;=0,L105=0),"BuyWatch",L105&gt;0,"BuySome",TRUE,"")</f>
        <v/>
      </c>
      <c r="X105" s="47" t="str">
        <f>_xlfn.XLOOKUP(W105,Parm!$AN$2:$AN$25,Parm!$AO$2:$AO$25,"")</f>
        <v/>
      </c>
      <c r="Y105" s="52" t="str" cm="1">
        <f t="array" ref="Y105">_xlfn.IFS(B105="","",OR(Q105=-100,U105=-100),"SellAll",OR(Q105&lt;0,U105&lt;0),"SellSome",AND(Q105&gt;0,U105&gt;0),"BuySome",OR(Q105&gt;0,U105&gt;0),"BuyWatch",TRUE,"")</f>
        <v/>
      </c>
      <c r="Z105" s="47" t="str">
        <f>_xlfn.XLOOKUP(Y105,Parm!$AN$2:$AN$25,Parm!$AO$2:$AO$25,"")</f>
        <v/>
      </c>
      <c r="AA105" s="286">
        <f>IF(C105&lt;&gt;-100,A105,_xlfn.XLOOKUP(B105,ssH!L:L,ssH!M:M))</f>
        <v>46140</v>
      </c>
      <c r="AB105" s="49" t="str">
        <f t="shared" si="19"/>
        <v/>
      </c>
      <c r="AC105" s="52">
        <f>_xlfn.XLOOKUP(B105,TL!C:C,TL!C:C)</f>
        <v>0</v>
      </c>
      <c r="AD105" s="52">
        <f>_xlfn.XLOOKUP(B105,Y!C:C,Y!C:C)</f>
        <v>0</v>
      </c>
      <c r="AE105" s="52">
        <f>_xlfn.XLOOKUP(B105,MA!C:C,MA!C:C)</f>
        <v>0</v>
      </c>
    </row>
    <row r="106" spans="1:31" x14ac:dyDescent="0.25">
      <c r="A106" s="29">
        <f>ssH!$AG$1</f>
        <v>46140</v>
      </c>
      <c r="C106" s="47">
        <f t="shared" si="20"/>
        <v>0</v>
      </c>
      <c r="D106" s="42">
        <f>_xlfn.XLOOKUP(ssH!$AG$3&amp;B106,ssH!A:A,ssH!D:D,0)</f>
        <v>0</v>
      </c>
      <c r="E106" s="42">
        <f>_xlfn.XLOOKUP(ssH!$AG$5&amp;B106,ssH!A:A,ssH!D:D,0)</f>
        <v>0</v>
      </c>
      <c r="F106" s="42">
        <f>_xlfn.XLOOKUP(ssH!$AG$6&amp;B106,ssH!A:A,ssH!D:D,0)</f>
        <v>0</v>
      </c>
      <c r="G106" s="48">
        <f>_xlfn.XLOOKUP(A106&amp;B106,ssH!A:A,ssH!F:F,-100%)</f>
        <v>-1</v>
      </c>
      <c r="H106" s="46">
        <f>_xlfn.XLOOKUP(ssH!$AG$3&amp;B106,ssH!A:A,ssH!F:F,0)</f>
        <v>0</v>
      </c>
      <c r="I106" s="46">
        <f>_xlfn.XLOOKUP(ssH!$AG$5&amp;B106,ssH!A:A,ssH!F:F,0)</f>
        <v>0</v>
      </c>
      <c r="J106" s="46">
        <f>_xlfn.XLOOKUP(ssH!$AG$6&amp;B106,ssH!A:A,ssH!F:F,0)</f>
        <v>0</v>
      </c>
      <c r="K106" s="46">
        <f>_xlfn.XLOOKUP(B106,ssL!C:C,ssL!G:G,"Removed")</f>
        <v>0</v>
      </c>
      <c r="L106" s="27">
        <f>_xlfn.XLOOKUP(A106&amp;B106,ssH!A:A,ssH!D:D,0)</f>
        <v>0</v>
      </c>
      <c r="M106" s="42" t="str">
        <f>_xlfn.XLOOKUP(A106&amp;B106,ssH!A:A,ssH!I:I,"")</f>
        <v/>
      </c>
      <c r="N106" s="51" t="str">
        <f t="shared" si="11"/>
        <v/>
      </c>
      <c r="O106" s="51" t="str">
        <f t="shared" si="12"/>
        <v/>
      </c>
      <c r="P106" s="51" t="str">
        <f t="shared" si="13"/>
        <v/>
      </c>
      <c r="Q106" s="52">
        <f t="shared" si="14"/>
        <v>0</v>
      </c>
      <c r="R106" s="51">
        <f t="shared" si="15"/>
        <v>2</v>
      </c>
      <c r="S106" s="51">
        <f t="shared" si="16"/>
        <v>0</v>
      </c>
      <c r="T106" s="51">
        <f t="shared" si="17"/>
        <v>0</v>
      </c>
      <c r="U106" s="52">
        <f t="shared" si="18"/>
        <v>2</v>
      </c>
      <c r="V106" s="52">
        <f t="shared" si="21"/>
        <v>0</v>
      </c>
      <c r="W106" s="52" t="str" cm="1">
        <f t="array" ref="W106">_xlfn.IFS(B106="","",AND(G106&gt;=0,L106&gt;0),"BuySome",AND(G106&gt;=0,K106="KMSignal"),"BuySome",AND(G106&lt;0,L106&gt;0),"BuyWatch",AND(Q106&lt;0,L106&gt;0),"BuyWatch",AND(G106&gt;=0,L106=0),"BuyWatch",L106&gt;0,"BuySome",TRUE,"")</f>
        <v/>
      </c>
      <c r="X106" s="47" t="str">
        <f>_xlfn.XLOOKUP(W106,Parm!$AN$2:$AN$25,Parm!$AO$2:$AO$25,"")</f>
        <v/>
      </c>
      <c r="Y106" s="52" t="str" cm="1">
        <f t="array" ref="Y106">_xlfn.IFS(B106="","",OR(Q106=-100,U106=-100),"SellAll",OR(Q106&lt;0,U106&lt;0),"SellSome",AND(Q106&gt;0,U106&gt;0),"BuySome",OR(Q106&gt;0,U106&gt;0),"BuyWatch",TRUE,"")</f>
        <v/>
      </c>
      <c r="Z106" s="47" t="str">
        <f>_xlfn.XLOOKUP(Y106,Parm!$AN$2:$AN$25,Parm!$AO$2:$AO$25,"")</f>
        <v/>
      </c>
      <c r="AA106" s="286">
        <f>IF(C106&lt;&gt;-100,A106,_xlfn.XLOOKUP(B106,ssH!L:L,ssH!M:M))</f>
        <v>46140</v>
      </c>
      <c r="AB106" s="49" t="str">
        <f t="shared" si="19"/>
        <v/>
      </c>
      <c r="AC106" s="52">
        <f>_xlfn.XLOOKUP(B106,TL!C:C,TL!C:C)</f>
        <v>0</v>
      </c>
      <c r="AD106" s="52">
        <f>_xlfn.XLOOKUP(B106,Y!C:C,Y!C:C)</f>
        <v>0</v>
      </c>
      <c r="AE106" s="52">
        <f>_xlfn.XLOOKUP(B106,MA!C:C,MA!C:C)</f>
        <v>0</v>
      </c>
    </row>
    <row r="107" spans="1:31" x14ac:dyDescent="0.25">
      <c r="A107" s="29">
        <f>ssH!$AG$1</f>
        <v>46140</v>
      </c>
      <c r="C107" s="47">
        <f t="shared" si="20"/>
        <v>0</v>
      </c>
      <c r="D107" s="42">
        <f>_xlfn.XLOOKUP(ssH!$AG$3&amp;B107,ssH!A:A,ssH!D:D,0)</f>
        <v>0</v>
      </c>
      <c r="E107" s="42">
        <f>_xlfn.XLOOKUP(ssH!$AG$5&amp;B107,ssH!A:A,ssH!D:D,0)</f>
        <v>0</v>
      </c>
      <c r="F107" s="42">
        <f>_xlfn.XLOOKUP(ssH!$AG$6&amp;B107,ssH!A:A,ssH!D:D,0)</f>
        <v>0</v>
      </c>
      <c r="G107" s="48">
        <f>_xlfn.XLOOKUP(A107&amp;B107,ssH!A:A,ssH!F:F,-100%)</f>
        <v>-1</v>
      </c>
      <c r="H107" s="46">
        <f>_xlfn.XLOOKUP(ssH!$AG$3&amp;B107,ssH!A:A,ssH!F:F,0)</f>
        <v>0</v>
      </c>
      <c r="I107" s="46">
        <f>_xlfn.XLOOKUP(ssH!$AG$5&amp;B107,ssH!A:A,ssH!F:F,0)</f>
        <v>0</v>
      </c>
      <c r="J107" s="46">
        <f>_xlfn.XLOOKUP(ssH!$AG$6&amp;B107,ssH!A:A,ssH!F:F,0)</f>
        <v>0</v>
      </c>
      <c r="K107" s="46">
        <f>_xlfn.XLOOKUP(B107,ssL!C:C,ssL!G:G,"Removed")</f>
        <v>0</v>
      </c>
      <c r="L107" s="27">
        <f>_xlfn.XLOOKUP(A107&amp;B107,ssH!A:A,ssH!D:D,0)</f>
        <v>0</v>
      </c>
      <c r="M107" s="42" t="str">
        <f>_xlfn.XLOOKUP(A107&amp;B107,ssH!A:A,ssH!I:I,"")</f>
        <v/>
      </c>
      <c r="N107" s="51" t="str">
        <f t="shared" si="11"/>
        <v/>
      </c>
      <c r="O107" s="51" t="str">
        <f t="shared" si="12"/>
        <v/>
      </c>
      <c r="P107" s="51" t="str">
        <f t="shared" si="13"/>
        <v/>
      </c>
      <c r="Q107" s="52">
        <f t="shared" si="14"/>
        <v>0</v>
      </c>
      <c r="R107" s="51">
        <f t="shared" si="15"/>
        <v>2</v>
      </c>
      <c r="S107" s="51">
        <f t="shared" si="16"/>
        <v>0</v>
      </c>
      <c r="T107" s="51">
        <f t="shared" si="17"/>
        <v>0</v>
      </c>
      <c r="U107" s="52">
        <f t="shared" si="18"/>
        <v>2</v>
      </c>
      <c r="V107" s="52">
        <f t="shared" si="21"/>
        <v>0</v>
      </c>
      <c r="W107" s="52" t="str" cm="1">
        <f t="array" ref="W107">_xlfn.IFS(B107="","",AND(G107&gt;=0,L107&gt;0),"BuySome",AND(G107&gt;=0,K107="KMSignal"),"BuySome",AND(G107&lt;0,L107&gt;0),"BuyWatch",AND(Q107&lt;0,L107&gt;0),"BuyWatch",AND(G107&gt;=0,L107=0),"BuyWatch",L107&gt;0,"BuySome",TRUE,"")</f>
        <v/>
      </c>
      <c r="X107" s="47" t="str">
        <f>_xlfn.XLOOKUP(W107,Parm!$AN$2:$AN$25,Parm!$AO$2:$AO$25,"")</f>
        <v/>
      </c>
      <c r="Y107" s="52" t="str" cm="1">
        <f t="array" ref="Y107">_xlfn.IFS(B107="","",OR(Q107=-100,U107=-100),"SellAll",OR(Q107&lt;0,U107&lt;0),"SellSome",AND(Q107&gt;0,U107&gt;0),"BuySome",OR(Q107&gt;0,U107&gt;0),"BuyWatch",TRUE,"")</f>
        <v/>
      </c>
      <c r="Z107" s="47" t="str">
        <f>_xlfn.XLOOKUP(Y107,Parm!$AN$2:$AN$25,Parm!$AO$2:$AO$25,"")</f>
        <v/>
      </c>
      <c r="AA107" s="286">
        <f>IF(C107&lt;&gt;-100,A107,_xlfn.XLOOKUP(B107,ssH!L:L,ssH!M:M))</f>
        <v>46140</v>
      </c>
      <c r="AB107" s="49" t="str">
        <f t="shared" si="19"/>
        <v/>
      </c>
      <c r="AC107" s="52">
        <f>_xlfn.XLOOKUP(B107,TL!C:C,TL!C:C)</f>
        <v>0</v>
      </c>
      <c r="AD107" s="52">
        <f>_xlfn.XLOOKUP(B107,Y!C:C,Y!C:C)</f>
        <v>0</v>
      </c>
      <c r="AE107" s="52">
        <f>_xlfn.XLOOKUP(B107,MA!C:C,MA!C:C)</f>
        <v>0</v>
      </c>
    </row>
    <row r="108" spans="1:31" x14ac:dyDescent="0.25">
      <c r="A108" s="29">
        <f>ssH!$AG$1</f>
        <v>46140</v>
      </c>
      <c r="C108" s="47">
        <f t="shared" si="20"/>
        <v>0</v>
      </c>
      <c r="D108" s="42">
        <f>_xlfn.XLOOKUP(ssH!$AG$3&amp;B108,ssH!A:A,ssH!D:D,0)</f>
        <v>0</v>
      </c>
      <c r="E108" s="42">
        <f>_xlfn.XLOOKUP(ssH!$AG$5&amp;B108,ssH!A:A,ssH!D:D,0)</f>
        <v>0</v>
      </c>
      <c r="F108" s="42">
        <f>_xlfn.XLOOKUP(ssH!$AG$6&amp;B108,ssH!A:A,ssH!D:D,0)</f>
        <v>0</v>
      </c>
      <c r="G108" s="48">
        <f>_xlfn.XLOOKUP(A108&amp;B108,ssH!A:A,ssH!F:F,-100%)</f>
        <v>-1</v>
      </c>
      <c r="H108" s="46">
        <f>_xlfn.XLOOKUP(ssH!$AG$3&amp;B108,ssH!A:A,ssH!F:F,0)</f>
        <v>0</v>
      </c>
      <c r="I108" s="46">
        <f>_xlfn.XLOOKUP(ssH!$AG$5&amp;B108,ssH!A:A,ssH!F:F,0)</f>
        <v>0</v>
      </c>
      <c r="J108" s="46">
        <f>_xlfn.XLOOKUP(ssH!$AG$6&amp;B108,ssH!A:A,ssH!F:F,0)</f>
        <v>0</v>
      </c>
      <c r="K108" s="46">
        <f>_xlfn.XLOOKUP(B108,ssL!C:C,ssL!G:G,"Removed")</f>
        <v>0</v>
      </c>
      <c r="L108" s="27">
        <f>_xlfn.XLOOKUP(A108&amp;B108,ssH!A:A,ssH!D:D,0)</f>
        <v>0</v>
      </c>
      <c r="M108" s="42" t="str">
        <f>_xlfn.XLOOKUP(A108&amp;B108,ssH!A:A,ssH!I:I,"")</f>
        <v/>
      </c>
      <c r="N108" s="51" t="str">
        <f t="shared" si="11"/>
        <v/>
      </c>
      <c r="O108" s="51" t="str">
        <f t="shared" si="12"/>
        <v/>
      </c>
      <c r="P108" s="51" t="str">
        <f t="shared" si="13"/>
        <v/>
      </c>
      <c r="Q108" s="52">
        <f t="shared" si="14"/>
        <v>0</v>
      </c>
      <c r="R108" s="51">
        <f t="shared" si="15"/>
        <v>2</v>
      </c>
      <c r="S108" s="51">
        <f t="shared" si="16"/>
        <v>0</v>
      </c>
      <c r="T108" s="51">
        <f t="shared" si="17"/>
        <v>0</v>
      </c>
      <c r="U108" s="52">
        <f t="shared" si="18"/>
        <v>2</v>
      </c>
      <c r="V108" s="52">
        <f t="shared" si="21"/>
        <v>0</v>
      </c>
      <c r="W108" s="52" t="str" cm="1">
        <f t="array" ref="W108">_xlfn.IFS(B108="","",AND(G108&gt;=0,L108&gt;0),"BuySome",AND(G108&gt;=0,K108="KMSignal"),"BuySome",AND(G108&lt;0,L108&gt;0),"BuyWatch",AND(Q108&lt;0,L108&gt;0),"BuyWatch",AND(G108&gt;=0,L108=0),"BuyWatch",L108&gt;0,"BuySome",TRUE,"")</f>
        <v/>
      </c>
      <c r="X108" s="47" t="str">
        <f>_xlfn.XLOOKUP(W108,Parm!$AN$2:$AN$25,Parm!$AO$2:$AO$25,"")</f>
        <v/>
      </c>
      <c r="Y108" s="52" t="str" cm="1">
        <f t="array" ref="Y108">_xlfn.IFS(B108="","",OR(Q108=-100,U108=-100),"SellAll",OR(Q108&lt;0,U108&lt;0),"SellSome",AND(Q108&gt;0,U108&gt;0),"BuySome",OR(Q108&gt;0,U108&gt;0),"BuyWatch",TRUE,"")</f>
        <v/>
      </c>
      <c r="Z108" s="47" t="str">
        <f>_xlfn.XLOOKUP(Y108,Parm!$AN$2:$AN$25,Parm!$AO$2:$AO$25,"")</f>
        <v/>
      </c>
      <c r="AA108" s="286">
        <f>IF(C108&lt;&gt;-100,A108,_xlfn.XLOOKUP(B108,ssH!L:L,ssH!M:M))</f>
        <v>46140</v>
      </c>
      <c r="AB108" s="49" t="str">
        <f t="shared" si="19"/>
        <v/>
      </c>
      <c r="AC108" s="52">
        <f>_xlfn.XLOOKUP(B108,TL!C:C,TL!C:C)</f>
        <v>0</v>
      </c>
      <c r="AD108" s="52">
        <f>_xlfn.XLOOKUP(B108,Y!C:C,Y!C:C)</f>
        <v>0</v>
      </c>
      <c r="AE108" s="52">
        <f>_xlfn.XLOOKUP(B108,MA!C:C,MA!C:C)</f>
        <v>0</v>
      </c>
    </row>
    <row r="109" spans="1:31" x14ac:dyDescent="0.25">
      <c r="A109" s="29">
        <f>ssH!$AG$1</f>
        <v>46140</v>
      </c>
      <c r="C109" s="47">
        <f t="shared" si="20"/>
        <v>0</v>
      </c>
      <c r="D109" s="42">
        <f>_xlfn.XLOOKUP(ssH!$AG$3&amp;B109,ssH!A:A,ssH!D:D,0)</f>
        <v>0</v>
      </c>
      <c r="E109" s="42">
        <f>_xlfn.XLOOKUP(ssH!$AG$5&amp;B109,ssH!A:A,ssH!D:D,0)</f>
        <v>0</v>
      </c>
      <c r="F109" s="42">
        <f>_xlfn.XLOOKUP(ssH!$AG$6&amp;B109,ssH!A:A,ssH!D:D,0)</f>
        <v>0</v>
      </c>
      <c r="G109" s="48">
        <f>_xlfn.XLOOKUP(A109&amp;B109,ssH!A:A,ssH!F:F,-100%)</f>
        <v>-1</v>
      </c>
      <c r="H109" s="46">
        <f>_xlfn.XLOOKUP(ssH!$AG$3&amp;B109,ssH!A:A,ssH!F:F,0)</f>
        <v>0</v>
      </c>
      <c r="I109" s="46">
        <f>_xlfn.XLOOKUP(ssH!$AG$5&amp;B109,ssH!A:A,ssH!F:F,0)</f>
        <v>0</v>
      </c>
      <c r="J109" s="46">
        <f>_xlfn.XLOOKUP(ssH!$AG$6&amp;B109,ssH!A:A,ssH!F:F,0)</f>
        <v>0</v>
      </c>
      <c r="K109" s="46">
        <f>_xlfn.XLOOKUP(B109,ssL!C:C,ssL!G:G,"Removed")</f>
        <v>0</v>
      </c>
      <c r="L109" s="27">
        <f>_xlfn.XLOOKUP(A109&amp;B109,ssH!A:A,ssH!D:D,0)</f>
        <v>0</v>
      </c>
      <c r="M109" s="42" t="str">
        <f>_xlfn.XLOOKUP(A109&amp;B109,ssH!A:A,ssH!I:I,"")</f>
        <v/>
      </c>
      <c r="N109" s="51" t="str">
        <f t="shared" si="11"/>
        <v/>
      </c>
      <c r="O109" s="51" t="str">
        <f t="shared" si="12"/>
        <v/>
      </c>
      <c r="P109" s="51" t="str">
        <f t="shared" si="13"/>
        <v/>
      </c>
      <c r="Q109" s="52">
        <f t="shared" si="14"/>
        <v>0</v>
      </c>
      <c r="R109" s="51">
        <f t="shared" si="15"/>
        <v>2</v>
      </c>
      <c r="S109" s="51">
        <f t="shared" si="16"/>
        <v>0</v>
      </c>
      <c r="T109" s="51">
        <f t="shared" si="17"/>
        <v>0</v>
      </c>
      <c r="U109" s="52">
        <f t="shared" si="18"/>
        <v>2</v>
      </c>
      <c r="V109" s="52">
        <f t="shared" si="21"/>
        <v>0</v>
      </c>
      <c r="W109" s="52" t="str" cm="1">
        <f t="array" ref="W109">_xlfn.IFS(B109="","",AND(G109&gt;=0,L109&gt;0),"BuySome",AND(G109&gt;=0,K109="KMSignal"),"BuySome",AND(G109&lt;0,L109&gt;0),"BuyWatch",AND(Q109&lt;0,L109&gt;0),"BuyWatch",AND(G109&gt;=0,L109=0),"BuyWatch",L109&gt;0,"BuySome",TRUE,"")</f>
        <v/>
      </c>
      <c r="X109" s="47" t="str">
        <f>_xlfn.XLOOKUP(W109,Parm!$AN$2:$AN$25,Parm!$AO$2:$AO$25,"")</f>
        <v/>
      </c>
      <c r="Y109" s="52" t="str" cm="1">
        <f t="array" ref="Y109">_xlfn.IFS(B109="","",OR(Q109=-100,U109=-100),"SellAll",OR(Q109&lt;0,U109&lt;0),"SellSome",AND(Q109&gt;0,U109&gt;0),"BuySome",OR(Q109&gt;0,U109&gt;0),"BuyWatch",TRUE,"")</f>
        <v/>
      </c>
      <c r="Z109" s="47" t="str">
        <f>_xlfn.XLOOKUP(Y109,Parm!$AN$2:$AN$25,Parm!$AO$2:$AO$25,"")</f>
        <v/>
      </c>
      <c r="AA109" s="286">
        <f>IF(C109&lt;&gt;-100,A109,_xlfn.XLOOKUP(B109,ssH!L:L,ssH!M:M))</f>
        <v>46140</v>
      </c>
      <c r="AB109" s="49" t="str">
        <f t="shared" si="19"/>
        <v/>
      </c>
      <c r="AC109" s="52">
        <f>_xlfn.XLOOKUP(B109,TL!C:C,TL!C:C)</f>
        <v>0</v>
      </c>
      <c r="AD109" s="52">
        <f>_xlfn.XLOOKUP(B109,Y!C:C,Y!C:C)</f>
        <v>0</v>
      </c>
      <c r="AE109" s="52">
        <f>_xlfn.XLOOKUP(B109,MA!C:C,MA!C:C)</f>
        <v>0</v>
      </c>
    </row>
    <row r="110" spans="1:31" x14ac:dyDescent="0.25">
      <c r="A110" s="29">
        <f>ssH!$AG$1</f>
        <v>46140</v>
      </c>
      <c r="C110" s="47">
        <f t="shared" si="20"/>
        <v>0</v>
      </c>
      <c r="D110" s="42">
        <f>_xlfn.XLOOKUP(ssH!$AG$3&amp;B110,ssH!A:A,ssH!D:D,0)</f>
        <v>0</v>
      </c>
      <c r="E110" s="42">
        <f>_xlfn.XLOOKUP(ssH!$AG$5&amp;B110,ssH!A:A,ssH!D:D,0)</f>
        <v>0</v>
      </c>
      <c r="F110" s="42">
        <f>_xlfn.XLOOKUP(ssH!$AG$6&amp;B110,ssH!A:A,ssH!D:D,0)</f>
        <v>0</v>
      </c>
      <c r="G110" s="48">
        <f>_xlfn.XLOOKUP(A110&amp;B110,ssH!A:A,ssH!F:F,-100%)</f>
        <v>-1</v>
      </c>
      <c r="H110" s="46">
        <f>_xlfn.XLOOKUP(ssH!$AG$3&amp;B110,ssH!A:A,ssH!F:F,0)</f>
        <v>0</v>
      </c>
      <c r="I110" s="46">
        <f>_xlfn.XLOOKUP(ssH!$AG$5&amp;B110,ssH!A:A,ssH!F:F,0)</f>
        <v>0</v>
      </c>
      <c r="J110" s="46">
        <f>_xlfn.XLOOKUP(ssH!$AG$6&amp;B110,ssH!A:A,ssH!F:F,0)</f>
        <v>0</v>
      </c>
      <c r="K110" s="46">
        <f>_xlfn.XLOOKUP(B110,ssL!C:C,ssL!G:G,"Removed")</f>
        <v>0</v>
      </c>
      <c r="L110" s="27">
        <f>_xlfn.XLOOKUP(A110&amp;B110,ssH!A:A,ssH!D:D,0)</f>
        <v>0</v>
      </c>
      <c r="M110" s="42" t="str">
        <f>_xlfn.XLOOKUP(A110&amp;B110,ssH!A:A,ssH!I:I,"")</f>
        <v/>
      </c>
      <c r="N110" s="51" t="str">
        <f t="shared" si="11"/>
        <v/>
      </c>
      <c r="O110" s="51" t="str">
        <f t="shared" si="12"/>
        <v/>
      </c>
      <c r="P110" s="51" t="str">
        <f t="shared" si="13"/>
        <v/>
      </c>
      <c r="Q110" s="52">
        <f t="shared" si="14"/>
        <v>0</v>
      </c>
      <c r="R110" s="51">
        <f t="shared" si="15"/>
        <v>2</v>
      </c>
      <c r="S110" s="51">
        <f t="shared" si="16"/>
        <v>0</v>
      </c>
      <c r="T110" s="51">
        <f t="shared" si="17"/>
        <v>0</v>
      </c>
      <c r="U110" s="52">
        <f t="shared" si="18"/>
        <v>2</v>
      </c>
      <c r="V110" s="52">
        <f t="shared" si="21"/>
        <v>0</v>
      </c>
      <c r="W110" s="52" t="str" cm="1">
        <f t="array" ref="W110">_xlfn.IFS(B110="","",AND(G110&gt;=0,L110&gt;0),"BuySome",AND(G110&gt;=0,K110="KMSignal"),"BuySome",AND(G110&lt;0,L110&gt;0),"BuyWatch",AND(Q110&lt;0,L110&gt;0),"BuyWatch",AND(G110&gt;=0,L110=0),"BuyWatch",L110&gt;0,"BuySome",TRUE,"")</f>
        <v/>
      </c>
      <c r="X110" s="47" t="str">
        <f>_xlfn.XLOOKUP(W110,Parm!$AN$2:$AN$25,Parm!$AO$2:$AO$25,"")</f>
        <v/>
      </c>
      <c r="Y110" s="52" t="str" cm="1">
        <f t="array" ref="Y110">_xlfn.IFS(B110="","",OR(Q110=-100,U110=-100),"SellAll",OR(Q110&lt;0,U110&lt;0),"SellSome",AND(Q110&gt;0,U110&gt;0),"BuySome",OR(Q110&gt;0,U110&gt;0),"BuyWatch",TRUE,"")</f>
        <v/>
      </c>
      <c r="Z110" s="47" t="str">
        <f>_xlfn.XLOOKUP(Y110,Parm!$AN$2:$AN$25,Parm!$AO$2:$AO$25,"")</f>
        <v/>
      </c>
      <c r="AA110" s="286">
        <f>IF(C110&lt;&gt;-100,A110,_xlfn.XLOOKUP(B110,ssH!L:L,ssH!M:M))</f>
        <v>46140</v>
      </c>
      <c r="AB110" s="49" t="str">
        <f t="shared" si="19"/>
        <v/>
      </c>
      <c r="AC110" s="52">
        <f>_xlfn.XLOOKUP(B110,TL!C:C,TL!C:C)</f>
        <v>0</v>
      </c>
      <c r="AD110" s="52">
        <f>_xlfn.XLOOKUP(B110,Y!C:C,Y!C:C)</f>
        <v>0</v>
      </c>
      <c r="AE110" s="52">
        <f>_xlfn.XLOOKUP(B110,MA!C:C,MA!C:C)</f>
        <v>0</v>
      </c>
    </row>
    <row r="111" spans="1:31" x14ac:dyDescent="0.25">
      <c r="A111" s="29">
        <f>ssH!$AG$1</f>
        <v>46140</v>
      </c>
      <c r="C111" s="47">
        <f t="shared" si="20"/>
        <v>0</v>
      </c>
      <c r="D111" s="42">
        <f>_xlfn.XLOOKUP(ssH!$AG$3&amp;B111,ssH!A:A,ssH!D:D,0)</f>
        <v>0</v>
      </c>
      <c r="E111" s="42">
        <f>_xlfn.XLOOKUP(ssH!$AG$5&amp;B111,ssH!A:A,ssH!D:D,0)</f>
        <v>0</v>
      </c>
      <c r="F111" s="42">
        <f>_xlfn.XLOOKUP(ssH!$AG$6&amp;B111,ssH!A:A,ssH!D:D,0)</f>
        <v>0</v>
      </c>
      <c r="G111" s="48">
        <f>_xlfn.XLOOKUP(A111&amp;B111,ssH!A:A,ssH!F:F,-100%)</f>
        <v>-1</v>
      </c>
      <c r="H111" s="46">
        <f>_xlfn.XLOOKUP(ssH!$AG$3&amp;B111,ssH!A:A,ssH!F:F,0)</f>
        <v>0</v>
      </c>
      <c r="I111" s="46">
        <f>_xlfn.XLOOKUP(ssH!$AG$5&amp;B111,ssH!A:A,ssH!F:F,0)</f>
        <v>0</v>
      </c>
      <c r="J111" s="46">
        <f>_xlfn.XLOOKUP(ssH!$AG$6&amp;B111,ssH!A:A,ssH!F:F,0)</f>
        <v>0</v>
      </c>
      <c r="K111" s="46">
        <f>_xlfn.XLOOKUP(B111,ssL!C:C,ssL!G:G,"Removed")</f>
        <v>0</v>
      </c>
      <c r="L111" s="27">
        <f>_xlfn.XLOOKUP(A111&amp;B111,ssH!A:A,ssH!D:D,0)</f>
        <v>0</v>
      </c>
      <c r="M111" s="42" t="str">
        <f>_xlfn.XLOOKUP(A111&amp;B111,ssH!A:A,ssH!I:I,"")</f>
        <v/>
      </c>
      <c r="N111" s="51" t="str">
        <f t="shared" si="11"/>
        <v/>
      </c>
      <c r="O111" s="51" t="str">
        <f t="shared" si="12"/>
        <v/>
      </c>
      <c r="P111" s="51" t="str">
        <f t="shared" si="13"/>
        <v/>
      </c>
      <c r="Q111" s="52">
        <f t="shared" si="14"/>
        <v>0</v>
      </c>
      <c r="R111" s="51">
        <f t="shared" si="15"/>
        <v>2</v>
      </c>
      <c r="S111" s="51">
        <f t="shared" si="16"/>
        <v>0</v>
      </c>
      <c r="T111" s="51">
        <f t="shared" si="17"/>
        <v>0</v>
      </c>
      <c r="U111" s="52">
        <f t="shared" si="18"/>
        <v>2</v>
      </c>
      <c r="V111" s="52">
        <f t="shared" si="21"/>
        <v>0</v>
      </c>
      <c r="W111" s="52" t="str" cm="1">
        <f t="array" ref="W111">_xlfn.IFS(B111="","",AND(G111&gt;=0,L111&gt;0),"BuySome",AND(G111&gt;=0,K111="KMSignal"),"BuySome",AND(G111&lt;0,L111&gt;0),"BuyWatch",AND(Q111&lt;0,L111&gt;0),"BuyWatch",AND(G111&gt;=0,L111=0),"BuyWatch",L111&gt;0,"BuySome",TRUE,"")</f>
        <v/>
      </c>
      <c r="X111" s="47" t="str">
        <f>_xlfn.XLOOKUP(W111,Parm!$AN$2:$AN$25,Parm!$AO$2:$AO$25,"")</f>
        <v/>
      </c>
      <c r="Y111" s="52" t="str" cm="1">
        <f t="array" ref="Y111">_xlfn.IFS(B111="","",OR(Q111=-100,U111=-100),"SellAll",OR(Q111&lt;0,U111&lt;0),"SellSome",AND(Q111&gt;0,U111&gt;0),"BuySome",OR(Q111&gt;0,U111&gt;0),"BuyWatch",TRUE,"")</f>
        <v/>
      </c>
      <c r="Z111" s="47" t="str">
        <f>_xlfn.XLOOKUP(Y111,Parm!$AN$2:$AN$25,Parm!$AO$2:$AO$25,"")</f>
        <v/>
      </c>
      <c r="AA111" s="286">
        <f>IF(C111&lt;&gt;-100,A111,_xlfn.XLOOKUP(B111,ssH!L:L,ssH!M:M))</f>
        <v>46140</v>
      </c>
      <c r="AB111" s="49" t="str">
        <f t="shared" si="19"/>
        <v/>
      </c>
      <c r="AC111" s="52">
        <f>_xlfn.XLOOKUP(B111,TL!C:C,TL!C:C)</f>
        <v>0</v>
      </c>
      <c r="AD111" s="52">
        <f>_xlfn.XLOOKUP(B111,Y!C:C,Y!C:C)</f>
        <v>0</v>
      </c>
      <c r="AE111" s="52">
        <f>_xlfn.XLOOKUP(B111,MA!C:C,MA!C:C)</f>
        <v>0</v>
      </c>
    </row>
    <row r="112" spans="1:31" x14ac:dyDescent="0.25">
      <c r="A112" s="29">
        <f>ssH!$AG$1</f>
        <v>46140</v>
      </c>
      <c r="C112" s="47">
        <f t="shared" si="20"/>
        <v>0</v>
      </c>
      <c r="D112" s="42">
        <f>_xlfn.XLOOKUP(ssH!$AG$3&amp;B112,ssH!A:A,ssH!D:D,0)</f>
        <v>0</v>
      </c>
      <c r="E112" s="42">
        <f>_xlfn.XLOOKUP(ssH!$AG$5&amp;B112,ssH!A:A,ssH!D:D,0)</f>
        <v>0</v>
      </c>
      <c r="F112" s="42">
        <f>_xlfn.XLOOKUP(ssH!$AG$6&amp;B112,ssH!A:A,ssH!D:D,0)</f>
        <v>0</v>
      </c>
      <c r="G112" s="48">
        <f>_xlfn.XLOOKUP(A112&amp;B112,ssH!A:A,ssH!F:F,-100%)</f>
        <v>-1</v>
      </c>
      <c r="H112" s="46">
        <f>_xlfn.XLOOKUP(ssH!$AG$3&amp;B112,ssH!A:A,ssH!F:F,0)</f>
        <v>0</v>
      </c>
      <c r="I112" s="46">
        <f>_xlfn.XLOOKUP(ssH!$AG$5&amp;B112,ssH!A:A,ssH!F:F,0)</f>
        <v>0</v>
      </c>
      <c r="J112" s="46">
        <f>_xlfn.XLOOKUP(ssH!$AG$6&amp;B112,ssH!A:A,ssH!F:F,0)</f>
        <v>0</v>
      </c>
      <c r="K112" s="46">
        <f>_xlfn.XLOOKUP(B112,ssL!C:C,ssL!G:G,"Removed")</f>
        <v>0</v>
      </c>
      <c r="L112" s="27">
        <f>_xlfn.XLOOKUP(A112&amp;B112,ssH!A:A,ssH!D:D,0)</f>
        <v>0</v>
      </c>
      <c r="M112" s="42" t="str">
        <f>_xlfn.XLOOKUP(A112&amp;B112,ssH!A:A,ssH!I:I,"")</f>
        <v/>
      </c>
      <c r="N112" s="51" t="str">
        <f t="shared" si="11"/>
        <v/>
      </c>
      <c r="O112" s="51" t="str">
        <f t="shared" si="12"/>
        <v/>
      </c>
      <c r="P112" s="51" t="str">
        <f t="shared" si="13"/>
        <v/>
      </c>
      <c r="Q112" s="52">
        <f t="shared" si="14"/>
        <v>0</v>
      </c>
      <c r="R112" s="51">
        <f t="shared" si="15"/>
        <v>2</v>
      </c>
      <c r="S112" s="51">
        <f t="shared" si="16"/>
        <v>0</v>
      </c>
      <c r="T112" s="51">
        <f t="shared" si="17"/>
        <v>0</v>
      </c>
      <c r="U112" s="52">
        <f t="shared" si="18"/>
        <v>2</v>
      </c>
      <c r="V112" s="52">
        <f t="shared" si="21"/>
        <v>0</v>
      </c>
      <c r="W112" s="52" t="str" cm="1">
        <f t="array" ref="W112">_xlfn.IFS(B112="","",AND(G112&gt;=0,L112&gt;0),"BuySome",AND(G112&gt;=0,K112="KMSignal"),"BuySome",AND(G112&lt;0,L112&gt;0),"BuyWatch",AND(Q112&lt;0,L112&gt;0),"BuyWatch",AND(G112&gt;=0,L112=0),"BuyWatch",L112&gt;0,"BuySome",TRUE,"")</f>
        <v/>
      </c>
      <c r="X112" s="47" t="str">
        <f>_xlfn.XLOOKUP(W112,Parm!$AN$2:$AN$25,Parm!$AO$2:$AO$25,"")</f>
        <v/>
      </c>
      <c r="Y112" s="52" t="str" cm="1">
        <f t="array" ref="Y112">_xlfn.IFS(B112="","",OR(Q112=-100,U112=-100),"SellAll",OR(Q112&lt;0,U112&lt;0),"SellSome",AND(Q112&gt;0,U112&gt;0),"BuySome",OR(Q112&gt;0,U112&gt;0),"BuyWatch",TRUE,"")</f>
        <v/>
      </c>
      <c r="Z112" s="47" t="str">
        <f>_xlfn.XLOOKUP(Y112,Parm!$AN$2:$AN$25,Parm!$AO$2:$AO$25,"")</f>
        <v/>
      </c>
      <c r="AA112" s="286">
        <f>IF(C112&lt;&gt;-100,A112,_xlfn.XLOOKUP(B112,ssH!L:L,ssH!M:M))</f>
        <v>46140</v>
      </c>
      <c r="AB112" s="49" t="str">
        <f t="shared" si="19"/>
        <v/>
      </c>
      <c r="AC112" s="52">
        <f>_xlfn.XLOOKUP(B112,TL!C:C,TL!C:C)</f>
        <v>0</v>
      </c>
      <c r="AD112" s="52">
        <f>_xlfn.XLOOKUP(B112,Y!C:C,Y!C:C)</f>
        <v>0</v>
      </c>
      <c r="AE112" s="52">
        <f>_xlfn.XLOOKUP(B112,MA!C:C,MA!C:C)</f>
        <v>0</v>
      </c>
    </row>
    <row r="113" spans="1:31" x14ac:dyDescent="0.25">
      <c r="A113" s="29">
        <f>ssH!$AG$1</f>
        <v>46140</v>
      </c>
      <c r="C113" s="47">
        <f t="shared" si="20"/>
        <v>0</v>
      </c>
      <c r="D113" s="42">
        <f>_xlfn.XLOOKUP(ssH!$AG$3&amp;B113,ssH!A:A,ssH!D:D,0)</f>
        <v>0</v>
      </c>
      <c r="E113" s="42">
        <f>_xlfn.XLOOKUP(ssH!$AG$5&amp;B113,ssH!A:A,ssH!D:D,0)</f>
        <v>0</v>
      </c>
      <c r="F113" s="42">
        <f>_xlfn.XLOOKUP(ssH!$AG$6&amp;B113,ssH!A:A,ssH!D:D,0)</f>
        <v>0</v>
      </c>
      <c r="G113" s="48">
        <f>_xlfn.XLOOKUP(A113&amp;B113,ssH!A:A,ssH!F:F,-100%)</f>
        <v>-1</v>
      </c>
      <c r="H113" s="46">
        <f>_xlfn.XLOOKUP(ssH!$AG$3&amp;B113,ssH!A:A,ssH!F:F,0)</f>
        <v>0</v>
      </c>
      <c r="I113" s="46">
        <f>_xlfn.XLOOKUP(ssH!$AG$5&amp;B113,ssH!A:A,ssH!F:F,0)</f>
        <v>0</v>
      </c>
      <c r="J113" s="46">
        <f>_xlfn.XLOOKUP(ssH!$AG$6&amp;B113,ssH!A:A,ssH!F:F,0)</f>
        <v>0</v>
      </c>
      <c r="K113" s="46">
        <f>_xlfn.XLOOKUP(B113,ssL!C:C,ssL!G:G,"Removed")</f>
        <v>0</v>
      </c>
      <c r="L113" s="27">
        <f>_xlfn.XLOOKUP(A113&amp;B113,ssH!A:A,ssH!D:D,0)</f>
        <v>0</v>
      </c>
      <c r="M113" s="42" t="str">
        <f>_xlfn.XLOOKUP(A113&amp;B113,ssH!A:A,ssH!I:I,"")</f>
        <v/>
      </c>
      <c r="N113" s="51" t="str">
        <f t="shared" si="11"/>
        <v/>
      </c>
      <c r="O113" s="51" t="str">
        <f t="shared" si="12"/>
        <v/>
      </c>
      <c r="P113" s="51" t="str">
        <f t="shared" si="13"/>
        <v/>
      </c>
      <c r="Q113" s="52">
        <f t="shared" si="14"/>
        <v>0</v>
      </c>
      <c r="R113" s="51">
        <f t="shared" si="15"/>
        <v>2</v>
      </c>
      <c r="S113" s="51">
        <f t="shared" si="16"/>
        <v>0</v>
      </c>
      <c r="T113" s="51">
        <f t="shared" si="17"/>
        <v>0</v>
      </c>
      <c r="U113" s="52">
        <f t="shared" si="18"/>
        <v>2</v>
      </c>
      <c r="V113" s="52">
        <f t="shared" si="21"/>
        <v>0</v>
      </c>
      <c r="W113" s="52" t="str" cm="1">
        <f t="array" ref="W113">_xlfn.IFS(B113="","",AND(G113&gt;=0,L113&gt;0),"BuySome",AND(G113&gt;=0,K113="KMSignal"),"BuySome",AND(G113&lt;0,L113&gt;0),"BuyWatch",AND(Q113&lt;0,L113&gt;0),"BuyWatch",AND(G113&gt;=0,L113=0),"BuyWatch",L113&gt;0,"BuySome",TRUE,"")</f>
        <v/>
      </c>
      <c r="X113" s="47" t="str">
        <f>_xlfn.XLOOKUP(W113,Parm!$AN$2:$AN$25,Parm!$AO$2:$AO$25,"")</f>
        <v/>
      </c>
      <c r="Y113" s="52" t="str" cm="1">
        <f t="array" ref="Y113">_xlfn.IFS(B113="","",OR(Q113=-100,U113=-100),"SellAll",OR(Q113&lt;0,U113&lt;0),"SellSome",AND(Q113&gt;0,U113&gt;0),"BuySome",OR(Q113&gt;0,U113&gt;0),"BuyWatch",TRUE,"")</f>
        <v/>
      </c>
      <c r="Z113" s="47" t="str">
        <f>_xlfn.XLOOKUP(Y113,Parm!$AN$2:$AN$25,Parm!$AO$2:$AO$25,"")</f>
        <v/>
      </c>
      <c r="AA113" s="286">
        <f>IF(C113&lt;&gt;-100,A113,_xlfn.XLOOKUP(B113,ssH!L:L,ssH!M:M))</f>
        <v>46140</v>
      </c>
      <c r="AB113" s="49" t="str">
        <f t="shared" si="19"/>
        <v/>
      </c>
      <c r="AC113" s="52">
        <f>_xlfn.XLOOKUP(B113,TL!C:C,TL!C:C)</f>
        <v>0</v>
      </c>
      <c r="AD113" s="52">
        <f>_xlfn.XLOOKUP(B113,Y!C:C,Y!C:C)</f>
        <v>0</v>
      </c>
      <c r="AE113" s="52">
        <f>_xlfn.XLOOKUP(B113,MA!C:C,MA!C:C)</f>
        <v>0</v>
      </c>
    </row>
    <row r="114" spans="1:31" x14ac:dyDescent="0.25">
      <c r="A114" s="29">
        <f>ssH!$AG$1</f>
        <v>46140</v>
      </c>
      <c r="C114" s="47">
        <f t="shared" si="20"/>
        <v>0</v>
      </c>
      <c r="D114" s="42">
        <f>_xlfn.XLOOKUP(ssH!$AG$3&amp;B114,ssH!A:A,ssH!D:D,0)</f>
        <v>0</v>
      </c>
      <c r="E114" s="42">
        <f>_xlfn.XLOOKUP(ssH!$AG$5&amp;B114,ssH!A:A,ssH!D:D,0)</f>
        <v>0</v>
      </c>
      <c r="F114" s="42">
        <f>_xlfn.XLOOKUP(ssH!$AG$6&amp;B114,ssH!A:A,ssH!D:D,0)</f>
        <v>0</v>
      </c>
      <c r="G114" s="48">
        <f>_xlfn.XLOOKUP(A114&amp;B114,ssH!A:A,ssH!F:F,-100%)</f>
        <v>-1</v>
      </c>
      <c r="H114" s="46">
        <f>_xlfn.XLOOKUP(ssH!$AG$3&amp;B114,ssH!A:A,ssH!F:F,0)</f>
        <v>0</v>
      </c>
      <c r="I114" s="46">
        <f>_xlfn.XLOOKUP(ssH!$AG$5&amp;B114,ssH!A:A,ssH!F:F,0)</f>
        <v>0</v>
      </c>
      <c r="J114" s="46">
        <f>_xlfn.XLOOKUP(ssH!$AG$6&amp;B114,ssH!A:A,ssH!F:F,0)</f>
        <v>0</v>
      </c>
      <c r="K114" s="46">
        <f>_xlfn.XLOOKUP(B114,ssL!C:C,ssL!G:G,"Removed")</f>
        <v>0</v>
      </c>
      <c r="L114" s="27">
        <f>_xlfn.XLOOKUP(A114&amp;B114,ssH!A:A,ssH!D:D,0)</f>
        <v>0</v>
      </c>
      <c r="M114" s="42" t="str">
        <f>_xlfn.XLOOKUP(A114&amp;B114,ssH!A:A,ssH!I:I,"")</f>
        <v/>
      </c>
      <c r="N114" s="51" t="str">
        <f t="shared" si="11"/>
        <v/>
      </c>
      <c r="O114" s="51" t="str">
        <f t="shared" si="12"/>
        <v/>
      </c>
      <c r="P114" s="51" t="str">
        <f t="shared" si="13"/>
        <v/>
      </c>
      <c r="Q114" s="52">
        <f t="shared" si="14"/>
        <v>0</v>
      </c>
      <c r="R114" s="51">
        <f t="shared" si="15"/>
        <v>2</v>
      </c>
      <c r="S114" s="51">
        <f t="shared" si="16"/>
        <v>0</v>
      </c>
      <c r="T114" s="51">
        <f t="shared" si="17"/>
        <v>0</v>
      </c>
      <c r="U114" s="52">
        <f t="shared" si="18"/>
        <v>2</v>
      </c>
      <c r="V114" s="52">
        <f t="shared" si="21"/>
        <v>0</v>
      </c>
      <c r="W114" s="52" t="str" cm="1">
        <f t="array" ref="W114">_xlfn.IFS(B114="","",AND(G114&gt;=0,L114&gt;0),"BuySome",AND(G114&gt;=0,K114="KMSignal"),"BuySome",AND(G114&lt;0,L114&gt;0),"BuyWatch",AND(Q114&lt;0,L114&gt;0),"BuyWatch",AND(G114&gt;=0,L114=0),"BuyWatch",L114&gt;0,"BuySome",TRUE,"")</f>
        <v/>
      </c>
      <c r="X114" s="47" t="str">
        <f>_xlfn.XLOOKUP(W114,Parm!$AN$2:$AN$25,Parm!$AO$2:$AO$25,"")</f>
        <v/>
      </c>
      <c r="Y114" s="52" t="str" cm="1">
        <f t="array" ref="Y114">_xlfn.IFS(B114="","",OR(Q114=-100,U114=-100),"SellAll",OR(Q114&lt;0,U114&lt;0),"SellSome",AND(Q114&gt;0,U114&gt;0),"BuySome",OR(Q114&gt;0,U114&gt;0),"BuyWatch",TRUE,"")</f>
        <v/>
      </c>
      <c r="Z114" s="47" t="str">
        <f>_xlfn.XLOOKUP(Y114,Parm!$AN$2:$AN$25,Parm!$AO$2:$AO$25,"")</f>
        <v/>
      </c>
      <c r="AA114" s="286">
        <f>IF(C114&lt;&gt;-100,A114,_xlfn.XLOOKUP(B114,ssH!L:L,ssH!M:M))</f>
        <v>46140</v>
      </c>
      <c r="AB114" s="49" t="str">
        <f t="shared" si="19"/>
        <v/>
      </c>
      <c r="AC114" s="52">
        <f>_xlfn.XLOOKUP(B114,TL!C:C,TL!C:C)</f>
        <v>0</v>
      </c>
      <c r="AD114" s="52">
        <f>_xlfn.XLOOKUP(B114,Y!C:C,Y!C:C)</f>
        <v>0</v>
      </c>
      <c r="AE114" s="52">
        <f>_xlfn.XLOOKUP(B114,MA!C:C,MA!C:C)</f>
        <v>0</v>
      </c>
    </row>
    <row r="115" spans="1:31" x14ac:dyDescent="0.25">
      <c r="A115" s="29">
        <f>ssH!$AG$1</f>
        <v>46140</v>
      </c>
      <c r="C115" s="47">
        <f t="shared" si="20"/>
        <v>0</v>
      </c>
      <c r="D115" s="42">
        <f>_xlfn.XLOOKUP(ssH!$AG$3&amp;B115,ssH!A:A,ssH!D:D,0)</f>
        <v>0</v>
      </c>
      <c r="E115" s="42">
        <f>_xlfn.XLOOKUP(ssH!$AG$5&amp;B115,ssH!A:A,ssH!D:D,0)</f>
        <v>0</v>
      </c>
      <c r="F115" s="42">
        <f>_xlfn.XLOOKUP(ssH!$AG$6&amp;B115,ssH!A:A,ssH!D:D,0)</f>
        <v>0</v>
      </c>
      <c r="G115" s="48">
        <f>_xlfn.XLOOKUP(A115&amp;B115,ssH!A:A,ssH!F:F,-100%)</f>
        <v>-1</v>
      </c>
      <c r="H115" s="46">
        <f>_xlfn.XLOOKUP(ssH!$AG$3&amp;B115,ssH!A:A,ssH!F:F,0)</f>
        <v>0</v>
      </c>
      <c r="I115" s="46">
        <f>_xlfn.XLOOKUP(ssH!$AG$5&amp;B115,ssH!A:A,ssH!F:F,0)</f>
        <v>0</v>
      </c>
      <c r="J115" s="46">
        <f>_xlfn.XLOOKUP(ssH!$AG$6&amp;B115,ssH!A:A,ssH!F:F,0)</f>
        <v>0</v>
      </c>
      <c r="K115" s="46">
        <f>_xlfn.XLOOKUP(B115,ssL!C:C,ssL!G:G,"Removed")</f>
        <v>0</v>
      </c>
      <c r="L115" s="27">
        <f>_xlfn.XLOOKUP(A115&amp;B115,ssH!A:A,ssH!D:D,0)</f>
        <v>0</v>
      </c>
      <c r="M115" s="42" t="str">
        <f>_xlfn.XLOOKUP(A115&amp;B115,ssH!A:A,ssH!I:I,"")</f>
        <v/>
      </c>
      <c r="N115" s="51" t="str">
        <f t="shared" si="11"/>
        <v/>
      </c>
      <c r="O115" s="51" t="str">
        <f t="shared" si="12"/>
        <v/>
      </c>
      <c r="P115" s="51" t="str">
        <f t="shared" si="13"/>
        <v/>
      </c>
      <c r="Q115" s="52">
        <f t="shared" si="14"/>
        <v>0</v>
      </c>
      <c r="R115" s="51">
        <f t="shared" si="15"/>
        <v>2</v>
      </c>
      <c r="S115" s="51">
        <f t="shared" si="16"/>
        <v>0</v>
      </c>
      <c r="T115" s="51">
        <f t="shared" si="17"/>
        <v>0</v>
      </c>
      <c r="U115" s="52">
        <f t="shared" si="18"/>
        <v>2</v>
      </c>
      <c r="V115" s="52">
        <f t="shared" si="21"/>
        <v>0</v>
      </c>
      <c r="W115" s="52" t="str" cm="1">
        <f t="array" ref="W115">_xlfn.IFS(B115="","",AND(G115&gt;=0,L115&gt;0),"BuySome",AND(G115&gt;=0,K115="KMSignal"),"BuySome",AND(G115&lt;0,L115&gt;0),"BuyWatch",AND(Q115&lt;0,L115&gt;0),"BuyWatch",AND(G115&gt;=0,L115=0),"BuyWatch",L115&gt;0,"BuySome",TRUE,"")</f>
        <v/>
      </c>
      <c r="X115" s="47" t="str">
        <f>_xlfn.XLOOKUP(W115,Parm!$AN$2:$AN$25,Parm!$AO$2:$AO$25,"")</f>
        <v/>
      </c>
      <c r="Y115" s="52" t="str" cm="1">
        <f t="array" ref="Y115">_xlfn.IFS(B115="","",OR(Q115=-100,U115=-100),"SellAll",OR(Q115&lt;0,U115&lt;0),"SellSome",AND(Q115&gt;0,U115&gt;0),"BuySome",OR(Q115&gt;0,U115&gt;0),"BuyWatch",TRUE,"")</f>
        <v/>
      </c>
      <c r="Z115" s="47" t="str">
        <f>_xlfn.XLOOKUP(Y115,Parm!$AN$2:$AN$25,Parm!$AO$2:$AO$25,"")</f>
        <v/>
      </c>
      <c r="AA115" s="286">
        <f>IF(C115&lt;&gt;-100,A115,_xlfn.XLOOKUP(B115,ssH!L:L,ssH!M:M))</f>
        <v>46140</v>
      </c>
      <c r="AB115" s="49" t="str">
        <f t="shared" si="19"/>
        <v/>
      </c>
      <c r="AC115" s="52">
        <f>_xlfn.XLOOKUP(B115,TL!C:C,TL!C:C)</f>
        <v>0</v>
      </c>
      <c r="AD115" s="52">
        <f>_xlfn.XLOOKUP(B115,Y!C:C,Y!C:C)</f>
        <v>0</v>
      </c>
      <c r="AE115" s="52">
        <f>_xlfn.XLOOKUP(B115,MA!C:C,MA!C:C)</f>
        <v>0</v>
      </c>
    </row>
    <row r="116" spans="1:31" x14ac:dyDescent="0.25">
      <c r="A116" s="29">
        <f>ssH!$AG$1</f>
        <v>46140</v>
      </c>
      <c r="C116" s="47">
        <f t="shared" si="20"/>
        <v>0</v>
      </c>
      <c r="D116" s="42">
        <f>_xlfn.XLOOKUP(ssH!$AG$3&amp;B116,ssH!A:A,ssH!D:D,0)</f>
        <v>0</v>
      </c>
      <c r="E116" s="42">
        <f>_xlfn.XLOOKUP(ssH!$AG$5&amp;B116,ssH!A:A,ssH!D:D,0)</f>
        <v>0</v>
      </c>
      <c r="F116" s="42">
        <f>_xlfn.XLOOKUP(ssH!$AG$6&amp;B116,ssH!A:A,ssH!D:D,0)</f>
        <v>0</v>
      </c>
      <c r="G116" s="48">
        <f>_xlfn.XLOOKUP(A116&amp;B116,ssH!A:A,ssH!F:F,-100%)</f>
        <v>-1</v>
      </c>
      <c r="H116" s="46">
        <f>_xlfn.XLOOKUP(ssH!$AG$3&amp;B116,ssH!A:A,ssH!F:F,0)</f>
        <v>0</v>
      </c>
      <c r="I116" s="46">
        <f>_xlfn.XLOOKUP(ssH!$AG$5&amp;B116,ssH!A:A,ssH!F:F,0)</f>
        <v>0</v>
      </c>
      <c r="J116" s="46">
        <f>_xlfn.XLOOKUP(ssH!$AG$6&amp;B116,ssH!A:A,ssH!F:F,0)</f>
        <v>0</v>
      </c>
      <c r="K116" s="46">
        <f>_xlfn.XLOOKUP(B116,ssL!C:C,ssL!G:G,"Removed")</f>
        <v>0</v>
      </c>
      <c r="L116" s="27">
        <f>_xlfn.XLOOKUP(A116&amp;B116,ssH!A:A,ssH!D:D,0)</f>
        <v>0</v>
      </c>
      <c r="M116" s="42" t="str">
        <f>_xlfn.XLOOKUP(A116&amp;B116,ssH!A:A,ssH!I:I,"")</f>
        <v/>
      </c>
      <c r="N116" s="51" t="str">
        <f t="shared" si="11"/>
        <v/>
      </c>
      <c r="O116" s="51" t="str">
        <f t="shared" si="12"/>
        <v/>
      </c>
      <c r="P116" s="51" t="str">
        <f t="shared" si="13"/>
        <v/>
      </c>
      <c r="Q116" s="52">
        <f t="shared" si="14"/>
        <v>0</v>
      </c>
      <c r="R116" s="51">
        <f t="shared" si="15"/>
        <v>2</v>
      </c>
      <c r="S116" s="51">
        <f t="shared" si="16"/>
        <v>0</v>
      </c>
      <c r="T116" s="51">
        <f t="shared" si="17"/>
        <v>0</v>
      </c>
      <c r="U116" s="52">
        <f t="shared" si="18"/>
        <v>2</v>
      </c>
      <c r="V116" s="52">
        <f t="shared" si="21"/>
        <v>0</v>
      </c>
      <c r="W116" s="52" t="str" cm="1">
        <f t="array" ref="W116">_xlfn.IFS(B116="","",AND(G116&gt;=0,L116&gt;0),"BuySome",AND(G116&gt;=0,K116="KMSignal"),"BuySome",AND(G116&lt;0,L116&gt;0),"BuyWatch",AND(Q116&lt;0,L116&gt;0),"BuyWatch",AND(G116&gt;=0,L116=0),"BuyWatch",L116&gt;0,"BuySome",TRUE,"")</f>
        <v/>
      </c>
      <c r="X116" s="47" t="str">
        <f>_xlfn.XLOOKUP(W116,Parm!$AN$2:$AN$25,Parm!$AO$2:$AO$25,"")</f>
        <v/>
      </c>
      <c r="Y116" s="52" t="str" cm="1">
        <f t="array" ref="Y116">_xlfn.IFS(B116="","",OR(Q116=-100,U116=-100),"SellAll",OR(Q116&lt;0,U116&lt;0),"SellSome",AND(Q116&gt;0,U116&gt;0),"BuySome",OR(Q116&gt;0,U116&gt;0),"BuyWatch",TRUE,"")</f>
        <v/>
      </c>
      <c r="Z116" s="47" t="str">
        <f>_xlfn.XLOOKUP(Y116,Parm!$AN$2:$AN$25,Parm!$AO$2:$AO$25,"")</f>
        <v/>
      </c>
      <c r="AA116" s="286">
        <f>IF(C116&lt;&gt;-100,A116,_xlfn.XLOOKUP(B116,ssH!L:L,ssH!M:M))</f>
        <v>46140</v>
      </c>
      <c r="AB116" s="49" t="str">
        <f t="shared" si="19"/>
        <v/>
      </c>
      <c r="AC116" s="52">
        <f>_xlfn.XLOOKUP(B116,TL!C:C,TL!C:C)</f>
        <v>0</v>
      </c>
      <c r="AD116" s="52">
        <f>_xlfn.XLOOKUP(B116,Y!C:C,Y!C:C)</f>
        <v>0</v>
      </c>
      <c r="AE116" s="52">
        <f>_xlfn.XLOOKUP(B116,MA!C:C,MA!C:C)</f>
        <v>0</v>
      </c>
    </row>
    <row r="117" spans="1:31" x14ac:dyDescent="0.25">
      <c r="A117" s="29">
        <f>ssH!$AG$1</f>
        <v>46140</v>
      </c>
      <c r="C117" s="47">
        <f t="shared" si="20"/>
        <v>0</v>
      </c>
      <c r="D117" s="42">
        <f>_xlfn.XLOOKUP(ssH!$AG$3&amp;B117,ssH!A:A,ssH!D:D,0)</f>
        <v>0</v>
      </c>
      <c r="E117" s="42">
        <f>_xlfn.XLOOKUP(ssH!$AG$5&amp;B117,ssH!A:A,ssH!D:D,0)</f>
        <v>0</v>
      </c>
      <c r="F117" s="42">
        <f>_xlfn.XLOOKUP(ssH!$AG$6&amp;B117,ssH!A:A,ssH!D:D,0)</f>
        <v>0</v>
      </c>
      <c r="G117" s="48">
        <f>_xlfn.XLOOKUP(A117&amp;B117,ssH!A:A,ssH!F:F,-100%)</f>
        <v>-1</v>
      </c>
      <c r="H117" s="46">
        <f>_xlfn.XLOOKUP(ssH!$AG$3&amp;B117,ssH!A:A,ssH!F:F,0)</f>
        <v>0</v>
      </c>
      <c r="I117" s="46">
        <f>_xlfn.XLOOKUP(ssH!$AG$5&amp;B117,ssH!A:A,ssH!F:F,0)</f>
        <v>0</v>
      </c>
      <c r="J117" s="46">
        <f>_xlfn.XLOOKUP(ssH!$AG$6&amp;B117,ssH!A:A,ssH!F:F,0)</f>
        <v>0</v>
      </c>
      <c r="K117" s="46">
        <f>_xlfn.XLOOKUP(B117,ssL!C:C,ssL!G:G,"Removed")</f>
        <v>0</v>
      </c>
      <c r="L117" s="27">
        <f>_xlfn.XLOOKUP(A117&amp;B117,ssH!A:A,ssH!D:D,0)</f>
        <v>0</v>
      </c>
      <c r="M117" s="42" t="str">
        <f>_xlfn.XLOOKUP(A117&amp;B117,ssH!A:A,ssH!I:I,"")</f>
        <v/>
      </c>
      <c r="N117" s="51" t="str">
        <f t="shared" si="11"/>
        <v/>
      </c>
      <c r="O117" s="51" t="str">
        <f t="shared" si="12"/>
        <v/>
      </c>
      <c r="P117" s="51" t="str">
        <f t="shared" si="13"/>
        <v/>
      </c>
      <c r="Q117" s="52">
        <f t="shared" si="14"/>
        <v>0</v>
      </c>
      <c r="R117" s="51">
        <f t="shared" si="15"/>
        <v>2</v>
      </c>
      <c r="S117" s="51">
        <f t="shared" si="16"/>
        <v>0</v>
      </c>
      <c r="T117" s="51">
        <f t="shared" si="17"/>
        <v>0</v>
      </c>
      <c r="U117" s="52">
        <f t="shared" si="18"/>
        <v>2</v>
      </c>
      <c r="V117" s="52">
        <f t="shared" si="21"/>
        <v>0</v>
      </c>
      <c r="W117" s="52" t="str" cm="1">
        <f t="array" ref="W117">_xlfn.IFS(B117="","",AND(G117&gt;=0,L117&gt;0),"BuySome",AND(G117&gt;=0,K117="KMSignal"),"BuySome",AND(G117&lt;0,L117&gt;0),"BuyWatch",AND(Q117&lt;0,L117&gt;0),"BuyWatch",AND(G117&gt;=0,L117=0),"BuyWatch",L117&gt;0,"BuySome",TRUE,"")</f>
        <v/>
      </c>
      <c r="X117" s="47" t="str">
        <f>_xlfn.XLOOKUP(W117,Parm!$AN$2:$AN$25,Parm!$AO$2:$AO$25,"")</f>
        <v/>
      </c>
      <c r="Y117" s="52" t="str" cm="1">
        <f t="array" ref="Y117">_xlfn.IFS(B117="","",OR(Q117=-100,U117=-100),"SellAll",OR(Q117&lt;0,U117&lt;0),"SellSome",AND(Q117&gt;0,U117&gt;0),"BuySome",OR(Q117&gt;0,U117&gt;0),"BuyWatch",TRUE,"")</f>
        <v/>
      </c>
      <c r="Z117" s="47" t="str">
        <f>_xlfn.XLOOKUP(Y117,Parm!$AN$2:$AN$25,Parm!$AO$2:$AO$25,"")</f>
        <v/>
      </c>
      <c r="AA117" s="286">
        <f>IF(C117&lt;&gt;-100,A117,_xlfn.XLOOKUP(B117,ssH!L:L,ssH!M:M))</f>
        <v>46140</v>
      </c>
      <c r="AB117" s="49" t="str">
        <f t="shared" si="19"/>
        <v/>
      </c>
      <c r="AC117" s="52">
        <f>_xlfn.XLOOKUP(B117,TL!C:C,TL!C:C)</f>
        <v>0</v>
      </c>
      <c r="AD117" s="52">
        <f>_xlfn.XLOOKUP(B117,Y!C:C,Y!C:C)</f>
        <v>0</v>
      </c>
      <c r="AE117" s="52">
        <f>_xlfn.XLOOKUP(B117,MA!C:C,MA!C:C)</f>
        <v>0</v>
      </c>
    </row>
    <row r="118" spans="1:31" x14ac:dyDescent="0.25">
      <c r="A118" s="29">
        <f>ssH!$AG$1</f>
        <v>46140</v>
      </c>
      <c r="C118" s="47">
        <f t="shared" si="20"/>
        <v>0</v>
      </c>
      <c r="D118" s="42">
        <f>_xlfn.XLOOKUP(ssH!$AG$3&amp;B118,ssH!A:A,ssH!D:D,0)</f>
        <v>0</v>
      </c>
      <c r="E118" s="42">
        <f>_xlfn.XLOOKUP(ssH!$AG$5&amp;B118,ssH!A:A,ssH!D:D,0)</f>
        <v>0</v>
      </c>
      <c r="F118" s="42">
        <f>_xlfn.XLOOKUP(ssH!$AG$6&amp;B118,ssH!A:A,ssH!D:D,0)</f>
        <v>0</v>
      </c>
      <c r="G118" s="48">
        <f>_xlfn.XLOOKUP(A118&amp;B118,ssH!A:A,ssH!F:F,-100%)</f>
        <v>-1</v>
      </c>
      <c r="H118" s="46">
        <f>_xlfn.XLOOKUP(ssH!$AG$3&amp;B118,ssH!A:A,ssH!F:F,0)</f>
        <v>0</v>
      </c>
      <c r="I118" s="46">
        <f>_xlfn.XLOOKUP(ssH!$AG$5&amp;B118,ssH!A:A,ssH!F:F,0)</f>
        <v>0</v>
      </c>
      <c r="J118" s="46">
        <f>_xlfn.XLOOKUP(ssH!$AG$6&amp;B118,ssH!A:A,ssH!F:F,0)</f>
        <v>0</v>
      </c>
      <c r="K118" s="46">
        <f>_xlfn.XLOOKUP(B118,ssL!C:C,ssL!G:G,"Removed")</f>
        <v>0</v>
      </c>
      <c r="L118" s="27">
        <f>_xlfn.XLOOKUP(A118&amp;B118,ssH!A:A,ssH!D:D,0)</f>
        <v>0</v>
      </c>
      <c r="M118" s="42" t="str">
        <f>_xlfn.XLOOKUP(A118&amp;B118,ssH!A:A,ssH!I:I,"")</f>
        <v/>
      </c>
      <c r="N118" s="51" t="str">
        <f t="shared" si="11"/>
        <v/>
      </c>
      <c r="O118" s="51" t="str">
        <f t="shared" si="12"/>
        <v/>
      </c>
      <c r="P118" s="51" t="str">
        <f t="shared" si="13"/>
        <v/>
      </c>
      <c r="Q118" s="52">
        <f t="shared" si="14"/>
        <v>0</v>
      </c>
      <c r="R118" s="51">
        <f t="shared" si="15"/>
        <v>2</v>
      </c>
      <c r="S118" s="51">
        <f t="shared" si="16"/>
        <v>0</v>
      </c>
      <c r="T118" s="51">
        <f t="shared" si="17"/>
        <v>0</v>
      </c>
      <c r="U118" s="52">
        <f t="shared" si="18"/>
        <v>2</v>
      </c>
      <c r="V118" s="52">
        <f t="shared" si="21"/>
        <v>0</v>
      </c>
      <c r="W118" s="52" t="str" cm="1">
        <f t="array" ref="W118">_xlfn.IFS(B118="","",AND(G118&gt;=0,L118&gt;0),"BuySome",AND(G118&gt;=0,K118="KMSignal"),"BuySome",AND(G118&lt;0,L118&gt;0),"BuyWatch",AND(Q118&lt;0,L118&gt;0),"BuyWatch",AND(G118&gt;=0,L118=0),"BuyWatch",L118&gt;0,"BuySome",TRUE,"")</f>
        <v/>
      </c>
      <c r="X118" s="47" t="str">
        <f>_xlfn.XLOOKUP(W118,Parm!$AN$2:$AN$25,Parm!$AO$2:$AO$25,"")</f>
        <v/>
      </c>
      <c r="Y118" s="52" t="str" cm="1">
        <f t="array" ref="Y118">_xlfn.IFS(B118="","",OR(Q118=-100,U118=-100),"SellAll",OR(Q118&lt;0,U118&lt;0),"SellSome",AND(Q118&gt;0,U118&gt;0),"BuySome",OR(Q118&gt;0,U118&gt;0),"BuyWatch",TRUE,"")</f>
        <v/>
      </c>
      <c r="Z118" s="47" t="str">
        <f>_xlfn.XLOOKUP(Y118,Parm!$AN$2:$AN$25,Parm!$AO$2:$AO$25,"")</f>
        <v/>
      </c>
      <c r="AA118" s="286">
        <f>IF(C118&lt;&gt;-100,A118,_xlfn.XLOOKUP(B118,ssH!L:L,ssH!M:M))</f>
        <v>46140</v>
      </c>
      <c r="AB118" s="49" t="str">
        <f t="shared" si="19"/>
        <v/>
      </c>
      <c r="AC118" s="52">
        <f>_xlfn.XLOOKUP(B118,TL!C:C,TL!C:C)</f>
        <v>0</v>
      </c>
      <c r="AD118" s="52">
        <f>_xlfn.XLOOKUP(B118,Y!C:C,Y!C:C)</f>
        <v>0</v>
      </c>
      <c r="AE118" s="52">
        <f>_xlfn.XLOOKUP(B118,MA!C:C,MA!C:C)</f>
        <v>0</v>
      </c>
    </row>
    <row r="119" spans="1:31" x14ac:dyDescent="0.25">
      <c r="A119" s="29">
        <f>ssH!$AG$1</f>
        <v>46140</v>
      </c>
      <c r="C119" s="47">
        <f t="shared" si="20"/>
        <v>0</v>
      </c>
      <c r="D119" s="42">
        <f>_xlfn.XLOOKUP(ssH!$AG$3&amp;B119,ssH!A:A,ssH!D:D,0)</f>
        <v>0</v>
      </c>
      <c r="E119" s="42">
        <f>_xlfn.XLOOKUP(ssH!$AG$5&amp;B119,ssH!A:A,ssH!D:D,0)</f>
        <v>0</v>
      </c>
      <c r="F119" s="42">
        <f>_xlfn.XLOOKUP(ssH!$AG$6&amp;B119,ssH!A:A,ssH!D:D,0)</f>
        <v>0</v>
      </c>
      <c r="G119" s="48">
        <f>_xlfn.XLOOKUP(A119&amp;B119,ssH!A:A,ssH!F:F,-100%)</f>
        <v>-1</v>
      </c>
      <c r="H119" s="46">
        <f>_xlfn.XLOOKUP(ssH!$AG$3&amp;B119,ssH!A:A,ssH!F:F,0)</f>
        <v>0</v>
      </c>
      <c r="I119" s="46">
        <f>_xlfn.XLOOKUP(ssH!$AG$5&amp;B119,ssH!A:A,ssH!F:F,0)</f>
        <v>0</v>
      </c>
      <c r="J119" s="46">
        <f>_xlfn.XLOOKUP(ssH!$AG$6&amp;B119,ssH!A:A,ssH!F:F,0)</f>
        <v>0</v>
      </c>
      <c r="K119" s="46">
        <f>_xlfn.XLOOKUP(B119,ssL!C:C,ssL!G:G,"Removed")</f>
        <v>0</v>
      </c>
      <c r="L119" s="27">
        <f>_xlfn.XLOOKUP(A119&amp;B119,ssH!A:A,ssH!D:D,0)</f>
        <v>0</v>
      </c>
      <c r="M119" s="42" t="str">
        <f>_xlfn.XLOOKUP(A119&amp;B119,ssH!A:A,ssH!I:I,"")</f>
        <v/>
      </c>
      <c r="N119" s="51" t="str">
        <f t="shared" si="11"/>
        <v/>
      </c>
      <c r="O119" s="51" t="str">
        <f t="shared" si="12"/>
        <v/>
      </c>
      <c r="P119" s="51" t="str">
        <f t="shared" si="13"/>
        <v/>
      </c>
      <c r="Q119" s="52">
        <f t="shared" si="14"/>
        <v>0</v>
      </c>
      <c r="R119" s="51">
        <f t="shared" si="15"/>
        <v>2</v>
      </c>
      <c r="S119" s="51">
        <f t="shared" si="16"/>
        <v>0</v>
      </c>
      <c r="T119" s="51">
        <f t="shared" si="17"/>
        <v>0</v>
      </c>
      <c r="U119" s="52">
        <f t="shared" si="18"/>
        <v>2</v>
      </c>
      <c r="V119" s="52">
        <f t="shared" si="21"/>
        <v>0</v>
      </c>
      <c r="W119" s="52" t="str" cm="1">
        <f t="array" ref="W119">_xlfn.IFS(B119="","",AND(G119&gt;=0,L119&gt;0),"BuySome",AND(G119&gt;=0,K119="KMSignal"),"BuySome",AND(G119&lt;0,L119&gt;0),"BuyWatch",AND(Q119&lt;0,L119&gt;0),"BuyWatch",AND(G119&gt;=0,L119=0),"BuyWatch",L119&gt;0,"BuySome",TRUE,"")</f>
        <v/>
      </c>
      <c r="X119" s="47" t="str">
        <f>_xlfn.XLOOKUP(W119,Parm!$AN$2:$AN$25,Parm!$AO$2:$AO$25,"")</f>
        <v/>
      </c>
      <c r="Y119" s="52" t="str" cm="1">
        <f t="array" ref="Y119">_xlfn.IFS(B119="","",OR(Q119=-100,U119=-100),"SellAll",OR(Q119&lt;0,U119&lt;0),"SellSome",AND(Q119&gt;0,U119&gt;0),"BuySome",OR(Q119&gt;0,U119&gt;0),"BuyWatch",TRUE,"")</f>
        <v/>
      </c>
      <c r="Z119" s="47" t="str">
        <f>_xlfn.XLOOKUP(Y119,Parm!$AN$2:$AN$25,Parm!$AO$2:$AO$25,"")</f>
        <v/>
      </c>
      <c r="AA119" s="286">
        <f>IF(C119&lt;&gt;-100,A119,_xlfn.XLOOKUP(B119,ssH!L:L,ssH!M:M))</f>
        <v>46140</v>
      </c>
      <c r="AB119" s="49" t="str">
        <f t="shared" si="19"/>
        <v/>
      </c>
      <c r="AC119" s="52">
        <f>_xlfn.XLOOKUP(B119,TL!C:C,TL!C:C)</f>
        <v>0</v>
      </c>
      <c r="AD119" s="52">
        <f>_xlfn.XLOOKUP(B119,Y!C:C,Y!C:C)</f>
        <v>0</v>
      </c>
      <c r="AE119" s="52">
        <f>_xlfn.XLOOKUP(B119,MA!C:C,MA!C:C)</f>
        <v>0</v>
      </c>
    </row>
    <row r="120" spans="1:31" x14ac:dyDescent="0.25">
      <c r="A120" s="29">
        <f>ssH!$AG$1</f>
        <v>46140</v>
      </c>
      <c r="C120" s="47">
        <f t="shared" si="20"/>
        <v>0</v>
      </c>
      <c r="D120" s="42">
        <f>_xlfn.XLOOKUP(ssH!$AG$3&amp;B120,ssH!A:A,ssH!D:D,0)</f>
        <v>0</v>
      </c>
      <c r="E120" s="42">
        <f>_xlfn.XLOOKUP(ssH!$AG$5&amp;B120,ssH!A:A,ssH!D:D,0)</f>
        <v>0</v>
      </c>
      <c r="F120" s="42">
        <f>_xlfn.XLOOKUP(ssH!$AG$6&amp;B120,ssH!A:A,ssH!D:D,0)</f>
        <v>0</v>
      </c>
      <c r="G120" s="48">
        <f>_xlfn.XLOOKUP(A120&amp;B120,ssH!A:A,ssH!F:F,-100%)</f>
        <v>-1</v>
      </c>
      <c r="H120" s="46">
        <f>_xlfn.XLOOKUP(ssH!$AG$3&amp;B120,ssH!A:A,ssH!F:F,0)</f>
        <v>0</v>
      </c>
      <c r="I120" s="46">
        <f>_xlfn.XLOOKUP(ssH!$AG$5&amp;B120,ssH!A:A,ssH!F:F,0)</f>
        <v>0</v>
      </c>
      <c r="J120" s="46">
        <f>_xlfn.XLOOKUP(ssH!$AG$6&amp;B120,ssH!A:A,ssH!F:F,0)</f>
        <v>0</v>
      </c>
      <c r="K120" s="46">
        <f>_xlfn.XLOOKUP(B120,ssL!C:C,ssL!G:G,"Removed")</f>
        <v>0</v>
      </c>
      <c r="L120" s="27">
        <f>_xlfn.XLOOKUP(A120&amp;B120,ssH!A:A,ssH!D:D,0)</f>
        <v>0</v>
      </c>
      <c r="M120" s="42" t="str">
        <f>_xlfn.XLOOKUP(A120&amp;B120,ssH!A:A,ssH!I:I,"")</f>
        <v/>
      </c>
      <c r="N120" s="51" t="str">
        <f t="shared" si="11"/>
        <v/>
      </c>
      <c r="O120" s="51" t="str">
        <f t="shared" si="12"/>
        <v/>
      </c>
      <c r="P120" s="51" t="str">
        <f t="shared" si="13"/>
        <v/>
      </c>
      <c r="Q120" s="52">
        <f t="shared" si="14"/>
        <v>0</v>
      </c>
      <c r="R120" s="51">
        <f t="shared" si="15"/>
        <v>2</v>
      </c>
      <c r="S120" s="51">
        <f t="shared" si="16"/>
        <v>0</v>
      </c>
      <c r="T120" s="51">
        <f t="shared" si="17"/>
        <v>0</v>
      </c>
      <c r="U120" s="52">
        <f t="shared" si="18"/>
        <v>2</v>
      </c>
      <c r="V120" s="52">
        <f t="shared" si="21"/>
        <v>0</v>
      </c>
      <c r="W120" s="52" t="str" cm="1">
        <f t="array" ref="W120">_xlfn.IFS(B120="","",AND(G120&gt;=0,L120&gt;0),"BuySome",AND(G120&gt;=0,K120="KMSignal"),"BuySome",AND(G120&lt;0,L120&gt;0),"BuyWatch",AND(Q120&lt;0,L120&gt;0),"BuyWatch",AND(G120&gt;=0,L120=0),"BuyWatch",L120&gt;0,"BuySome",TRUE,"")</f>
        <v/>
      </c>
      <c r="X120" s="47" t="str">
        <f>_xlfn.XLOOKUP(W120,Parm!$AN$2:$AN$25,Parm!$AO$2:$AO$25,"")</f>
        <v/>
      </c>
      <c r="Y120" s="52" t="str" cm="1">
        <f t="array" ref="Y120">_xlfn.IFS(B120="","",OR(Q120=-100,U120=-100),"SellAll",OR(Q120&lt;0,U120&lt;0),"SellSome",AND(Q120&gt;0,U120&gt;0),"BuySome",OR(Q120&gt;0,U120&gt;0),"BuyWatch",TRUE,"")</f>
        <v/>
      </c>
      <c r="Z120" s="47" t="str">
        <f>_xlfn.XLOOKUP(Y120,Parm!$AN$2:$AN$25,Parm!$AO$2:$AO$25,"")</f>
        <v/>
      </c>
      <c r="AA120" s="286">
        <f>IF(C120&lt;&gt;-100,A120,_xlfn.XLOOKUP(B120,ssH!L:L,ssH!M:M))</f>
        <v>46140</v>
      </c>
      <c r="AB120" s="49" t="str">
        <f t="shared" si="19"/>
        <v/>
      </c>
      <c r="AC120" s="52">
        <f>_xlfn.XLOOKUP(B120,TL!C:C,TL!C:C)</f>
        <v>0</v>
      </c>
      <c r="AD120" s="52">
        <f>_xlfn.XLOOKUP(B120,Y!C:C,Y!C:C)</f>
        <v>0</v>
      </c>
      <c r="AE120" s="52">
        <f>_xlfn.XLOOKUP(B120,MA!C:C,MA!C:C)</f>
        <v>0</v>
      </c>
    </row>
    <row r="121" spans="1:31" x14ac:dyDescent="0.25">
      <c r="A121" s="29">
        <f>ssH!$AG$1</f>
        <v>46140</v>
      </c>
      <c r="C121" s="47">
        <f t="shared" si="20"/>
        <v>0</v>
      </c>
      <c r="D121" s="42">
        <f>_xlfn.XLOOKUP(ssH!$AG$3&amp;B121,ssH!A:A,ssH!D:D,0)</f>
        <v>0</v>
      </c>
      <c r="E121" s="42">
        <f>_xlfn.XLOOKUP(ssH!$AG$5&amp;B121,ssH!A:A,ssH!D:D,0)</f>
        <v>0</v>
      </c>
      <c r="F121" s="42">
        <f>_xlfn.XLOOKUP(ssH!$AG$6&amp;B121,ssH!A:A,ssH!D:D,0)</f>
        <v>0</v>
      </c>
      <c r="G121" s="48">
        <f>_xlfn.XLOOKUP(A121&amp;B121,ssH!A:A,ssH!F:F,-100%)</f>
        <v>-1</v>
      </c>
      <c r="H121" s="46">
        <f>_xlfn.XLOOKUP(ssH!$AG$3&amp;B121,ssH!A:A,ssH!F:F,0)</f>
        <v>0</v>
      </c>
      <c r="I121" s="46">
        <f>_xlfn.XLOOKUP(ssH!$AG$5&amp;B121,ssH!A:A,ssH!F:F,0)</f>
        <v>0</v>
      </c>
      <c r="J121" s="46">
        <f>_xlfn.XLOOKUP(ssH!$AG$6&amp;B121,ssH!A:A,ssH!F:F,0)</f>
        <v>0</v>
      </c>
      <c r="K121" s="46">
        <f>_xlfn.XLOOKUP(B121,ssL!C:C,ssL!G:G,"Removed")</f>
        <v>0</v>
      </c>
      <c r="L121" s="27">
        <f>_xlfn.XLOOKUP(A121&amp;B121,ssH!A:A,ssH!D:D,0)</f>
        <v>0</v>
      </c>
      <c r="M121" s="42" t="str">
        <f>_xlfn.XLOOKUP(A121&amp;B121,ssH!A:A,ssH!I:I,"")</f>
        <v/>
      </c>
      <c r="N121" s="51" t="str">
        <f t="shared" si="11"/>
        <v/>
      </c>
      <c r="O121" s="51" t="str">
        <f t="shared" si="12"/>
        <v/>
      </c>
      <c r="P121" s="51" t="str">
        <f t="shared" si="13"/>
        <v/>
      </c>
      <c r="Q121" s="52">
        <f t="shared" si="14"/>
        <v>0</v>
      </c>
      <c r="R121" s="51">
        <f t="shared" si="15"/>
        <v>2</v>
      </c>
      <c r="S121" s="51">
        <f t="shared" si="16"/>
        <v>0</v>
      </c>
      <c r="T121" s="51">
        <f t="shared" si="17"/>
        <v>0</v>
      </c>
      <c r="U121" s="52">
        <f t="shared" si="18"/>
        <v>2</v>
      </c>
      <c r="V121" s="52">
        <f t="shared" si="21"/>
        <v>0</v>
      </c>
      <c r="W121" s="52" t="str" cm="1">
        <f t="array" ref="W121">_xlfn.IFS(B121="","",AND(G121&gt;=0,L121&gt;0),"BuySome",AND(G121&gt;=0,K121="KMSignal"),"BuySome",AND(G121&lt;0,L121&gt;0),"BuyWatch",AND(Q121&lt;0,L121&gt;0),"BuyWatch",AND(G121&gt;=0,L121=0),"BuyWatch",L121&gt;0,"BuySome",TRUE,"")</f>
        <v/>
      </c>
      <c r="X121" s="47" t="str">
        <f>_xlfn.XLOOKUP(W121,Parm!$AN$2:$AN$25,Parm!$AO$2:$AO$25,"")</f>
        <v/>
      </c>
      <c r="Y121" s="52" t="str" cm="1">
        <f t="array" ref="Y121">_xlfn.IFS(B121="","",OR(Q121=-100,U121=-100),"SellAll",OR(Q121&lt;0,U121&lt;0),"SellSome",AND(Q121&gt;0,U121&gt;0),"BuySome",OR(Q121&gt;0,U121&gt;0),"BuyWatch",TRUE,"")</f>
        <v/>
      </c>
      <c r="Z121" s="47" t="str">
        <f>_xlfn.XLOOKUP(Y121,Parm!$AN$2:$AN$25,Parm!$AO$2:$AO$25,"")</f>
        <v/>
      </c>
      <c r="AA121" s="286">
        <f>IF(C121&lt;&gt;-100,A121,_xlfn.XLOOKUP(B121,ssH!L:L,ssH!M:M))</f>
        <v>46140</v>
      </c>
      <c r="AB121" s="49" t="str">
        <f t="shared" si="19"/>
        <v/>
      </c>
      <c r="AC121" s="52">
        <f>_xlfn.XLOOKUP(B121,TL!C:C,TL!C:C)</f>
        <v>0</v>
      </c>
      <c r="AD121" s="52">
        <f>_xlfn.XLOOKUP(B121,Y!C:C,Y!C:C)</f>
        <v>0</v>
      </c>
      <c r="AE121" s="52">
        <f>_xlfn.XLOOKUP(B121,MA!C:C,MA!C:C)</f>
        <v>0</v>
      </c>
    </row>
    <row r="122" spans="1:31" x14ac:dyDescent="0.25">
      <c r="A122" s="29">
        <f>ssH!$AG$1</f>
        <v>46140</v>
      </c>
      <c r="C122" s="47">
        <f t="shared" si="20"/>
        <v>0</v>
      </c>
      <c r="D122" s="42">
        <f>_xlfn.XLOOKUP(ssH!$AG$3&amp;B122,ssH!A:A,ssH!D:D,0)</f>
        <v>0</v>
      </c>
      <c r="E122" s="42">
        <f>_xlfn.XLOOKUP(ssH!$AG$5&amp;B122,ssH!A:A,ssH!D:D,0)</f>
        <v>0</v>
      </c>
      <c r="F122" s="42">
        <f>_xlfn.XLOOKUP(ssH!$AG$6&amp;B122,ssH!A:A,ssH!D:D,0)</f>
        <v>0</v>
      </c>
      <c r="G122" s="48">
        <f>_xlfn.XLOOKUP(A122&amp;B122,ssH!A:A,ssH!F:F,-100%)</f>
        <v>-1</v>
      </c>
      <c r="H122" s="46">
        <f>_xlfn.XLOOKUP(ssH!$AG$3&amp;B122,ssH!A:A,ssH!F:F,0)</f>
        <v>0</v>
      </c>
      <c r="I122" s="46">
        <f>_xlfn.XLOOKUP(ssH!$AG$5&amp;B122,ssH!A:A,ssH!F:F,0)</f>
        <v>0</v>
      </c>
      <c r="J122" s="46">
        <f>_xlfn.XLOOKUP(ssH!$AG$6&amp;B122,ssH!A:A,ssH!F:F,0)</f>
        <v>0</v>
      </c>
      <c r="K122" s="46">
        <f>_xlfn.XLOOKUP(B122,ssL!C:C,ssL!G:G,"Removed")</f>
        <v>0</v>
      </c>
      <c r="L122" s="27">
        <f>_xlfn.XLOOKUP(A122&amp;B122,ssH!A:A,ssH!D:D,0)</f>
        <v>0</v>
      </c>
      <c r="M122" s="42" t="str">
        <f>_xlfn.XLOOKUP(A122&amp;B122,ssH!A:A,ssH!I:I,"")</f>
        <v/>
      </c>
      <c r="N122" s="51" t="str">
        <f t="shared" si="11"/>
        <v/>
      </c>
      <c r="O122" s="51" t="str">
        <f t="shared" si="12"/>
        <v/>
      </c>
      <c r="P122" s="51" t="str">
        <f t="shared" si="13"/>
        <v/>
      </c>
      <c r="Q122" s="52">
        <f t="shared" si="14"/>
        <v>0</v>
      </c>
      <c r="R122" s="51">
        <f t="shared" si="15"/>
        <v>2</v>
      </c>
      <c r="S122" s="51">
        <f t="shared" si="16"/>
        <v>0</v>
      </c>
      <c r="T122" s="51">
        <f t="shared" si="17"/>
        <v>0</v>
      </c>
      <c r="U122" s="52">
        <f t="shared" si="18"/>
        <v>2</v>
      </c>
      <c r="V122" s="52">
        <f t="shared" si="21"/>
        <v>0</v>
      </c>
      <c r="W122" s="52" t="str" cm="1">
        <f t="array" ref="W122">_xlfn.IFS(B122="","",AND(G122&gt;=0,L122&gt;0),"BuySome",AND(G122&gt;=0,K122="KMSignal"),"BuySome",AND(G122&lt;0,L122&gt;0),"BuyWatch",AND(Q122&lt;0,L122&gt;0),"BuyWatch",AND(G122&gt;=0,L122=0),"BuyWatch",L122&gt;0,"BuySome",TRUE,"")</f>
        <v/>
      </c>
      <c r="X122" s="47" t="str">
        <f>_xlfn.XLOOKUP(W122,Parm!$AN$2:$AN$25,Parm!$AO$2:$AO$25,"")</f>
        <v/>
      </c>
      <c r="Y122" s="52" t="str" cm="1">
        <f t="array" ref="Y122">_xlfn.IFS(B122="","",OR(Q122=-100,U122=-100),"SellAll",OR(Q122&lt;0,U122&lt;0),"SellSome",AND(Q122&gt;0,U122&gt;0),"BuySome",OR(Q122&gt;0,U122&gt;0),"BuyWatch",TRUE,"")</f>
        <v/>
      </c>
      <c r="Z122" s="47" t="str">
        <f>_xlfn.XLOOKUP(Y122,Parm!$AN$2:$AN$25,Parm!$AO$2:$AO$25,"")</f>
        <v/>
      </c>
      <c r="AA122" s="286">
        <f>IF(C122&lt;&gt;-100,A122,_xlfn.XLOOKUP(B122,ssH!L:L,ssH!M:M))</f>
        <v>46140</v>
      </c>
      <c r="AB122" s="49" t="str">
        <f t="shared" si="19"/>
        <v/>
      </c>
      <c r="AC122" s="52">
        <f>_xlfn.XLOOKUP(B122,TL!C:C,TL!C:C)</f>
        <v>0</v>
      </c>
      <c r="AD122" s="52">
        <f>_xlfn.XLOOKUP(B122,Y!C:C,Y!C:C)</f>
        <v>0</v>
      </c>
      <c r="AE122" s="52">
        <f>_xlfn.XLOOKUP(B122,MA!C:C,MA!C:C)</f>
        <v>0</v>
      </c>
    </row>
    <row r="123" spans="1:31" x14ac:dyDescent="0.25">
      <c r="A123" s="29">
        <f>ssH!$AG$1</f>
        <v>46140</v>
      </c>
      <c r="C123" s="47">
        <f t="shared" si="20"/>
        <v>0</v>
      </c>
      <c r="D123" s="42">
        <f>_xlfn.XLOOKUP(ssH!$AG$3&amp;B123,ssH!A:A,ssH!D:D,0)</f>
        <v>0</v>
      </c>
      <c r="E123" s="42">
        <f>_xlfn.XLOOKUP(ssH!$AG$5&amp;B123,ssH!A:A,ssH!D:D,0)</f>
        <v>0</v>
      </c>
      <c r="F123" s="42">
        <f>_xlfn.XLOOKUP(ssH!$AG$6&amp;B123,ssH!A:A,ssH!D:D,0)</f>
        <v>0</v>
      </c>
      <c r="G123" s="48">
        <f>_xlfn.XLOOKUP(A123&amp;B123,ssH!A:A,ssH!F:F,-100%)</f>
        <v>-1</v>
      </c>
      <c r="H123" s="46">
        <f>_xlfn.XLOOKUP(ssH!$AG$3&amp;B123,ssH!A:A,ssH!F:F,0)</f>
        <v>0</v>
      </c>
      <c r="I123" s="46">
        <f>_xlfn.XLOOKUP(ssH!$AG$5&amp;B123,ssH!A:A,ssH!F:F,0)</f>
        <v>0</v>
      </c>
      <c r="J123" s="46">
        <f>_xlfn.XLOOKUP(ssH!$AG$6&amp;B123,ssH!A:A,ssH!F:F,0)</f>
        <v>0</v>
      </c>
      <c r="K123" s="46">
        <f>_xlfn.XLOOKUP(B123,ssL!C:C,ssL!G:G,"Removed")</f>
        <v>0</v>
      </c>
      <c r="L123" s="27">
        <f>_xlfn.XLOOKUP(A123&amp;B123,ssH!A:A,ssH!D:D,0)</f>
        <v>0</v>
      </c>
      <c r="M123" s="42" t="str">
        <f>_xlfn.XLOOKUP(A123&amp;B123,ssH!A:A,ssH!I:I,"")</f>
        <v/>
      </c>
      <c r="N123" s="51" t="str">
        <f t="shared" si="11"/>
        <v/>
      </c>
      <c r="O123" s="51" t="str">
        <f t="shared" si="12"/>
        <v/>
      </c>
      <c r="P123" s="51" t="str">
        <f t="shared" si="13"/>
        <v/>
      </c>
      <c r="Q123" s="52">
        <f t="shared" si="14"/>
        <v>0</v>
      </c>
      <c r="R123" s="51">
        <f t="shared" si="15"/>
        <v>2</v>
      </c>
      <c r="S123" s="51">
        <f t="shared" si="16"/>
        <v>0</v>
      </c>
      <c r="T123" s="51">
        <f t="shared" si="17"/>
        <v>0</v>
      </c>
      <c r="U123" s="52">
        <f t="shared" si="18"/>
        <v>2</v>
      </c>
      <c r="V123" s="52">
        <f t="shared" si="21"/>
        <v>0</v>
      </c>
      <c r="W123" s="52" t="str" cm="1">
        <f t="array" ref="W123">_xlfn.IFS(B123="","",AND(G123&gt;=0,L123&gt;0),"BuySome",AND(G123&gt;=0,K123="KMSignal"),"BuySome",AND(G123&lt;0,L123&gt;0),"BuyWatch",AND(Q123&lt;0,L123&gt;0),"BuyWatch",AND(G123&gt;=0,L123=0),"BuyWatch",L123&gt;0,"BuySome",TRUE,"")</f>
        <v/>
      </c>
      <c r="X123" s="47" t="str">
        <f>_xlfn.XLOOKUP(W123,Parm!$AN$2:$AN$25,Parm!$AO$2:$AO$25,"")</f>
        <v/>
      </c>
      <c r="Y123" s="52" t="str" cm="1">
        <f t="array" ref="Y123">_xlfn.IFS(B123="","",OR(Q123=-100,U123=-100),"SellAll",OR(Q123&lt;0,U123&lt;0),"SellSome",AND(Q123&gt;0,U123&gt;0),"BuySome",OR(Q123&gt;0,U123&gt;0),"BuyWatch",TRUE,"")</f>
        <v/>
      </c>
      <c r="Z123" s="47" t="str">
        <f>_xlfn.XLOOKUP(Y123,Parm!$AN$2:$AN$25,Parm!$AO$2:$AO$25,"")</f>
        <v/>
      </c>
      <c r="AA123" s="286">
        <f>IF(C123&lt;&gt;-100,A123,_xlfn.XLOOKUP(B123,ssH!L:L,ssH!M:M))</f>
        <v>46140</v>
      </c>
      <c r="AB123" s="49" t="str">
        <f t="shared" si="19"/>
        <v/>
      </c>
      <c r="AC123" s="52">
        <f>_xlfn.XLOOKUP(B123,TL!C:C,TL!C:C)</f>
        <v>0</v>
      </c>
      <c r="AD123" s="52">
        <f>_xlfn.XLOOKUP(B123,Y!C:C,Y!C:C)</f>
        <v>0</v>
      </c>
      <c r="AE123" s="52">
        <f>_xlfn.XLOOKUP(B123,MA!C:C,MA!C:C)</f>
        <v>0</v>
      </c>
    </row>
    <row r="124" spans="1:31" x14ac:dyDescent="0.25">
      <c r="A124" s="29">
        <f>ssH!$AG$1</f>
        <v>46140</v>
      </c>
      <c r="C124" s="47">
        <f t="shared" si="20"/>
        <v>0</v>
      </c>
      <c r="D124" s="42">
        <f>_xlfn.XLOOKUP(ssH!$AG$3&amp;B124,ssH!A:A,ssH!D:D,0)</f>
        <v>0</v>
      </c>
      <c r="E124" s="42">
        <f>_xlfn.XLOOKUP(ssH!$AG$5&amp;B124,ssH!A:A,ssH!D:D,0)</f>
        <v>0</v>
      </c>
      <c r="F124" s="42">
        <f>_xlfn.XLOOKUP(ssH!$AG$6&amp;B124,ssH!A:A,ssH!D:D,0)</f>
        <v>0</v>
      </c>
      <c r="G124" s="48">
        <f>_xlfn.XLOOKUP(A124&amp;B124,ssH!A:A,ssH!F:F,-100%)</f>
        <v>-1</v>
      </c>
      <c r="H124" s="46">
        <f>_xlfn.XLOOKUP(ssH!$AG$3&amp;B124,ssH!A:A,ssH!F:F,0)</f>
        <v>0</v>
      </c>
      <c r="I124" s="46">
        <f>_xlfn.XLOOKUP(ssH!$AG$5&amp;B124,ssH!A:A,ssH!F:F,0)</f>
        <v>0</v>
      </c>
      <c r="J124" s="46">
        <f>_xlfn.XLOOKUP(ssH!$AG$6&amp;B124,ssH!A:A,ssH!F:F,0)</f>
        <v>0</v>
      </c>
      <c r="K124" s="46">
        <f>_xlfn.XLOOKUP(B124,ssL!C:C,ssL!G:G,"Removed")</f>
        <v>0</v>
      </c>
      <c r="L124" s="27">
        <f>_xlfn.XLOOKUP(A124&amp;B124,ssH!A:A,ssH!D:D,0)</f>
        <v>0</v>
      </c>
      <c r="M124" s="42" t="str">
        <f>_xlfn.XLOOKUP(A124&amp;B124,ssH!A:A,ssH!I:I,"")</f>
        <v/>
      </c>
      <c r="N124" s="51" t="str">
        <f t="shared" si="11"/>
        <v/>
      </c>
      <c r="O124" s="51" t="str">
        <f t="shared" si="12"/>
        <v/>
      </c>
      <c r="P124" s="51" t="str">
        <f t="shared" si="13"/>
        <v/>
      </c>
      <c r="Q124" s="52">
        <f t="shared" si="14"/>
        <v>0</v>
      </c>
      <c r="R124" s="51">
        <f t="shared" si="15"/>
        <v>2</v>
      </c>
      <c r="S124" s="51">
        <f t="shared" si="16"/>
        <v>0</v>
      </c>
      <c r="T124" s="51">
        <f t="shared" si="17"/>
        <v>0</v>
      </c>
      <c r="U124" s="52">
        <f t="shared" si="18"/>
        <v>2</v>
      </c>
      <c r="V124" s="52">
        <f t="shared" si="21"/>
        <v>0</v>
      </c>
      <c r="W124" s="52" t="str" cm="1">
        <f t="array" ref="W124">_xlfn.IFS(B124="","",AND(G124&gt;=0,L124&gt;0),"BuySome",AND(G124&gt;=0,K124="KMSignal"),"BuySome",AND(G124&lt;0,L124&gt;0),"BuyWatch",AND(Q124&lt;0,L124&gt;0),"BuyWatch",AND(G124&gt;=0,L124=0),"BuyWatch",L124&gt;0,"BuySome",TRUE,"")</f>
        <v/>
      </c>
      <c r="X124" s="47" t="str">
        <f>_xlfn.XLOOKUP(W124,Parm!$AN$2:$AN$25,Parm!$AO$2:$AO$25,"")</f>
        <v/>
      </c>
      <c r="Y124" s="52" t="str" cm="1">
        <f t="array" ref="Y124">_xlfn.IFS(B124="","",OR(Q124=-100,U124=-100),"SellAll",OR(Q124&lt;0,U124&lt;0),"SellSome",AND(Q124&gt;0,U124&gt;0),"BuySome",OR(Q124&gt;0,U124&gt;0),"BuyWatch",TRUE,"")</f>
        <v/>
      </c>
      <c r="Z124" s="47" t="str">
        <f>_xlfn.XLOOKUP(Y124,Parm!$AN$2:$AN$25,Parm!$AO$2:$AO$25,"")</f>
        <v/>
      </c>
      <c r="AA124" s="286">
        <f>IF(C124&lt;&gt;-100,A124,_xlfn.XLOOKUP(B124,ssH!L:L,ssH!M:M))</f>
        <v>46140</v>
      </c>
      <c r="AB124" s="49" t="str">
        <f t="shared" si="19"/>
        <v/>
      </c>
      <c r="AC124" s="52">
        <f>_xlfn.XLOOKUP(B124,TL!C:C,TL!C:C)</f>
        <v>0</v>
      </c>
      <c r="AD124" s="52">
        <f>_xlfn.XLOOKUP(B124,Y!C:C,Y!C:C)</f>
        <v>0</v>
      </c>
      <c r="AE124" s="52">
        <f>_xlfn.XLOOKUP(B124,MA!C:C,MA!C:C)</f>
        <v>0</v>
      </c>
    </row>
    <row r="125" spans="1:31" x14ac:dyDescent="0.25">
      <c r="A125" s="29">
        <f>ssH!$AG$1</f>
        <v>46140</v>
      </c>
      <c r="C125" s="47">
        <f t="shared" si="20"/>
        <v>0</v>
      </c>
      <c r="D125" s="42">
        <f>_xlfn.XLOOKUP(ssH!$AG$3&amp;B125,ssH!A:A,ssH!D:D,0)</f>
        <v>0</v>
      </c>
      <c r="E125" s="42">
        <f>_xlfn.XLOOKUP(ssH!$AG$5&amp;B125,ssH!A:A,ssH!D:D,0)</f>
        <v>0</v>
      </c>
      <c r="F125" s="42">
        <f>_xlfn.XLOOKUP(ssH!$AG$6&amp;B125,ssH!A:A,ssH!D:D,0)</f>
        <v>0</v>
      </c>
      <c r="G125" s="48">
        <f>_xlfn.XLOOKUP(A125&amp;B125,ssH!A:A,ssH!F:F,-100%)</f>
        <v>-1</v>
      </c>
      <c r="H125" s="46">
        <f>_xlfn.XLOOKUP(ssH!$AG$3&amp;B125,ssH!A:A,ssH!F:F,0)</f>
        <v>0</v>
      </c>
      <c r="I125" s="46">
        <f>_xlfn.XLOOKUP(ssH!$AG$5&amp;B125,ssH!A:A,ssH!F:F,0)</f>
        <v>0</v>
      </c>
      <c r="J125" s="46">
        <f>_xlfn.XLOOKUP(ssH!$AG$6&amp;B125,ssH!A:A,ssH!F:F,0)</f>
        <v>0</v>
      </c>
      <c r="K125" s="46">
        <f>_xlfn.XLOOKUP(B125,ssL!C:C,ssL!G:G,"Removed")</f>
        <v>0</v>
      </c>
      <c r="L125" s="27">
        <f>_xlfn.XLOOKUP(A125&amp;B125,ssH!A:A,ssH!D:D,0)</f>
        <v>0</v>
      </c>
      <c r="M125" s="42" t="str">
        <f>_xlfn.XLOOKUP(A125&amp;B125,ssH!A:A,ssH!I:I,"")</f>
        <v/>
      </c>
      <c r="N125" s="51" t="str">
        <f t="shared" si="11"/>
        <v/>
      </c>
      <c r="O125" s="51" t="str">
        <f t="shared" si="12"/>
        <v/>
      </c>
      <c r="P125" s="51" t="str">
        <f t="shared" si="13"/>
        <v/>
      </c>
      <c r="Q125" s="52">
        <f t="shared" si="14"/>
        <v>0</v>
      </c>
      <c r="R125" s="51">
        <f t="shared" si="15"/>
        <v>2</v>
      </c>
      <c r="S125" s="51">
        <f t="shared" si="16"/>
        <v>0</v>
      </c>
      <c r="T125" s="51">
        <f t="shared" si="17"/>
        <v>0</v>
      </c>
      <c r="U125" s="52">
        <f t="shared" si="18"/>
        <v>2</v>
      </c>
      <c r="V125" s="52">
        <f t="shared" si="21"/>
        <v>0</v>
      </c>
      <c r="W125" s="52" t="str" cm="1">
        <f t="array" ref="W125">_xlfn.IFS(B125="","",AND(G125&gt;=0,L125&gt;0),"BuySome",AND(G125&gt;=0,K125="KMSignal"),"BuySome",AND(G125&lt;0,L125&gt;0),"BuyWatch",AND(Q125&lt;0,L125&gt;0),"BuyWatch",AND(G125&gt;=0,L125=0),"BuyWatch",L125&gt;0,"BuySome",TRUE,"")</f>
        <v/>
      </c>
      <c r="X125" s="47" t="str">
        <f>_xlfn.XLOOKUP(W125,Parm!$AN$2:$AN$25,Parm!$AO$2:$AO$25,"")</f>
        <v/>
      </c>
      <c r="Y125" s="52" t="str" cm="1">
        <f t="array" ref="Y125">_xlfn.IFS(B125="","",OR(Q125=-100,U125=-100),"SellAll",OR(Q125&lt;0,U125&lt;0),"SellSome",AND(Q125&gt;0,U125&gt;0),"BuySome",OR(Q125&gt;0,U125&gt;0),"BuyWatch",TRUE,"")</f>
        <v/>
      </c>
      <c r="Z125" s="47" t="str">
        <f>_xlfn.XLOOKUP(Y125,Parm!$AN$2:$AN$25,Parm!$AO$2:$AO$25,"")</f>
        <v/>
      </c>
      <c r="AA125" s="286">
        <f>IF(C125&lt;&gt;-100,A125,_xlfn.XLOOKUP(B125,ssH!L:L,ssH!M:M))</f>
        <v>46140</v>
      </c>
      <c r="AB125" s="49" t="str">
        <f t="shared" si="19"/>
        <v/>
      </c>
      <c r="AC125" s="52">
        <f>_xlfn.XLOOKUP(B125,TL!C:C,TL!C:C)</f>
        <v>0</v>
      </c>
      <c r="AD125" s="52">
        <f>_xlfn.XLOOKUP(B125,Y!C:C,Y!C:C)</f>
        <v>0</v>
      </c>
      <c r="AE125" s="52">
        <f>_xlfn.XLOOKUP(B125,MA!C:C,MA!C:C)</f>
        <v>0</v>
      </c>
    </row>
    <row r="126" spans="1:31" x14ac:dyDescent="0.25">
      <c r="A126" s="29">
        <f>ssH!$AG$1</f>
        <v>46140</v>
      </c>
      <c r="C126" s="47">
        <f t="shared" si="20"/>
        <v>0</v>
      </c>
      <c r="D126" s="42">
        <f>_xlfn.XLOOKUP(ssH!$AG$3&amp;B126,ssH!A:A,ssH!D:D,0)</f>
        <v>0</v>
      </c>
      <c r="E126" s="42">
        <f>_xlfn.XLOOKUP(ssH!$AG$5&amp;B126,ssH!A:A,ssH!D:D,0)</f>
        <v>0</v>
      </c>
      <c r="F126" s="42">
        <f>_xlfn.XLOOKUP(ssH!$AG$6&amp;B126,ssH!A:A,ssH!D:D,0)</f>
        <v>0</v>
      </c>
      <c r="G126" s="48">
        <f>_xlfn.XLOOKUP(A126&amp;B126,ssH!A:A,ssH!F:F,-100%)</f>
        <v>-1</v>
      </c>
      <c r="H126" s="46">
        <f>_xlfn.XLOOKUP(ssH!$AG$3&amp;B126,ssH!A:A,ssH!F:F,0)</f>
        <v>0</v>
      </c>
      <c r="I126" s="46">
        <f>_xlfn.XLOOKUP(ssH!$AG$5&amp;B126,ssH!A:A,ssH!F:F,0)</f>
        <v>0</v>
      </c>
      <c r="J126" s="46">
        <f>_xlfn.XLOOKUP(ssH!$AG$6&amp;B126,ssH!A:A,ssH!F:F,0)</f>
        <v>0</v>
      </c>
      <c r="K126" s="46">
        <f>_xlfn.XLOOKUP(B126,ssL!C:C,ssL!G:G,"Removed")</f>
        <v>0</v>
      </c>
      <c r="L126" s="27">
        <f>_xlfn.XLOOKUP(A126&amp;B126,ssH!A:A,ssH!D:D,0)</f>
        <v>0</v>
      </c>
      <c r="M126" s="42" t="str">
        <f>_xlfn.XLOOKUP(A126&amp;B126,ssH!A:A,ssH!I:I,"")</f>
        <v/>
      </c>
      <c r="N126" s="51" t="str">
        <f t="shared" si="11"/>
        <v/>
      </c>
      <c r="O126" s="51" t="str">
        <f t="shared" si="12"/>
        <v/>
      </c>
      <c r="P126" s="51" t="str">
        <f t="shared" si="13"/>
        <v/>
      </c>
      <c r="Q126" s="52">
        <f t="shared" si="14"/>
        <v>0</v>
      </c>
      <c r="R126" s="51">
        <f t="shared" si="15"/>
        <v>2</v>
      </c>
      <c r="S126" s="51">
        <f t="shared" si="16"/>
        <v>0</v>
      </c>
      <c r="T126" s="51">
        <f t="shared" si="17"/>
        <v>0</v>
      </c>
      <c r="U126" s="52">
        <f t="shared" si="18"/>
        <v>2</v>
      </c>
      <c r="V126" s="52">
        <f t="shared" si="21"/>
        <v>0</v>
      </c>
      <c r="W126" s="52" t="str" cm="1">
        <f t="array" ref="W126">_xlfn.IFS(B126="","",AND(G126&gt;=0,L126&gt;0),"BuySome",AND(G126&gt;=0,K126="KMSignal"),"BuySome",AND(G126&lt;0,L126&gt;0),"BuyWatch",AND(Q126&lt;0,L126&gt;0),"BuyWatch",AND(G126&gt;=0,L126=0),"BuyWatch",L126&gt;0,"BuySome",TRUE,"")</f>
        <v/>
      </c>
      <c r="X126" s="47" t="str">
        <f>_xlfn.XLOOKUP(W126,Parm!$AN$2:$AN$25,Parm!$AO$2:$AO$25,"")</f>
        <v/>
      </c>
      <c r="Y126" s="52" t="str" cm="1">
        <f t="array" ref="Y126">_xlfn.IFS(B126="","",OR(Q126=-100,U126=-100),"SellAll",OR(Q126&lt;0,U126&lt;0),"SellSome",AND(Q126&gt;0,U126&gt;0),"BuySome",OR(Q126&gt;0,U126&gt;0),"BuyWatch",TRUE,"")</f>
        <v/>
      </c>
      <c r="Z126" s="47" t="str">
        <f>_xlfn.XLOOKUP(Y126,Parm!$AN$2:$AN$25,Parm!$AO$2:$AO$25,"")</f>
        <v/>
      </c>
      <c r="AA126" s="286">
        <f>IF(C126&lt;&gt;-100,A126,_xlfn.XLOOKUP(B126,ssH!L:L,ssH!M:M))</f>
        <v>46140</v>
      </c>
      <c r="AB126" s="49" t="str">
        <f t="shared" si="19"/>
        <v/>
      </c>
      <c r="AC126" s="52">
        <f>_xlfn.XLOOKUP(B126,TL!C:C,TL!C:C)</f>
        <v>0</v>
      </c>
      <c r="AD126" s="52">
        <f>_xlfn.XLOOKUP(B126,Y!C:C,Y!C:C)</f>
        <v>0</v>
      </c>
      <c r="AE126" s="52">
        <f>_xlfn.XLOOKUP(B126,MA!C:C,MA!C:C)</f>
        <v>0</v>
      </c>
    </row>
    <row r="127" spans="1:31" x14ac:dyDescent="0.25">
      <c r="A127" s="29">
        <f>ssH!$AG$1</f>
        <v>46140</v>
      </c>
      <c r="C127" s="47">
        <f t="shared" si="20"/>
        <v>0</v>
      </c>
      <c r="D127" s="42">
        <f>_xlfn.XLOOKUP(ssH!$AG$3&amp;B127,ssH!A:A,ssH!D:D,0)</f>
        <v>0</v>
      </c>
      <c r="E127" s="42">
        <f>_xlfn.XLOOKUP(ssH!$AG$5&amp;B127,ssH!A:A,ssH!D:D,0)</f>
        <v>0</v>
      </c>
      <c r="F127" s="42">
        <f>_xlfn.XLOOKUP(ssH!$AG$6&amp;B127,ssH!A:A,ssH!D:D,0)</f>
        <v>0</v>
      </c>
      <c r="G127" s="48">
        <f>_xlfn.XLOOKUP(A127&amp;B127,ssH!A:A,ssH!F:F,-100%)</f>
        <v>-1</v>
      </c>
      <c r="H127" s="46">
        <f>_xlfn.XLOOKUP(ssH!$AG$3&amp;B127,ssH!A:A,ssH!F:F,0)</f>
        <v>0</v>
      </c>
      <c r="I127" s="46">
        <f>_xlfn.XLOOKUP(ssH!$AG$5&amp;B127,ssH!A:A,ssH!F:F,0)</f>
        <v>0</v>
      </c>
      <c r="J127" s="46">
        <f>_xlfn.XLOOKUP(ssH!$AG$6&amp;B127,ssH!A:A,ssH!F:F,0)</f>
        <v>0</v>
      </c>
      <c r="K127" s="46">
        <f>_xlfn.XLOOKUP(B127,ssL!C:C,ssL!G:G,"Removed")</f>
        <v>0</v>
      </c>
      <c r="L127" s="27">
        <f>_xlfn.XLOOKUP(A127&amp;B127,ssH!A:A,ssH!D:D,0)</f>
        <v>0</v>
      </c>
      <c r="M127" s="42" t="str">
        <f>_xlfn.XLOOKUP(A127&amp;B127,ssH!A:A,ssH!I:I,"")</f>
        <v/>
      </c>
      <c r="N127" s="51" t="str">
        <f t="shared" si="11"/>
        <v/>
      </c>
      <c r="O127" s="51" t="str">
        <f t="shared" si="12"/>
        <v/>
      </c>
      <c r="P127" s="51" t="str">
        <f t="shared" si="13"/>
        <v/>
      </c>
      <c r="Q127" s="52">
        <f t="shared" si="14"/>
        <v>0</v>
      </c>
      <c r="R127" s="51">
        <f t="shared" si="15"/>
        <v>2</v>
      </c>
      <c r="S127" s="51">
        <f t="shared" si="16"/>
        <v>0</v>
      </c>
      <c r="T127" s="51">
        <f t="shared" si="17"/>
        <v>0</v>
      </c>
      <c r="U127" s="52">
        <f t="shared" si="18"/>
        <v>2</v>
      </c>
      <c r="V127" s="52">
        <f t="shared" si="21"/>
        <v>0</v>
      </c>
      <c r="W127" s="52" t="str" cm="1">
        <f t="array" ref="W127">_xlfn.IFS(B127="","",AND(G127&gt;=0,L127&gt;0),"BuySome",AND(G127&gt;=0,K127="KMSignal"),"BuySome",AND(G127&lt;0,L127&gt;0),"BuyWatch",AND(Q127&lt;0,L127&gt;0),"BuyWatch",AND(G127&gt;=0,L127=0),"BuyWatch",L127&gt;0,"BuySome",TRUE,"")</f>
        <v/>
      </c>
      <c r="X127" s="47" t="str">
        <f>_xlfn.XLOOKUP(W127,Parm!$AN$2:$AN$25,Parm!$AO$2:$AO$25,"")</f>
        <v/>
      </c>
      <c r="Y127" s="52" t="str" cm="1">
        <f t="array" ref="Y127">_xlfn.IFS(B127="","",OR(Q127=-100,U127=-100),"SellAll",OR(Q127&lt;0,U127&lt;0),"SellSome",AND(Q127&gt;0,U127&gt;0),"BuySome",OR(Q127&gt;0,U127&gt;0),"BuyWatch",TRUE,"")</f>
        <v/>
      </c>
      <c r="Z127" s="47" t="str">
        <f>_xlfn.XLOOKUP(Y127,Parm!$AN$2:$AN$25,Parm!$AO$2:$AO$25,"")</f>
        <v/>
      </c>
      <c r="AA127" s="286">
        <f>IF(C127&lt;&gt;-100,A127,_xlfn.XLOOKUP(B127,ssH!L:L,ssH!M:M))</f>
        <v>46140</v>
      </c>
      <c r="AB127" s="49" t="str">
        <f t="shared" si="19"/>
        <v/>
      </c>
      <c r="AC127" s="52">
        <f>_xlfn.XLOOKUP(B127,TL!C:C,TL!C:C)</f>
        <v>0</v>
      </c>
      <c r="AD127" s="52">
        <f>_xlfn.XLOOKUP(B127,Y!C:C,Y!C:C)</f>
        <v>0</v>
      </c>
      <c r="AE127" s="52">
        <f>_xlfn.XLOOKUP(B127,MA!C:C,MA!C:C)</f>
        <v>0</v>
      </c>
    </row>
    <row r="128" spans="1:31" x14ac:dyDescent="0.25">
      <c r="A128" s="29">
        <f>ssH!$AG$1</f>
        <v>46140</v>
      </c>
      <c r="C128" s="47">
        <f t="shared" si="20"/>
        <v>0</v>
      </c>
      <c r="D128" s="42">
        <f>_xlfn.XLOOKUP(ssH!$AG$3&amp;B128,ssH!A:A,ssH!D:D,0)</f>
        <v>0</v>
      </c>
      <c r="E128" s="42">
        <f>_xlfn.XLOOKUP(ssH!$AG$5&amp;B128,ssH!A:A,ssH!D:D,0)</f>
        <v>0</v>
      </c>
      <c r="F128" s="42">
        <f>_xlfn.XLOOKUP(ssH!$AG$6&amp;B128,ssH!A:A,ssH!D:D,0)</f>
        <v>0</v>
      </c>
      <c r="G128" s="48">
        <f>_xlfn.XLOOKUP(A128&amp;B128,ssH!A:A,ssH!F:F,-100%)</f>
        <v>-1</v>
      </c>
      <c r="H128" s="46">
        <f>_xlfn.XLOOKUP(ssH!$AG$3&amp;B128,ssH!A:A,ssH!F:F,0)</f>
        <v>0</v>
      </c>
      <c r="I128" s="46">
        <f>_xlfn.XLOOKUP(ssH!$AG$5&amp;B128,ssH!A:A,ssH!F:F,0)</f>
        <v>0</v>
      </c>
      <c r="J128" s="46">
        <f>_xlfn.XLOOKUP(ssH!$AG$6&amp;B128,ssH!A:A,ssH!F:F,0)</f>
        <v>0</v>
      </c>
      <c r="K128" s="46">
        <f>_xlfn.XLOOKUP(B128,ssL!C:C,ssL!G:G,"Removed")</f>
        <v>0</v>
      </c>
      <c r="L128" s="27">
        <f>_xlfn.XLOOKUP(A128&amp;B128,ssH!A:A,ssH!D:D,0)</f>
        <v>0</v>
      </c>
      <c r="M128" s="42" t="str">
        <f>_xlfn.XLOOKUP(A128&amp;B128,ssH!A:A,ssH!I:I,"")</f>
        <v/>
      </c>
      <c r="N128" s="51" t="str">
        <f t="shared" si="11"/>
        <v/>
      </c>
      <c r="O128" s="51" t="str">
        <f t="shared" si="12"/>
        <v/>
      </c>
      <c r="P128" s="51" t="str">
        <f t="shared" si="13"/>
        <v/>
      </c>
      <c r="Q128" s="52">
        <f t="shared" si="14"/>
        <v>0</v>
      </c>
      <c r="R128" s="51">
        <f t="shared" si="15"/>
        <v>2</v>
      </c>
      <c r="S128" s="51">
        <f t="shared" si="16"/>
        <v>0</v>
      </c>
      <c r="T128" s="51">
        <f t="shared" si="17"/>
        <v>0</v>
      </c>
      <c r="U128" s="52">
        <f t="shared" si="18"/>
        <v>2</v>
      </c>
      <c r="V128" s="52">
        <f t="shared" si="21"/>
        <v>0</v>
      </c>
      <c r="W128" s="52" t="str" cm="1">
        <f t="array" ref="W128">_xlfn.IFS(B128="","",AND(G128&gt;=0,L128&gt;0),"BuySome",AND(G128&gt;=0,K128="KMSignal"),"BuySome",AND(G128&lt;0,L128&gt;0),"BuyWatch",AND(Q128&lt;0,L128&gt;0),"BuyWatch",AND(G128&gt;=0,L128=0),"BuyWatch",L128&gt;0,"BuySome",TRUE,"")</f>
        <v/>
      </c>
      <c r="X128" s="47" t="str">
        <f>_xlfn.XLOOKUP(W128,Parm!$AN$2:$AN$25,Parm!$AO$2:$AO$25,"")</f>
        <v/>
      </c>
      <c r="Y128" s="52" t="str" cm="1">
        <f t="array" ref="Y128">_xlfn.IFS(B128="","",OR(Q128=-100,U128=-100),"SellAll",OR(Q128&lt;0,U128&lt;0),"SellSome",AND(Q128&gt;0,U128&gt;0),"BuySome",OR(Q128&gt;0,U128&gt;0),"BuyWatch",TRUE,"")</f>
        <v/>
      </c>
      <c r="Z128" s="47" t="str">
        <f>_xlfn.XLOOKUP(Y128,Parm!$AN$2:$AN$25,Parm!$AO$2:$AO$25,"")</f>
        <v/>
      </c>
      <c r="AA128" s="286">
        <f>IF(C128&lt;&gt;-100,A128,_xlfn.XLOOKUP(B128,ssH!L:L,ssH!M:M))</f>
        <v>46140</v>
      </c>
      <c r="AB128" s="49" t="str">
        <f t="shared" si="19"/>
        <v/>
      </c>
      <c r="AC128" s="52">
        <f>_xlfn.XLOOKUP(B128,TL!C:C,TL!C:C)</f>
        <v>0</v>
      </c>
      <c r="AD128" s="52">
        <f>_xlfn.XLOOKUP(B128,Y!C:C,Y!C:C)</f>
        <v>0</v>
      </c>
      <c r="AE128" s="52">
        <f>_xlfn.XLOOKUP(B128,MA!C:C,MA!C:C)</f>
        <v>0</v>
      </c>
    </row>
    <row r="129" spans="1:31" x14ac:dyDescent="0.25">
      <c r="A129" s="29">
        <f>ssH!$AG$1</f>
        <v>46140</v>
      </c>
      <c r="C129" s="47">
        <f t="shared" si="20"/>
        <v>0</v>
      </c>
      <c r="D129" s="42">
        <f>_xlfn.XLOOKUP(ssH!$AG$3&amp;B129,ssH!A:A,ssH!D:D,0)</f>
        <v>0</v>
      </c>
      <c r="E129" s="42">
        <f>_xlfn.XLOOKUP(ssH!$AG$5&amp;B129,ssH!A:A,ssH!D:D,0)</f>
        <v>0</v>
      </c>
      <c r="F129" s="42">
        <f>_xlfn.XLOOKUP(ssH!$AG$6&amp;B129,ssH!A:A,ssH!D:D,0)</f>
        <v>0</v>
      </c>
      <c r="G129" s="48">
        <f>_xlfn.XLOOKUP(A129&amp;B129,ssH!A:A,ssH!F:F,-100%)</f>
        <v>-1</v>
      </c>
      <c r="H129" s="46">
        <f>_xlfn.XLOOKUP(ssH!$AG$3&amp;B129,ssH!A:A,ssH!F:F,0)</f>
        <v>0</v>
      </c>
      <c r="I129" s="46">
        <f>_xlfn.XLOOKUP(ssH!$AG$5&amp;B129,ssH!A:A,ssH!F:F,0)</f>
        <v>0</v>
      </c>
      <c r="J129" s="46">
        <f>_xlfn.XLOOKUP(ssH!$AG$6&amp;B129,ssH!A:A,ssH!F:F,0)</f>
        <v>0</v>
      </c>
      <c r="K129" s="46">
        <f>_xlfn.XLOOKUP(B129,ssL!C:C,ssL!G:G,"Removed")</f>
        <v>0</v>
      </c>
      <c r="L129" s="27">
        <f>_xlfn.XLOOKUP(A129&amp;B129,ssH!A:A,ssH!D:D,0)</f>
        <v>0</v>
      </c>
      <c r="M129" s="42" t="str">
        <f>_xlfn.XLOOKUP(A129&amp;B129,ssH!A:A,ssH!I:I,"")</f>
        <v/>
      </c>
      <c r="N129" s="51" t="str">
        <f t="shared" si="11"/>
        <v/>
      </c>
      <c r="O129" s="51" t="str">
        <f t="shared" si="12"/>
        <v/>
      </c>
      <c r="P129" s="51" t="str">
        <f t="shared" si="13"/>
        <v/>
      </c>
      <c r="Q129" s="52">
        <f t="shared" si="14"/>
        <v>0</v>
      </c>
      <c r="R129" s="51">
        <f t="shared" si="15"/>
        <v>2</v>
      </c>
      <c r="S129" s="51">
        <f t="shared" si="16"/>
        <v>0</v>
      </c>
      <c r="T129" s="51">
        <f t="shared" si="17"/>
        <v>0</v>
      </c>
      <c r="U129" s="52">
        <f t="shared" si="18"/>
        <v>2</v>
      </c>
      <c r="V129" s="52">
        <f t="shared" si="21"/>
        <v>0</v>
      </c>
      <c r="W129" s="52" t="str" cm="1">
        <f t="array" ref="W129">_xlfn.IFS(B129="","",AND(G129&gt;=0,L129&gt;0),"BuySome",AND(G129&gt;=0,K129="KMSignal"),"BuySome",AND(G129&lt;0,L129&gt;0),"BuyWatch",AND(Q129&lt;0,L129&gt;0),"BuyWatch",AND(G129&gt;=0,L129=0),"BuyWatch",L129&gt;0,"BuySome",TRUE,"")</f>
        <v/>
      </c>
      <c r="X129" s="47" t="str">
        <f>_xlfn.XLOOKUP(W129,Parm!$AN$2:$AN$25,Parm!$AO$2:$AO$25,"")</f>
        <v/>
      </c>
      <c r="Y129" s="52" t="str" cm="1">
        <f t="array" ref="Y129">_xlfn.IFS(B129="","",OR(Q129=-100,U129=-100),"SellAll",OR(Q129&lt;0,U129&lt;0),"SellSome",AND(Q129&gt;0,U129&gt;0),"BuySome",OR(Q129&gt;0,U129&gt;0),"BuyWatch",TRUE,"")</f>
        <v/>
      </c>
      <c r="Z129" s="47" t="str">
        <f>_xlfn.XLOOKUP(Y129,Parm!$AN$2:$AN$25,Parm!$AO$2:$AO$25,"")</f>
        <v/>
      </c>
      <c r="AA129" s="286">
        <f>IF(C129&lt;&gt;-100,A129,_xlfn.XLOOKUP(B129,ssH!L:L,ssH!M:M))</f>
        <v>46140</v>
      </c>
      <c r="AB129" s="49" t="str">
        <f t="shared" si="19"/>
        <v/>
      </c>
      <c r="AC129" s="52">
        <f>_xlfn.XLOOKUP(B129,TL!C:C,TL!C:C)</f>
        <v>0</v>
      </c>
      <c r="AD129" s="52">
        <f>_xlfn.XLOOKUP(B129,Y!C:C,Y!C:C)</f>
        <v>0</v>
      </c>
      <c r="AE129" s="52">
        <f>_xlfn.XLOOKUP(B129,MA!C:C,MA!C:C)</f>
        <v>0</v>
      </c>
    </row>
    <row r="130" spans="1:31" x14ac:dyDescent="0.25">
      <c r="A130" s="29">
        <f>ssH!$AG$1</f>
        <v>46140</v>
      </c>
      <c r="C130" s="47">
        <f t="shared" si="20"/>
        <v>0</v>
      </c>
      <c r="D130" s="42">
        <f>_xlfn.XLOOKUP(ssH!$AG$3&amp;B130,ssH!A:A,ssH!D:D,0)</f>
        <v>0</v>
      </c>
      <c r="E130" s="42">
        <f>_xlfn.XLOOKUP(ssH!$AG$5&amp;B130,ssH!A:A,ssH!D:D,0)</f>
        <v>0</v>
      </c>
      <c r="F130" s="42">
        <f>_xlfn.XLOOKUP(ssH!$AG$6&amp;B130,ssH!A:A,ssH!D:D,0)</f>
        <v>0</v>
      </c>
      <c r="G130" s="48">
        <f>_xlfn.XLOOKUP(A130&amp;B130,ssH!A:A,ssH!F:F,-100%)</f>
        <v>-1</v>
      </c>
      <c r="H130" s="46">
        <f>_xlfn.XLOOKUP(ssH!$AG$3&amp;B130,ssH!A:A,ssH!F:F,0)</f>
        <v>0</v>
      </c>
      <c r="I130" s="46">
        <f>_xlfn.XLOOKUP(ssH!$AG$5&amp;B130,ssH!A:A,ssH!F:F,0)</f>
        <v>0</v>
      </c>
      <c r="J130" s="46">
        <f>_xlfn.XLOOKUP(ssH!$AG$6&amp;B130,ssH!A:A,ssH!F:F,0)</f>
        <v>0</v>
      </c>
      <c r="K130" s="46">
        <f>_xlfn.XLOOKUP(B130,ssL!C:C,ssL!G:G,"Removed")</f>
        <v>0</v>
      </c>
      <c r="L130" s="27">
        <f>_xlfn.XLOOKUP(A130&amp;B130,ssH!A:A,ssH!D:D,0)</f>
        <v>0</v>
      </c>
      <c r="M130" s="42" t="str">
        <f>_xlfn.XLOOKUP(A130&amp;B130,ssH!A:A,ssH!I:I,"")</f>
        <v/>
      </c>
      <c r="N130" s="51" t="str">
        <f t="shared" ref="N130:N193" si="22">IF(AND(C130&lt;&gt;"",C130&gt;0),IF(AND(C130&gt;0,D130&gt;0),D130-$C130,MAX(C:C)+1-C130)*$AH$2,"")</f>
        <v/>
      </c>
      <c r="O130" s="51" t="str">
        <f t="shared" ref="O130:O193" si="23">IF(AND(D130&lt;&gt;"",D130&gt;0),IF(AND(D130&gt;0,E130&gt;0),E130-$D130,MAX(D:D)+1-D130)*$AH$4,"")</f>
        <v/>
      </c>
      <c r="P130" s="51" t="str">
        <f t="shared" ref="P130:P193" si="24">IF(AND(E130&lt;&gt;"",E130&gt;0),IF(AND(E130&gt;0,F130&gt;0),F130-$E130,MAX(E:E)+1-E130)*$AH$5,"")</f>
        <v/>
      </c>
      <c r="Q130" s="52">
        <f t="shared" ref="Q130:Q193" si="25">IF(K130="Removed",-100,SUM(N130:P130))</f>
        <v>0</v>
      </c>
      <c r="R130" s="51">
        <f t="shared" ref="R130:R193" si="26">IF(G130=H130,0,IF(AND(G130&lt;&gt;""),IF(AND(G130&lt;&gt;0,H130&lt;&gt;0),G130-H130,MAX(G:G)+1-G130)*$AH$2,""))</f>
        <v>2</v>
      </c>
      <c r="S130" s="51">
        <f t="shared" ref="S130:S193" si="27">IF(H130=I130,0,IF(AND(H130&lt;&gt;""),IF(AND(H130&lt;&gt;0,I130&lt;&gt;0),H130-I130,MAX(H:H)+1-H130)*$AH$4,""))</f>
        <v>0</v>
      </c>
      <c r="T130" s="51">
        <f t="shared" ref="T130:T193" si="28">IF(I130=J130,0,IF(AND(I130&lt;&gt;""),IF(AND(I130&lt;&gt;0,J130&lt;&gt;0),I130-J130,MAX(I:I)+1-I130)*$AH$5,""))</f>
        <v>0</v>
      </c>
      <c r="U130" s="52">
        <f t="shared" ref="U130:U193" si="29">IF(K130="Removed",-100,SUM(R130:T130))</f>
        <v>2</v>
      </c>
      <c r="V130" s="52">
        <f t="shared" si="21"/>
        <v>0</v>
      </c>
      <c r="W130" s="52" t="str" cm="1">
        <f t="array" ref="W130">_xlfn.IFS(B130="","",AND(G130&gt;=0,L130&gt;0),"BuySome",AND(G130&gt;=0,K130="KMSignal"),"BuySome",AND(G130&lt;0,L130&gt;0),"BuyWatch",AND(Q130&lt;0,L130&gt;0),"BuyWatch",AND(G130&gt;=0,L130=0),"BuyWatch",L130&gt;0,"BuySome",TRUE,"")</f>
        <v/>
      </c>
      <c r="X130" s="47" t="str">
        <f>_xlfn.XLOOKUP(W130,Parm!$AN$2:$AN$25,Parm!$AO$2:$AO$25,"")</f>
        <v/>
      </c>
      <c r="Y130" s="52" t="str" cm="1">
        <f t="array" ref="Y130">_xlfn.IFS(B130="","",OR(Q130=-100,U130=-100),"SellAll",OR(Q130&lt;0,U130&lt;0),"SellSome",AND(Q130&gt;0,U130&gt;0),"BuySome",OR(Q130&gt;0,U130&gt;0),"BuyWatch",TRUE,"")</f>
        <v/>
      </c>
      <c r="Z130" s="47" t="str">
        <f>_xlfn.XLOOKUP(Y130,Parm!$AN$2:$AN$25,Parm!$AO$2:$AO$25,"")</f>
        <v/>
      </c>
      <c r="AA130" s="286">
        <f>IF(C130&lt;&gt;-100,A130,_xlfn.XLOOKUP(B130,ssH!L:L,ssH!M:M))</f>
        <v>46140</v>
      </c>
      <c r="AB130" s="49" t="str">
        <f t="shared" ref="AB130:AB193" si="30">IF(ISNA(AC130),B130,"")</f>
        <v/>
      </c>
      <c r="AC130" s="52">
        <f>_xlfn.XLOOKUP(B130,TL!C:C,TL!C:C)</f>
        <v>0</v>
      </c>
      <c r="AD130" s="52">
        <f>_xlfn.XLOOKUP(B130,Y!C:C,Y!C:C)</f>
        <v>0</v>
      </c>
      <c r="AE130" s="52">
        <f>_xlfn.XLOOKUP(B130,MA!C:C,MA!C:C)</f>
        <v>0</v>
      </c>
    </row>
    <row r="131" spans="1:31" x14ac:dyDescent="0.25">
      <c r="A131" s="29">
        <f>ssH!$AG$1</f>
        <v>46140</v>
      </c>
      <c r="C131" s="47">
        <f t="shared" ref="C131:C194" si="31">IF(K131="Removed",-100, L131)</f>
        <v>0</v>
      </c>
      <c r="D131" s="42">
        <f>_xlfn.XLOOKUP(ssH!$AG$3&amp;B131,ssH!A:A,ssH!D:D,0)</f>
        <v>0</v>
      </c>
      <c r="E131" s="42">
        <f>_xlfn.XLOOKUP(ssH!$AG$5&amp;B131,ssH!A:A,ssH!D:D,0)</f>
        <v>0</v>
      </c>
      <c r="F131" s="42">
        <f>_xlfn.XLOOKUP(ssH!$AG$6&amp;B131,ssH!A:A,ssH!D:D,0)</f>
        <v>0</v>
      </c>
      <c r="G131" s="48">
        <f>_xlfn.XLOOKUP(A131&amp;B131,ssH!A:A,ssH!F:F,-100%)</f>
        <v>-1</v>
      </c>
      <c r="H131" s="46">
        <f>_xlfn.XLOOKUP(ssH!$AG$3&amp;B131,ssH!A:A,ssH!F:F,0)</f>
        <v>0</v>
      </c>
      <c r="I131" s="46">
        <f>_xlfn.XLOOKUP(ssH!$AG$5&amp;B131,ssH!A:A,ssH!F:F,0)</f>
        <v>0</v>
      </c>
      <c r="J131" s="46">
        <f>_xlfn.XLOOKUP(ssH!$AG$6&amp;B131,ssH!A:A,ssH!F:F,0)</f>
        <v>0</v>
      </c>
      <c r="K131" s="46">
        <f>_xlfn.XLOOKUP(B131,ssL!C:C,ssL!G:G,"Removed")</f>
        <v>0</v>
      </c>
      <c r="L131" s="27">
        <f>_xlfn.XLOOKUP(A131&amp;B131,ssH!A:A,ssH!D:D,0)</f>
        <v>0</v>
      </c>
      <c r="M131" s="42" t="str">
        <f>_xlfn.XLOOKUP(A131&amp;B131,ssH!A:A,ssH!I:I,"")</f>
        <v/>
      </c>
      <c r="N131" s="51" t="str">
        <f t="shared" si="22"/>
        <v/>
      </c>
      <c r="O131" s="51" t="str">
        <f t="shared" si="23"/>
        <v/>
      </c>
      <c r="P131" s="51" t="str">
        <f t="shared" si="24"/>
        <v/>
      </c>
      <c r="Q131" s="52">
        <f t="shared" si="25"/>
        <v>0</v>
      </c>
      <c r="R131" s="51">
        <f t="shared" si="26"/>
        <v>2</v>
      </c>
      <c r="S131" s="51">
        <f t="shared" si="27"/>
        <v>0</v>
      </c>
      <c r="T131" s="51">
        <f t="shared" si="28"/>
        <v>0</v>
      </c>
      <c r="U131" s="52">
        <f t="shared" si="29"/>
        <v>2</v>
      </c>
      <c r="V131" s="52">
        <f t="shared" ref="V131:V194" si="32">B131</f>
        <v>0</v>
      </c>
      <c r="W131" s="52" t="str" cm="1">
        <f t="array" ref="W131">_xlfn.IFS(B131="","",AND(G131&gt;=0,L131&gt;0),"BuySome",AND(G131&gt;=0,K131="KMSignal"),"BuySome",AND(G131&lt;0,L131&gt;0),"BuyWatch",AND(Q131&lt;0,L131&gt;0),"BuyWatch",AND(G131&gt;=0,L131=0),"BuyWatch",L131&gt;0,"BuySome",TRUE,"")</f>
        <v/>
      </c>
      <c r="X131" s="47" t="str">
        <f>_xlfn.XLOOKUP(W131,Parm!$AN$2:$AN$25,Parm!$AO$2:$AO$25,"")</f>
        <v/>
      </c>
      <c r="Y131" s="52" t="str" cm="1">
        <f t="array" ref="Y131">_xlfn.IFS(B131="","",OR(Q131=-100,U131=-100),"SellAll",OR(Q131&lt;0,U131&lt;0),"SellSome",AND(Q131&gt;0,U131&gt;0),"BuySome",OR(Q131&gt;0,U131&gt;0),"BuyWatch",TRUE,"")</f>
        <v/>
      </c>
      <c r="Z131" s="47" t="str">
        <f>_xlfn.XLOOKUP(Y131,Parm!$AN$2:$AN$25,Parm!$AO$2:$AO$25,"")</f>
        <v/>
      </c>
      <c r="AA131" s="286">
        <f>IF(C131&lt;&gt;-100,A131,_xlfn.XLOOKUP(B131,ssH!L:L,ssH!M:M))</f>
        <v>46140</v>
      </c>
      <c r="AB131" s="49" t="str">
        <f t="shared" si="30"/>
        <v/>
      </c>
      <c r="AC131" s="52">
        <f>_xlfn.XLOOKUP(B131,TL!C:C,TL!C:C)</f>
        <v>0</v>
      </c>
      <c r="AD131" s="52">
        <f>_xlfn.XLOOKUP(B131,Y!C:C,Y!C:C)</f>
        <v>0</v>
      </c>
      <c r="AE131" s="52">
        <f>_xlfn.XLOOKUP(B131,MA!C:C,MA!C:C)</f>
        <v>0</v>
      </c>
    </row>
    <row r="132" spans="1:31" x14ac:dyDescent="0.25">
      <c r="A132" s="29">
        <f>ssH!$AG$1</f>
        <v>46140</v>
      </c>
      <c r="C132" s="47">
        <f t="shared" si="31"/>
        <v>0</v>
      </c>
      <c r="D132" s="42">
        <f>_xlfn.XLOOKUP(ssH!$AG$3&amp;B132,ssH!A:A,ssH!D:D,0)</f>
        <v>0</v>
      </c>
      <c r="E132" s="42">
        <f>_xlfn.XLOOKUP(ssH!$AG$5&amp;B132,ssH!A:A,ssH!D:D,0)</f>
        <v>0</v>
      </c>
      <c r="F132" s="42">
        <f>_xlfn.XLOOKUP(ssH!$AG$6&amp;B132,ssH!A:A,ssH!D:D,0)</f>
        <v>0</v>
      </c>
      <c r="G132" s="48">
        <f>_xlfn.XLOOKUP(A132&amp;B132,ssH!A:A,ssH!F:F,-100%)</f>
        <v>-1</v>
      </c>
      <c r="H132" s="46">
        <f>_xlfn.XLOOKUP(ssH!$AG$3&amp;B132,ssH!A:A,ssH!F:F,0)</f>
        <v>0</v>
      </c>
      <c r="I132" s="46">
        <f>_xlfn.XLOOKUP(ssH!$AG$5&amp;B132,ssH!A:A,ssH!F:F,0)</f>
        <v>0</v>
      </c>
      <c r="J132" s="46">
        <f>_xlfn.XLOOKUP(ssH!$AG$6&amp;B132,ssH!A:A,ssH!F:F,0)</f>
        <v>0</v>
      </c>
      <c r="K132" s="46">
        <f>_xlfn.XLOOKUP(B132,ssL!C:C,ssL!G:G,"Removed")</f>
        <v>0</v>
      </c>
      <c r="L132" s="27">
        <f>_xlfn.XLOOKUP(A132&amp;B132,ssH!A:A,ssH!D:D,0)</f>
        <v>0</v>
      </c>
      <c r="M132" s="42" t="str">
        <f>_xlfn.XLOOKUP(A132&amp;B132,ssH!A:A,ssH!I:I,"")</f>
        <v/>
      </c>
      <c r="N132" s="51" t="str">
        <f t="shared" si="22"/>
        <v/>
      </c>
      <c r="O132" s="51" t="str">
        <f t="shared" si="23"/>
        <v/>
      </c>
      <c r="P132" s="51" t="str">
        <f t="shared" si="24"/>
        <v/>
      </c>
      <c r="Q132" s="52">
        <f t="shared" si="25"/>
        <v>0</v>
      </c>
      <c r="R132" s="51">
        <f t="shared" si="26"/>
        <v>2</v>
      </c>
      <c r="S132" s="51">
        <f t="shared" si="27"/>
        <v>0</v>
      </c>
      <c r="T132" s="51">
        <f t="shared" si="28"/>
        <v>0</v>
      </c>
      <c r="U132" s="52">
        <f t="shared" si="29"/>
        <v>2</v>
      </c>
      <c r="V132" s="52">
        <f t="shared" si="32"/>
        <v>0</v>
      </c>
      <c r="W132" s="52" t="str" cm="1">
        <f t="array" ref="W132">_xlfn.IFS(B132="","",AND(G132&gt;=0,L132&gt;0),"BuySome",AND(G132&gt;=0,K132="KMSignal"),"BuySome",AND(G132&lt;0,L132&gt;0),"BuyWatch",AND(Q132&lt;0,L132&gt;0),"BuyWatch",AND(G132&gt;=0,L132=0),"BuyWatch",L132&gt;0,"BuySome",TRUE,"")</f>
        <v/>
      </c>
      <c r="X132" s="47" t="str">
        <f>_xlfn.XLOOKUP(W132,Parm!$AN$2:$AN$25,Parm!$AO$2:$AO$25,"")</f>
        <v/>
      </c>
      <c r="Y132" s="52" t="str" cm="1">
        <f t="array" ref="Y132">_xlfn.IFS(B132="","",OR(Q132=-100,U132=-100),"SellAll",OR(Q132&lt;0,U132&lt;0),"SellSome",AND(Q132&gt;0,U132&gt;0),"BuySome",OR(Q132&gt;0,U132&gt;0),"BuyWatch",TRUE,"")</f>
        <v/>
      </c>
      <c r="Z132" s="47" t="str">
        <f>_xlfn.XLOOKUP(Y132,Parm!$AN$2:$AN$25,Parm!$AO$2:$AO$25,"")</f>
        <v/>
      </c>
      <c r="AA132" s="286">
        <f>IF(C132&lt;&gt;-100,A132,_xlfn.XLOOKUP(B132,ssH!L:L,ssH!M:M))</f>
        <v>46140</v>
      </c>
      <c r="AB132" s="49" t="str">
        <f t="shared" si="30"/>
        <v/>
      </c>
      <c r="AC132" s="52">
        <f>_xlfn.XLOOKUP(B132,TL!C:C,TL!C:C)</f>
        <v>0</v>
      </c>
      <c r="AD132" s="52">
        <f>_xlfn.XLOOKUP(B132,Y!C:C,Y!C:C)</f>
        <v>0</v>
      </c>
      <c r="AE132" s="52">
        <f>_xlfn.XLOOKUP(B132,MA!C:C,MA!C:C)</f>
        <v>0</v>
      </c>
    </row>
    <row r="133" spans="1:31" x14ac:dyDescent="0.25">
      <c r="A133" s="29">
        <f>ssH!$AG$1</f>
        <v>46140</v>
      </c>
      <c r="C133" s="47">
        <f t="shared" si="31"/>
        <v>0</v>
      </c>
      <c r="D133" s="42">
        <f>_xlfn.XLOOKUP(ssH!$AG$3&amp;B133,ssH!A:A,ssH!D:D,0)</f>
        <v>0</v>
      </c>
      <c r="E133" s="42">
        <f>_xlfn.XLOOKUP(ssH!$AG$5&amp;B133,ssH!A:A,ssH!D:D,0)</f>
        <v>0</v>
      </c>
      <c r="F133" s="42">
        <f>_xlfn.XLOOKUP(ssH!$AG$6&amp;B133,ssH!A:A,ssH!D:D,0)</f>
        <v>0</v>
      </c>
      <c r="G133" s="48">
        <f>_xlfn.XLOOKUP(A133&amp;B133,ssH!A:A,ssH!F:F,-100%)</f>
        <v>-1</v>
      </c>
      <c r="H133" s="46">
        <f>_xlfn.XLOOKUP(ssH!$AG$3&amp;B133,ssH!A:A,ssH!F:F,0)</f>
        <v>0</v>
      </c>
      <c r="I133" s="46">
        <f>_xlfn.XLOOKUP(ssH!$AG$5&amp;B133,ssH!A:A,ssH!F:F,0)</f>
        <v>0</v>
      </c>
      <c r="J133" s="46">
        <f>_xlfn.XLOOKUP(ssH!$AG$6&amp;B133,ssH!A:A,ssH!F:F,0)</f>
        <v>0</v>
      </c>
      <c r="K133" s="46">
        <f>_xlfn.XLOOKUP(B133,ssL!C:C,ssL!G:G,"Removed")</f>
        <v>0</v>
      </c>
      <c r="L133" s="27">
        <f>_xlfn.XLOOKUP(A133&amp;B133,ssH!A:A,ssH!D:D,0)</f>
        <v>0</v>
      </c>
      <c r="M133" s="42" t="str">
        <f>_xlfn.XLOOKUP(A133&amp;B133,ssH!A:A,ssH!I:I,"")</f>
        <v/>
      </c>
      <c r="N133" s="51" t="str">
        <f t="shared" si="22"/>
        <v/>
      </c>
      <c r="O133" s="51" t="str">
        <f t="shared" si="23"/>
        <v/>
      </c>
      <c r="P133" s="51" t="str">
        <f t="shared" si="24"/>
        <v/>
      </c>
      <c r="Q133" s="52">
        <f t="shared" si="25"/>
        <v>0</v>
      </c>
      <c r="R133" s="51">
        <f t="shared" si="26"/>
        <v>2</v>
      </c>
      <c r="S133" s="51">
        <f t="shared" si="27"/>
        <v>0</v>
      </c>
      <c r="T133" s="51">
        <f t="shared" si="28"/>
        <v>0</v>
      </c>
      <c r="U133" s="52">
        <f t="shared" si="29"/>
        <v>2</v>
      </c>
      <c r="V133" s="52">
        <f t="shared" si="32"/>
        <v>0</v>
      </c>
      <c r="W133" s="52" t="str" cm="1">
        <f t="array" ref="W133">_xlfn.IFS(B133="","",AND(G133&gt;=0,L133&gt;0),"BuySome",AND(G133&gt;=0,K133="KMSignal"),"BuySome",AND(G133&lt;0,L133&gt;0),"BuyWatch",AND(Q133&lt;0,L133&gt;0),"BuyWatch",AND(G133&gt;=0,L133=0),"BuyWatch",L133&gt;0,"BuySome",TRUE,"")</f>
        <v/>
      </c>
      <c r="X133" s="47" t="str">
        <f>_xlfn.XLOOKUP(W133,Parm!$AN$2:$AN$25,Parm!$AO$2:$AO$25,"")</f>
        <v/>
      </c>
      <c r="Y133" s="52" t="str" cm="1">
        <f t="array" ref="Y133">_xlfn.IFS(B133="","",OR(Q133=-100,U133=-100),"SellAll",OR(Q133&lt;0,U133&lt;0),"SellSome",AND(Q133&gt;0,U133&gt;0),"BuySome",OR(Q133&gt;0,U133&gt;0),"BuyWatch",TRUE,"")</f>
        <v/>
      </c>
      <c r="Z133" s="47" t="str">
        <f>_xlfn.XLOOKUP(Y133,Parm!$AN$2:$AN$25,Parm!$AO$2:$AO$25,"")</f>
        <v/>
      </c>
      <c r="AA133" s="286">
        <f>IF(C133&lt;&gt;-100,A133,_xlfn.XLOOKUP(B133,ssH!L:L,ssH!M:M))</f>
        <v>46140</v>
      </c>
      <c r="AB133" s="49" t="str">
        <f t="shared" si="30"/>
        <v/>
      </c>
      <c r="AC133" s="52">
        <f>_xlfn.XLOOKUP(B133,TL!C:C,TL!C:C)</f>
        <v>0</v>
      </c>
      <c r="AD133" s="52">
        <f>_xlfn.XLOOKUP(B133,Y!C:C,Y!C:C)</f>
        <v>0</v>
      </c>
      <c r="AE133" s="52">
        <f>_xlfn.XLOOKUP(B133,MA!C:C,MA!C:C)</f>
        <v>0</v>
      </c>
    </row>
    <row r="134" spans="1:31" x14ac:dyDescent="0.25">
      <c r="A134" s="29">
        <f>ssH!$AG$1</f>
        <v>46140</v>
      </c>
      <c r="C134" s="47">
        <f t="shared" si="31"/>
        <v>0</v>
      </c>
      <c r="D134" s="42">
        <f>_xlfn.XLOOKUP(ssH!$AG$3&amp;B134,ssH!A:A,ssH!D:D,0)</f>
        <v>0</v>
      </c>
      <c r="E134" s="42">
        <f>_xlfn.XLOOKUP(ssH!$AG$5&amp;B134,ssH!A:A,ssH!D:D,0)</f>
        <v>0</v>
      </c>
      <c r="F134" s="42">
        <f>_xlfn.XLOOKUP(ssH!$AG$6&amp;B134,ssH!A:A,ssH!D:D,0)</f>
        <v>0</v>
      </c>
      <c r="G134" s="48">
        <f>_xlfn.XLOOKUP(A134&amp;B134,ssH!A:A,ssH!F:F,-100%)</f>
        <v>-1</v>
      </c>
      <c r="H134" s="46">
        <f>_xlfn.XLOOKUP(ssH!$AG$3&amp;B134,ssH!A:A,ssH!F:F,0)</f>
        <v>0</v>
      </c>
      <c r="I134" s="46">
        <f>_xlfn.XLOOKUP(ssH!$AG$5&amp;B134,ssH!A:A,ssH!F:F,0)</f>
        <v>0</v>
      </c>
      <c r="J134" s="46">
        <f>_xlfn.XLOOKUP(ssH!$AG$6&amp;B134,ssH!A:A,ssH!F:F,0)</f>
        <v>0</v>
      </c>
      <c r="K134" s="46">
        <f>_xlfn.XLOOKUP(B134,ssL!C:C,ssL!G:G,"Removed")</f>
        <v>0</v>
      </c>
      <c r="L134" s="27">
        <f>_xlfn.XLOOKUP(A134&amp;B134,ssH!A:A,ssH!D:D,0)</f>
        <v>0</v>
      </c>
      <c r="M134" s="42" t="str">
        <f>_xlfn.XLOOKUP(A134&amp;B134,ssH!A:A,ssH!I:I,"")</f>
        <v/>
      </c>
      <c r="N134" s="51" t="str">
        <f t="shared" si="22"/>
        <v/>
      </c>
      <c r="O134" s="51" t="str">
        <f t="shared" si="23"/>
        <v/>
      </c>
      <c r="P134" s="51" t="str">
        <f t="shared" si="24"/>
        <v/>
      </c>
      <c r="Q134" s="52">
        <f t="shared" si="25"/>
        <v>0</v>
      </c>
      <c r="R134" s="51">
        <f t="shared" si="26"/>
        <v>2</v>
      </c>
      <c r="S134" s="51">
        <f t="shared" si="27"/>
        <v>0</v>
      </c>
      <c r="T134" s="51">
        <f t="shared" si="28"/>
        <v>0</v>
      </c>
      <c r="U134" s="52">
        <f t="shared" si="29"/>
        <v>2</v>
      </c>
      <c r="V134" s="52">
        <f t="shared" si="32"/>
        <v>0</v>
      </c>
      <c r="W134" s="52" t="str" cm="1">
        <f t="array" ref="W134">_xlfn.IFS(B134="","",AND(G134&gt;=0,L134&gt;0),"BuySome",AND(G134&gt;=0,K134="KMSignal"),"BuySome",AND(G134&lt;0,L134&gt;0),"BuyWatch",AND(Q134&lt;0,L134&gt;0),"BuyWatch",AND(G134&gt;=0,L134=0),"BuyWatch",L134&gt;0,"BuySome",TRUE,"")</f>
        <v/>
      </c>
      <c r="X134" s="47" t="str">
        <f>_xlfn.XLOOKUP(W134,Parm!$AN$2:$AN$25,Parm!$AO$2:$AO$25,"")</f>
        <v/>
      </c>
      <c r="Y134" s="52" t="str" cm="1">
        <f t="array" ref="Y134">_xlfn.IFS(B134="","",OR(Q134=-100,U134=-100),"SellAll",OR(Q134&lt;0,U134&lt;0),"SellSome",AND(Q134&gt;0,U134&gt;0),"BuySome",OR(Q134&gt;0,U134&gt;0),"BuyWatch",TRUE,"")</f>
        <v/>
      </c>
      <c r="Z134" s="47" t="str">
        <f>_xlfn.XLOOKUP(Y134,Parm!$AN$2:$AN$25,Parm!$AO$2:$AO$25,"")</f>
        <v/>
      </c>
      <c r="AA134" s="286">
        <f>IF(C134&lt;&gt;-100,A134,_xlfn.XLOOKUP(B134,ssH!L:L,ssH!M:M))</f>
        <v>46140</v>
      </c>
      <c r="AB134" s="49" t="str">
        <f t="shared" si="30"/>
        <v/>
      </c>
      <c r="AC134" s="52">
        <f>_xlfn.XLOOKUP(B134,TL!C:C,TL!C:C)</f>
        <v>0</v>
      </c>
      <c r="AD134" s="52">
        <f>_xlfn.XLOOKUP(B134,Y!C:C,Y!C:C)</f>
        <v>0</v>
      </c>
      <c r="AE134" s="52">
        <f>_xlfn.XLOOKUP(B134,MA!C:C,MA!C:C)</f>
        <v>0</v>
      </c>
    </row>
    <row r="135" spans="1:31" x14ac:dyDescent="0.25">
      <c r="A135" s="29">
        <f>ssH!$AG$1</f>
        <v>46140</v>
      </c>
      <c r="C135" s="47">
        <f t="shared" si="31"/>
        <v>0</v>
      </c>
      <c r="D135" s="42">
        <f>_xlfn.XLOOKUP(ssH!$AG$3&amp;B135,ssH!A:A,ssH!D:D,0)</f>
        <v>0</v>
      </c>
      <c r="E135" s="42">
        <f>_xlfn.XLOOKUP(ssH!$AG$5&amp;B135,ssH!A:A,ssH!D:D,0)</f>
        <v>0</v>
      </c>
      <c r="F135" s="42">
        <f>_xlfn.XLOOKUP(ssH!$AG$6&amp;B135,ssH!A:A,ssH!D:D,0)</f>
        <v>0</v>
      </c>
      <c r="G135" s="48">
        <f>_xlfn.XLOOKUP(A135&amp;B135,ssH!A:A,ssH!F:F,-100%)</f>
        <v>-1</v>
      </c>
      <c r="H135" s="46">
        <f>_xlfn.XLOOKUP(ssH!$AG$3&amp;B135,ssH!A:A,ssH!F:F,0)</f>
        <v>0</v>
      </c>
      <c r="I135" s="46">
        <f>_xlfn.XLOOKUP(ssH!$AG$5&amp;B135,ssH!A:A,ssH!F:F,0)</f>
        <v>0</v>
      </c>
      <c r="J135" s="46">
        <f>_xlfn.XLOOKUP(ssH!$AG$6&amp;B135,ssH!A:A,ssH!F:F,0)</f>
        <v>0</v>
      </c>
      <c r="K135" s="46">
        <f>_xlfn.XLOOKUP(B135,ssL!C:C,ssL!G:G,"Removed")</f>
        <v>0</v>
      </c>
      <c r="L135" s="27">
        <f>_xlfn.XLOOKUP(A135&amp;B135,ssH!A:A,ssH!D:D,0)</f>
        <v>0</v>
      </c>
      <c r="M135" s="42" t="str">
        <f>_xlfn.XLOOKUP(A135&amp;B135,ssH!A:A,ssH!I:I,"")</f>
        <v/>
      </c>
      <c r="N135" s="51" t="str">
        <f t="shared" si="22"/>
        <v/>
      </c>
      <c r="O135" s="51" t="str">
        <f t="shared" si="23"/>
        <v/>
      </c>
      <c r="P135" s="51" t="str">
        <f t="shared" si="24"/>
        <v/>
      </c>
      <c r="Q135" s="52">
        <f t="shared" si="25"/>
        <v>0</v>
      </c>
      <c r="R135" s="51">
        <f t="shared" si="26"/>
        <v>2</v>
      </c>
      <c r="S135" s="51">
        <f t="shared" si="27"/>
        <v>0</v>
      </c>
      <c r="T135" s="51">
        <f t="shared" si="28"/>
        <v>0</v>
      </c>
      <c r="U135" s="52">
        <f t="shared" si="29"/>
        <v>2</v>
      </c>
      <c r="V135" s="52">
        <f t="shared" si="32"/>
        <v>0</v>
      </c>
      <c r="W135" s="52" t="str" cm="1">
        <f t="array" ref="W135">_xlfn.IFS(B135="","",AND(G135&gt;=0,L135&gt;0),"BuySome",AND(G135&gt;=0,K135="KMSignal"),"BuySome",AND(G135&lt;0,L135&gt;0),"BuyWatch",AND(Q135&lt;0,L135&gt;0),"BuyWatch",AND(G135&gt;=0,L135=0),"BuyWatch",L135&gt;0,"BuySome",TRUE,"")</f>
        <v/>
      </c>
      <c r="X135" s="47" t="str">
        <f>_xlfn.XLOOKUP(W135,Parm!$AN$2:$AN$25,Parm!$AO$2:$AO$25,"")</f>
        <v/>
      </c>
      <c r="Y135" s="52" t="str" cm="1">
        <f t="array" ref="Y135">_xlfn.IFS(B135="","",OR(Q135=-100,U135=-100),"SellAll",OR(Q135&lt;0,U135&lt;0),"SellSome",AND(Q135&gt;0,U135&gt;0),"BuySome",OR(Q135&gt;0,U135&gt;0),"BuyWatch",TRUE,"")</f>
        <v/>
      </c>
      <c r="Z135" s="47" t="str">
        <f>_xlfn.XLOOKUP(Y135,Parm!$AN$2:$AN$25,Parm!$AO$2:$AO$25,"")</f>
        <v/>
      </c>
      <c r="AA135" s="286">
        <f>IF(C135&lt;&gt;-100,A135,_xlfn.XLOOKUP(B135,ssH!L:L,ssH!M:M))</f>
        <v>46140</v>
      </c>
      <c r="AB135" s="49" t="str">
        <f t="shared" si="30"/>
        <v/>
      </c>
      <c r="AC135" s="52">
        <f>_xlfn.XLOOKUP(B135,TL!C:C,TL!C:C)</f>
        <v>0</v>
      </c>
      <c r="AD135" s="52">
        <f>_xlfn.XLOOKUP(B135,Y!C:C,Y!C:C)</f>
        <v>0</v>
      </c>
      <c r="AE135" s="52">
        <f>_xlfn.XLOOKUP(B135,MA!C:C,MA!C:C)</f>
        <v>0</v>
      </c>
    </row>
    <row r="136" spans="1:31" x14ac:dyDescent="0.25">
      <c r="A136" s="29">
        <f>ssH!$AG$1</f>
        <v>46140</v>
      </c>
      <c r="C136" s="47">
        <f t="shared" si="31"/>
        <v>0</v>
      </c>
      <c r="D136" s="42">
        <f>_xlfn.XLOOKUP(ssH!$AG$3&amp;B136,ssH!A:A,ssH!D:D,0)</f>
        <v>0</v>
      </c>
      <c r="E136" s="42">
        <f>_xlfn.XLOOKUP(ssH!$AG$5&amp;B136,ssH!A:A,ssH!D:D,0)</f>
        <v>0</v>
      </c>
      <c r="F136" s="42">
        <f>_xlfn.XLOOKUP(ssH!$AG$6&amp;B136,ssH!A:A,ssH!D:D,0)</f>
        <v>0</v>
      </c>
      <c r="G136" s="48">
        <f>_xlfn.XLOOKUP(A136&amp;B136,ssH!A:A,ssH!F:F,-100%)</f>
        <v>-1</v>
      </c>
      <c r="H136" s="46">
        <f>_xlfn.XLOOKUP(ssH!$AG$3&amp;B136,ssH!A:A,ssH!F:F,0)</f>
        <v>0</v>
      </c>
      <c r="I136" s="46">
        <f>_xlfn.XLOOKUP(ssH!$AG$5&amp;B136,ssH!A:A,ssH!F:F,0)</f>
        <v>0</v>
      </c>
      <c r="J136" s="46">
        <f>_xlfn.XLOOKUP(ssH!$AG$6&amp;B136,ssH!A:A,ssH!F:F,0)</f>
        <v>0</v>
      </c>
      <c r="K136" s="46">
        <f>_xlfn.XLOOKUP(B136,ssL!C:C,ssL!G:G,"Removed")</f>
        <v>0</v>
      </c>
      <c r="L136" s="27">
        <f>_xlfn.XLOOKUP(A136&amp;B136,ssH!A:A,ssH!D:D,0)</f>
        <v>0</v>
      </c>
      <c r="M136" s="42" t="str">
        <f>_xlfn.XLOOKUP(A136&amp;B136,ssH!A:A,ssH!I:I,"")</f>
        <v/>
      </c>
      <c r="N136" s="51" t="str">
        <f t="shared" si="22"/>
        <v/>
      </c>
      <c r="O136" s="51" t="str">
        <f t="shared" si="23"/>
        <v/>
      </c>
      <c r="P136" s="51" t="str">
        <f t="shared" si="24"/>
        <v/>
      </c>
      <c r="Q136" s="52">
        <f t="shared" si="25"/>
        <v>0</v>
      </c>
      <c r="R136" s="51">
        <f t="shared" si="26"/>
        <v>2</v>
      </c>
      <c r="S136" s="51">
        <f t="shared" si="27"/>
        <v>0</v>
      </c>
      <c r="T136" s="51">
        <f t="shared" si="28"/>
        <v>0</v>
      </c>
      <c r="U136" s="52">
        <f t="shared" si="29"/>
        <v>2</v>
      </c>
      <c r="V136" s="52">
        <f t="shared" si="32"/>
        <v>0</v>
      </c>
      <c r="W136" s="52" t="str" cm="1">
        <f t="array" ref="W136">_xlfn.IFS(B136="","",AND(G136&gt;=0,L136&gt;0),"BuySome",AND(G136&gt;=0,K136="KMSignal"),"BuySome",AND(G136&lt;0,L136&gt;0),"BuyWatch",AND(Q136&lt;0,L136&gt;0),"BuyWatch",AND(G136&gt;=0,L136=0),"BuyWatch",L136&gt;0,"BuySome",TRUE,"")</f>
        <v/>
      </c>
      <c r="X136" s="47" t="str">
        <f>_xlfn.XLOOKUP(W136,Parm!$AN$2:$AN$25,Parm!$AO$2:$AO$25,"")</f>
        <v/>
      </c>
      <c r="Y136" s="52" t="str" cm="1">
        <f t="array" ref="Y136">_xlfn.IFS(B136="","",OR(Q136=-100,U136=-100),"SellAll",OR(Q136&lt;0,U136&lt;0),"SellSome",AND(Q136&gt;0,U136&gt;0),"BuySome",OR(Q136&gt;0,U136&gt;0),"BuyWatch",TRUE,"")</f>
        <v/>
      </c>
      <c r="Z136" s="47" t="str">
        <f>_xlfn.XLOOKUP(Y136,Parm!$AN$2:$AN$25,Parm!$AO$2:$AO$25,"")</f>
        <v/>
      </c>
      <c r="AA136" s="286">
        <f>IF(C136&lt;&gt;-100,A136,_xlfn.XLOOKUP(B136,ssH!L:L,ssH!M:M))</f>
        <v>46140</v>
      </c>
      <c r="AB136" s="49" t="str">
        <f t="shared" si="30"/>
        <v/>
      </c>
      <c r="AC136" s="52">
        <f>_xlfn.XLOOKUP(B136,TL!C:C,TL!C:C)</f>
        <v>0</v>
      </c>
      <c r="AD136" s="52">
        <f>_xlfn.XLOOKUP(B136,Y!C:C,Y!C:C)</f>
        <v>0</v>
      </c>
      <c r="AE136" s="52">
        <f>_xlfn.XLOOKUP(B136,MA!C:C,MA!C:C)</f>
        <v>0</v>
      </c>
    </row>
    <row r="137" spans="1:31" x14ac:dyDescent="0.25">
      <c r="A137" s="29">
        <f>ssH!$AG$1</f>
        <v>46140</v>
      </c>
      <c r="C137" s="47">
        <f t="shared" si="31"/>
        <v>0</v>
      </c>
      <c r="D137" s="42">
        <f>_xlfn.XLOOKUP(ssH!$AG$3&amp;B137,ssH!A:A,ssH!D:D,0)</f>
        <v>0</v>
      </c>
      <c r="E137" s="42">
        <f>_xlfn.XLOOKUP(ssH!$AG$5&amp;B137,ssH!A:A,ssH!D:D,0)</f>
        <v>0</v>
      </c>
      <c r="F137" s="42">
        <f>_xlfn.XLOOKUP(ssH!$AG$6&amp;B137,ssH!A:A,ssH!D:D,0)</f>
        <v>0</v>
      </c>
      <c r="G137" s="48">
        <f>_xlfn.XLOOKUP(A137&amp;B137,ssH!A:A,ssH!F:F,-100%)</f>
        <v>-1</v>
      </c>
      <c r="H137" s="46">
        <f>_xlfn.XLOOKUP(ssH!$AG$3&amp;B137,ssH!A:A,ssH!F:F,0)</f>
        <v>0</v>
      </c>
      <c r="I137" s="46">
        <f>_xlfn.XLOOKUP(ssH!$AG$5&amp;B137,ssH!A:A,ssH!F:F,0)</f>
        <v>0</v>
      </c>
      <c r="J137" s="46">
        <f>_xlfn.XLOOKUP(ssH!$AG$6&amp;B137,ssH!A:A,ssH!F:F,0)</f>
        <v>0</v>
      </c>
      <c r="K137" s="46">
        <f>_xlfn.XLOOKUP(B137,ssL!C:C,ssL!G:G,"Removed")</f>
        <v>0</v>
      </c>
      <c r="L137" s="27">
        <f>_xlfn.XLOOKUP(A137&amp;B137,ssH!A:A,ssH!D:D,0)</f>
        <v>0</v>
      </c>
      <c r="M137" s="42" t="str">
        <f>_xlfn.XLOOKUP(A137&amp;B137,ssH!A:A,ssH!I:I,"")</f>
        <v/>
      </c>
      <c r="N137" s="51" t="str">
        <f t="shared" si="22"/>
        <v/>
      </c>
      <c r="O137" s="51" t="str">
        <f t="shared" si="23"/>
        <v/>
      </c>
      <c r="P137" s="51" t="str">
        <f t="shared" si="24"/>
        <v/>
      </c>
      <c r="Q137" s="52">
        <f t="shared" si="25"/>
        <v>0</v>
      </c>
      <c r="R137" s="51">
        <f t="shared" si="26"/>
        <v>2</v>
      </c>
      <c r="S137" s="51">
        <f t="shared" si="27"/>
        <v>0</v>
      </c>
      <c r="T137" s="51">
        <f t="shared" si="28"/>
        <v>0</v>
      </c>
      <c r="U137" s="52">
        <f t="shared" si="29"/>
        <v>2</v>
      </c>
      <c r="V137" s="52">
        <f t="shared" si="32"/>
        <v>0</v>
      </c>
      <c r="W137" s="52" t="str" cm="1">
        <f t="array" ref="W137">_xlfn.IFS(B137="","",AND(G137&gt;=0,L137&gt;0),"BuySome",AND(G137&gt;=0,K137="KMSignal"),"BuySome",AND(G137&lt;0,L137&gt;0),"BuyWatch",AND(Q137&lt;0,L137&gt;0),"BuyWatch",AND(G137&gt;=0,L137=0),"BuyWatch",L137&gt;0,"BuySome",TRUE,"")</f>
        <v/>
      </c>
      <c r="X137" s="47" t="str">
        <f>_xlfn.XLOOKUP(W137,Parm!$AN$2:$AN$25,Parm!$AO$2:$AO$25,"")</f>
        <v/>
      </c>
      <c r="Y137" s="52" t="str" cm="1">
        <f t="array" ref="Y137">_xlfn.IFS(B137="","",OR(Q137=-100,U137=-100),"SellAll",OR(Q137&lt;0,U137&lt;0),"SellSome",AND(Q137&gt;0,U137&gt;0),"BuySome",OR(Q137&gt;0,U137&gt;0),"BuyWatch",TRUE,"")</f>
        <v/>
      </c>
      <c r="Z137" s="47" t="str">
        <f>_xlfn.XLOOKUP(Y137,Parm!$AN$2:$AN$25,Parm!$AO$2:$AO$25,"")</f>
        <v/>
      </c>
      <c r="AA137" s="286">
        <f>IF(C137&lt;&gt;-100,A137,_xlfn.XLOOKUP(B137,ssH!L:L,ssH!M:M))</f>
        <v>46140</v>
      </c>
      <c r="AB137" s="49" t="str">
        <f t="shared" si="30"/>
        <v/>
      </c>
      <c r="AC137" s="52">
        <f>_xlfn.XLOOKUP(B137,TL!C:C,TL!C:C)</f>
        <v>0</v>
      </c>
      <c r="AD137" s="52">
        <f>_xlfn.XLOOKUP(B137,Y!C:C,Y!C:C)</f>
        <v>0</v>
      </c>
      <c r="AE137" s="52">
        <f>_xlfn.XLOOKUP(B137,MA!C:C,MA!C:C)</f>
        <v>0</v>
      </c>
    </row>
    <row r="138" spans="1:31" x14ac:dyDescent="0.25">
      <c r="A138" s="29">
        <f>ssH!$AG$1</f>
        <v>46140</v>
      </c>
      <c r="C138" s="47">
        <f t="shared" si="31"/>
        <v>0</v>
      </c>
      <c r="D138" s="42">
        <f>_xlfn.XLOOKUP(ssH!$AG$3&amp;B138,ssH!A:A,ssH!D:D,0)</f>
        <v>0</v>
      </c>
      <c r="E138" s="42">
        <f>_xlfn.XLOOKUP(ssH!$AG$5&amp;B138,ssH!A:A,ssH!D:D,0)</f>
        <v>0</v>
      </c>
      <c r="F138" s="42">
        <f>_xlfn.XLOOKUP(ssH!$AG$6&amp;B138,ssH!A:A,ssH!D:D,0)</f>
        <v>0</v>
      </c>
      <c r="G138" s="48">
        <f>_xlfn.XLOOKUP(A138&amp;B138,ssH!A:A,ssH!F:F,-100%)</f>
        <v>-1</v>
      </c>
      <c r="H138" s="46">
        <f>_xlfn.XLOOKUP(ssH!$AG$3&amp;B138,ssH!A:A,ssH!F:F,0)</f>
        <v>0</v>
      </c>
      <c r="I138" s="46">
        <f>_xlfn.XLOOKUP(ssH!$AG$5&amp;B138,ssH!A:A,ssH!F:F,0)</f>
        <v>0</v>
      </c>
      <c r="J138" s="46">
        <f>_xlfn.XLOOKUP(ssH!$AG$6&amp;B138,ssH!A:A,ssH!F:F,0)</f>
        <v>0</v>
      </c>
      <c r="K138" s="46">
        <f>_xlfn.XLOOKUP(B138,ssL!C:C,ssL!G:G,"Removed")</f>
        <v>0</v>
      </c>
      <c r="L138" s="27">
        <f>_xlfn.XLOOKUP(A138&amp;B138,ssH!A:A,ssH!D:D,0)</f>
        <v>0</v>
      </c>
      <c r="M138" s="42" t="str">
        <f>_xlfn.XLOOKUP(A138&amp;B138,ssH!A:A,ssH!I:I,"")</f>
        <v/>
      </c>
      <c r="N138" s="51" t="str">
        <f t="shared" si="22"/>
        <v/>
      </c>
      <c r="O138" s="51" t="str">
        <f t="shared" si="23"/>
        <v/>
      </c>
      <c r="P138" s="51" t="str">
        <f t="shared" si="24"/>
        <v/>
      </c>
      <c r="Q138" s="52">
        <f t="shared" si="25"/>
        <v>0</v>
      </c>
      <c r="R138" s="51">
        <f t="shared" si="26"/>
        <v>2</v>
      </c>
      <c r="S138" s="51">
        <f t="shared" si="27"/>
        <v>0</v>
      </c>
      <c r="T138" s="51">
        <f t="shared" si="28"/>
        <v>0</v>
      </c>
      <c r="U138" s="52">
        <f t="shared" si="29"/>
        <v>2</v>
      </c>
      <c r="V138" s="52">
        <f t="shared" si="32"/>
        <v>0</v>
      </c>
      <c r="W138" s="52" t="str" cm="1">
        <f t="array" ref="W138">_xlfn.IFS(B138="","",AND(G138&gt;=0,L138&gt;0),"BuySome",AND(G138&gt;=0,K138="KMSignal"),"BuySome",AND(G138&lt;0,L138&gt;0),"BuyWatch",AND(Q138&lt;0,L138&gt;0),"BuyWatch",AND(G138&gt;=0,L138=0),"BuyWatch",L138&gt;0,"BuySome",TRUE,"")</f>
        <v/>
      </c>
      <c r="X138" s="47" t="str">
        <f>_xlfn.XLOOKUP(W138,Parm!$AN$2:$AN$25,Parm!$AO$2:$AO$25,"")</f>
        <v/>
      </c>
      <c r="Y138" s="52" t="str" cm="1">
        <f t="array" ref="Y138">_xlfn.IFS(B138="","",OR(Q138=-100,U138=-100),"SellAll",OR(Q138&lt;0,U138&lt;0),"SellSome",AND(Q138&gt;0,U138&gt;0),"BuySome",OR(Q138&gt;0,U138&gt;0),"BuyWatch",TRUE,"")</f>
        <v/>
      </c>
      <c r="Z138" s="47" t="str">
        <f>_xlfn.XLOOKUP(Y138,Parm!$AN$2:$AN$25,Parm!$AO$2:$AO$25,"")</f>
        <v/>
      </c>
      <c r="AA138" s="286">
        <f>IF(C138&lt;&gt;-100,A138,_xlfn.XLOOKUP(B138,ssH!L:L,ssH!M:M))</f>
        <v>46140</v>
      </c>
      <c r="AB138" s="49" t="str">
        <f t="shared" si="30"/>
        <v/>
      </c>
      <c r="AC138" s="52">
        <f>_xlfn.XLOOKUP(B138,TL!C:C,TL!C:C)</f>
        <v>0</v>
      </c>
      <c r="AD138" s="52">
        <f>_xlfn.XLOOKUP(B138,Y!C:C,Y!C:C)</f>
        <v>0</v>
      </c>
      <c r="AE138" s="52">
        <f>_xlfn.XLOOKUP(B138,MA!C:C,MA!C:C)</f>
        <v>0</v>
      </c>
    </row>
    <row r="139" spans="1:31" x14ac:dyDescent="0.25">
      <c r="A139" s="29">
        <f>ssH!$AG$1</f>
        <v>46140</v>
      </c>
      <c r="C139" s="47">
        <f t="shared" si="31"/>
        <v>0</v>
      </c>
      <c r="D139" s="42">
        <f>_xlfn.XLOOKUP(ssH!$AG$3&amp;B139,ssH!A:A,ssH!D:D,0)</f>
        <v>0</v>
      </c>
      <c r="E139" s="42">
        <f>_xlfn.XLOOKUP(ssH!$AG$5&amp;B139,ssH!A:A,ssH!D:D,0)</f>
        <v>0</v>
      </c>
      <c r="F139" s="42">
        <f>_xlfn.XLOOKUP(ssH!$AG$6&amp;B139,ssH!A:A,ssH!D:D,0)</f>
        <v>0</v>
      </c>
      <c r="G139" s="48">
        <f>_xlfn.XLOOKUP(A139&amp;B139,ssH!A:A,ssH!F:F,-100%)</f>
        <v>-1</v>
      </c>
      <c r="H139" s="46">
        <f>_xlfn.XLOOKUP(ssH!$AG$3&amp;B139,ssH!A:A,ssH!F:F,0)</f>
        <v>0</v>
      </c>
      <c r="I139" s="46">
        <f>_xlfn.XLOOKUP(ssH!$AG$5&amp;B139,ssH!A:A,ssH!F:F,0)</f>
        <v>0</v>
      </c>
      <c r="J139" s="46">
        <f>_xlfn.XLOOKUP(ssH!$AG$6&amp;B139,ssH!A:A,ssH!F:F,0)</f>
        <v>0</v>
      </c>
      <c r="K139" s="46">
        <f>_xlfn.XLOOKUP(B139,ssL!C:C,ssL!G:G,"Removed")</f>
        <v>0</v>
      </c>
      <c r="L139" s="27">
        <f>_xlfn.XLOOKUP(A139&amp;B139,ssH!A:A,ssH!D:D,0)</f>
        <v>0</v>
      </c>
      <c r="M139" s="42" t="str">
        <f>_xlfn.XLOOKUP(A139&amp;B139,ssH!A:A,ssH!I:I,"")</f>
        <v/>
      </c>
      <c r="N139" s="51" t="str">
        <f t="shared" si="22"/>
        <v/>
      </c>
      <c r="O139" s="51" t="str">
        <f t="shared" si="23"/>
        <v/>
      </c>
      <c r="P139" s="51" t="str">
        <f t="shared" si="24"/>
        <v/>
      </c>
      <c r="Q139" s="52">
        <f t="shared" si="25"/>
        <v>0</v>
      </c>
      <c r="R139" s="51">
        <f t="shared" si="26"/>
        <v>2</v>
      </c>
      <c r="S139" s="51">
        <f t="shared" si="27"/>
        <v>0</v>
      </c>
      <c r="T139" s="51">
        <f t="shared" si="28"/>
        <v>0</v>
      </c>
      <c r="U139" s="52">
        <f t="shared" si="29"/>
        <v>2</v>
      </c>
      <c r="V139" s="52">
        <f t="shared" si="32"/>
        <v>0</v>
      </c>
      <c r="W139" s="52" t="str" cm="1">
        <f t="array" ref="W139">_xlfn.IFS(B139="","",AND(G139&gt;=0,L139&gt;0),"BuySome",AND(G139&gt;=0,K139="KMSignal"),"BuySome",AND(G139&lt;0,L139&gt;0),"BuyWatch",AND(Q139&lt;0,L139&gt;0),"BuyWatch",AND(G139&gt;=0,L139=0),"BuyWatch",L139&gt;0,"BuySome",TRUE,"")</f>
        <v/>
      </c>
      <c r="X139" s="47" t="str">
        <f>_xlfn.XLOOKUP(W139,Parm!$AN$2:$AN$25,Parm!$AO$2:$AO$25,"")</f>
        <v/>
      </c>
      <c r="Y139" s="52" t="str" cm="1">
        <f t="array" ref="Y139">_xlfn.IFS(B139="","",OR(Q139=-100,U139=-100),"SellAll",OR(Q139&lt;0,U139&lt;0),"SellSome",AND(Q139&gt;0,U139&gt;0),"BuySome",OR(Q139&gt;0,U139&gt;0),"BuyWatch",TRUE,"")</f>
        <v/>
      </c>
      <c r="Z139" s="47" t="str">
        <f>_xlfn.XLOOKUP(Y139,Parm!$AN$2:$AN$25,Parm!$AO$2:$AO$25,"")</f>
        <v/>
      </c>
      <c r="AA139" s="286">
        <f>IF(C139&lt;&gt;-100,A139,_xlfn.XLOOKUP(B139,ssH!L:L,ssH!M:M))</f>
        <v>46140</v>
      </c>
      <c r="AB139" s="49" t="str">
        <f t="shared" si="30"/>
        <v/>
      </c>
      <c r="AC139" s="52">
        <f>_xlfn.XLOOKUP(B139,TL!C:C,TL!C:C)</f>
        <v>0</v>
      </c>
      <c r="AD139" s="52">
        <f>_xlfn.XLOOKUP(B139,Y!C:C,Y!C:C)</f>
        <v>0</v>
      </c>
      <c r="AE139" s="52">
        <f>_xlfn.XLOOKUP(B139,MA!C:C,MA!C:C)</f>
        <v>0</v>
      </c>
    </row>
    <row r="140" spans="1:31" x14ac:dyDescent="0.25">
      <c r="A140" s="29">
        <f>ssH!$AG$1</f>
        <v>46140</v>
      </c>
      <c r="C140" s="47">
        <f t="shared" si="31"/>
        <v>0</v>
      </c>
      <c r="D140" s="42">
        <f>_xlfn.XLOOKUP(ssH!$AG$3&amp;B140,ssH!A:A,ssH!D:D,0)</f>
        <v>0</v>
      </c>
      <c r="E140" s="42">
        <f>_xlfn.XLOOKUP(ssH!$AG$5&amp;B140,ssH!A:A,ssH!D:D,0)</f>
        <v>0</v>
      </c>
      <c r="F140" s="42">
        <f>_xlfn.XLOOKUP(ssH!$AG$6&amp;B140,ssH!A:A,ssH!D:D,0)</f>
        <v>0</v>
      </c>
      <c r="G140" s="48">
        <f>_xlfn.XLOOKUP(A140&amp;B140,ssH!A:A,ssH!F:F,-100%)</f>
        <v>-1</v>
      </c>
      <c r="H140" s="46">
        <f>_xlfn.XLOOKUP(ssH!$AG$3&amp;B140,ssH!A:A,ssH!F:F,0)</f>
        <v>0</v>
      </c>
      <c r="I140" s="46">
        <f>_xlfn.XLOOKUP(ssH!$AG$5&amp;B140,ssH!A:A,ssH!F:F,0)</f>
        <v>0</v>
      </c>
      <c r="J140" s="46">
        <f>_xlfn.XLOOKUP(ssH!$AG$6&amp;B140,ssH!A:A,ssH!F:F,0)</f>
        <v>0</v>
      </c>
      <c r="K140" s="46">
        <f>_xlfn.XLOOKUP(B140,ssL!C:C,ssL!G:G,"Removed")</f>
        <v>0</v>
      </c>
      <c r="L140" s="27">
        <f>_xlfn.XLOOKUP(A140&amp;B140,ssH!A:A,ssH!D:D,0)</f>
        <v>0</v>
      </c>
      <c r="M140" s="42" t="str">
        <f>_xlfn.XLOOKUP(A140&amp;B140,ssH!A:A,ssH!I:I,"")</f>
        <v/>
      </c>
      <c r="N140" s="51" t="str">
        <f t="shared" si="22"/>
        <v/>
      </c>
      <c r="O140" s="51" t="str">
        <f t="shared" si="23"/>
        <v/>
      </c>
      <c r="P140" s="51" t="str">
        <f t="shared" si="24"/>
        <v/>
      </c>
      <c r="Q140" s="52">
        <f t="shared" si="25"/>
        <v>0</v>
      </c>
      <c r="R140" s="51">
        <f t="shared" si="26"/>
        <v>2</v>
      </c>
      <c r="S140" s="51">
        <f t="shared" si="27"/>
        <v>0</v>
      </c>
      <c r="T140" s="51">
        <f t="shared" si="28"/>
        <v>0</v>
      </c>
      <c r="U140" s="52">
        <f t="shared" si="29"/>
        <v>2</v>
      </c>
      <c r="V140" s="52">
        <f t="shared" si="32"/>
        <v>0</v>
      </c>
      <c r="W140" s="52" t="str" cm="1">
        <f t="array" ref="W140">_xlfn.IFS(B140="","",AND(G140&gt;=0,L140&gt;0),"BuySome",AND(G140&gt;=0,K140="KMSignal"),"BuySome",AND(G140&lt;0,L140&gt;0),"BuyWatch",AND(Q140&lt;0,L140&gt;0),"BuyWatch",AND(G140&gt;=0,L140=0),"BuyWatch",L140&gt;0,"BuySome",TRUE,"")</f>
        <v/>
      </c>
      <c r="X140" s="47" t="str">
        <f>_xlfn.XLOOKUP(W140,Parm!$AN$2:$AN$25,Parm!$AO$2:$AO$25,"")</f>
        <v/>
      </c>
      <c r="Y140" s="52" t="str" cm="1">
        <f t="array" ref="Y140">_xlfn.IFS(B140="","",OR(Q140=-100,U140=-100),"SellAll",OR(Q140&lt;0,U140&lt;0),"SellSome",AND(Q140&gt;0,U140&gt;0),"BuySome",OR(Q140&gt;0,U140&gt;0),"BuyWatch",TRUE,"")</f>
        <v/>
      </c>
      <c r="Z140" s="47" t="str">
        <f>_xlfn.XLOOKUP(Y140,Parm!$AN$2:$AN$25,Parm!$AO$2:$AO$25,"")</f>
        <v/>
      </c>
      <c r="AA140" s="286">
        <f>IF(C140&lt;&gt;-100,A140,_xlfn.XLOOKUP(B140,ssH!L:L,ssH!M:M))</f>
        <v>46140</v>
      </c>
      <c r="AB140" s="49" t="str">
        <f t="shared" si="30"/>
        <v/>
      </c>
      <c r="AC140" s="52">
        <f>_xlfn.XLOOKUP(B140,TL!C:C,TL!C:C)</f>
        <v>0</v>
      </c>
      <c r="AD140" s="52">
        <f>_xlfn.XLOOKUP(B140,Y!C:C,Y!C:C)</f>
        <v>0</v>
      </c>
      <c r="AE140" s="52">
        <f>_xlfn.XLOOKUP(B140,MA!C:C,MA!C:C)</f>
        <v>0</v>
      </c>
    </row>
    <row r="141" spans="1:31" x14ac:dyDescent="0.25">
      <c r="A141" s="29">
        <f>ssH!$AG$1</f>
        <v>46140</v>
      </c>
      <c r="C141" s="47">
        <f t="shared" si="31"/>
        <v>0</v>
      </c>
      <c r="D141" s="42">
        <f>_xlfn.XLOOKUP(ssH!$AG$3&amp;B141,ssH!A:A,ssH!D:D,0)</f>
        <v>0</v>
      </c>
      <c r="E141" s="42">
        <f>_xlfn.XLOOKUP(ssH!$AG$5&amp;B141,ssH!A:A,ssH!D:D,0)</f>
        <v>0</v>
      </c>
      <c r="F141" s="42">
        <f>_xlfn.XLOOKUP(ssH!$AG$6&amp;B141,ssH!A:A,ssH!D:D,0)</f>
        <v>0</v>
      </c>
      <c r="G141" s="48">
        <f>_xlfn.XLOOKUP(A141&amp;B141,ssH!A:A,ssH!F:F,-100%)</f>
        <v>-1</v>
      </c>
      <c r="H141" s="46">
        <f>_xlfn.XLOOKUP(ssH!$AG$3&amp;B141,ssH!A:A,ssH!F:F,0)</f>
        <v>0</v>
      </c>
      <c r="I141" s="46">
        <f>_xlfn.XLOOKUP(ssH!$AG$5&amp;B141,ssH!A:A,ssH!F:F,0)</f>
        <v>0</v>
      </c>
      <c r="J141" s="46">
        <f>_xlfn.XLOOKUP(ssH!$AG$6&amp;B141,ssH!A:A,ssH!F:F,0)</f>
        <v>0</v>
      </c>
      <c r="K141" s="46">
        <f>_xlfn.XLOOKUP(B141,ssL!C:C,ssL!G:G,"Removed")</f>
        <v>0</v>
      </c>
      <c r="L141" s="27">
        <f>_xlfn.XLOOKUP(A141&amp;B141,ssH!A:A,ssH!D:D,0)</f>
        <v>0</v>
      </c>
      <c r="M141" s="42" t="str">
        <f>_xlfn.XLOOKUP(A141&amp;B141,ssH!A:A,ssH!I:I,"")</f>
        <v/>
      </c>
      <c r="N141" s="51" t="str">
        <f t="shared" si="22"/>
        <v/>
      </c>
      <c r="O141" s="51" t="str">
        <f t="shared" si="23"/>
        <v/>
      </c>
      <c r="P141" s="51" t="str">
        <f t="shared" si="24"/>
        <v/>
      </c>
      <c r="Q141" s="52">
        <f t="shared" si="25"/>
        <v>0</v>
      </c>
      <c r="R141" s="51">
        <f t="shared" si="26"/>
        <v>2</v>
      </c>
      <c r="S141" s="51">
        <f t="shared" si="27"/>
        <v>0</v>
      </c>
      <c r="T141" s="51">
        <f t="shared" si="28"/>
        <v>0</v>
      </c>
      <c r="U141" s="52">
        <f t="shared" si="29"/>
        <v>2</v>
      </c>
      <c r="V141" s="52">
        <f t="shared" si="32"/>
        <v>0</v>
      </c>
      <c r="W141" s="52" t="str" cm="1">
        <f t="array" ref="W141">_xlfn.IFS(B141="","",AND(G141&gt;=0,L141&gt;0),"BuySome",AND(G141&gt;=0,K141="KMSignal"),"BuySome",AND(G141&lt;0,L141&gt;0),"BuyWatch",AND(Q141&lt;0,L141&gt;0),"BuyWatch",AND(G141&gt;=0,L141=0),"BuyWatch",L141&gt;0,"BuySome",TRUE,"")</f>
        <v/>
      </c>
      <c r="X141" s="47" t="str">
        <f>_xlfn.XLOOKUP(W141,Parm!$AN$2:$AN$25,Parm!$AO$2:$AO$25,"")</f>
        <v/>
      </c>
      <c r="Y141" s="52" t="str" cm="1">
        <f t="array" ref="Y141">_xlfn.IFS(B141="","",OR(Q141=-100,U141=-100),"SellAll",OR(Q141&lt;0,U141&lt;0),"SellSome",AND(Q141&gt;0,U141&gt;0),"BuySome",OR(Q141&gt;0,U141&gt;0),"BuyWatch",TRUE,"")</f>
        <v/>
      </c>
      <c r="Z141" s="47" t="str">
        <f>_xlfn.XLOOKUP(Y141,Parm!$AN$2:$AN$25,Parm!$AO$2:$AO$25,"")</f>
        <v/>
      </c>
      <c r="AA141" s="286">
        <f>IF(C141&lt;&gt;-100,A141,_xlfn.XLOOKUP(B141,ssH!L:L,ssH!M:M))</f>
        <v>46140</v>
      </c>
      <c r="AB141" s="49" t="str">
        <f t="shared" si="30"/>
        <v/>
      </c>
      <c r="AC141" s="52">
        <f>_xlfn.XLOOKUP(B141,TL!C:C,TL!C:C)</f>
        <v>0</v>
      </c>
      <c r="AD141" s="52">
        <f>_xlfn.XLOOKUP(B141,Y!C:C,Y!C:C)</f>
        <v>0</v>
      </c>
      <c r="AE141" s="52">
        <f>_xlfn.XLOOKUP(B141,MA!C:C,MA!C:C)</f>
        <v>0</v>
      </c>
    </row>
    <row r="142" spans="1:31" x14ac:dyDescent="0.25">
      <c r="A142" s="29">
        <f>ssH!$AG$1</f>
        <v>46140</v>
      </c>
      <c r="C142" s="47">
        <f t="shared" si="31"/>
        <v>0</v>
      </c>
      <c r="D142" s="42">
        <f>_xlfn.XLOOKUP(ssH!$AG$3&amp;B142,ssH!A:A,ssH!D:D,0)</f>
        <v>0</v>
      </c>
      <c r="E142" s="42">
        <f>_xlfn.XLOOKUP(ssH!$AG$5&amp;B142,ssH!A:A,ssH!D:D,0)</f>
        <v>0</v>
      </c>
      <c r="F142" s="42">
        <f>_xlfn.XLOOKUP(ssH!$AG$6&amp;B142,ssH!A:A,ssH!D:D,0)</f>
        <v>0</v>
      </c>
      <c r="G142" s="48">
        <f>_xlfn.XLOOKUP(A142&amp;B142,ssH!A:A,ssH!F:F,-100%)</f>
        <v>-1</v>
      </c>
      <c r="H142" s="46">
        <f>_xlfn.XLOOKUP(ssH!$AG$3&amp;B142,ssH!A:A,ssH!F:F,0)</f>
        <v>0</v>
      </c>
      <c r="I142" s="46">
        <f>_xlfn.XLOOKUP(ssH!$AG$5&amp;B142,ssH!A:A,ssH!F:F,0)</f>
        <v>0</v>
      </c>
      <c r="J142" s="46">
        <f>_xlfn.XLOOKUP(ssH!$AG$6&amp;B142,ssH!A:A,ssH!F:F,0)</f>
        <v>0</v>
      </c>
      <c r="K142" s="46">
        <f>_xlfn.XLOOKUP(B142,ssL!C:C,ssL!G:G,"Removed")</f>
        <v>0</v>
      </c>
      <c r="L142" s="27">
        <f>_xlfn.XLOOKUP(A142&amp;B142,ssH!A:A,ssH!D:D,0)</f>
        <v>0</v>
      </c>
      <c r="M142" s="42" t="str">
        <f>_xlfn.XLOOKUP(A142&amp;B142,ssH!A:A,ssH!I:I,"")</f>
        <v/>
      </c>
      <c r="N142" s="51" t="str">
        <f t="shared" si="22"/>
        <v/>
      </c>
      <c r="O142" s="51" t="str">
        <f t="shared" si="23"/>
        <v/>
      </c>
      <c r="P142" s="51" t="str">
        <f t="shared" si="24"/>
        <v/>
      </c>
      <c r="Q142" s="52">
        <f t="shared" si="25"/>
        <v>0</v>
      </c>
      <c r="R142" s="51">
        <f t="shared" si="26"/>
        <v>2</v>
      </c>
      <c r="S142" s="51">
        <f t="shared" si="27"/>
        <v>0</v>
      </c>
      <c r="T142" s="51">
        <f t="shared" si="28"/>
        <v>0</v>
      </c>
      <c r="U142" s="52">
        <f t="shared" si="29"/>
        <v>2</v>
      </c>
      <c r="V142" s="52">
        <f t="shared" si="32"/>
        <v>0</v>
      </c>
      <c r="W142" s="52" t="str" cm="1">
        <f t="array" ref="W142">_xlfn.IFS(B142="","",AND(G142&gt;=0,L142&gt;0),"BuySome",AND(G142&gt;=0,K142="KMSignal"),"BuySome",AND(G142&lt;0,L142&gt;0),"BuyWatch",AND(Q142&lt;0,L142&gt;0),"BuyWatch",AND(G142&gt;=0,L142=0),"BuyWatch",L142&gt;0,"BuySome",TRUE,"")</f>
        <v/>
      </c>
      <c r="X142" s="47" t="str">
        <f>_xlfn.XLOOKUP(W142,Parm!$AN$2:$AN$25,Parm!$AO$2:$AO$25,"")</f>
        <v/>
      </c>
      <c r="Y142" s="52" t="str" cm="1">
        <f t="array" ref="Y142">_xlfn.IFS(B142="","",OR(Q142=-100,U142=-100),"SellAll",OR(Q142&lt;0,U142&lt;0),"SellSome",AND(Q142&gt;0,U142&gt;0),"BuySome",OR(Q142&gt;0,U142&gt;0),"BuyWatch",TRUE,"")</f>
        <v/>
      </c>
      <c r="Z142" s="47" t="str">
        <f>_xlfn.XLOOKUP(Y142,Parm!$AN$2:$AN$25,Parm!$AO$2:$AO$25,"")</f>
        <v/>
      </c>
      <c r="AA142" s="286">
        <f>IF(C142&lt;&gt;-100,A142,_xlfn.XLOOKUP(B142,ssH!L:L,ssH!M:M))</f>
        <v>46140</v>
      </c>
      <c r="AB142" s="49" t="str">
        <f t="shared" si="30"/>
        <v/>
      </c>
      <c r="AC142" s="52">
        <f>_xlfn.XLOOKUP(B142,TL!C:C,TL!C:C)</f>
        <v>0</v>
      </c>
      <c r="AD142" s="52">
        <f>_xlfn.XLOOKUP(B142,Y!C:C,Y!C:C)</f>
        <v>0</v>
      </c>
      <c r="AE142" s="52">
        <f>_xlfn.XLOOKUP(B142,MA!C:C,MA!C:C)</f>
        <v>0</v>
      </c>
    </row>
    <row r="143" spans="1:31" x14ac:dyDescent="0.25">
      <c r="A143" s="29">
        <f>ssH!$AG$1</f>
        <v>46140</v>
      </c>
      <c r="C143" s="47">
        <f t="shared" si="31"/>
        <v>0</v>
      </c>
      <c r="D143" s="42">
        <f>_xlfn.XLOOKUP(ssH!$AG$3&amp;B143,ssH!A:A,ssH!D:D,0)</f>
        <v>0</v>
      </c>
      <c r="E143" s="42">
        <f>_xlfn.XLOOKUP(ssH!$AG$5&amp;B143,ssH!A:A,ssH!D:D,0)</f>
        <v>0</v>
      </c>
      <c r="F143" s="42">
        <f>_xlfn.XLOOKUP(ssH!$AG$6&amp;B143,ssH!A:A,ssH!D:D,0)</f>
        <v>0</v>
      </c>
      <c r="G143" s="48">
        <f>_xlfn.XLOOKUP(A143&amp;B143,ssH!A:A,ssH!F:F,-100%)</f>
        <v>-1</v>
      </c>
      <c r="H143" s="46">
        <f>_xlfn.XLOOKUP(ssH!$AG$3&amp;B143,ssH!A:A,ssH!F:F,0)</f>
        <v>0</v>
      </c>
      <c r="I143" s="46">
        <f>_xlfn.XLOOKUP(ssH!$AG$5&amp;B143,ssH!A:A,ssH!F:F,0)</f>
        <v>0</v>
      </c>
      <c r="J143" s="46">
        <f>_xlfn.XLOOKUP(ssH!$AG$6&amp;B143,ssH!A:A,ssH!F:F,0)</f>
        <v>0</v>
      </c>
      <c r="K143" s="46">
        <f>_xlfn.XLOOKUP(B143,ssL!C:C,ssL!G:G,"Removed")</f>
        <v>0</v>
      </c>
      <c r="L143" s="27">
        <f>_xlfn.XLOOKUP(A143&amp;B143,ssH!A:A,ssH!D:D,0)</f>
        <v>0</v>
      </c>
      <c r="M143" s="42" t="str">
        <f>_xlfn.XLOOKUP(A143&amp;B143,ssH!A:A,ssH!I:I,"")</f>
        <v/>
      </c>
      <c r="N143" s="51" t="str">
        <f t="shared" si="22"/>
        <v/>
      </c>
      <c r="O143" s="51" t="str">
        <f t="shared" si="23"/>
        <v/>
      </c>
      <c r="P143" s="51" t="str">
        <f t="shared" si="24"/>
        <v/>
      </c>
      <c r="Q143" s="52">
        <f t="shared" si="25"/>
        <v>0</v>
      </c>
      <c r="R143" s="51">
        <f t="shared" si="26"/>
        <v>2</v>
      </c>
      <c r="S143" s="51">
        <f t="shared" si="27"/>
        <v>0</v>
      </c>
      <c r="T143" s="51">
        <f t="shared" si="28"/>
        <v>0</v>
      </c>
      <c r="U143" s="52">
        <f t="shared" si="29"/>
        <v>2</v>
      </c>
      <c r="V143" s="52">
        <f t="shared" si="32"/>
        <v>0</v>
      </c>
      <c r="W143" s="52" t="str" cm="1">
        <f t="array" ref="W143">_xlfn.IFS(B143="","",AND(G143&gt;=0,L143&gt;0),"BuySome",AND(G143&gt;=0,K143="KMSignal"),"BuySome",AND(G143&lt;0,L143&gt;0),"BuyWatch",AND(Q143&lt;0,L143&gt;0),"BuyWatch",AND(G143&gt;=0,L143=0),"BuyWatch",L143&gt;0,"BuySome",TRUE,"")</f>
        <v/>
      </c>
      <c r="X143" s="47" t="str">
        <f>_xlfn.XLOOKUP(W143,Parm!$AN$2:$AN$25,Parm!$AO$2:$AO$25,"")</f>
        <v/>
      </c>
      <c r="Y143" s="52" t="str" cm="1">
        <f t="array" ref="Y143">_xlfn.IFS(B143="","",OR(Q143=-100,U143=-100),"SellAll",OR(Q143&lt;0,U143&lt;0),"SellSome",AND(Q143&gt;0,U143&gt;0),"BuySome",OR(Q143&gt;0,U143&gt;0),"BuyWatch",TRUE,"")</f>
        <v/>
      </c>
      <c r="Z143" s="47" t="str">
        <f>_xlfn.XLOOKUP(Y143,Parm!$AN$2:$AN$25,Parm!$AO$2:$AO$25,"")</f>
        <v/>
      </c>
      <c r="AA143" s="286">
        <f>IF(C143&lt;&gt;-100,A143,_xlfn.XLOOKUP(B143,ssH!L:L,ssH!M:M))</f>
        <v>46140</v>
      </c>
      <c r="AB143" s="49" t="str">
        <f t="shared" si="30"/>
        <v/>
      </c>
      <c r="AC143" s="52">
        <f>_xlfn.XLOOKUP(B143,TL!C:C,TL!C:C)</f>
        <v>0</v>
      </c>
      <c r="AD143" s="52">
        <f>_xlfn.XLOOKUP(B143,Y!C:C,Y!C:C)</f>
        <v>0</v>
      </c>
      <c r="AE143" s="52">
        <f>_xlfn.XLOOKUP(B143,MA!C:C,MA!C:C)</f>
        <v>0</v>
      </c>
    </row>
    <row r="144" spans="1:31" x14ac:dyDescent="0.25">
      <c r="A144" s="29">
        <f>ssH!$AG$1</f>
        <v>46140</v>
      </c>
      <c r="C144" s="47">
        <f t="shared" si="31"/>
        <v>0</v>
      </c>
      <c r="D144" s="42">
        <f>_xlfn.XLOOKUP(ssH!$AG$3&amp;B144,ssH!A:A,ssH!D:D,0)</f>
        <v>0</v>
      </c>
      <c r="E144" s="42">
        <f>_xlfn.XLOOKUP(ssH!$AG$5&amp;B144,ssH!A:A,ssH!D:D,0)</f>
        <v>0</v>
      </c>
      <c r="F144" s="42">
        <f>_xlfn.XLOOKUP(ssH!$AG$6&amp;B144,ssH!A:A,ssH!D:D,0)</f>
        <v>0</v>
      </c>
      <c r="G144" s="48">
        <f>_xlfn.XLOOKUP(A144&amp;B144,ssH!A:A,ssH!F:F,-100%)</f>
        <v>-1</v>
      </c>
      <c r="H144" s="46">
        <f>_xlfn.XLOOKUP(ssH!$AG$3&amp;B144,ssH!A:A,ssH!F:F,0)</f>
        <v>0</v>
      </c>
      <c r="I144" s="46">
        <f>_xlfn.XLOOKUP(ssH!$AG$5&amp;B144,ssH!A:A,ssH!F:F,0)</f>
        <v>0</v>
      </c>
      <c r="J144" s="46">
        <f>_xlfn.XLOOKUP(ssH!$AG$6&amp;B144,ssH!A:A,ssH!F:F,0)</f>
        <v>0</v>
      </c>
      <c r="K144" s="46">
        <f>_xlfn.XLOOKUP(B144,ssL!C:C,ssL!G:G,"Removed")</f>
        <v>0</v>
      </c>
      <c r="L144" s="27">
        <f>_xlfn.XLOOKUP(A144&amp;B144,ssH!A:A,ssH!D:D,0)</f>
        <v>0</v>
      </c>
      <c r="M144" s="42" t="str">
        <f>_xlfn.XLOOKUP(A144&amp;B144,ssH!A:A,ssH!I:I,"")</f>
        <v/>
      </c>
      <c r="N144" s="51" t="str">
        <f t="shared" si="22"/>
        <v/>
      </c>
      <c r="O144" s="51" t="str">
        <f t="shared" si="23"/>
        <v/>
      </c>
      <c r="P144" s="51" t="str">
        <f t="shared" si="24"/>
        <v/>
      </c>
      <c r="Q144" s="52">
        <f t="shared" si="25"/>
        <v>0</v>
      </c>
      <c r="R144" s="51">
        <f t="shared" si="26"/>
        <v>2</v>
      </c>
      <c r="S144" s="51">
        <f t="shared" si="27"/>
        <v>0</v>
      </c>
      <c r="T144" s="51">
        <f t="shared" si="28"/>
        <v>0</v>
      </c>
      <c r="U144" s="52">
        <f t="shared" si="29"/>
        <v>2</v>
      </c>
      <c r="V144" s="52">
        <f t="shared" si="32"/>
        <v>0</v>
      </c>
      <c r="W144" s="52" t="str" cm="1">
        <f t="array" ref="W144">_xlfn.IFS(B144="","",AND(G144&gt;=0,L144&gt;0),"BuySome",AND(G144&gt;=0,K144="KMSignal"),"BuySome",AND(G144&lt;0,L144&gt;0),"BuyWatch",AND(Q144&lt;0,L144&gt;0),"BuyWatch",AND(G144&gt;=0,L144=0),"BuyWatch",L144&gt;0,"BuySome",TRUE,"")</f>
        <v/>
      </c>
      <c r="X144" s="47" t="str">
        <f>_xlfn.XLOOKUP(W144,Parm!$AN$2:$AN$25,Parm!$AO$2:$AO$25,"")</f>
        <v/>
      </c>
      <c r="Y144" s="52" t="str" cm="1">
        <f t="array" ref="Y144">_xlfn.IFS(B144="","",OR(Q144=-100,U144=-100),"SellAll",OR(Q144&lt;0,U144&lt;0),"SellSome",AND(Q144&gt;0,U144&gt;0),"BuySome",OR(Q144&gt;0,U144&gt;0),"BuyWatch",TRUE,"")</f>
        <v/>
      </c>
      <c r="Z144" s="47" t="str">
        <f>_xlfn.XLOOKUP(Y144,Parm!$AN$2:$AN$25,Parm!$AO$2:$AO$25,"")</f>
        <v/>
      </c>
      <c r="AA144" s="286">
        <f>IF(C144&lt;&gt;-100,A144,_xlfn.XLOOKUP(B144,ssH!L:L,ssH!M:M))</f>
        <v>46140</v>
      </c>
      <c r="AB144" s="49" t="str">
        <f t="shared" si="30"/>
        <v/>
      </c>
      <c r="AC144" s="52">
        <f>_xlfn.XLOOKUP(B144,TL!C:C,TL!C:C)</f>
        <v>0</v>
      </c>
      <c r="AD144" s="52">
        <f>_xlfn.XLOOKUP(B144,Y!C:C,Y!C:C)</f>
        <v>0</v>
      </c>
      <c r="AE144" s="52">
        <f>_xlfn.XLOOKUP(B144,MA!C:C,MA!C:C)</f>
        <v>0</v>
      </c>
    </row>
    <row r="145" spans="1:31" x14ac:dyDescent="0.25">
      <c r="A145" s="29">
        <f>ssH!$AG$1</f>
        <v>46140</v>
      </c>
      <c r="C145" s="47">
        <f t="shared" si="31"/>
        <v>0</v>
      </c>
      <c r="D145" s="42">
        <f>_xlfn.XLOOKUP(ssH!$AG$3&amp;B145,ssH!A:A,ssH!D:D,0)</f>
        <v>0</v>
      </c>
      <c r="E145" s="42">
        <f>_xlfn.XLOOKUP(ssH!$AG$5&amp;B145,ssH!A:A,ssH!D:D,0)</f>
        <v>0</v>
      </c>
      <c r="F145" s="42">
        <f>_xlfn.XLOOKUP(ssH!$AG$6&amp;B145,ssH!A:A,ssH!D:D,0)</f>
        <v>0</v>
      </c>
      <c r="G145" s="48">
        <f>_xlfn.XLOOKUP(A145&amp;B145,ssH!A:A,ssH!F:F,-100%)</f>
        <v>-1</v>
      </c>
      <c r="H145" s="46">
        <f>_xlfn.XLOOKUP(ssH!$AG$3&amp;B145,ssH!A:A,ssH!F:F,0)</f>
        <v>0</v>
      </c>
      <c r="I145" s="46">
        <f>_xlfn.XLOOKUP(ssH!$AG$5&amp;B145,ssH!A:A,ssH!F:F,0)</f>
        <v>0</v>
      </c>
      <c r="J145" s="46">
        <f>_xlfn.XLOOKUP(ssH!$AG$6&amp;B145,ssH!A:A,ssH!F:F,0)</f>
        <v>0</v>
      </c>
      <c r="K145" s="46">
        <f>_xlfn.XLOOKUP(B145,ssL!C:C,ssL!G:G,"Removed")</f>
        <v>0</v>
      </c>
      <c r="L145" s="27">
        <f>_xlfn.XLOOKUP(A145&amp;B145,ssH!A:A,ssH!D:D,0)</f>
        <v>0</v>
      </c>
      <c r="M145" s="42" t="str">
        <f>_xlfn.XLOOKUP(A145&amp;B145,ssH!A:A,ssH!I:I,"")</f>
        <v/>
      </c>
      <c r="N145" s="51" t="str">
        <f t="shared" si="22"/>
        <v/>
      </c>
      <c r="O145" s="51" t="str">
        <f t="shared" si="23"/>
        <v/>
      </c>
      <c r="P145" s="51" t="str">
        <f t="shared" si="24"/>
        <v/>
      </c>
      <c r="Q145" s="52">
        <f t="shared" si="25"/>
        <v>0</v>
      </c>
      <c r="R145" s="51">
        <f t="shared" si="26"/>
        <v>2</v>
      </c>
      <c r="S145" s="51">
        <f t="shared" si="27"/>
        <v>0</v>
      </c>
      <c r="T145" s="51">
        <f t="shared" si="28"/>
        <v>0</v>
      </c>
      <c r="U145" s="52">
        <f t="shared" si="29"/>
        <v>2</v>
      </c>
      <c r="V145" s="52">
        <f t="shared" si="32"/>
        <v>0</v>
      </c>
      <c r="W145" s="52" t="str" cm="1">
        <f t="array" ref="W145">_xlfn.IFS(B145="","",AND(G145&gt;=0,L145&gt;0),"BuySome",AND(G145&gt;=0,K145="KMSignal"),"BuySome",AND(G145&lt;0,L145&gt;0),"BuyWatch",AND(Q145&lt;0,L145&gt;0),"BuyWatch",AND(G145&gt;=0,L145=0),"BuyWatch",L145&gt;0,"BuySome",TRUE,"")</f>
        <v/>
      </c>
      <c r="X145" s="47" t="str">
        <f>_xlfn.XLOOKUP(W145,Parm!$AN$2:$AN$25,Parm!$AO$2:$AO$25,"")</f>
        <v/>
      </c>
      <c r="Y145" s="52" t="str" cm="1">
        <f t="array" ref="Y145">_xlfn.IFS(B145="","",OR(Q145=-100,U145=-100),"SellAll",OR(Q145&lt;0,U145&lt;0),"SellSome",AND(Q145&gt;0,U145&gt;0),"BuySome",OR(Q145&gt;0,U145&gt;0),"BuyWatch",TRUE,"")</f>
        <v/>
      </c>
      <c r="Z145" s="47" t="str">
        <f>_xlfn.XLOOKUP(Y145,Parm!$AN$2:$AN$25,Parm!$AO$2:$AO$25,"")</f>
        <v/>
      </c>
      <c r="AA145" s="286">
        <f>IF(C145&lt;&gt;-100,A145,_xlfn.XLOOKUP(B145,ssH!L:L,ssH!M:M))</f>
        <v>46140</v>
      </c>
      <c r="AB145" s="49" t="str">
        <f t="shared" si="30"/>
        <v/>
      </c>
      <c r="AC145" s="52">
        <f>_xlfn.XLOOKUP(B145,TL!C:C,TL!C:C)</f>
        <v>0</v>
      </c>
      <c r="AD145" s="52">
        <f>_xlfn.XLOOKUP(B145,Y!C:C,Y!C:C)</f>
        <v>0</v>
      </c>
      <c r="AE145" s="52">
        <f>_xlfn.XLOOKUP(B145,MA!C:C,MA!C:C)</f>
        <v>0</v>
      </c>
    </row>
    <row r="146" spans="1:31" x14ac:dyDescent="0.25">
      <c r="A146" s="29">
        <f>ssH!$AG$1</f>
        <v>46140</v>
      </c>
      <c r="C146" s="47">
        <f t="shared" si="31"/>
        <v>0</v>
      </c>
      <c r="D146" s="42">
        <f>_xlfn.XLOOKUP(ssH!$AG$3&amp;B146,ssH!A:A,ssH!D:D,0)</f>
        <v>0</v>
      </c>
      <c r="E146" s="42">
        <f>_xlfn.XLOOKUP(ssH!$AG$5&amp;B146,ssH!A:A,ssH!D:D,0)</f>
        <v>0</v>
      </c>
      <c r="F146" s="42">
        <f>_xlfn.XLOOKUP(ssH!$AG$6&amp;B146,ssH!A:A,ssH!D:D,0)</f>
        <v>0</v>
      </c>
      <c r="G146" s="48">
        <f>_xlfn.XLOOKUP(A146&amp;B146,ssH!A:A,ssH!F:F,-100%)</f>
        <v>-1</v>
      </c>
      <c r="H146" s="46">
        <f>_xlfn.XLOOKUP(ssH!$AG$3&amp;B146,ssH!A:A,ssH!F:F,0)</f>
        <v>0</v>
      </c>
      <c r="I146" s="46">
        <f>_xlfn.XLOOKUP(ssH!$AG$5&amp;B146,ssH!A:A,ssH!F:F,0)</f>
        <v>0</v>
      </c>
      <c r="J146" s="46">
        <f>_xlfn.XLOOKUP(ssH!$AG$6&amp;B146,ssH!A:A,ssH!F:F,0)</f>
        <v>0</v>
      </c>
      <c r="K146" s="46">
        <f>_xlfn.XLOOKUP(B146,ssL!C:C,ssL!G:G,"Removed")</f>
        <v>0</v>
      </c>
      <c r="L146" s="27">
        <f>_xlfn.XLOOKUP(A146&amp;B146,ssH!A:A,ssH!D:D,0)</f>
        <v>0</v>
      </c>
      <c r="M146" s="42" t="str">
        <f>_xlfn.XLOOKUP(A146&amp;B146,ssH!A:A,ssH!I:I,"")</f>
        <v/>
      </c>
      <c r="N146" s="51" t="str">
        <f t="shared" si="22"/>
        <v/>
      </c>
      <c r="O146" s="51" t="str">
        <f t="shared" si="23"/>
        <v/>
      </c>
      <c r="P146" s="51" t="str">
        <f t="shared" si="24"/>
        <v/>
      </c>
      <c r="Q146" s="52">
        <f t="shared" si="25"/>
        <v>0</v>
      </c>
      <c r="R146" s="51">
        <f t="shared" si="26"/>
        <v>2</v>
      </c>
      <c r="S146" s="51">
        <f t="shared" si="27"/>
        <v>0</v>
      </c>
      <c r="T146" s="51">
        <f t="shared" si="28"/>
        <v>0</v>
      </c>
      <c r="U146" s="52">
        <f t="shared" si="29"/>
        <v>2</v>
      </c>
      <c r="V146" s="52">
        <f t="shared" si="32"/>
        <v>0</v>
      </c>
      <c r="W146" s="52" t="str" cm="1">
        <f t="array" ref="W146">_xlfn.IFS(B146="","",AND(G146&gt;=0,L146&gt;0),"BuySome",AND(G146&gt;=0,K146="KMSignal"),"BuySome",AND(G146&lt;0,L146&gt;0),"BuyWatch",AND(Q146&lt;0,L146&gt;0),"BuyWatch",AND(G146&gt;=0,L146=0),"BuyWatch",L146&gt;0,"BuySome",TRUE,"")</f>
        <v/>
      </c>
      <c r="X146" s="47" t="str">
        <f>_xlfn.XLOOKUP(W146,Parm!$AN$2:$AN$25,Parm!$AO$2:$AO$25,"")</f>
        <v/>
      </c>
      <c r="Y146" s="52" t="str" cm="1">
        <f t="array" ref="Y146">_xlfn.IFS(B146="","",OR(Q146=-100,U146=-100),"SellAll",OR(Q146&lt;0,U146&lt;0),"SellSome",AND(Q146&gt;0,U146&gt;0),"BuySome",OR(Q146&gt;0,U146&gt;0),"BuyWatch",TRUE,"")</f>
        <v/>
      </c>
      <c r="Z146" s="47" t="str">
        <f>_xlfn.XLOOKUP(Y146,Parm!$AN$2:$AN$25,Parm!$AO$2:$AO$25,"")</f>
        <v/>
      </c>
      <c r="AA146" s="286">
        <f>IF(C146&lt;&gt;-100,A146,_xlfn.XLOOKUP(B146,ssH!L:L,ssH!M:M))</f>
        <v>46140</v>
      </c>
      <c r="AB146" s="49" t="str">
        <f t="shared" si="30"/>
        <v/>
      </c>
      <c r="AC146" s="52">
        <f>_xlfn.XLOOKUP(B146,TL!C:C,TL!C:C)</f>
        <v>0</v>
      </c>
      <c r="AD146" s="52">
        <f>_xlfn.XLOOKUP(B146,Y!C:C,Y!C:C)</f>
        <v>0</v>
      </c>
      <c r="AE146" s="52">
        <f>_xlfn.XLOOKUP(B146,MA!C:C,MA!C:C)</f>
        <v>0</v>
      </c>
    </row>
    <row r="147" spans="1:31" x14ac:dyDescent="0.25">
      <c r="A147" s="29">
        <f>ssH!$AG$1</f>
        <v>46140</v>
      </c>
      <c r="C147" s="47">
        <f t="shared" si="31"/>
        <v>0</v>
      </c>
      <c r="D147" s="42">
        <f>_xlfn.XLOOKUP(ssH!$AG$3&amp;B147,ssH!A:A,ssH!D:D,0)</f>
        <v>0</v>
      </c>
      <c r="E147" s="42">
        <f>_xlfn.XLOOKUP(ssH!$AG$5&amp;B147,ssH!A:A,ssH!D:D,0)</f>
        <v>0</v>
      </c>
      <c r="F147" s="42">
        <f>_xlfn.XLOOKUP(ssH!$AG$6&amp;B147,ssH!A:A,ssH!D:D,0)</f>
        <v>0</v>
      </c>
      <c r="G147" s="48">
        <f>_xlfn.XLOOKUP(A147&amp;B147,ssH!A:A,ssH!F:F,-100%)</f>
        <v>-1</v>
      </c>
      <c r="H147" s="46">
        <f>_xlfn.XLOOKUP(ssH!$AG$3&amp;B147,ssH!A:A,ssH!F:F,0)</f>
        <v>0</v>
      </c>
      <c r="I147" s="46">
        <f>_xlfn.XLOOKUP(ssH!$AG$5&amp;B147,ssH!A:A,ssH!F:F,0)</f>
        <v>0</v>
      </c>
      <c r="J147" s="46">
        <f>_xlfn.XLOOKUP(ssH!$AG$6&amp;B147,ssH!A:A,ssH!F:F,0)</f>
        <v>0</v>
      </c>
      <c r="K147" s="46">
        <f>_xlfn.XLOOKUP(B147,ssL!C:C,ssL!G:G,"Removed")</f>
        <v>0</v>
      </c>
      <c r="L147" s="27">
        <f>_xlfn.XLOOKUP(A147&amp;B147,ssH!A:A,ssH!D:D,0)</f>
        <v>0</v>
      </c>
      <c r="M147" s="42" t="str">
        <f>_xlfn.XLOOKUP(A147&amp;B147,ssH!A:A,ssH!I:I,"")</f>
        <v/>
      </c>
      <c r="N147" s="51" t="str">
        <f t="shared" si="22"/>
        <v/>
      </c>
      <c r="O147" s="51" t="str">
        <f t="shared" si="23"/>
        <v/>
      </c>
      <c r="P147" s="51" t="str">
        <f t="shared" si="24"/>
        <v/>
      </c>
      <c r="Q147" s="52">
        <f t="shared" si="25"/>
        <v>0</v>
      </c>
      <c r="R147" s="51">
        <f t="shared" si="26"/>
        <v>2</v>
      </c>
      <c r="S147" s="51">
        <f t="shared" si="27"/>
        <v>0</v>
      </c>
      <c r="T147" s="51">
        <f t="shared" si="28"/>
        <v>0</v>
      </c>
      <c r="U147" s="52">
        <f t="shared" si="29"/>
        <v>2</v>
      </c>
      <c r="V147" s="52">
        <f t="shared" si="32"/>
        <v>0</v>
      </c>
      <c r="W147" s="52" t="str" cm="1">
        <f t="array" ref="W147">_xlfn.IFS(B147="","",AND(G147&gt;=0,L147&gt;0),"BuySome",AND(G147&gt;=0,K147="KMSignal"),"BuySome",AND(G147&lt;0,L147&gt;0),"BuyWatch",AND(Q147&lt;0,L147&gt;0),"BuyWatch",AND(G147&gt;=0,L147=0),"BuyWatch",L147&gt;0,"BuySome",TRUE,"")</f>
        <v/>
      </c>
      <c r="X147" s="47" t="str">
        <f>_xlfn.XLOOKUP(W147,Parm!$AN$2:$AN$25,Parm!$AO$2:$AO$25,"")</f>
        <v/>
      </c>
      <c r="Y147" s="52" t="str" cm="1">
        <f t="array" ref="Y147">_xlfn.IFS(B147="","",OR(Q147=-100,U147=-100),"SellAll",OR(Q147&lt;0,U147&lt;0),"SellSome",AND(Q147&gt;0,U147&gt;0),"BuySome",OR(Q147&gt;0,U147&gt;0),"BuyWatch",TRUE,"")</f>
        <v/>
      </c>
      <c r="Z147" s="47" t="str">
        <f>_xlfn.XLOOKUP(Y147,Parm!$AN$2:$AN$25,Parm!$AO$2:$AO$25,"")</f>
        <v/>
      </c>
      <c r="AA147" s="286">
        <f>IF(C147&lt;&gt;-100,A147,_xlfn.XLOOKUP(B147,ssH!L:L,ssH!M:M))</f>
        <v>46140</v>
      </c>
      <c r="AB147" s="49" t="str">
        <f t="shared" si="30"/>
        <v/>
      </c>
      <c r="AC147" s="52">
        <f>_xlfn.XLOOKUP(B147,TL!C:C,TL!C:C)</f>
        <v>0</v>
      </c>
      <c r="AD147" s="52">
        <f>_xlfn.XLOOKUP(B147,Y!C:C,Y!C:C)</f>
        <v>0</v>
      </c>
      <c r="AE147" s="52">
        <f>_xlfn.XLOOKUP(B147,MA!C:C,MA!C:C)</f>
        <v>0</v>
      </c>
    </row>
    <row r="148" spans="1:31" x14ac:dyDescent="0.25">
      <c r="A148" s="29">
        <f>ssH!$AG$1</f>
        <v>46140</v>
      </c>
      <c r="C148" s="47">
        <f t="shared" si="31"/>
        <v>0</v>
      </c>
      <c r="D148" s="42">
        <f>_xlfn.XLOOKUP(ssH!$AG$3&amp;B148,ssH!A:A,ssH!D:D,0)</f>
        <v>0</v>
      </c>
      <c r="E148" s="42">
        <f>_xlfn.XLOOKUP(ssH!$AG$5&amp;B148,ssH!A:A,ssH!D:D,0)</f>
        <v>0</v>
      </c>
      <c r="F148" s="42">
        <f>_xlfn.XLOOKUP(ssH!$AG$6&amp;B148,ssH!A:A,ssH!D:D,0)</f>
        <v>0</v>
      </c>
      <c r="G148" s="48">
        <f>_xlfn.XLOOKUP(A148&amp;B148,ssH!A:A,ssH!F:F,-100%)</f>
        <v>-1</v>
      </c>
      <c r="H148" s="46">
        <f>_xlfn.XLOOKUP(ssH!$AG$3&amp;B148,ssH!A:A,ssH!F:F,0)</f>
        <v>0</v>
      </c>
      <c r="I148" s="46">
        <f>_xlfn.XLOOKUP(ssH!$AG$5&amp;B148,ssH!A:A,ssH!F:F,0)</f>
        <v>0</v>
      </c>
      <c r="J148" s="46">
        <f>_xlfn.XLOOKUP(ssH!$AG$6&amp;B148,ssH!A:A,ssH!F:F,0)</f>
        <v>0</v>
      </c>
      <c r="K148" s="46">
        <f>_xlfn.XLOOKUP(B148,ssL!C:C,ssL!G:G,"Removed")</f>
        <v>0</v>
      </c>
      <c r="L148" s="27">
        <f>_xlfn.XLOOKUP(A148&amp;B148,ssH!A:A,ssH!D:D,0)</f>
        <v>0</v>
      </c>
      <c r="M148" s="42" t="str">
        <f>_xlfn.XLOOKUP(A148&amp;B148,ssH!A:A,ssH!I:I,"")</f>
        <v/>
      </c>
      <c r="N148" s="51" t="str">
        <f t="shared" si="22"/>
        <v/>
      </c>
      <c r="O148" s="51" t="str">
        <f t="shared" si="23"/>
        <v/>
      </c>
      <c r="P148" s="51" t="str">
        <f t="shared" si="24"/>
        <v/>
      </c>
      <c r="Q148" s="52">
        <f t="shared" si="25"/>
        <v>0</v>
      </c>
      <c r="R148" s="51">
        <f t="shared" si="26"/>
        <v>2</v>
      </c>
      <c r="S148" s="51">
        <f t="shared" si="27"/>
        <v>0</v>
      </c>
      <c r="T148" s="51">
        <f t="shared" si="28"/>
        <v>0</v>
      </c>
      <c r="U148" s="52">
        <f t="shared" si="29"/>
        <v>2</v>
      </c>
      <c r="V148" s="52">
        <f t="shared" si="32"/>
        <v>0</v>
      </c>
      <c r="W148" s="52" t="str" cm="1">
        <f t="array" ref="W148">_xlfn.IFS(B148="","",AND(G148&gt;=0,L148&gt;0),"BuySome",AND(G148&gt;=0,K148="KMSignal"),"BuySome",AND(G148&lt;0,L148&gt;0),"BuyWatch",AND(Q148&lt;0,L148&gt;0),"BuyWatch",AND(G148&gt;=0,L148=0),"BuyWatch",L148&gt;0,"BuySome",TRUE,"")</f>
        <v/>
      </c>
      <c r="X148" s="47" t="str">
        <f>_xlfn.XLOOKUP(W148,Parm!$AN$2:$AN$25,Parm!$AO$2:$AO$25,"")</f>
        <v/>
      </c>
      <c r="Y148" s="52" t="str" cm="1">
        <f t="array" ref="Y148">_xlfn.IFS(B148="","",OR(Q148=-100,U148=-100),"SellAll",OR(Q148&lt;0,U148&lt;0),"SellSome",AND(Q148&gt;0,U148&gt;0),"BuySome",OR(Q148&gt;0,U148&gt;0),"BuyWatch",TRUE,"")</f>
        <v/>
      </c>
      <c r="Z148" s="47" t="str">
        <f>_xlfn.XLOOKUP(Y148,Parm!$AN$2:$AN$25,Parm!$AO$2:$AO$25,"")</f>
        <v/>
      </c>
      <c r="AA148" s="286">
        <f>IF(C148&lt;&gt;-100,A148,_xlfn.XLOOKUP(B148,ssH!L:L,ssH!M:M))</f>
        <v>46140</v>
      </c>
      <c r="AB148" s="49" t="str">
        <f t="shared" si="30"/>
        <v/>
      </c>
      <c r="AC148" s="52">
        <f>_xlfn.XLOOKUP(B148,TL!C:C,TL!C:C)</f>
        <v>0</v>
      </c>
      <c r="AD148" s="52">
        <f>_xlfn.XLOOKUP(B148,Y!C:C,Y!C:C)</f>
        <v>0</v>
      </c>
      <c r="AE148" s="52">
        <f>_xlfn.XLOOKUP(B148,MA!C:C,MA!C:C)</f>
        <v>0</v>
      </c>
    </row>
    <row r="149" spans="1:31" x14ac:dyDescent="0.25">
      <c r="A149" s="29">
        <f>ssH!$AG$1</f>
        <v>46140</v>
      </c>
      <c r="C149" s="47">
        <f t="shared" si="31"/>
        <v>0</v>
      </c>
      <c r="D149" s="42">
        <f>_xlfn.XLOOKUP(ssH!$AG$3&amp;B149,ssH!A:A,ssH!D:D,0)</f>
        <v>0</v>
      </c>
      <c r="E149" s="42">
        <f>_xlfn.XLOOKUP(ssH!$AG$5&amp;B149,ssH!A:A,ssH!D:D,0)</f>
        <v>0</v>
      </c>
      <c r="F149" s="42">
        <f>_xlfn.XLOOKUP(ssH!$AG$6&amp;B149,ssH!A:A,ssH!D:D,0)</f>
        <v>0</v>
      </c>
      <c r="G149" s="48">
        <f>_xlfn.XLOOKUP(A149&amp;B149,ssH!A:A,ssH!F:F,-100%)</f>
        <v>-1</v>
      </c>
      <c r="H149" s="46">
        <f>_xlfn.XLOOKUP(ssH!$AG$3&amp;B149,ssH!A:A,ssH!F:F,0)</f>
        <v>0</v>
      </c>
      <c r="I149" s="46">
        <f>_xlfn.XLOOKUP(ssH!$AG$5&amp;B149,ssH!A:A,ssH!F:F,0)</f>
        <v>0</v>
      </c>
      <c r="J149" s="46">
        <f>_xlfn.XLOOKUP(ssH!$AG$6&amp;B149,ssH!A:A,ssH!F:F,0)</f>
        <v>0</v>
      </c>
      <c r="K149" s="46">
        <f>_xlfn.XLOOKUP(B149,ssL!C:C,ssL!G:G,"Removed")</f>
        <v>0</v>
      </c>
      <c r="L149" s="27">
        <f>_xlfn.XLOOKUP(A149&amp;B149,ssH!A:A,ssH!D:D,0)</f>
        <v>0</v>
      </c>
      <c r="M149" s="42" t="str">
        <f>_xlfn.XLOOKUP(A149&amp;B149,ssH!A:A,ssH!I:I,"")</f>
        <v/>
      </c>
      <c r="N149" s="51" t="str">
        <f t="shared" si="22"/>
        <v/>
      </c>
      <c r="O149" s="51" t="str">
        <f t="shared" si="23"/>
        <v/>
      </c>
      <c r="P149" s="51" t="str">
        <f t="shared" si="24"/>
        <v/>
      </c>
      <c r="Q149" s="52">
        <f t="shared" si="25"/>
        <v>0</v>
      </c>
      <c r="R149" s="51">
        <f t="shared" si="26"/>
        <v>2</v>
      </c>
      <c r="S149" s="51">
        <f t="shared" si="27"/>
        <v>0</v>
      </c>
      <c r="T149" s="51">
        <f t="shared" si="28"/>
        <v>0</v>
      </c>
      <c r="U149" s="52">
        <f t="shared" si="29"/>
        <v>2</v>
      </c>
      <c r="V149" s="52">
        <f t="shared" si="32"/>
        <v>0</v>
      </c>
      <c r="W149" s="52" t="str" cm="1">
        <f t="array" ref="W149">_xlfn.IFS(B149="","",AND(G149&gt;=0,L149&gt;0),"BuySome",AND(G149&gt;=0,K149="KMSignal"),"BuySome",AND(G149&lt;0,L149&gt;0),"BuyWatch",AND(Q149&lt;0,L149&gt;0),"BuyWatch",AND(G149&gt;=0,L149=0),"BuyWatch",L149&gt;0,"BuySome",TRUE,"")</f>
        <v/>
      </c>
      <c r="X149" s="47" t="str">
        <f>_xlfn.XLOOKUP(W149,Parm!$AN$2:$AN$25,Parm!$AO$2:$AO$25,"")</f>
        <v/>
      </c>
      <c r="Y149" s="52" t="str" cm="1">
        <f t="array" ref="Y149">_xlfn.IFS(B149="","",OR(Q149=-100,U149=-100),"SellAll",OR(Q149&lt;0,U149&lt;0),"SellSome",AND(Q149&gt;0,U149&gt;0),"BuySome",OR(Q149&gt;0,U149&gt;0),"BuyWatch",TRUE,"")</f>
        <v/>
      </c>
      <c r="Z149" s="47" t="str">
        <f>_xlfn.XLOOKUP(Y149,Parm!$AN$2:$AN$25,Parm!$AO$2:$AO$25,"")</f>
        <v/>
      </c>
      <c r="AA149" s="286">
        <f>IF(C149&lt;&gt;-100,A149,_xlfn.XLOOKUP(B149,ssH!L:L,ssH!M:M))</f>
        <v>46140</v>
      </c>
      <c r="AB149" s="49" t="str">
        <f t="shared" si="30"/>
        <v/>
      </c>
      <c r="AC149" s="52">
        <f>_xlfn.XLOOKUP(B149,TL!C:C,TL!C:C)</f>
        <v>0</v>
      </c>
      <c r="AD149" s="52">
        <f>_xlfn.XLOOKUP(B149,Y!C:C,Y!C:C)</f>
        <v>0</v>
      </c>
      <c r="AE149" s="52">
        <f>_xlfn.XLOOKUP(B149,MA!C:C,MA!C:C)</f>
        <v>0</v>
      </c>
    </row>
    <row r="150" spans="1:31" x14ac:dyDescent="0.25">
      <c r="A150" s="29">
        <f>ssH!$AG$1</f>
        <v>46140</v>
      </c>
      <c r="C150" s="47">
        <f t="shared" si="31"/>
        <v>0</v>
      </c>
      <c r="D150" s="42">
        <f>_xlfn.XLOOKUP(ssH!$AG$3&amp;B150,ssH!A:A,ssH!D:D,0)</f>
        <v>0</v>
      </c>
      <c r="E150" s="42">
        <f>_xlfn.XLOOKUP(ssH!$AG$5&amp;B150,ssH!A:A,ssH!D:D,0)</f>
        <v>0</v>
      </c>
      <c r="F150" s="42">
        <f>_xlfn.XLOOKUP(ssH!$AG$6&amp;B150,ssH!A:A,ssH!D:D,0)</f>
        <v>0</v>
      </c>
      <c r="G150" s="48">
        <f>_xlfn.XLOOKUP(A150&amp;B150,ssH!A:A,ssH!F:F,-100%)</f>
        <v>-1</v>
      </c>
      <c r="H150" s="46">
        <f>_xlfn.XLOOKUP(ssH!$AG$3&amp;B150,ssH!A:A,ssH!F:F,0)</f>
        <v>0</v>
      </c>
      <c r="I150" s="46">
        <f>_xlfn.XLOOKUP(ssH!$AG$5&amp;B150,ssH!A:A,ssH!F:F,0)</f>
        <v>0</v>
      </c>
      <c r="J150" s="46">
        <f>_xlfn.XLOOKUP(ssH!$AG$6&amp;B150,ssH!A:A,ssH!F:F,0)</f>
        <v>0</v>
      </c>
      <c r="K150" s="46">
        <f>_xlfn.XLOOKUP(B150,ssL!C:C,ssL!G:G,"Removed")</f>
        <v>0</v>
      </c>
      <c r="L150" s="27">
        <f>_xlfn.XLOOKUP(A150&amp;B150,ssH!A:A,ssH!D:D,0)</f>
        <v>0</v>
      </c>
      <c r="M150" s="42" t="str">
        <f>_xlfn.XLOOKUP(A150&amp;B150,ssH!A:A,ssH!I:I,"")</f>
        <v/>
      </c>
      <c r="N150" s="51" t="str">
        <f t="shared" si="22"/>
        <v/>
      </c>
      <c r="O150" s="51" t="str">
        <f t="shared" si="23"/>
        <v/>
      </c>
      <c r="P150" s="51" t="str">
        <f t="shared" si="24"/>
        <v/>
      </c>
      <c r="Q150" s="52">
        <f t="shared" si="25"/>
        <v>0</v>
      </c>
      <c r="R150" s="51">
        <f t="shared" si="26"/>
        <v>2</v>
      </c>
      <c r="S150" s="51">
        <f t="shared" si="27"/>
        <v>0</v>
      </c>
      <c r="T150" s="51">
        <f t="shared" si="28"/>
        <v>0</v>
      </c>
      <c r="U150" s="52">
        <f t="shared" si="29"/>
        <v>2</v>
      </c>
      <c r="V150" s="52">
        <f t="shared" si="32"/>
        <v>0</v>
      </c>
      <c r="W150" s="52" t="str" cm="1">
        <f t="array" ref="W150">_xlfn.IFS(B150="","",AND(G150&gt;=0,L150&gt;0),"BuySome",AND(G150&gt;=0,K150="KMSignal"),"BuySome",AND(G150&lt;0,L150&gt;0),"BuyWatch",AND(Q150&lt;0,L150&gt;0),"BuyWatch",AND(G150&gt;=0,L150=0),"BuyWatch",L150&gt;0,"BuySome",TRUE,"")</f>
        <v/>
      </c>
      <c r="X150" s="47" t="str">
        <f>_xlfn.XLOOKUP(W150,Parm!$AN$2:$AN$25,Parm!$AO$2:$AO$25,"")</f>
        <v/>
      </c>
      <c r="Y150" s="52" t="str" cm="1">
        <f t="array" ref="Y150">_xlfn.IFS(B150="","",OR(Q150=-100,U150=-100),"SellAll",OR(Q150&lt;0,U150&lt;0),"SellSome",AND(Q150&gt;0,U150&gt;0),"BuySome",OR(Q150&gt;0,U150&gt;0),"BuyWatch",TRUE,"")</f>
        <v/>
      </c>
      <c r="Z150" s="47" t="str">
        <f>_xlfn.XLOOKUP(Y150,Parm!$AN$2:$AN$25,Parm!$AO$2:$AO$25,"")</f>
        <v/>
      </c>
      <c r="AA150" s="286">
        <f>IF(C150&lt;&gt;-100,A150,_xlfn.XLOOKUP(B150,ssH!L:L,ssH!M:M))</f>
        <v>46140</v>
      </c>
      <c r="AB150" s="49" t="str">
        <f t="shared" si="30"/>
        <v/>
      </c>
      <c r="AC150" s="52">
        <f>_xlfn.XLOOKUP(B150,TL!C:C,TL!C:C)</f>
        <v>0</v>
      </c>
      <c r="AD150" s="52">
        <f>_xlfn.XLOOKUP(B150,Y!C:C,Y!C:C)</f>
        <v>0</v>
      </c>
      <c r="AE150" s="52">
        <f>_xlfn.XLOOKUP(B150,MA!C:C,MA!C:C)</f>
        <v>0</v>
      </c>
    </row>
    <row r="151" spans="1:31" x14ac:dyDescent="0.25">
      <c r="A151" s="29">
        <f>ssH!$AG$1</f>
        <v>46140</v>
      </c>
      <c r="C151" s="47">
        <f t="shared" si="31"/>
        <v>0</v>
      </c>
      <c r="D151" s="42">
        <f>_xlfn.XLOOKUP(ssH!$AG$3&amp;B151,ssH!A:A,ssH!D:D,0)</f>
        <v>0</v>
      </c>
      <c r="E151" s="42">
        <f>_xlfn.XLOOKUP(ssH!$AG$5&amp;B151,ssH!A:A,ssH!D:D,0)</f>
        <v>0</v>
      </c>
      <c r="F151" s="42">
        <f>_xlfn.XLOOKUP(ssH!$AG$6&amp;B151,ssH!A:A,ssH!D:D,0)</f>
        <v>0</v>
      </c>
      <c r="G151" s="48">
        <f>_xlfn.XLOOKUP(A151&amp;B151,ssH!A:A,ssH!F:F,-100%)</f>
        <v>-1</v>
      </c>
      <c r="H151" s="46">
        <f>_xlfn.XLOOKUP(ssH!$AG$3&amp;B151,ssH!A:A,ssH!F:F,0)</f>
        <v>0</v>
      </c>
      <c r="I151" s="46">
        <f>_xlfn.XLOOKUP(ssH!$AG$5&amp;B151,ssH!A:A,ssH!F:F,0)</f>
        <v>0</v>
      </c>
      <c r="J151" s="46">
        <f>_xlfn.XLOOKUP(ssH!$AG$6&amp;B151,ssH!A:A,ssH!F:F,0)</f>
        <v>0</v>
      </c>
      <c r="K151" s="46">
        <f>_xlfn.XLOOKUP(B151,ssL!C:C,ssL!G:G,"Removed")</f>
        <v>0</v>
      </c>
      <c r="L151" s="27">
        <f>_xlfn.XLOOKUP(A151&amp;B151,ssH!A:A,ssH!D:D,0)</f>
        <v>0</v>
      </c>
      <c r="M151" s="42" t="str">
        <f>_xlfn.XLOOKUP(A151&amp;B151,ssH!A:A,ssH!I:I,"")</f>
        <v/>
      </c>
      <c r="N151" s="51" t="str">
        <f t="shared" si="22"/>
        <v/>
      </c>
      <c r="O151" s="51" t="str">
        <f t="shared" si="23"/>
        <v/>
      </c>
      <c r="P151" s="51" t="str">
        <f t="shared" si="24"/>
        <v/>
      </c>
      <c r="Q151" s="52">
        <f t="shared" si="25"/>
        <v>0</v>
      </c>
      <c r="R151" s="51">
        <f t="shared" si="26"/>
        <v>2</v>
      </c>
      <c r="S151" s="51">
        <f t="shared" si="27"/>
        <v>0</v>
      </c>
      <c r="T151" s="51">
        <f t="shared" si="28"/>
        <v>0</v>
      </c>
      <c r="U151" s="52">
        <f t="shared" si="29"/>
        <v>2</v>
      </c>
      <c r="V151" s="52">
        <f t="shared" si="32"/>
        <v>0</v>
      </c>
      <c r="W151" s="52" t="str" cm="1">
        <f t="array" ref="W151">_xlfn.IFS(B151="","",AND(G151&gt;=0,L151&gt;0),"BuySome",AND(G151&gt;=0,K151="KMSignal"),"BuySome",AND(G151&lt;0,L151&gt;0),"BuyWatch",AND(Q151&lt;0,L151&gt;0),"BuyWatch",AND(G151&gt;=0,L151=0),"BuyWatch",L151&gt;0,"BuySome",TRUE,"")</f>
        <v/>
      </c>
      <c r="X151" s="47" t="str">
        <f>_xlfn.XLOOKUP(W151,Parm!$AN$2:$AN$25,Parm!$AO$2:$AO$25,"")</f>
        <v/>
      </c>
      <c r="Y151" s="52" t="str" cm="1">
        <f t="array" ref="Y151">_xlfn.IFS(B151="","",OR(Q151=-100,U151=-100),"SellAll",OR(Q151&lt;0,U151&lt;0),"SellSome",AND(Q151&gt;0,U151&gt;0),"BuySome",OR(Q151&gt;0,U151&gt;0),"BuyWatch",TRUE,"")</f>
        <v/>
      </c>
      <c r="Z151" s="47" t="str">
        <f>_xlfn.XLOOKUP(Y151,Parm!$AN$2:$AN$25,Parm!$AO$2:$AO$25,"")</f>
        <v/>
      </c>
      <c r="AA151" s="286">
        <f>IF(C151&lt;&gt;-100,A151,_xlfn.XLOOKUP(B151,ssH!L:L,ssH!M:M))</f>
        <v>46140</v>
      </c>
      <c r="AB151" s="49" t="str">
        <f t="shared" si="30"/>
        <v/>
      </c>
      <c r="AC151" s="52">
        <f>_xlfn.XLOOKUP(B151,TL!C:C,TL!C:C)</f>
        <v>0</v>
      </c>
      <c r="AD151" s="52">
        <f>_xlfn.XLOOKUP(B151,Y!C:C,Y!C:C)</f>
        <v>0</v>
      </c>
      <c r="AE151" s="52">
        <f>_xlfn.XLOOKUP(B151,MA!C:C,MA!C:C)</f>
        <v>0</v>
      </c>
    </row>
    <row r="152" spans="1:31" x14ac:dyDescent="0.25">
      <c r="A152" s="29">
        <f>ssH!$AG$1</f>
        <v>46140</v>
      </c>
      <c r="C152" s="47">
        <f t="shared" si="31"/>
        <v>0</v>
      </c>
      <c r="D152" s="42">
        <f>_xlfn.XLOOKUP(ssH!$AG$3&amp;B152,ssH!A:A,ssH!D:D,0)</f>
        <v>0</v>
      </c>
      <c r="E152" s="42">
        <f>_xlfn.XLOOKUP(ssH!$AG$5&amp;B152,ssH!A:A,ssH!D:D,0)</f>
        <v>0</v>
      </c>
      <c r="F152" s="42">
        <f>_xlfn.XLOOKUP(ssH!$AG$6&amp;B152,ssH!A:A,ssH!D:D,0)</f>
        <v>0</v>
      </c>
      <c r="G152" s="48">
        <f>_xlfn.XLOOKUP(A152&amp;B152,ssH!A:A,ssH!F:F,-100%)</f>
        <v>-1</v>
      </c>
      <c r="H152" s="46">
        <f>_xlfn.XLOOKUP(ssH!$AG$3&amp;B152,ssH!A:A,ssH!F:F,0)</f>
        <v>0</v>
      </c>
      <c r="I152" s="46">
        <f>_xlfn.XLOOKUP(ssH!$AG$5&amp;B152,ssH!A:A,ssH!F:F,0)</f>
        <v>0</v>
      </c>
      <c r="J152" s="46">
        <f>_xlfn.XLOOKUP(ssH!$AG$6&amp;B152,ssH!A:A,ssH!F:F,0)</f>
        <v>0</v>
      </c>
      <c r="K152" s="46">
        <f>_xlfn.XLOOKUP(B152,ssL!C:C,ssL!G:G,"Removed")</f>
        <v>0</v>
      </c>
      <c r="L152" s="27">
        <f>_xlfn.XLOOKUP(A152&amp;B152,ssH!A:A,ssH!D:D,0)</f>
        <v>0</v>
      </c>
      <c r="M152" s="42" t="str">
        <f>_xlfn.XLOOKUP(A152&amp;B152,ssH!A:A,ssH!I:I,"")</f>
        <v/>
      </c>
      <c r="N152" s="51" t="str">
        <f t="shared" si="22"/>
        <v/>
      </c>
      <c r="O152" s="51" t="str">
        <f t="shared" si="23"/>
        <v/>
      </c>
      <c r="P152" s="51" t="str">
        <f t="shared" si="24"/>
        <v/>
      </c>
      <c r="Q152" s="52">
        <f t="shared" si="25"/>
        <v>0</v>
      </c>
      <c r="R152" s="51">
        <f t="shared" si="26"/>
        <v>2</v>
      </c>
      <c r="S152" s="51">
        <f t="shared" si="27"/>
        <v>0</v>
      </c>
      <c r="T152" s="51">
        <f t="shared" si="28"/>
        <v>0</v>
      </c>
      <c r="U152" s="52">
        <f t="shared" si="29"/>
        <v>2</v>
      </c>
      <c r="V152" s="52">
        <f t="shared" si="32"/>
        <v>0</v>
      </c>
      <c r="W152" s="52" t="str" cm="1">
        <f t="array" ref="W152">_xlfn.IFS(B152="","",AND(G152&gt;=0,L152&gt;0),"BuySome",AND(G152&gt;=0,K152="KMSignal"),"BuySome",AND(G152&lt;0,L152&gt;0),"BuyWatch",AND(Q152&lt;0,L152&gt;0),"BuyWatch",AND(G152&gt;=0,L152=0),"BuyWatch",L152&gt;0,"BuySome",TRUE,"")</f>
        <v/>
      </c>
      <c r="X152" s="47" t="str">
        <f>_xlfn.XLOOKUP(W152,Parm!$AN$2:$AN$25,Parm!$AO$2:$AO$25,"")</f>
        <v/>
      </c>
      <c r="Y152" s="52" t="str" cm="1">
        <f t="array" ref="Y152">_xlfn.IFS(B152="","",OR(Q152=-100,U152=-100),"SellAll",OR(Q152&lt;0,U152&lt;0),"SellSome",AND(Q152&gt;0,U152&gt;0),"BuySome",OR(Q152&gt;0,U152&gt;0),"BuyWatch",TRUE,"")</f>
        <v/>
      </c>
      <c r="Z152" s="47" t="str">
        <f>_xlfn.XLOOKUP(Y152,Parm!$AN$2:$AN$25,Parm!$AO$2:$AO$25,"")</f>
        <v/>
      </c>
      <c r="AA152" s="286">
        <f>IF(C152&lt;&gt;-100,A152,_xlfn.XLOOKUP(B152,ssH!L:L,ssH!M:M))</f>
        <v>46140</v>
      </c>
      <c r="AB152" s="49" t="str">
        <f t="shared" si="30"/>
        <v/>
      </c>
      <c r="AC152" s="52">
        <f>_xlfn.XLOOKUP(B152,TL!C:C,TL!C:C)</f>
        <v>0</v>
      </c>
      <c r="AD152" s="52">
        <f>_xlfn.XLOOKUP(B152,Y!C:C,Y!C:C)</f>
        <v>0</v>
      </c>
      <c r="AE152" s="52">
        <f>_xlfn.XLOOKUP(B152,MA!C:C,MA!C:C)</f>
        <v>0</v>
      </c>
    </row>
    <row r="153" spans="1:31" x14ac:dyDescent="0.25">
      <c r="A153" s="29">
        <f>ssH!$AG$1</f>
        <v>46140</v>
      </c>
      <c r="C153" s="47">
        <f t="shared" si="31"/>
        <v>0</v>
      </c>
      <c r="D153" s="42">
        <f>_xlfn.XLOOKUP(ssH!$AG$3&amp;B153,ssH!A:A,ssH!D:D,0)</f>
        <v>0</v>
      </c>
      <c r="E153" s="42">
        <f>_xlfn.XLOOKUP(ssH!$AG$5&amp;B153,ssH!A:A,ssH!D:D,0)</f>
        <v>0</v>
      </c>
      <c r="F153" s="42">
        <f>_xlfn.XLOOKUP(ssH!$AG$6&amp;B153,ssH!A:A,ssH!D:D,0)</f>
        <v>0</v>
      </c>
      <c r="G153" s="48">
        <f>_xlfn.XLOOKUP(A153&amp;B153,ssH!A:A,ssH!F:F,-100%)</f>
        <v>-1</v>
      </c>
      <c r="H153" s="46">
        <f>_xlfn.XLOOKUP(ssH!$AG$3&amp;B153,ssH!A:A,ssH!F:F,0)</f>
        <v>0</v>
      </c>
      <c r="I153" s="46">
        <f>_xlfn.XLOOKUP(ssH!$AG$5&amp;B153,ssH!A:A,ssH!F:F,0)</f>
        <v>0</v>
      </c>
      <c r="J153" s="46">
        <f>_xlfn.XLOOKUP(ssH!$AG$6&amp;B153,ssH!A:A,ssH!F:F,0)</f>
        <v>0</v>
      </c>
      <c r="K153" s="46">
        <f>_xlfn.XLOOKUP(B153,ssL!C:C,ssL!G:G,"Removed")</f>
        <v>0</v>
      </c>
      <c r="L153" s="27">
        <f>_xlfn.XLOOKUP(A153&amp;B153,ssH!A:A,ssH!D:D,0)</f>
        <v>0</v>
      </c>
      <c r="M153" s="42" t="str">
        <f>_xlfn.XLOOKUP(A153&amp;B153,ssH!A:A,ssH!I:I,"")</f>
        <v/>
      </c>
      <c r="N153" s="51" t="str">
        <f t="shared" si="22"/>
        <v/>
      </c>
      <c r="O153" s="51" t="str">
        <f t="shared" si="23"/>
        <v/>
      </c>
      <c r="P153" s="51" t="str">
        <f t="shared" si="24"/>
        <v/>
      </c>
      <c r="Q153" s="52">
        <f t="shared" si="25"/>
        <v>0</v>
      </c>
      <c r="R153" s="51">
        <f t="shared" si="26"/>
        <v>2</v>
      </c>
      <c r="S153" s="51">
        <f t="shared" si="27"/>
        <v>0</v>
      </c>
      <c r="T153" s="51">
        <f t="shared" si="28"/>
        <v>0</v>
      </c>
      <c r="U153" s="52">
        <f t="shared" si="29"/>
        <v>2</v>
      </c>
      <c r="V153" s="52">
        <f t="shared" si="32"/>
        <v>0</v>
      </c>
      <c r="W153" s="52" t="str" cm="1">
        <f t="array" ref="W153">_xlfn.IFS(B153="","",AND(G153&gt;=0,L153&gt;0),"BuySome",AND(G153&gt;=0,K153="KMSignal"),"BuySome",AND(G153&lt;0,L153&gt;0),"BuyWatch",AND(Q153&lt;0,L153&gt;0),"BuyWatch",AND(G153&gt;=0,L153=0),"BuyWatch",L153&gt;0,"BuySome",TRUE,"")</f>
        <v/>
      </c>
      <c r="X153" s="47" t="str">
        <f>_xlfn.XLOOKUP(W153,Parm!$AN$2:$AN$25,Parm!$AO$2:$AO$25,"")</f>
        <v/>
      </c>
      <c r="Y153" s="52" t="str" cm="1">
        <f t="array" ref="Y153">_xlfn.IFS(B153="","",OR(Q153=-100,U153=-100),"SellAll",OR(Q153&lt;0,U153&lt;0),"SellSome",AND(Q153&gt;0,U153&gt;0),"BuySome",OR(Q153&gt;0,U153&gt;0),"BuyWatch",TRUE,"")</f>
        <v/>
      </c>
      <c r="Z153" s="47" t="str">
        <f>_xlfn.XLOOKUP(Y153,Parm!$AN$2:$AN$25,Parm!$AO$2:$AO$25,"")</f>
        <v/>
      </c>
      <c r="AA153" s="286">
        <f>IF(C153&lt;&gt;-100,A153,_xlfn.XLOOKUP(B153,ssH!L:L,ssH!M:M))</f>
        <v>46140</v>
      </c>
      <c r="AB153" s="49" t="str">
        <f t="shared" si="30"/>
        <v/>
      </c>
      <c r="AC153" s="52">
        <f>_xlfn.XLOOKUP(B153,TL!C:C,TL!C:C)</f>
        <v>0</v>
      </c>
      <c r="AD153" s="52">
        <f>_xlfn.XLOOKUP(B153,Y!C:C,Y!C:C)</f>
        <v>0</v>
      </c>
      <c r="AE153" s="52">
        <f>_xlfn.XLOOKUP(B153,MA!C:C,MA!C:C)</f>
        <v>0</v>
      </c>
    </row>
    <row r="154" spans="1:31" x14ac:dyDescent="0.25">
      <c r="A154" s="29">
        <f>ssH!$AG$1</f>
        <v>46140</v>
      </c>
      <c r="C154" s="47">
        <f t="shared" si="31"/>
        <v>0</v>
      </c>
      <c r="D154" s="42">
        <f>_xlfn.XLOOKUP(ssH!$AG$3&amp;B154,ssH!A:A,ssH!D:D,0)</f>
        <v>0</v>
      </c>
      <c r="E154" s="42">
        <f>_xlfn.XLOOKUP(ssH!$AG$5&amp;B154,ssH!A:A,ssH!D:D,0)</f>
        <v>0</v>
      </c>
      <c r="F154" s="42">
        <f>_xlfn.XLOOKUP(ssH!$AG$6&amp;B154,ssH!A:A,ssH!D:D,0)</f>
        <v>0</v>
      </c>
      <c r="G154" s="48">
        <f>_xlfn.XLOOKUP(A154&amp;B154,ssH!A:A,ssH!F:F,-100%)</f>
        <v>-1</v>
      </c>
      <c r="H154" s="46">
        <f>_xlfn.XLOOKUP(ssH!$AG$3&amp;B154,ssH!A:A,ssH!F:F,0)</f>
        <v>0</v>
      </c>
      <c r="I154" s="46">
        <f>_xlfn.XLOOKUP(ssH!$AG$5&amp;B154,ssH!A:A,ssH!F:F,0)</f>
        <v>0</v>
      </c>
      <c r="J154" s="46">
        <f>_xlfn.XLOOKUP(ssH!$AG$6&amp;B154,ssH!A:A,ssH!F:F,0)</f>
        <v>0</v>
      </c>
      <c r="K154" s="46">
        <f>_xlfn.XLOOKUP(B154,ssL!C:C,ssL!G:G,"Removed")</f>
        <v>0</v>
      </c>
      <c r="L154" s="27">
        <f>_xlfn.XLOOKUP(A154&amp;B154,ssH!A:A,ssH!D:D,0)</f>
        <v>0</v>
      </c>
      <c r="M154" s="42" t="str">
        <f>_xlfn.XLOOKUP(A154&amp;B154,ssH!A:A,ssH!I:I,"")</f>
        <v/>
      </c>
      <c r="N154" s="51" t="str">
        <f t="shared" si="22"/>
        <v/>
      </c>
      <c r="O154" s="51" t="str">
        <f t="shared" si="23"/>
        <v/>
      </c>
      <c r="P154" s="51" t="str">
        <f t="shared" si="24"/>
        <v/>
      </c>
      <c r="Q154" s="52">
        <f t="shared" si="25"/>
        <v>0</v>
      </c>
      <c r="R154" s="51">
        <f t="shared" si="26"/>
        <v>2</v>
      </c>
      <c r="S154" s="51">
        <f t="shared" si="27"/>
        <v>0</v>
      </c>
      <c r="T154" s="51">
        <f t="shared" si="28"/>
        <v>0</v>
      </c>
      <c r="U154" s="52">
        <f t="shared" si="29"/>
        <v>2</v>
      </c>
      <c r="V154" s="52">
        <f t="shared" si="32"/>
        <v>0</v>
      </c>
      <c r="W154" s="52" t="str" cm="1">
        <f t="array" ref="W154">_xlfn.IFS(B154="","",AND(G154&gt;=0,L154&gt;0),"BuySome",AND(G154&gt;=0,K154="KMSignal"),"BuySome",AND(G154&lt;0,L154&gt;0),"BuyWatch",AND(Q154&lt;0,L154&gt;0),"BuyWatch",AND(G154&gt;=0,L154=0),"BuyWatch",L154&gt;0,"BuySome",TRUE,"")</f>
        <v/>
      </c>
      <c r="X154" s="47" t="str">
        <f>_xlfn.XLOOKUP(W154,Parm!$AN$2:$AN$25,Parm!$AO$2:$AO$25,"")</f>
        <v/>
      </c>
      <c r="Y154" s="52" t="str" cm="1">
        <f t="array" ref="Y154">_xlfn.IFS(B154="","",OR(Q154=-100,U154=-100),"SellAll",OR(Q154&lt;0,U154&lt;0),"SellSome",AND(Q154&gt;0,U154&gt;0),"BuySome",OR(Q154&gt;0,U154&gt;0),"BuyWatch",TRUE,"")</f>
        <v/>
      </c>
      <c r="Z154" s="47" t="str">
        <f>_xlfn.XLOOKUP(Y154,Parm!$AN$2:$AN$25,Parm!$AO$2:$AO$25,"")</f>
        <v/>
      </c>
      <c r="AA154" s="286">
        <f>IF(C154&lt;&gt;-100,A154,_xlfn.XLOOKUP(B154,ssH!L:L,ssH!M:M))</f>
        <v>46140</v>
      </c>
      <c r="AB154" s="49" t="str">
        <f t="shared" si="30"/>
        <v/>
      </c>
      <c r="AC154" s="52">
        <f>_xlfn.XLOOKUP(B154,TL!C:C,TL!C:C)</f>
        <v>0</v>
      </c>
      <c r="AD154" s="52">
        <f>_xlfn.XLOOKUP(B154,Y!C:C,Y!C:C)</f>
        <v>0</v>
      </c>
      <c r="AE154" s="52">
        <f>_xlfn.XLOOKUP(B154,MA!C:C,MA!C:C)</f>
        <v>0</v>
      </c>
    </row>
    <row r="155" spans="1:31" x14ac:dyDescent="0.25">
      <c r="A155" s="29">
        <f>ssH!$AG$1</f>
        <v>46140</v>
      </c>
      <c r="C155" s="47">
        <f t="shared" si="31"/>
        <v>0</v>
      </c>
      <c r="D155" s="42">
        <f>_xlfn.XLOOKUP(ssH!$AG$3&amp;B155,ssH!A:A,ssH!D:D,0)</f>
        <v>0</v>
      </c>
      <c r="E155" s="42">
        <f>_xlfn.XLOOKUP(ssH!$AG$5&amp;B155,ssH!A:A,ssH!D:D,0)</f>
        <v>0</v>
      </c>
      <c r="F155" s="42">
        <f>_xlfn.XLOOKUP(ssH!$AG$6&amp;B155,ssH!A:A,ssH!D:D,0)</f>
        <v>0</v>
      </c>
      <c r="G155" s="48">
        <f>_xlfn.XLOOKUP(A155&amp;B155,ssH!A:A,ssH!F:F,-100%)</f>
        <v>-1</v>
      </c>
      <c r="H155" s="46">
        <f>_xlfn.XLOOKUP(ssH!$AG$3&amp;B155,ssH!A:A,ssH!F:F,0)</f>
        <v>0</v>
      </c>
      <c r="I155" s="46">
        <f>_xlfn.XLOOKUP(ssH!$AG$5&amp;B155,ssH!A:A,ssH!F:F,0)</f>
        <v>0</v>
      </c>
      <c r="J155" s="46">
        <f>_xlfn.XLOOKUP(ssH!$AG$6&amp;B155,ssH!A:A,ssH!F:F,0)</f>
        <v>0</v>
      </c>
      <c r="K155" s="46">
        <f>_xlfn.XLOOKUP(B155,ssL!C:C,ssL!G:G,"Removed")</f>
        <v>0</v>
      </c>
      <c r="L155" s="27">
        <f>_xlfn.XLOOKUP(A155&amp;B155,ssH!A:A,ssH!D:D,0)</f>
        <v>0</v>
      </c>
      <c r="M155" s="42" t="str">
        <f>_xlfn.XLOOKUP(A155&amp;B155,ssH!A:A,ssH!I:I,"")</f>
        <v/>
      </c>
      <c r="N155" s="51" t="str">
        <f t="shared" si="22"/>
        <v/>
      </c>
      <c r="O155" s="51" t="str">
        <f t="shared" si="23"/>
        <v/>
      </c>
      <c r="P155" s="51" t="str">
        <f t="shared" si="24"/>
        <v/>
      </c>
      <c r="Q155" s="52">
        <f t="shared" si="25"/>
        <v>0</v>
      </c>
      <c r="R155" s="51">
        <f t="shared" si="26"/>
        <v>2</v>
      </c>
      <c r="S155" s="51">
        <f t="shared" si="27"/>
        <v>0</v>
      </c>
      <c r="T155" s="51">
        <f t="shared" si="28"/>
        <v>0</v>
      </c>
      <c r="U155" s="52">
        <f t="shared" si="29"/>
        <v>2</v>
      </c>
      <c r="V155" s="52">
        <f t="shared" si="32"/>
        <v>0</v>
      </c>
      <c r="W155" s="52" t="str" cm="1">
        <f t="array" ref="W155">_xlfn.IFS(B155="","",AND(G155&gt;=0,L155&gt;0),"BuySome",AND(G155&gt;=0,K155="KMSignal"),"BuySome",AND(G155&lt;0,L155&gt;0),"BuyWatch",AND(Q155&lt;0,L155&gt;0),"BuyWatch",AND(G155&gt;=0,L155=0),"BuyWatch",L155&gt;0,"BuySome",TRUE,"")</f>
        <v/>
      </c>
      <c r="X155" s="47" t="str">
        <f>_xlfn.XLOOKUP(W155,Parm!$AN$2:$AN$25,Parm!$AO$2:$AO$25,"")</f>
        <v/>
      </c>
      <c r="Y155" s="52" t="str" cm="1">
        <f t="array" ref="Y155">_xlfn.IFS(B155="","",OR(Q155=-100,U155=-100),"SellAll",OR(Q155&lt;0,U155&lt;0),"SellSome",AND(Q155&gt;0,U155&gt;0),"BuySome",OR(Q155&gt;0,U155&gt;0),"BuyWatch",TRUE,"")</f>
        <v/>
      </c>
      <c r="Z155" s="47" t="str">
        <f>_xlfn.XLOOKUP(Y155,Parm!$AN$2:$AN$25,Parm!$AO$2:$AO$25,"")</f>
        <v/>
      </c>
      <c r="AA155" s="286">
        <f>IF(C155&lt;&gt;-100,A155,_xlfn.XLOOKUP(B155,ssH!L:L,ssH!M:M))</f>
        <v>46140</v>
      </c>
      <c r="AB155" s="49" t="str">
        <f t="shared" si="30"/>
        <v/>
      </c>
      <c r="AC155" s="52">
        <f>_xlfn.XLOOKUP(B155,TL!C:C,TL!C:C)</f>
        <v>0</v>
      </c>
      <c r="AD155" s="52">
        <f>_xlfn.XLOOKUP(B155,Y!C:C,Y!C:C)</f>
        <v>0</v>
      </c>
      <c r="AE155" s="52">
        <f>_xlfn.XLOOKUP(B155,MA!C:C,MA!C:C)</f>
        <v>0</v>
      </c>
    </row>
    <row r="156" spans="1:31" x14ac:dyDescent="0.25">
      <c r="A156" s="29">
        <f>ssH!$AG$1</f>
        <v>46140</v>
      </c>
      <c r="C156" s="47">
        <f t="shared" si="31"/>
        <v>0</v>
      </c>
      <c r="D156" s="42">
        <f>_xlfn.XLOOKUP(ssH!$AG$3&amp;B156,ssH!A:A,ssH!D:D,0)</f>
        <v>0</v>
      </c>
      <c r="E156" s="42">
        <f>_xlfn.XLOOKUP(ssH!$AG$5&amp;B156,ssH!A:A,ssH!D:D,0)</f>
        <v>0</v>
      </c>
      <c r="F156" s="42">
        <f>_xlfn.XLOOKUP(ssH!$AG$6&amp;B156,ssH!A:A,ssH!D:D,0)</f>
        <v>0</v>
      </c>
      <c r="G156" s="48">
        <f>_xlfn.XLOOKUP(A156&amp;B156,ssH!A:A,ssH!F:F,-100%)</f>
        <v>-1</v>
      </c>
      <c r="H156" s="46">
        <f>_xlfn.XLOOKUP(ssH!$AG$3&amp;B156,ssH!A:A,ssH!F:F,0)</f>
        <v>0</v>
      </c>
      <c r="I156" s="46">
        <f>_xlfn.XLOOKUP(ssH!$AG$5&amp;B156,ssH!A:A,ssH!F:F,0)</f>
        <v>0</v>
      </c>
      <c r="J156" s="46">
        <f>_xlfn.XLOOKUP(ssH!$AG$6&amp;B156,ssH!A:A,ssH!F:F,0)</f>
        <v>0</v>
      </c>
      <c r="K156" s="46">
        <f>_xlfn.XLOOKUP(B156,ssL!C:C,ssL!G:G,"Removed")</f>
        <v>0</v>
      </c>
      <c r="L156" s="27">
        <f>_xlfn.XLOOKUP(A156&amp;B156,ssH!A:A,ssH!D:D,0)</f>
        <v>0</v>
      </c>
      <c r="M156" s="42" t="str">
        <f>_xlfn.XLOOKUP(A156&amp;B156,ssH!A:A,ssH!I:I,"")</f>
        <v/>
      </c>
      <c r="N156" s="51" t="str">
        <f t="shared" si="22"/>
        <v/>
      </c>
      <c r="O156" s="51" t="str">
        <f t="shared" si="23"/>
        <v/>
      </c>
      <c r="P156" s="51" t="str">
        <f t="shared" si="24"/>
        <v/>
      </c>
      <c r="Q156" s="52">
        <f t="shared" si="25"/>
        <v>0</v>
      </c>
      <c r="R156" s="51">
        <f t="shared" si="26"/>
        <v>2</v>
      </c>
      <c r="S156" s="51">
        <f t="shared" si="27"/>
        <v>0</v>
      </c>
      <c r="T156" s="51">
        <f t="shared" si="28"/>
        <v>0</v>
      </c>
      <c r="U156" s="52">
        <f t="shared" si="29"/>
        <v>2</v>
      </c>
      <c r="V156" s="52">
        <f t="shared" si="32"/>
        <v>0</v>
      </c>
      <c r="W156" s="52" t="str" cm="1">
        <f t="array" ref="W156">_xlfn.IFS(B156="","",AND(G156&gt;=0,L156&gt;0),"BuySome",AND(G156&gt;=0,K156="KMSignal"),"BuySome",AND(G156&lt;0,L156&gt;0),"BuyWatch",AND(Q156&lt;0,L156&gt;0),"BuyWatch",AND(G156&gt;=0,L156=0),"BuyWatch",L156&gt;0,"BuySome",TRUE,"")</f>
        <v/>
      </c>
      <c r="X156" s="47" t="str">
        <f>_xlfn.XLOOKUP(W156,Parm!$AN$2:$AN$25,Parm!$AO$2:$AO$25,"")</f>
        <v/>
      </c>
      <c r="Y156" s="52" t="str" cm="1">
        <f t="array" ref="Y156">_xlfn.IFS(B156="","",OR(Q156=-100,U156=-100),"SellAll",OR(Q156&lt;0,U156&lt;0),"SellSome",AND(Q156&gt;0,U156&gt;0),"BuySome",OR(Q156&gt;0,U156&gt;0),"BuyWatch",TRUE,"")</f>
        <v/>
      </c>
      <c r="Z156" s="47" t="str">
        <f>_xlfn.XLOOKUP(Y156,Parm!$AN$2:$AN$25,Parm!$AO$2:$AO$25,"")</f>
        <v/>
      </c>
      <c r="AA156" s="286">
        <f>IF(C156&lt;&gt;-100,A156,_xlfn.XLOOKUP(B156,ssH!L:L,ssH!M:M))</f>
        <v>46140</v>
      </c>
      <c r="AB156" s="49" t="str">
        <f t="shared" si="30"/>
        <v/>
      </c>
      <c r="AC156" s="52">
        <f>_xlfn.XLOOKUP(B156,TL!C:C,TL!C:C)</f>
        <v>0</v>
      </c>
      <c r="AD156" s="52">
        <f>_xlfn.XLOOKUP(B156,Y!C:C,Y!C:C)</f>
        <v>0</v>
      </c>
      <c r="AE156" s="52">
        <f>_xlfn.XLOOKUP(B156,MA!C:C,MA!C:C)</f>
        <v>0</v>
      </c>
    </row>
    <row r="157" spans="1:31" x14ac:dyDescent="0.25">
      <c r="A157" s="29">
        <f>ssH!$AG$1</f>
        <v>46140</v>
      </c>
      <c r="C157" s="47">
        <f t="shared" si="31"/>
        <v>0</v>
      </c>
      <c r="D157" s="42">
        <f>_xlfn.XLOOKUP(ssH!$AG$3&amp;B157,ssH!A:A,ssH!D:D,0)</f>
        <v>0</v>
      </c>
      <c r="E157" s="42">
        <f>_xlfn.XLOOKUP(ssH!$AG$5&amp;B157,ssH!A:A,ssH!D:D,0)</f>
        <v>0</v>
      </c>
      <c r="F157" s="42">
        <f>_xlfn.XLOOKUP(ssH!$AG$6&amp;B157,ssH!A:A,ssH!D:D,0)</f>
        <v>0</v>
      </c>
      <c r="G157" s="48">
        <f>_xlfn.XLOOKUP(A157&amp;B157,ssH!A:A,ssH!F:F,-100%)</f>
        <v>-1</v>
      </c>
      <c r="H157" s="46">
        <f>_xlfn.XLOOKUP(ssH!$AG$3&amp;B157,ssH!A:A,ssH!F:F,0)</f>
        <v>0</v>
      </c>
      <c r="I157" s="46">
        <f>_xlfn.XLOOKUP(ssH!$AG$5&amp;B157,ssH!A:A,ssH!F:F,0)</f>
        <v>0</v>
      </c>
      <c r="J157" s="46">
        <f>_xlfn.XLOOKUP(ssH!$AG$6&amp;B157,ssH!A:A,ssH!F:F,0)</f>
        <v>0</v>
      </c>
      <c r="K157" s="46">
        <f>_xlfn.XLOOKUP(B157,ssL!C:C,ssL!G:G,"Removed")</f>
        <v>0</v>
      </c>
      <c r="L157" s="27">
        <f>_xlfn.XLOOKUP(A157&amp;B157,ssH!A:A,ssH!D:D,0)</f>
        <v>0</v>
      </c>
      <c r="M157" s="42" t="str">
        <f>_xlfn.XLOOKUP(A157&amp;B157,ssH!A:A,ssH!I:I,"")</f>
        <v/>
      </c>
      <c r="N157" s="51" t="str">
        <f t="shared" si="22"/>
        <v/>
      </c>
      <c r="O157" s="51" t="str">
        <f t="shared" si="23"/>
        <v/>
      </c>
      <c r="P157" s="51" t="str">
        <f t="shared" si="24"/>
        <v/>
      </c>
      <c r="Q157" s="52">
        <f t="shared" si="25"/>
        <v>0</v>
      </c>
      <c r="R157" s="51">
        <f t="shared" si="26"/>
        <v>2</v>
      </c>
      <c r="S157" s="51">
        <f t="shared" si="27"/>
        <v>0</v>
      </c>
      <c r="T157" s="51">
        <f t="shared" si="28"/>
        <v>0</v>
      </c>
      <c r="U157" s="52">
        <f t="shared" si="29"/>
        <v>2</v>
      </c>
      <c r="V157" s="52">
        <f t="shared" si="32"/>
        <v>0</v>
      </c>
      <c r="W157" s="52" t="str" cm="1">
        <f t="array" ref="W157">_xlfn.IFS(B157="","",AND(G157&gt;=0,L157&gt;0),"BuySome",AND(G157&gt;=0,K157="KMSignal"),"BuySome",AND(G157&lt;0,L157&gt;0),"BuyWatch",AND(Q157&lt;0,L157&gt;0),"BuyWatch",AND(G157&gt;=0,L157=0),"BuyWatch",L157&gt;0,"BuySome",TRUE,"")</f>
        <v/>
      </c>
      <c r="X157" s="47" t="str">
        <f>_xlfn.XLOOKUP(W157,Parm!$AN$2:$AN$25,Parm!$AO$2:$AO$25,"")</f>
        <v/>
      </c>
      <c r="Y157" s="52" t="str" cm="1">
        <f t="array" ref="Y157">_xlfn.IFS(B157="","",OR(Q157=-100,U157=-100),"SellAll",OR(Q157&lt;0,U157&lt;0),"SellSome",AND(Q157&gt;0,U157&gt;0),"BuySome",OR(Q157&gt;0,U157&gt;0),"BuyWatch",TRUE,"")</f>
        <v/>
      </c>
      <c r="Z157" s="47" t="str">
        <f>_xlfn.XLOOKUP(Y157,Parm!$AN$2:$AN$25,Parm!$AO$2:$AO$25,"")</f>
        <v/>
      </c>
      <c r="AA157" s="286">
        <f>IF(C157&lt;&gt;-100,A157,_xlfn.XLOOKUP(B157,ssH!L:L,ssH!M:M))</f>
        <v>46140</v>
      </c>
      <c r="AB157" s="49" t="str">
        <f t="shared" si="30"/>
        <v/>
      </c>
      <c r="AC157" s="52">
        <f>_xlfn.XLOOKUP(B157,TL!C:C,TL!C:C)</f>
        <v>0</v>
      </c>
      <c r="AD157" s="52">
        <f>_xlfn.XLOOKUP(B157,Y!C:C,Y!C:C)</f>
        <v>0</v>
      </c>
      <c r="AE157" s="52">
        <f>_xlfn.XLOOKUP(B157,MA!C:C,MA!C:C)</f>
        <v>0</v>
      </c>
    </row>
    <row r="158" spans="1:31" x14ac:dyDescent="0.25">
      <c r="A158" s="29">
        <f>ssH!$AG$1</f>
        <v>46140</v>
      </c>
      <c r="C158" s="47">
        <f t="shared" si="31"/>
        <v>0</v>
      </c>
      <c r="D158" s="42">
        <f>_xlfn.XLOOKUP(ssH!$AG$3&amp;B158,ssH!A:A,ssH!D:D,0)</f>
        <v>0</v>
      </c>
      <c r="E158" s="42">
        <f>_xlfn.XLOOKUP(ssH!$AG$5&amp;B158,ssH!A:A,ssH!D:D,0)</f>
        <v>0</v>
      </c>
      <c r="F158" s="42">
        <f>_xlfn.XLOOKUP(ssH!$AG$6&amp;B158,ssH!A:A,ssH!D:D,0)</f>
        <v>0</v>
      </c>
      <c r="G158" s="48">
        <f>_xlfn.XLOOKUP(A158&amp;B158,ssH!A:A,ssH!F:F,-100%)</f>
        <v>-1</v>
      </c>
      <c r="H158" s="46">
        <f>_xlfn.XLOOKUP(ssH!$AG$3&amp;B158,ssH!A:A,ssH!F:F,0)</f>
        <v>0</v>
      </c>
      <c r="I158" s="46">
        <f>_xlfn.XLOOKUP(ssH!$AG$5&amp;B158,ssH!A:A,ssH!F:F,0)</f>
        <v>0</v>
      </c>
      <c r="J158" s="46">
        <f>_xlfn.XLOOKUP(ssH!$AG$6&amp;B158,ssH!A:A,ssH!F:F,0)</f>
        <v>0</v>
      </c>
      <c r="K158" s="46">
        <f>_xlfn.XLOOKUP(B158,ssL!C:C,ssL!G:G,"Removed")</f>
        <v>0</v>
      </c>
      <c r="L158" s="27">
        <f>_xlfn.XLOOKUP(A158&amp;B158,ssH!A:A,ssH!D:D,0)</f>
        <v>0</v>
      </c>
      <c r="M158" s="42" t="str">
        <f>_xlfn.XLOOKUP(A158&amp;B158,ssH!A:A,ssH!I:I,"")</f>
        <v/>
      </c>
      <c r="N158" s="51" t="str">
        <f t="shared" si="22"/>
        <v/>
      </c>
      <c r="O158" s="51" t="str">
        <f t="shared" si="23"/>
        <v/>
      </c>
      <c r="P158" s="51" t="str">
        <f t="shared" si="24"/>
        <v/>
      </c>
      <c r="Q158" s="52">
        <f t="shared" si="25"/>
        <v>0</v>
      </c>
      <c r="R158" s="51">
        <f t="shared" si="26"/>
        <v>2</v>
      </c>
      <c r="S158" s="51">
        <f t="shared" si="27"/>
        <v>0</v>
      </c>
      <c r="T158" s="51">
        <f t="shared" si="28"/>
        <v>0</v>
      </c>
      <c r="U158" s="52">
        <f t="shared" si="29"/>
        <v>2</v>
      </c>
      <c r="V158" s="52">
        <f t="shared" si="32"/>
        <v>0</v>
      </c>
      <c r="W158" s="52" t="str" cm="1">
        <f t="array" ref="W158">_xlfn.IFS(B158="","",AND(G158&gt;=0,L158&gt;0),"BuySome",AND(G158&gt;=0,K158="KMSignal"),"BuySome",AND(G158&lt;0,L158&gt;0),"BuyWatch",AND(Q158&lt;0,L158&gt;0),"BuyWatch",AND(G158&gt;=0,L158=0),"BuyWatch",L158&gt;0,"BuySome",TRUE,"")</f>
        <v/>
      </c>
      <c r="X158" s="47" t="str">
        <f>_xlfn.XLOOKUP(W158,Parm!$AN$2:$AN$25,Parm!$AO$2:$AO$25,"")</f>
        <v/>
      </c>
      <c r="Y158" s="52" t="str" cm="1">
        <f t="array" ref="Y158">_xlfn.IFS(B158="","",OR(Q158=-100,U158=-100),"SellAll",OR(Q158&lt;0,U158&lt;0),"SellSome",AND(Q158&gt;0,U158&gt;0),"BuySome",OR(Q158&gt;0,U158&gt;0),"BuyWatch",TRUE,"")</f>
        <v/>
      </c>
      <c r="Z158" s="47" t="str">
        <f>_xlfn.XLOOKUP(Y158,Parm!$AN$2:$AN$25,Parm!$AO$2:$AO$25,"")</f>
        <v/>
      </c>
      <c r="AA158" s="286">
        <f>IF(C158&lt;&gt;-100,A158,_xlfn.XLOOKUP(B158,ssH!L:L,ssH!M:M))</f>
        <v>46140</v>
      </c>
      <c r="AB158" s="49" t="str">
        <f t="shared" si="30"/>
        <v/>
      </c>
      <c r="AC158" s="52">
        <f>_xlfn.XLOOKUP(B158,TL!C:C,TL!C:C)</f>
        <v>0</v>
      </c>
      <c r="AD158" s="52">
        <f>_xlfn.XLOOKUP(B158,Y!C:C,Y!C:C)</f>
        <v>0</v>
      </c>
      <c r="AE158" s="52">
        <f>_xlfn.XLOOKUP(B158,MA!C:C,MA!C:C)</f>
        <v>0</v>
      </c>
    </row>
    <row r="159" spans="1:31" x14ac:dyDescent="0.25">
      <c r="A159" s="29">
        <f>ssH!$AG$1</f>
        <v>46140</v>
      </c>
      <c r="C159" s="47">
        <f t="shared" si="31"/>
        <v>0</v>
      </c>
      <c r="D159" s="42">
        <f>_xlfn.XLOOKUP(ssH!$AG$3&amp;B159,ssH!A:A,ssH!D:D,0)</f>
        <v>0</v>
      </c>
      <c r="E159" s="42">
        <f>_xlfn.XLOOKUP(ssH!$AG$5&amp;B159,ssH!A:A,ssH!D:D,0)</f>
        <v>0</v>
      </c>
      <c r="F159" s="42">
        <f>_xlfn.XLOOKUP(ssH!$AG$6&amp;B159,ssH!A:A,ssH!D:D,0)</f>
        <v>0</v>
      </c>
      <c r="G159" s="48">
        <f>_xlfn.XLOOKUP(A159&amp;B159,ssH!A:A,ssH!F:F,-100%)</f>
        <v>-1</v>
      </c>
      <c r="H159" s="46">
        <f>_xlfn.XLOOKUP(ssH!$AG$3&amp;B159,ssH!A:A,ssH!F:F,0)</f>
        <v>0</v>
      </c>
      <c r="I159" s="46">
        <f>_xlfn.XLOOKUP(ssH!$AG$5&amp;B159,ssH!A:A,ssH!F:F,0)</f>
        <v>0</v>
      </c>
      <c r="J159" s="46">
        <f>_xlfn.XLOOKUP(ssH!$AG$6&amp;B159,ssH!A:A,ssH!F:F,0)</f>
        <v>0</v>
      </c>
      <c r="K159" s="46">
        <f>_xlfn.XLOOKUP(B159,ssL!C:C,ssL!G:G,"Removed")</f>
        <v>0</v>
      </c>
      <c r="L159" s="27">
        <f>_xlfn.XLOOKUP(A159&amp;B159,ssH!A:A,ssH!D:D,0)</f>
        <v>0</v>
      </c>
      <c r="M159" s="42" t="str">
        <f>_xlfn.XLOOKUP(A159&amp;B159,ssH!A:A,ssH!I:I,"")</f>
        <v/>
      </c>
      <c r="N159" s="51" t="str">
        <f t="shared" si="22"/>
        <v/>
      </c>
      <c r="O159" s="51" t="str">
        <f t="shared" si="23"/>
        <v/>
      </c>
      <c r="P159" s="51" t="str">
        <f t="shared" si="24"/>
        <v/>
      </c>
      <c r="Q159" s="52">
        <f t="shared" si="25"/>
        <v>0</v>
      </c>
      <c r="R159" s="51">
        <f t="shared" si="26"/>
        <v>2</v>
      </c>
      <c r="S159" s="51">
        <f t="shared" si="27"/>
        <v>0</v>
      </c>
      <c r="T159" s="51">
        <f t="shared" si="28"/>
        <v>0</v>
      </c>
      <c r="U159" s="52">
        <f t="shared" si="29"/>
        <v>2</v>
      </c>
      <c r="V159" s="52">
        <f t="shared" si="32"/>
        <v>0</v>
      </c>
      <c r="W159" s="52" t="str" cm="1">
        <f t="array" ref="W159">_xlfn.IFS(B159="","",AND(G159&gt;=0,L159&gt;0),"BuySome",AND(G159&gt;=0,K159="KMSignal"),"BuySome",AND(G159&lt;0,L159&gt;0),"BuyWatch",AND(Q159&lt;0,L159&gt;0),"BuyWatch",AND(G159&gt;=0,L159=0),"BuyWatch",L159&gt;0,"BuySome",TRUE,"")</f>
        <v/>
      </c>
      <c r="X159" s="47" t="str">
        <f>_xlfn.XLOOKUP(W159,Parm!$AN$2:$AN$25,Parm!$AO$2:$AO$25,"")</f>
        <v/>
      </c>
      <c r="Y159" s="52" t="str" cm="1">
        <f t="array" ref="Y159">_xlfn.IFS(B159="","",OR(Q159=-100,U159=-100),"SellAll",OR(Q159&lt;0,U159&lt;0),"SellSome",AND(Q159&gt;0,U159&gt;0),"BuySome",OR(Q159&gt;0,U159&gt;0),"BuyWatch",TRUE,"")</f>
        <v/>
      </c>
      <c r="Z159" s="47" t="str">
        <f>_xlfn.XLOOKUP(Y159,Parm!$AN$2:$AN$25,Parm!$AO$2:$AO$25,"")</f>
        <v/>
      </c>
      <c r="AA159" s="286">
        <f>IF(C159&lt;&gt;-100,A159,_xlfn.XLOOKUP(B159,ssH!L:L,ssH!M:M))</f>
        <v>46140</v>
      </c>
      <c r="AB159" s="49" t="str">
        <f t="shared" si="30"/>
        <v/>
      </c>
      <c r="AC159" s="52">
        <f>_xlfn.XLOOKUP(B159,TL!C:C,TL!C:C)</f>
        <v>0</v>
      </c>
      <c r="AD159" s="52">
        <f>_xlfn.XLOOKUP(B159,Y!C:C,Y!C:C)</f>
        <v>0</v>
      </c>
      <c r="AE159" s="52">
        <f>_xlfn.XLOOKUP(B159,MA!C:C,MA!C:C)</f>
        <v>0</v>
      </c>
    </row>
    <row r="160" spans="1:31" x14ac:dyDescent="0.25">
      <c r="A160" s="29">
        <f>ssH!$AG$1</f>
        <v>46140</v>
      </c>
      <c r="C160" s="47">
        <f t="shared" si="31"/>
        <v>0</v>
      </c>
      <c r="D160" s="42">
        <f>_xlfn.XLOOKUP(ssH!$AG$3&amp;B160,ssH!A:A,ssH!D:D,0)</f>
        <v>0</v>
      </c>
      <c r="E160" s="42">
        <f>_xlfn.XLOOKUP(ssH!$AG$5&amp;B160,ssH!A:A,ssH!D:D,0)</f>
        <v>0</v>
      </c>
      <c r="F160" s="42">
        <f>_xlfn.XLOOKUP(ssH!$AG$6&amp;B160,ssH!A:A,ssH!D:D,0)</f>
        <v>0</v>
      </c>
      <c r="G160" s="48">
        <f>_xlfn.XLOOKUP(A160&amp;B160,ssH!A:A,ssH!F:F,-100%)</f>
        <v>-1</v>
      </c>
      <c r="H160" s="46">
        <f>_xlfn.XLOOKUP(ssH!$AG$3&amp;B160,ssH!A:A,ssH!F:F,0)</f>
        <v>0</v>
      </c>
      <c r="I160" s="46">
        <f>_xlfn.XLOOKUP(ssH!$AG$5&amp;B160,ssH!A:A,ssH!F:F,0)</f>
        <v>0</v>
      </c>
      <c r="J160" s="46">
        <f>_xlfn.XLOOKUP(ssH!$AG$6&amp;B160,ssH!A:A,ssH!F:F,0)</f>
        <v>0</v>
      </c>
      <c r="K160" s="46">
        <f>_xlfn.XLOOKUP(B160,ssL!C:C,ssL!G:G,"Removed")</f>
        <v>0</v>
      </c>
      <c r="L160" s="27">
        <f>_xlfn.XLOOKUP(A160&amp;B160,ssH!A:A,ssH!D:D,0)</f>
        <v>0</v>
      </c>
      <c r="M160" s="42" t="str">
        <f>_xlfn.XLOOKUP(A160&amp;B160,ssH!A:A,ssH!I:I,"")</f>
        <v/>
      </c>
      <c r="N160" s="51" t="str">
        <f t="shared" si="22"/>
        <v/>
      </c>
      <c r="O160" s="51" t="str">
        <f t="shared" si="23"/>
        <v/>
      </c>
      <c r="P160" s="51" t="str">
        <f t="shared" si="24"/>
        <v/>
      </c>
      <c r="Q160" s="52">
        <f t="shared" si="25"/>
        <v>0</v>
      </c>
      <c r="R160" s="51">
        <f t="shared" si="26"/>
        <v>2</v>
      </c>
      <c r="S160" s="51">
        <f t="shared" si="27"/>
        <v>0</v>
      </c>
      <c r="T160" s="51">
        <f t="shared" si="28"/>
        <v>0</v>
      </c>
      <c r="U160" s="52">
        <f t="shared" si="29"/>
        <v>2</v>
      </c>
      <c r="V160" s="52">
        <f t="shared" si="32"/>
        <v>0</v>
      </c>
      <c r="W160" s="52" t="str" cm="1">
        <f t="array" ref="W160">_xlfn.IFS(B160="","",AND(G160&gt;=0,L160&gt;0),"BuySome",AND(G160&gt;=0,K160="KMSignal"),"BuySome",AND(G160&lt;0,L160&gt;0),"BuyWatch",AND(Q160&lt;0,L160&gt;0),"BuyWatch",AND(G160&gt;=0,L160=0),"BuyWatch",L160&gt;0,"BuySome",TRUE,"")</f>
        <v/>
      </c>
      <c r="X160" s="47" t="str">
        <f>_xlfn.XLOOKUP(W160,Parm!$AN$2:$AN$25,Parm!$AO$2:$AO$25,"")</f>
        <v/>
      </c>
      <c r="Y160" s="52" t="str" cm="1">
        <f t="array" ref="Y160">_xlfn.IFS(B160="","",OR(Q160=-100,U160=-100),"SellAll",OR(Q160&lt;0,U160&lt;0),"SellSome",AND(Q160&gt;0,U160&gt;0),"BuySome",OR(Q160&gt;0,U160&gt;0),"BuyWatch",TRUE,"")</f>
        <v/>
      </c>
      <c r="Z160" s="47" t="str">
        <f>_xlfn.XLOOKUP(Y160,Parm!$AN$2:$AN$25,Parm!$AO$2:$AO$25,"")</f>
        <v/>
      </c>
      <c r="AA160" s="286">
        <f>IF(C160&lt;&gt;-100,A160,_xlfn.XLOOKUP(B160,ssH!L:L,ssH!M:M))</f>
        <v>46140</v>
      </c>
      <c r="AB160" s="49" t="str">
        <f t="shared" si="30"/>
        <v/>
      </c>
      <c r="AC160" s="52">
        <f>_xlfn.XLOOKUP(B160,TL!C:C,TL!C:C)</f>
        <v>0</v>
      </c>
      <c r="AD160" s="52">
        <f>_xlfn.XLOOKUP(B160,Y!C:C,Y!C:C)</f>
        <v>0</v>
      </c>
      <c r="AE160" s="52">
        <f>_xlfn.XLOOKUP(B160,MA!C:C,MA!C:C)</f>
        <v>0</v>
      </c>
    </row>
    <row r="161" spans="1:31" x14ac:dyDescent="0.25">
      <c r="A161" s="29">
        <f>ssH!$AG$1</f>
        <v>46140</v>
      </c>
      <c r="C161" s="47">
        <f t="shared" si="31"/>
        <v>0</v>
      </c>
      <c r="D161" s="42">
        <f>_xlfn.XLOOKUP(ssH!$AG$3&amp;B161,ssH!A:A,ssH!D:D,0)</f>
        <v>0</v>
      </c>
      <c r="E161" s="42">
        <f>_xlfn.XLOOKUP(ssH!$AG$5&amp;B161,ssH!A:A,ssH!D:D,0)</f>
        <v>0</v>
      </c>
      <c r="F161" s="42">
        <f>_xlfn.XLOOKUP(ssH!$AG$6&amp;B161,ssH!A:A,ssH!D:D,0)</f>
        <v>0</v>
      </c>
      <c r="G161" s="48">
        <f>_xlfn.XLOOKUP(A161&amp;B161,ssH!A:A,ssH!F:F,-100%)</f>
        <v>-1</v>
      </c>
      <c r="H161" s="46">
        <f>_xlfn.XLOOKUP(ssH!$AG$3&amp;B161,ssH!A:A,ssH!F:F,0)</f>
        <v>0</v>
      </c>
      <c r="I161" s="46">
        <f>_xlfn.XLOOKUP(ssH!$AG$5&amp;B161,ssH!A:A,ssH!F:F,0)</f>
        <v>0</v>
      </c>
      <c r="J161" s="46">
        <f>_xlfn.XLOOKUP(ssH!$AG$6&amp;B161,ssH!A:A,ssH!F:F,0)</f>
        <v>0</v>
      </c>
      <c r="K161" s="46">
        <f>_xlfn.XLOOKUP(B161,ssL!C:C,ssL!G:G,"Removed")</f>
        <v>0</v>
      </c>
      <c r="L161" s="27">
        <f>_xlfn.XLOOKUP(A161&amp;B161,ssH!A:A,ssH!D:D,0)</f>
        <v>0</v>
      </c>
      <c r="M161" s="42" t="str">
        <f>_xlfn.XLOOKUP(A161&amp;B161,ssH!A:A,ssH!I:I,"")</f>
        <v/>
      </c>
      <c r="N161" s="51" t="str">
        <f t="shared" si="22"/>
        <v/>
      </c>
      <c r="O161" s="51" t="str">
        <f t="shared" si="23"/>
        <v/>
      </c>
      <c r="P161" s="51" t="str">
        <f t="shared" si="24"/>
        <v/>
      </c>
      <c r="Q161" s="52">
        <f t="shared" si="25"/>
        <v>0</v>
      </c>
      <c r="R161" s="51">
        <f t="shared" si="26"/>
        <v>2</v>
      </c>
      <c r="S161" s="51">
        <f t="shared" si="27"/>
        <v>0</v>
      </c>
      <c r="T161" s="51">
        <f t="shared" si="28"/>
        <v>0</v>
      </c>
      <c r="U161" s="52">
        <f t="shared" si="29"/>
        <v>2</v>
      </c>
      <c r="V161" s="52">
        <f t="shared" si="32"/>
        <v>0</v>
      </c>
      <c r="W161" s="52" t="str" cm="1">
        <f t="array" ref="W161">_xlfn.IFS(B161="","",AND(G161&gt;=0,L161&gt;0),"BuySome",AND(G161&gt;=0,K161="KMSignal"),"BuySome",AND(G161&lt;0,L161&gt;0),"BuyWatch",AND(Q161&lt;0,L161&gt;0),"BuyWatch",AND(G161&gt;=0,L161=0),"BuyWatch",L161&gt;0,"BuySome",TRUE,"")</f>
        <v/>
      </c>
      <c r="X161" s="47" t="str">
        <f>_xlfn.XLOOKUP(W161,Parm!$AN$2:$AN$25,Parm!$AO$2:$AO$25,"")</f>
        <v/>
      </c>
      <c r="Y161" s="52" t="str" cm="1">
        <f t="array" ref="Y161">_xlfn.IFS(B161="","",OR(Q161=-100,U161=-100),"SellAll",OR(Q161&lt;0,U161&lt;0),"SellSome",AND(Q161&gt;0,U161&gt;0),"BuySome",OR(Q161&gt;0,U161&gt;0),"BuyWatch",TRUE,"")</f>
        <v/>
      </c>
      <c r="Z161" s="47" t="str">
        <f>_xlfn.XLOOKUP(Y161,Parm!$AN$2:$AN$25,Parm!$AO$2:$AO$25,"")</f>
        <v/>
      </c>
      <c r="AA161" s="286">
        <f>IF(C161&lt;&gt;-100,A161,_xlfn.XLOOKUP(B161,ssH!L:L,ssH!M:M))</f>
        <v>46140</v>
      </c>
      <c r="AB161" s="49" t="str">
        <f t="shared" si="30"/>
        <v/>
      </c>
      <c r="AC161" s="52">
        <f>_xlfn.XLOOKUP(B161,TL!C:C,TL!C:C)</f>
        <v>0</v>
      </c>
      <c r="AD161" s="52">
        <f>_xlfn.XLOOKUP(B161,Y!C:C,Y!C:C)</f>
        <v>0</v>
      </c>
      <c r="AE161" s="52">
        <f>_xlfn.XLOOKUP(B161,MA!C:C,MA!C:C)</f>
        <v>0</v>
      </c>
    </row>
    <row r="162" spans="1:31" x14ac:dyDescent="0.25">
      <c r="A162" s="29">
        <f>ssH!$AG$1</f>
        <v>46140</v>
      </c>
      <c r="C162" s="47">
        <f t="shared" si="31"/>
        <v>0</v>
      </c>
      <c r="D162" s="42">
        <f>_xlfn.XLOOKUP(ssH!$AG$3&amp;B162,ssH!A:A,ssH!D:D,0)</f>
        <v>0</v>
      </c>
      <c r="E162" s="42">
        <f>_xlfn.XLOOKUP(ssH!$AG$5&amp;B162,ssH!A:A,ssH!D:D,0)</f>
        <v>0</v>
      </c>
      <c r="F162" s="42">
        <f>_xlfn.XLOOKUP(ssH!$AG$6&amp;B162,ssH!A:A,ssH!D:D,0)</f>
        <v>0</v>
      </c>
      <c r="G162" s="48">
        <f>_xlfn.XLOOKUP(A162&amp;B162,ssH!A:A,ssH!F:F,-100%)</f>
        <v>-1</v>
      </c>
      <c r="H162" s="46">
        <f>_xlfn.XLOOKUP(ssH!$AG$3&amp;B162,ssH!A:A,ssH!F:F,0)</f>
        <v>0</v>
      </c>
      <c r="I162" s="46">
        <f>_xlfn.XLOOKUP(ssH!$AG$5&amp;B162,ssH!A:A,ssH!F:F,0)</f>
        <v>0</v>
      </c>
      <c r="J162" s="46">
        <f>_xlfn.XLOOKUP(ssH!$AG$6&amp;B162,ssH!A:A,ssH!F:F,0)</f>
        <v>0</v>
      </c>
      <c r="K162" s="46">
        <f>_xlfn.XLOOKUP(B162,ssL!C:C,ssL!G:G,"Removed")</f>
        <v>0</v>
      </c>
      <c r="L162" s="27">
        <f>_xlfn.XLOOKUP(A162&amp;B162,ssH!A:A,ssH!D:D,0)</f>
        <v>0</v>
      </c>
      <c r="M162" s="42" t="str">
        <f>_xlfn.XLOOKUP(A162&amp;B162,ssH!A:A,ssH!I:I,"")</f>
        <v/>
      </c>
      <c r="N162" s="51" t="str">
        <f t="shared" si="22"/>
        <v/>
      </c>
      <c r="O162" s="51" t="str">
        <f t="shared" si="23"/>
        <v/>
      </c>
      <c r="P162" s="51" t="str">
        <f t="shared" si="24"/>
        <v/>
      </c>
      <c r="Q162" s="52">
        <f t="shared" si="25"/>
        <v>0</v>
      </c>
      <c r="R162" s="51">
        <f t="shared" si="26"/>
        <v>2</v>
      </c>
      <c r="S162" s="51">
        <f t="shared" si="27"/>
        <v>0</v>
      </c>
      <c r="T162" s="51">
        <f t="shared" si="28"/>
        <v>0</v>
      </c>
      <c r="U162" s="52">
        <f t="shared" si="29"/>
        <v>2</v>
      </c>
      <c r="V162" s="52">
        <f t="shared" si="32"/>
        <v>0</v>
      </c>
      <c r="W162" s="52" t="str" cm="1">
        <f t="array" ref="W162">_xlfn.IFS(B162="","",AND(G162&gt;=0,L162&gt;0),"BuySome",AND(G162&gt;=0,K162="KMSignal"),"BuySome",AND(G162&lt;0,L162&gt;0),"BuyWatch",AND(Q162&lt;0,L162&gt;0),"BuyWatch",AND(G162&gt;=0,L162=0),"BuyWatch",L162&gt;0,"BuySome",TRUE,"")</f>
        <v/>
      </c>
      <c r="X162" s="47" t="str">
        <f>_xlfn.XLOOKUP(W162,Parm!$AN$2:$AN$25,Parm!$AO$2:$AO$25,"")</f>
        <v/>
      </c>
      <c r="Y162" s="52" t="str" cm="1">
        <f t="array" ref="Y162">_xlfn.IFS(B162="","",OR(Q162=-100,U162=-100),"SellAll",OR(Q162&lt;0,U162&lt;0),"SellSome",AND(Q162&gt;0,U162&gt;0),"BuySome",OR(Q162&gt;0,U162&gt;0),"BuyWatch",TRUE,"")</f>
        <v/>
      </c>
      <c r="Z162" s="47" t="str">
        <f>_xlfn.XLOOKUP(Y162,Parm!$AN$2:$AN$25,Parm!$AO$2:$AO$25,"")</f>
        <v/>
      </c>
      <c r="AA162" s="286">
        <f>IF(C162&lt;&gt;-100,A162,_xlfn.XLOOKUP(B162,ssH!L:L,ssH!M:M))</f>
        <v>46140</v>
      </c>
      <c r="AB162" s="49" t="str">
        <f t="shared" si="30"/>
        <v/>
      </c>
      <c r="AC162" s="52">
        <f>_xlfn.XLOOKUP(B162,TL!C:C,TL!C:C)</f>
        <v>0</v>
      </c>
      <c r="AD162" s="52">
        <f>_xlfn.XLOOKUP(B162,Y!C:C,Y!C:C)</f>
        <v>0</v>
      </c>
      <c r="AE162" s="52">
        <f>_xlfn.XLOOKUP(B162,MA!C:C,MA!C:C)</f>
        <v>0</v>
      </c>
    </row>
    <row r="163" spans="1:31" x14ac:dyDescent="0.25">
      <c r="A163" s="29">
        <f>ssH!$AG$1</f>
        <v>46140</v>
      </c>
      <c r="C163" s="47">
        <f t="shared" si="31"/>
        <v>0</v>
      </c>
      <c r="D163" s="42">
        <f>_xlfn.XLOOKUP(ssH!$AG$3&amp;B163,ssH!A:A,ssH!D:D,0)</f>
        <v>0</v>
      </c>
      <c r="E163" s="42">
        <f>_xlfn.XLOOKUP(ssH!$AG$5&amp;B163,ssH!A:A,ssH!D:D,0)</f>
        <v>0</v>
      </c>
      <c r="F163" s="42">
        <f>_xlfn.XLOOKUP(ssH!$AG$6&amp;B163,ssH!A:A,ssH!D:D,0)</f>
        <v>0</v>
      </c>
      <c r="G163" s="48">
        <f>_xlfn.XLOOKUP(A163&amp;B163,ssH!A:A,ssH!F:F,-100%)</f>
        <v>-1</v>
      </c>
      <c r="H163" s="46">
        <f>_xlfn.XLOOKUP(ssH!$AG$3&amp;B163,ssH!A:A,ssH!F:F,0)</f>
        <v>0</v>
      </c>
      <c r="I163" s="46">
        <f>_xlfn.XLOOKUP(ssH!$AG$5&amp;B163,ssH!A:A,ssH!F:F,0)</f>
        <v>0</v>
      </c>
      <c r="J163" s="46">
        <f>_xlfn.XLOOKUP(ssH!$AG$6&amp;B163,ssH!A:A,ssH!F:F,0)</f>
        <v>0</v>
      </c>
      <c r="K163" s="46">
        <f>_xlfn.XLOOKUP(B163,ssL!C:C,ssL!G:G,"Removed")</f>
        <v>0</v>
      </c>
      <c r="L163" s="27">
        <f>_xlfn.XLOOKUP(A163&amp;B163,ssH!A:A,ssH!D:D,0)</f>
        <v>0</v>
      </c>
      <c r="M163" s="42" t="str">
        <f>_xlfn.XLOOKUP(A163&amp;B163,ssH!A:A,ssH!I:I,"")</f>
        <v/>
      </c>
      <c r="N163" s="51" t="str">
        <f t="shared" si="22"/>
        <v/>
      </c>
      <c r="O163" s="51" t="str">
        <f t="shared" si="23"/>
        <v/>
      </c>
      <c r="P163" s="51" t="str">
        <f t="shared" si="24"/>
        <v/>
      </c>
      <c r="Q163" s="52">
        <f t="shared" si="25"/>
        <v>0</v>
      </c>
      <c r="R163" s="51">
        <f t="shared" si="26"/>
        <v>2</v>
      </c>
      <c r="S163" s="51">
        <f t="shared" si="27"/>
        <v>0</v>
      </c>
      <c r="T163" s="51">
        <f t="shared" si="28"/>
        <v>0</v>
      </c>
      <c r="U163" s="52">
        <f t="shared" si="29"/>
        <v>2</v>
      </c>
      <c r="V163" s="52">
        <f t="shared" si="32"/>
        <v>0</v>
      </c>
      <c r="W163" s="52" t="str" cm="1">
        <f t="array" ref="W163">_xlfn.IFS(B163="","",AND(G163&gt;=0,L163&gt;0),"BuySome",AND(G163&gt;=0,K163="KMSignal"),"BuySome",AND(G163&lt;0,L163&gt;0),"BuyWatch",AND(Q163&lt;0,L163&gt;0),"BuyWatch",AND(G163&gt;=0,L163=0),"BuyWatch",L163&gt;0,"BuySome",TRUE,"")</f>
        <v/>
      </c>
      <c r="X163" s="47" t="str">
        <f>_xlfn.XLOOKUP(W163,Parm!$AN$2:$AN$25,Parm!$AO$2:$AO$25,"")</f>
        <v/>
      </c>
      <c r="Y163" s="52" t="str" cm="1">
        <f t="array" ref="Y163">_xlfn.IFS(B163="","",OR(Q163=-100,U163=-100),"SellAll",OR(Q163&lt;0,U163&lt;0),"SellSome",AND(Q163&gt;0,U163&gt;0),"BuySome",OR(Q163&gt;0,U163&gt;0),"BuyWatch",TRUE,"")</f>
        <v/>
      </c>
      <c r="Z163" s="47" t="str">
        <f>_xlfn.XLOOKUP(Y163,Parm!$AN$2:$AN$25,Parm!$AO$2:$AO$25,"")</f>
        <v/>
      </c>
      <c r="AA163" s="286">
        <f>IF(C163&lt;&gt;-100,A163,_xlfn.XLOOKUP(B163,ssH!L:L,ssH!M:M))</f>
        <v>46140</v>
      </c>
      <c r="AB163" s="49" t="str">
        <f t="shared" si="30"/>
        <v/>
      </c>
      <c r="AC163" s="52">
        <f>_xlfn.XLOOKUP(B163,TL!C:C,TL!C:C)</f>
        <v>0</v>
      </c>
      <c r="AD163" s="52">
        <f>_xlfn.XLOOKUP(B163,Y!C:C,Y!C:C)</f>
        <v>0</v>
      </c>
      <c r="AE163" s="52">
        <f>_xlfn.XLOOKUP(B163,MA!C:C,MA!C:C)</f>
        <v>0</v>
      </c>
    </row>
    <row r="164" spans="1:31" x14ac:dyDescent="0.25">
      <c r="A164" s="29">
        <f>ssH!$AG$1</f>
        <v>46140</v>
      </c>
      <c r="C164" s="47">
        <f t="shared" si="31"/>
        <v>0</v>
      </c>
      <c r="D164" s="42">
        <f>_xlfn.XLOOKUP(ssH!$AG$3&amp;B164,ssH!A:A,ssH!D:D,0)</f>
        <v>0</v>
      </c>
      <c r="E164" s="42">
        <f>_xlfn.XLOOKUP(ssH!$AG$5&amp;B164,ssH!A:A,ssH!D:D,0)</f>
        <v>0</v>
      </c>
      <c r="F164" s="42">
        <f>_xlfn.XLOOKUP(ssH!$AG$6&amp;B164,ssH!A:A,ssH!D:D,0)</f>
        <v>0</v>
      </c>
      <c r="G164" s="48">
        <f>_xlfn.XLOOKUP(A164&amp;B164,ssH!A:A,ssH!F:F,-100%)</f>
        <v>-1</v>
      </c>
      <c r="H164" s="46">
        <f>_xlfn.XLOOKUP(ssH!$AG$3&amp;B164,ssH!A:A,ssH!F:F,0)</f>
        <v>0</v>
      </c>
      <c r="I164" s="46">
        <f>_xlfn.XLOOKUP(ssH!$AG$5&amp;B164,ssH!A:A,ssH!F:F,0)</f>
        <v>0</v>
      </c>
      <c r="J164" s="46">
        <f>_xlfn.XLOOKUP(ssH!$AG$6&amp;B164,ssH!A:A,ssH!F:F,0)</f>
        <v>0</v>
      </c>
      <c r="K164" s="46">
        <f>_xlfn.XLOOKUP(B164,ssL!C:C,ssL!G:G,"Removed")</f>
        <v>0</v>
      </c>
      <c r="L164" s="27">
        <f>_xlfn.XLOOKUP(A164&amp;B164,ssH!A:A,ssH!D:D,0)</f>
        <v>0</v>
      </c>
      <c r="M164" s="42" t="str">
        <f>_xlfn.XLOOKUP(A164&amp;B164,ssH!A:A,ssH!I:I,"")</f>
        <v/>
      </c>
      <c r="N164" s="51" t="str">
        <f t="shared" si="22"/>
        <v/>
      </c>
      <c r="O164" s="51" t="str">
        <f t="shared" si="23"/>
        <v/>
      </c>
      <c r="P164" s="51" t="str">
        <f t="shared" si="24"/>
        <v/>
      </c>
      <c r="Q164" s="52">
        <f t="shared" si="25"/>
        <v>0</v>
      </c>
      <c r="R164" s="51">
        <f t="shared" si="26"/>
        <v>2</v>
      </c>
      <c r="S164" s="51">
        <f t="shared" si="27"/>
        <v>0</v>
      </c>
      <c r="T164" s="51">
        <f t="shared" si="28"/>
        <v>0</v>
      </c>
      <c r="U164" s="52">
        <f t="shared" si="29"/>
        <v>2</v>
      </c>
      <c r="V164" s="52">
        <f t="shared" si="32"/>
        <v>0</v>
      </c>
      <c r="W164" s="52" t="str" cm="1">
        <f t="array" ref="W164">_xlfn.IFS(B164="","",AND(G164&gt;=0,L164&gt;0),"BuySome",AND(G164&gt;=0,K164="KMSignal"),"BuySome",AND(G164&lt;0,L164&gt;0),"BuyWatch",AND(Q164&lt;0,L164&gt;0),"BuyWatch",AND(G164&gt;=0,L164=0),"BuyWatch",L164&gt;0,"BuySome",TRUE,"")</f>
        <v/>
      </c>
      <c r="X164" s="47" t="str">
        <f>_xlfn.XLOOKUP(W164,Parm!$AN$2:$AN$25,Parm!$AO$2:$AO$25,"")</f>
        <v/>
      </c>
      <c r="Y164" s="52" t="str" cm="1">
        <f t="array" ref="Y164">_xlfn.IFS(B164="","",OR(Q164=-100,U164=-100),"SellAll",OR(Q164&lt;0,U164&lt;0),"SellSome",AND(Q164&gt;0,U164&gt;0),"BuySome",OR(Q164&gt;0,U164&gt;0),"BuyWatch",TRUE,"")</f>
        <v/>
      </c>
      <c r="Z164" s="47" t="str">
        <f>_xlfn.XLOOKUP(Y164,Parm!$AN$2:$AN$25,Parm!$AO$2:$AO$25,"")</f>
        <v/>
      </c>
      <c r="AA164" s="286">
        <f>IF(C164&lt;&gt;-100,A164,_xlfn.XLOOKUP(B164,ssH!L:L,ssH!M:M))</f>
        <v>46140</v>
      </c>
      <c r="AB164" s="49" t="str">
        <f t="shared" si="30"/>
        <v/>
      </c>
      <c r="AC164" s="52">
        <f>_xlfn.XLOOKUP(B164,TL!C:C,TL!C:C)</f>
        <v>0</v>
      </c>
      <c r="AD164" s="52">
        <f>_xlfn.XLOOKUP(B164,Y!C:C,Y!C:C)</f>
        <v>0</v>
      </c>
      <c r="AE164" s="52">
        <f>_xlfn.XLOOKUP(B164,MA!C:C,MA!C:C)</f>
        <v>0</v>
      </c>
    </row>
    <row r="165" spans="1:31" x14ac:dyDescent="0.25">
      <c r="A165" s="29">
        <f>ssH!$AG$1</f>
        <v>46140</v>
      </c>
      <c r="C165" s="47">
        <f t="shared" si="31"/>
        <v>0</v>
      </c>
      <c r="D165" s="42">
        <f>_xlfn.XLOOKUP(ssH!$AG$3&amp;B165,ssH!A:A,ssH!D:D,0)</f>
        <v>0</v>
      </c>
      <c r="E165" s="42">
        <f>_xlfn.XLOOKUP(ssH!$AG$5&amp;B165,ssH!A:A,ssH!D:D,0)</f>
        <v>0</v>
      </c>
      <c r="F165" s="42">
        <f>_xlfn.XLOOKUP(ssH!$AG$6&amp;B165,ssH!A:A,ssH!D:D,0)</f>
        <v>0</v>
      </c>
      <c r="G165" s="48">
        <f>_xlfn.XLOOKUP(A165&amp;B165,ssH!A:A,ssH!F:F,-100%)</f>
        <v>-1</v>
      </c>
      <c r="H165" s="46">
        <f>_xlfn.XLOOKUP(ssH!$AG$3&amp;B165,ssH!A:A,ssH!F:F,0)</f>
        <v>0</v>
      </c>
      <c r="I165" s="46">
        <f>_xlfn.XLOOKUP(ssH!$AG$5&amp;B165,ssH!A:A,ssH!F:F,0)</f>
        <v>0</v>
      </c>
      <c r="J165" s="46">
        <f>_xlfn.XLOOKUP(ssH!$AG$6&amp;B165,ssH!A:A,ssH!F:F,0)</f>
        <v>0</v>
      </c>
      <c r="K165" s="46">
        <f>_xlfn.XLOOKUP(B165,ssL!C:C,ssL!G:G,"Removed")</f>
        <v>0</v>
      </c>
      <c r="L165" s="27">
        <f>_xlfn.XLOOKUP(A165&amp;B165,ssH!A:A,ssH!D:D,0)</f>
        <v>0</v>
      </c>
      <c r="M165" s="42" t="str">
        <f>_xlfn.XLOOKUP(A165&amp;B165,ssH!A:A,ssH!I:I,"")</f>
        <v/>
      </c>
      <c r="N165" s="51" t="str">
        <f t="shared" si="22"/>
        <v/>
      </c>
      <c r="O165" s="51" t="str">
        <f t="shared" si="23"/>
        <v/>
      </c>
      <c r="P165" s="51" t="str">
        <f t="shared" si="24"/>
        <v/>
      </c>
      <c r="Q165" s="52">
        <f t="shared" si="25"/>
        <v>0</v>
      </c>
      <c r="R165" s="51">
        <f t="shared" si="26"/>
        <v>2</v>
      </c>
      <c r="S165" s="51">
        <f t="shared" si="27"/>
        <v>0</v>
      </c>
      <c r="T165" s="51">
        <f t="shared" si="28"/>
        <v>0</v>
      </c>
      <c r="U165" s="52">
        <f t="shared" si="29"/>
        <v>2</v>
      </c>
      <c r="V165" s="52">
        <f t="shared" si="32"/>
        <v>0</v>
      </c>
      <c r="W165" s="52" t="str" cm="1">
        <f t="array" ref="W165">_xlfn.IFS(B165="","",AND(G165&gt;=0,L165&gt;0),"BuySome",AND(G165&gt;=0,K165="KMSignal"),"BuySome",AND(G165&lt;0,L165&gt;0),"BuyWatch",AND(Q165&lt;0,L165&gt;0),"BuyWatch",AND(G165&gt;=0,L165=0),"BuyWatch",L165&gt;0,"BuySome",TRUE,"")</f>
        <v/>
      </c>
      <c r="X165" s="47" t="str">
        <f>_xlfn.XLOOKUP(W165,Parm!$AN$2:$AN$25,Parm!$AO$2:$AO$25,"")</f>
        <v/>
      </c>
      <c r="Y165" s="52" t="str" cm="1">
        <f t="array" ref="Y165">_xlfn.IFS(B165="","",OR(Q165=-100,U165=-100),"SellAll",OR(Q165&lt;0,U165&lt;0),"SellSome",AND(Q165&gt;0,U165&gt;0),"BuySome",OR(Q165&gt;0,U165&gt;0),"BuyWatch",TRUE,"")</f>
        <v/>
      </c>
      <c r="Z165" s="47" t="str">
        <f>_xlfn.XLOOKUP(Y165,Parm!$AN$2:$AN$25,Parm!$AO$2:$AO$25,"")</f>
        <v/>
      </c>
      <c r="AA165" s="286">
        <f>IF(C165&lt;&gt;-100,A165,_xlfn.XLOOKUP(B165,ssH!L:L,ssH!M:M))</f>
        <v>46140</v>
      </c>
      <c r="AB165" s="49" t="str">
        <f t="shared" si="30"/>
        <v/>
      </c>
      <c r="AC165" s="52">
        <f>_xlfn.XLOOKUP(B165,TL!C:C,TL!C:C)</f>
        <v>0</v>
      </c>
      <c r="AD165" s="52">
        <f>_xlfn.XLOOKUP(B165,Y!C:C,Y!C:C)</f>
        <v>0</v>
      </c>
      <c r="AE165" s="52">
        <f>_xlfn.XLOOKUP(B165,MA!C:C,MA!C:C)</f>
        <v>0</v>
      </c>
    </row>
    <row r="166" spans="1:31" x14ac:dyDescent="0.25">
      <c r="A166" s="29">
        <f>ssH!$AG$1</f>
        <v>46140</v>
      </c>
      <c r="C166" s="47">
        <f t="shared" si="31"/>
        <v>0</v>
      </c>
      <c r="D166" s="42">
        <f>_xlfn.XLOOKUP(ssH!$AG$3&amp;B166,ssH!A:A,ssH!D:D,0)</f>
        <v>0</v>
      </c>
      <c r="E166" s="42">
        <f>_xlfn.XLOOKUP(ssH!$AG$5&amp;B166,ssH!A:A,ssH!D:D,0)</f>
        <v>0</v>
      </c>
      <c r="F166" s="42">
        <f>_xlfn.XLOOKUP(ssH!$AG$6&amp;B166,ssH!A:A,ssH!D:D,0)</f>
        <v>0</v>
      </c>
      <c r="G166" s="48">
        <f>_xlfn.XLOOKUP(A166&amp;B166,ssH!A:A,ssH!F:F,-100%)</f>
        <v>-1</v>
      </c>
      <c r="H166" s="46">
        <f>_xlfn.XLOOKUP(ssH!$AG$3&amp;B166,ssH!A:A,ssH!F:F,0)</f>
        <v>0</v>
      </c>
      <c r="I166" s="46">
        <f>_xlfn.XLOOKUP(ssH!$AG$5&amp;B166,ssH!A:A,ssH!F:F,0)</f>
        <v>0</v>
      </c>
      <c r="J166" s="46">
        <f>_xlfn.XLOOKUP(ssH!$AG$6&amp;B166,ssH!A:A,ssH!F:F,0)</f>
        <v>0</v>
      </c>
      <c r="K166" s="46">
        <f>_xlfn.XLOOKUP(B166,ssL!C:C,ssL!G:G,"Removed")</f>
        <v>0</v>
      </c>
      <c r="L166" s="27">
        <f>_xlfn.XLOOKUP(A166&amp;B166,ssH!A:A,ssH!D:D,0)</f>
        <v>0</v>
      </c>
      <c r="M166" s="42" t="str">
        <f>_xlfn.XLOOKUP(A166&amp;B166,ssH!A:A,ssH!I:I,"")</f>
        <v/>
      </c>
      <c r="N166" s="51" t="str">
        <f t="shared" si="22"/>
        <v/>
      </c>
      <c r="O166" s="51" t="str">
        <f t="shared" si="23"/>
        <v/>
      </c>
      <c r="P166" s="51" t="str">
        <f t="shared" si="24"/>
        <v/>
      </c>
      <c r="Q166" s="52">
        <f t="shared" si="25"/>
        <v>0</v>
      </c>
      <c r="R166" s="51">
        <f t="shared" si="26"/>
        <v>2</v>
      </c>
      <c r="S166" s="51">
        <f t="shared" si="27"/>
        <v>0</v>
      </c>
      <c r="T166" s="51">
        <f t="shared" si="28"/>
        <v>0</v>
      </c>
      <c r="U166" s="52">
        <f t="shared" si="29"/>
        <v>2</v>
      </c>
      <c r="V166" s="52">
        <f t="shared" si="32"/>
        <v>0</v>
      </c>
      <c r="W166" s="52" t="str" cm="1">
        <f t="array" ref="W166">_xlfn.IFS(B166="","",AND(G166&gt;=0,L166&gt;0),"BuySome",AND(G166&gt;=0,K166="KMSignal"),"BuySome",AND(G166&lt;0,L166&gt;0),"BuyWatch",AND(Q166&lt;0,L166&gt;0),"BuyWatch",AND(G166&gt;=0,L166=0),"BuyWatch",L166&gt;0,"BuySome",TRUE,"")</f>
        <v/>
      </c>
      <c r="X166" s="47" t="str">
        <f>_xlfn.XLOOKUP(W166,Parm!$AN$2:$AN$25,Parm!$AO$2:$AO$25,"")</f>
        <v/>
      </c>
      <c r="Y166" s="52" t="str" cm="1">
        <f t="array" ref="Y166">_xlfn.IFS(B166="","",OR(Q166=-100,U166=-100),"SellAll",OR(Q166&lt;0,U166&lt;0),"SellSome",AND(Q166&gt;0,U166&gt;0),"BuySome",OR(Q166&gt;0,U166&gt;0),"BuyWatch",TRUE,"")</f>
        <v/>
      </c>
      <c r="Z166" s="47" t="str">
        <f>_xlfn.XLOOKUP(Y166,Parm!$AN$2:$AN$25,Parm!$AO$2:$AO$25,"")</f>
        <v/>
      </c>
      <c r="AA166" s="286">
        <f>IF(C166&lt;&gt;-100,A166,_xlfn.XLOOKUP(B166,ssH!L:L,ssH!M:M))</f>
        <v>46140</v>
      </c>
      <c r="AB166" s="49" t="str">
        <f t="shared" si="30"/>
        <v/>
      </c>
      <c r="AC166" s="52">
        <f>_xlfn.XLOOKUP(B166,TL!C:C,TL!C:C)</f>
        <v>0</v>
      </c>
      <c r="AD166" s="52">
        <f>_xlfn.XLOOKUP(B166,Y!C:C,Y!C:C)</f>
        <v>0</v>
      </c>
      <c r="AE166" s="52">
        <f>_xlfn.XLOOKUP(B166,MA!C:C,MA!C:C)</f>
        <v>0</v>
      </c>
    </row>
    <row r="167" spans="1:31" x14ac:dyDescent="0.25">
      <c r="A167" s="29">
        <f>ssH!$AG$1</f>
        <v>46140</v>
      </c>
      <c r="C167" s="47">
        <f t="shared" si="31"/>
        <v>0</v>
      </c>
      <c r="D167" s="42">
        <f>_xlfn.XLOOKUP(ssH!$AG$3&amp;B167,ssH!A:A,ssH!D:D,0)</f>
        <v>0</v>
      </c>
      <c r="E167" s="42">
        <f>_xlfn.XLOOKUP(ssH!$AG$5&amp;B167,ssH!A:A,ssH!D:D,0)</f>
        <v>0</v>
      </c>
      <c r="F167" s="42">
        <f>_xlfn.XLOOKUP(ssH!$AG$6&amp;B167,ssH!A:A,ssH!D:D,0)</f>
        <v>0</v>
      </c>
      <c r="G167" s="48">
        <f>_xlfn.XLOOKUP(A167&amp;B167,ssH!A:A,ssH!F:F,-100%)</f>
        <v>-1</v>
      </c>
      <c r="H167" s="46">
        <f>_xlfn.XLOOKUP(ssH!$AG$3&amp;B167,ssH!A:A,ssH!F:F,0)</f>
        <v>0</v>
      </c>
      <c r="I167" s="46">
        <f>_xlfn.XLOOKUP(ssH!$AG$5&amp;B167,ssH!A:A,ssH!F:F,0)</f>
        <v>0</v>
      </c>
      <c r="J167" s="46">
        <f>_xlfn.XLOOKUP(ssH!$AG$6&amp;B167,ssH!A:A,ssH!F:F,0)</f>
        <v>0</v>
      </c>
      <c r="K167" s="46">
        <f>_xlfn.XLOOKUP(B167,ssL!C:C,ssL!G:G,"Removed")</f>
        <v>0</v>
      </c>
      <c r="L167" s="27">
        <f>_xlfn.XLOOKUP(A167&amp;B167,ssH!A:A,ssH!D:D,0)</f>
        <v>0</v>
      </c>
      <c r="M167" s="42" t="str">
        <f>_xlfn.XLOOKUP(A167&amp;B167,ssH!A:A,ssH!I:I,"")</f>
        <v/>
      </c>
      <c r="N167" s="51" t="str">
        <f t="shared" si="22"/>
        <v/>
      </c>
      <c r="O167" s="51" t="str">
        <f t="shared" si="23"/>
        <v/>
      </c>
      <c r="P167" s="51" t="str">
        <f t="shared" si="24"/>
        <v/>
      </c>
      <c r="Q167" s="52">
        <f t="shared" si="25"/>
        <v>0</v>
      </c>
      <c r="R167" s="51">
        <f t="shared" si="26"/>
        <v>2</v>
      </c>
      <c r="S167" s="51">
        <f t="shared" si="27"/>
        <v>0</v>
      </c>
      <c r="T167" s="51">
        <f t="shared" si="28"/>
        <v>0</v>
      </c>
      <c r="U167" s="52">
        <f t="shared" si="29"/>
        <v>2</v>
      </c>
      <c r="V167" s="52">
        <f t="shared" si="32"/>
        <v>0</v>
      </c>
      <c r="W167" s="52" t="str" cm="1">
        <f t="array" ref="W167">_xlfn.IFS(B167="","",AND(G167&gt;=0,L167&gt;0),"BuySome",AND(G167&gt;=0,K167="KMSignal"),"BuySome",AND(G167&lt;0,L167&gt;0),"BuyWatch",AND(Q167&lt;0,L167&gt;0),"BuyWatch",AND(G167&gt;=0,L167=0),"BuyWatch",L167&gt;0,"BuySome",TRUE,"")</f>
        <v/>
      </c>
      <c r="X167" s="47" t="str">
        <f>_xlfn.XLOOKUP(W167,Parm!$AN$2:$AN$25,Parm!$AO$2:$AO$25,"")</f>
        <v/>
      </c>
      <c r="Y167" s="52" t="str" cm="1">
        <f t="array" ref="Y167">_xlfn.IFS(B167="","",OR(Q167=-100,U167=-100),"SellAll",OR(Q167&lt;0,U167&lt;0),"SellSome",AND(Q167&gt;0,U167&gt;0),"BuySome",OR(Q167&gt;0,U167&gt;0),"BuyWatch",TRUE,"")</f>
        <v/>
      </c>
      <c r="Z167" s="47" t="str">
        <f>_xlfn.XLOOKUP(Y167,Parm!$AN$2:$AN$25,Parm!$AO$2:$AO$25,"")</f>
        <v/>
      </c>
      <c r="AA167" s="286">
        <f>IF(C167&lt;&gt;-100,A167,_xlfn.XLOOKUP(B167,ssH!L:L,ssH!M:M))</f>
        <v>46140</v>
      </c>
      <c r="AB167" s="49" t="str">
        <f t="shared" si="30"/>
        <v/>
      </c>
      <c r="AC167" s="52">
        <f>_xlfn.XLOOKUP(B167,TL!C:C,TL!C:C)</f>
        <v>0</v>
      </c>
      <c r="AD167" s="52">
        <f>_xlfn.XLOOKUP(B167,Y!C:C,Y!C:C)</f>
        <v>0</v>
      </c>
      <c r="AE167" s="52">
        <f>_xlfn.XLOOKUP(B167,MA!C:C,MA!C:C)</f>
        <v>0</v>
      </c>
    </row>
    <row r="168" spans="1:31" x14ac:dyDescent="0.25">
      <c r="A168" s="29">
        <f>ssH!$AG$1</f>
        <v>46140</v>
      </c>
      <c r="C168" s="47">
        <f t="shared" si="31"/>
        <v>0</v>
      </c>
      <c r="D168" s="42">
        <f>_xlfn.XLOOKUP(ssH!$AG$3&amp;B168,ssH!A:A,ssH!D:D,0)</f>
        <v>0</v>
      </c>
      <c r="E168" s="42">
        <f>_xlfn.XLOOKUP(ssH!$AG$5&amp;B168,ssH!A:A,ssH!D:D,0)</f>
        <v>0</v>
      </c>
      <c r="F168" s="42">
        <f>_xlfn.XLOOKUP(ssH!$AG$6&amp;B168,ssH!A:A,ssH!D:D,0)</f>
        <v>0</v>
      </c>
      <c r="G168" s="48">
        <f>_xlfn.XLOOKUP(A168&amp;B168,ssH!A:A,ssH!F:F,-100%)</f>
        <v>-1</v>
      </c>
      <c r="H168" s="46">
        <f>_xlfn.XLOOKUP(ssH!$AG$3&amp;B168,ssH!A:A,ssH!F:F,0)</f>
        <v>0</v>
      </c>
      <c r="I168" s="46">
        <f>_xlfn.XLOOKUP(ssH!$AG$5&amp;B168,ssH!A:A,ssH!F:F,0)</f>
        <v>0</v>
      </c>
      <c r="J168" s="46">
        <f>_xlfn.XLOOKUP(ssH!$AG$6&amp;B168,ssH!A:A,ssH!F:F,0)</f>
        <v>0</v>
      </c>
      <c r="K168" s="46">
        <f>_xlfn.XLOOKUP(B168,ssL!C:C,ssL!G:G,"Removed")</f>
        <v>0</v>
      </c>
      <c r="L168" s="27">
        <f>_xlfn.XLOOKUP(A168&amp;B168,ssH!A:A,ssH!D:D,0)</f>
        <v>0</v>
      </c>
      <c r="M168" s="42" t="str">
        <f>_xlfn.XLOOKUP(A168&amp;B168,ssH!A:A,ssH!I:I,"")</f>
        <v/>
      </c>
      <c r="N168" s="51" t="str">
        <f t="shared" si="22"/>
        <v/>
      </c>
      <c r="O168" s="51" t="str">
        <f t="shared" si="23"/>
        <v/>
      </c>
      <c r="P168" s="51" t="str">
        <f t="shared" si="24"/>
        <v/>
      </c>
      <c r="Q168" s="52">
        <f t="shared" si="25"/>
        <v>0</v>
      </c>
      <c r="R168" s="51">
        <f t="shared" si="26"/>
        <v>2</v>
      </c>
      <c r="S168" s="51">
        <f t="shared" si="27"/>
        <v>0</v>
      </c>
      <c r="T168" s="51">
        <f t="shared" si="28"/>
        <v>0</v>
      </c>
      <c r="U168" s="52">
        <f t="shared" si="29"/>
        <v>2</v>
      </c>
      <c r="V168" s="52">
        <f t="shared" si="32"/>
        <v>0</v>
      </c>
      <c r="W168" s="52" t="str" cm="1">
        <f t="array" ref="W168">_xlfn.IFS(B168="","",AND(G168&gt;=0,L168&gt;0),"BuySome",AND(G168&gt;=0,K168="KMSignal"),"BuySome",AND(G168&lt;0,L168&gt;0),"BuyWatch",AND(Q168&lt;0,L168&gt;0),"BuyWatch",AND(G168&gt;=0,L168=0),"BuyWatch",L168&gt;0,"BuySome",TRUE,"")</f>
        <v/>
      </c>
      <c r="X168" s="47" t="str">
        <f>_xlfn.XLOOKUP(W168,Parm!$AN$2:$AN$25,Parm!$AO$2:$AO$25,"")</f>
        <v/>
      </c>
      <c r="Y168" s="52" t="str" cm="1">
        <f t="array" ref="Y168">_xlfn.IFS(B168="","",OR(Q168=-100,U168=-100),"SellAll",OR(Q168&lt;0,U168&lt;0),"SellSome",AND(Q168&gt;0,U168&gt;0),"BuySome",OR(Q168&gt;0,U168&gt;0),"BuyWatch",TRUE,"")</f>
        <v/>
      </c>
      <c r="Z168" s="47" t="str">
        <f>_xlfn.XLOOKUP(Y168,Parm!$AN$2:$AN$25,Parm!$AO$2:$AO$25,"")</f>
        <v/>
      </c>
      <c r="AA168" s="286">
        <f>IF(C168&lt;&gt;-100,A168,_xlfn.XLOOKUP(B168,ssH!L:L,ssH!M:M))</f>
        <v>46140</v>
      </c>
      <c r="AB168" s="49" t="str">
        <f t="shared" si="30"/>
        <v/>
      </c>
      <c r="AC168" s="52">
        <f>_xlfn.XLOOKUP(B168,TL!C:C,TL!C:C)</f>
        <v>0</v>
      </c>
      <c r="AD168" s="52">
        <f>_xlfn.XLOOKUP(B168,Y!C:C,Y!C:C)</f>
        <v>0</v>
      </c>
      <c r="AE168" s="52">
        <f>_xlfn.XLOOKUP(B168,MA!C:C,MA!C:C)</f>
        <v>0</v>
      </c>
    </row>
    <row r="169" spans="1:31" x14ac:dyDescent="0.25">
      <c r="A169" s="29">
        <f>ssH!$AG$1</f>
        <v>46140</v>
      </c>
      <c r="C169" s="47">
        <f t="shared" si="31"/>
        <v>0</v>
      </c>
      <c r="D169" s="42">
        <f>_xlfn.XLOOKUP(ssH!$AG$3&amp;B169,ssH!A:A,ssH!D:D,0)</f>
        <v>0</v>
      </c>
      <c r="E169" s="42">
        <f>_xlfn.XLOOKUP(ssH!$AG$5&amp;B169,ssH!A:A,ssH!D:D,0)</f>
        <v>0</v>
      </c>
      <c r="F169" s="42">
        <f>_xlfn.XLOOKUP(ssH!$AG$6&amp;B169,ssH!A:A,ssH!D:D,0)</f>
        <v>0</v>
      </c>
      <c r="G169" s="48">
        <f>_xlfn.XLOOKUP(A169&amp;B169,ssH!A:A,ssH!F:F,-100%)</f>
        <v>-1</v>
      </c>
      <c r="H169" s="46">
        <f>_xlfn.XLOOKUP(ssH!$AG$3&amp;B169,ssH!A:A,ssH!F:F,0)</f>
        <v>0</v>
      </c>
      <c r="I169" s="46">
        <f>_xlfn.XLOOKUP(ssH!$AG$5&amp;B169,ssH!A:A,ssH!F:F,0)</f>
        <v>0</v>
      </c>
      <c r="J169" s="46">
        <f>_xlfn.XLOOKUP(ssH!$AG$6&amp;B169,ssH!A:A,ssH!F:F,0)</f>
        <v>0</v>
      </c>
      <c r="K169" s="46">
        <f>_xlfn.XLOOKUP(B169,ssL!C:C,ssL!G:G,"Removed")</f>
        <v>0</v>
      </c>
      <c r="L169" s="27">
        <f>_xlfn.XLOOKUP(A169&amp;B169,ssH!A:A,ssH!D:D,0)</f>
        <v>0</v>
      </c>
      <c r="M169" s="42" t="str">
        <f>_xlfn.XLOOKUP(A169&amp;B169,ssH!A:A,ssH!I:I,"")</f>
        <v/>
      </c>
      <c r="N169" s="51" t="str">
        <f t="shared" si="22"/>
        <v/>
      </c>
      <c r="O169" s="51" t="str">
        <f t="shared" si="23"/>
        <v/>
      </c>
      <c r="P169" s="51" t="str">
        <f t="shared" si="24"/>
        <v/>
      </c>
      <c r="Q169" s="52">
        <f t="shared" si="25"/>
        <v>0</v>
      </c>
      <c r="R169" s="51">
        <f t="shared" si="26"/>
        <v>2</v>
      </c>
      <c r="S169" s="51">
        <f t="shared" si="27"/>
        <v>0</v>
      </c>
      <c r="T169" s="51">
        <f t="shared" si="28"/>
        <v>0</v>
      </c>
      <c r="U169" s="52">
        <f t="shared" si="29"/>
        <v>2</v>
      </c>
      <c r="V169" s="52">
        <f t="shared" si="32"/>
        <v>0</v>
      </c>
      <c r="W169" s="52" t="str" cm="1">
        <f t="array" ref="W169">_xlfn.IFS(B169="","",AND(G169&gt;=0,L169&gt;0),"BuySome",AND(G169&gt;=0,K169="KMSignal"),"BuySome",AND(G169&lt;0,L169&gt;0),"BuyWatch",AND(Q169&lt;0,L169&gt;0),"BuyWatch",AND(G169&gt;=0,L169=0),"BuyWatch",L169&gt;0,"BuySome",TRUE,"")</f>
        <v/>
      </c>
      <c r="X169" s="47" t="str">
        <f>_xlfn.XLOOKUP(W169,Parm!$AN$2:$AN$25,Parm!$AO$2:$AO$25,"")</f>
        <v/>
      </c>
      <c r="Y169" s="52" t="str" cm="1">
        <f t="array" ref="Y169">_xlfn.IFS(B169="","",OR(Q169=-100,U169=-100),"SellAll",OR(Q169&lt;0,U169&lt;0),"SellSome",AND(Q169&gt;0,U169&gt;0),"BuySome",OR(Q169&gt;0,U169&gt;0),"BuyWatch",TRUE,"")</f>
        <v/>
      </c>
      <c r="Z169" s="47" t="str">
        <f>_xlfn.XLOOKUP(Y169,Parm!$AN$2:$AN$25,Parm!$AO$2:$AO$25,"")</f>
        <v/>
      </c>
      <c r="AA169" s="286">
        <f>IF(C169&lt;&gt;-100,A169,_xlfn.XLOOKUP(B169,ssH!L:L,ssH!M:M))</f>
        <v>46140</v>
      </c>
      <c r="AB169" s="49" t="str">
        <f t="shared" si="30"/>
        <v/>
      </c>
      <c r="AC169" s="52">
        <f>_xlfn.XLOOKUP(B169,TL!C:C,TL!C:C)</f>
        <v>0</v>
      </c>
      <c r="AD169" s="52">
        <f>_xlfn.XLOOKUP(B169,Y!C:C,Y!C:C)</f>
        <v>0</v>
      </c>
      <c r="AE169" s="52">
        <f>_xlfn.XLOOKUP(B169,MA!C:C,MA!C:C)</f>
        <v>0</v>
      </c>
    </row>
    <row r="170" spans="1:31" x14ac:dyDescent="0.25">
      <c r="A170" s="29">
        <f>ssH!$AG$1</f>
        <v>46140</v>
      </c>
      <c r="C170" s="47">
        <f t="shared" si="31"/>
        <v>0</v>
      </c>
      <c r="D170" s="42">
        <f>_xlfn.XLOOKUP(ssH!$AG$3&amp;B170,ssH!A:A,ssH!D:D,0)</f>
        <v>0</v>
      </c>
      <c r="E170" s="42">
        <f>_xlfn.XLOOKUP(ssH!$AG$5&amp;B170,ssH!A:A,ssH!D:D,0)</f>
        <v>0</v>
      </c>
      <c r="F170" s="42">
        <f>_xlfn.XLOOKUP(ssH!$AG$6&amp;B170,ssH!A:A,ssH!D:D,0)</f>
        <v>0</v>
      </c>
      <c r="G170" s="48">
        <f>_xlfn.XLOOKUP(A170&amp;B170,ssH!A:A,ssH!F:F,-100%)</f>
        <v>-1</v>
      </c>
      <c r="H170" s="46">
        <f>_xlfn.XLOOKUP(ssH!$AG$3&amp;B170,ssH!A:A,ssH!F:F,0)</f>
        <v>0</v>
      </c>
      <c r="I170" s="46">
        <f>_xlfn.XLOOKUP(ssH!$AG$5&amp;B170,ssH!A:A,ssH!F:F,0)</f>
        <v>0</v>
      </c>
      <c r="J170" s="46">
        <f>_xlfn.XLOOKUP(ssH!$AG$6&amp;B170,ssH!A:A,ssH!F:F,0)</f>
        <v>0</v>
      </c>
      <c r="K170" s="46">
        <f>_xlfn.XLOOKUP(B170,ssL!C:C,ssL!G:G,"Removed")</f>
        <v>0</v>
      </c>
      <c r="L170" s="27">
        <f>_xlfn.XLOOKUP(A170&amp;B170,ssH!A:A,ssH!D:D,0)</f>
        <v>0</v>
      </c>
      <c r="M170" s="42" t="str">
        <f>_xlfn.XLOOKUP(A170&amp;B170,ssH!A:A,ssH!I:I,"")</f>
        <v/>
      </c>
      <c r="N170" s="51" t="str">
        <f t="shared" si="22"/>
        <v/>
      </c>
      <c r="O170" s="51" t="str">
        <f t="shared" si="23"/>
        <v/>
      </c>
      <c r="P170" s="51" t="str">
        <f t="shared" si="24"/>
        <v/>
      </c>
      <c r="Q170" s="52">
        <f t="shared" si="25"/>
        <v>0</v>
      </c>
      <c r="R170" s="51">
        <f t="shared" si="26"/>
        <v>2</v>
      </c>
      <c r="S170" s="51">
        <f t="shared" si="27"/>
        <v>0</v>
      </c>
      <c r="T170" s="51">
        <f t="shared" si="28"/>
        <v>0</v>
      </c>
      <c r="U170" s="52">
        <f t="shared" si="29"/>
        <v>2</v>
      </c>
      <c r="V170" s="52">
        <f t="shared" si="32"/>
        <v>0</v>
      </c>
      <c r="W170" s="52" t="str" cm="1">
        <f t="array" ref="W170">_xlfn.IFS(B170="","",AND(G170&gt;=0,L170&gt;0),"BuySome",AND(G170&gt;=0,K170="KMSignal"),"BuySome",AND(G170&lt;0,L170&gt;0),"BuyWatch",AND(Q170&lt;0,L170&gt;0),"BuyWatch",AND(G170&gt;=0,L170=0),"BuyWatch",L170&gt;0,"BuySome",TRUE,"")</f>
        <v/>
      </c>
      <c r="X170" s="47" t="str">
        <f>_xlfn.XLOOKUP(W170,Parm!$AN$2:$AN$25,Parm!$AO$2:$AO$25,"")</f>
        <v/>
      </c>
      <c r="Y170" s="52" t="str" cm="1">
        <f t="array" ref="Y170">_xlfn.IFS(B170="","",OR(Q170=-100,U170=-100),"SellAll",OR(Q170&lt;0,U170&lt;0),"SellSome",AND(Q170&gt;0,U170&gt;0),"BuySome",OR(Q170&gt;0,U170&gt;0),"BuyWatch",TRUE,"")</f>
        <v/>
      </c>
      <c r="Z170" s="47" t="str">
        <f>_xlfn.XLOOKUP(Y170,Parm!$AN$2:$AN$25,Parm!$AO$2:$AO$25,"")</f>
        <v/>
      </c>
      <c r="AA170" s="286">
        <f>IF(C170&lt;&gt;-100,A170,_xlfn.XLOOKUP(B170,ssH!L:L,ssH!M:M))</f>
        <v>46140</v>
      </c>
      <c r="AB170" s="49" t="str">
        <f t="shared" si="30"/>
        <v/>
      </c>
      <c r="AC170" s="52">
        <f>_xlfn.XLOOKUP(B170,TL!C:C,TL!C:C)</f>
        <v>0</v>
      </c>
      <c r="AD170" s="52">
        <f>_xlfn.XLOOKUP(B170,Y!C:C,Y!C:C)</f>
        <v>0</v>
      </c>
      <c r="AE170" s="52">
        <f>_xlfn.XLOOKUP(B170,MA!C:C,MA!C:C)</f>
        <v>0</v>
      </c>
    </row>
    <row r="171" spans="1:31" x14ac:dyDescent="0.25">
      <c r="A171" s="29">
        <f>ssH!$AG$1</f>
        <v>46140</v>
      </c>
      <c r="C171" s="47">
        <f t="shared" si="31"/>
        <v>0</v>
      </c>
      <c r="D171" s="42">
        <f>_xlfn.XLOOKUP(ssH!$AG$3&amp;B171,ssH!A:A,ssH!D:D,0)</f>
        <v>0</v>
      </c>
      <c r="E171" s="42">
        <f>_xlfn.XLOOKUP(ssH!$AG$5&amp;B171,ssH!A:A,ssH!D:D,0)</f>
        <v>0</v>
      </c>
      <c r="F171" s="42">
        <f>_xlfn.XLOOKUP(ssH!$AG$6&amp;B171,ssH!A:A,ssH!D:D,0)</f>
        <v>0</v>
      </c>
      <c r="G171" s="48">
        <f>_xlfn.XLOOKUP(A171&amp;B171,ssH!A:A,ssH!F:F,-100%)</f>
        <v>-1</v>
      </c>
      <c r="H171" s="46">
        <f>_xlfn.XLOOKUP(ssH!$AG$3&amp;B171,ssH!A:A,ssH!F:F,0)</f>
        <v>0</v>
      </c>
      <c r="I171" s="46">
        <f>_xlfn.XLOOKUP(ssH!$AG$5&amp;B171,ssH!A:A,ssH!F:F,0)</f>
        <v>0</v>
      </c>
      <c r="J171" s="46">
        <f>_xlfn.XLOOKUP(ssH!$AG$6&amp;B171,ssH!A:A,ssH!F:F,0)</f>
        <v>0</v>
      </c>
      <c r="K171" s="46">
        <f>_xlfn.XLOOKUP(B171,ssL!C:C,ssL!G:G,"Removed")</f>
        <v>0</v>
      </c>
      <c r="L171" s="27">
        <f>_xlfn.XLOOKUP(A171&amp;B171,ssH!A:A,ssH!D:D,0)</f>
        <v>0</v>
      </c>
      <c r="M171" s="42" t="str">
        <f>_xlfn.XLOOKUP(A171&amp;B171,ssH!A:A,ssH!I:I,"")</f>
        <v/>
      </c>
      <c r="N171" s="51" t="str">
        <f t="shared" si="22"/>
        <v/>
      </c>
      <c r="O171" s="51" t="str">
        <f t="shared" si="23"/>
        <v/>
      </c>
      <c r="P171" s="51" t="str">
        <f t="shared" si="24"/>
        <v/>
      </c>
      <c r="Q171" s="52">
        <f t="shared" si="25"/>
        <v>0</v>
      </c>
      <c r="R171" s="51">
        <f t="shared" si="26"/>
        <v>2</v>
      </c>
      <c r="S171" s="51">
        <f t="shared" si="27"/>
        <v>0</v>
      </c>
      <c r="T171" s="51">
        <f t="shared" si="28"/>
        <v>0</v>
      </c>
      <c r="U171" s="52">
        <f t="shared" si="29"/>
        <v>2</v>
      </c>
      <c r="V171" s="52">
        <f t="shared" si="32"/>
        <v>0</v>
      </c>
      <c r="W171" s="52" t="str" cm="1">
        <f t="array" ref="W171">_xlfn.IFS(B171="","",AND(G171&gt;=0,L171&gt;0),"BuySome",AND(G171&gt;=0,K171="KMSignal"),"BuySome",AND(G171&lt;0,L171&gt;0),"BuyWatch",AND(Q171&lt;0,L171&gt;0),"BuyWatch",AND(G171&gt;=0,L171=0),"BuyWatch",L171&gt;0,"BuySome",TRUE,"")</f>
        <v/>
      </c>
      <c r="X171" s="47" t="str">
        <f>_xlfn.XLOOKUP(W171,Parm!$AN$2:$AN$25,Parm!$AO$2:$AO$25,"")</f>
        <v/>
      </c>
      <c r="Y171" s="52" t="str" cm="1">
        <f t="array" ref="Y171">_xlfn.IFS(B171="","",OR(Q171=-100,U171=-100),"SellAll",OR(Q171&lt;0,U171&lt;0),"SellSome",AND(Q171&gt;0,U171&gt;0),"BuySome",OR(Q171&gt;0,U171&gt;0),"BuyWatch",TRUE,"")</f>
        <v/>
      </c>
      <c r="Z171" s="47" t="str">
        <f>_xlfn.XLOOKUP(Y171,Parm!$AN$2:$AN$25,Parm!$AO$2:$AO$25,"")</f>
        <v/>
      </c>
      <c r="AA171" s="286">
        <f>IF(C171&lt;&gt;-100,A171,_xlfn.XLOOKUP(B171,ssH!L:L,ssH!M:M))</f>
        <v>46140</v>
      </c>
      <c r="AB171" s="49" t="str">
        <f t="shared" si="30"/>
        <v/>
      </c>
      <c r="AC171" s="52">
        <f>_xlfn.XLOOKUP(B171,TL!C:C,TL!C:C)</f>
        <v>0</v>
      </c>
      <c r="AD171" s="52">
        <f>_xlfn.XLOOKUP(B171,Y!C:C,Y!C:C)</f>
        <v>0</v>
      </c>
      <c r="AE171" s="52">
        <f>_xlfn.XLOOKUP(B171,MA!C:C,MA!C:C)</f>
        <v>0</v>
      </c>
    </row>
    <row r="172" spans="1:31" x14ac:dyDescent="0.25">
      <c r="A172" s="29">
        <f>ssH!$AG$1</f>
        <v>46140</v>
      </c>
      <c r="C172" s="47">
        <f t="shared" si="31"/>
        <v>0</v>
      </c>
      <c r="D172" s="42">
        <f>_xlfn.XLOOKUP(ssH!$AG$3&amp;B172,ssH!A:A,ssH!D:D,0)</f>
        <v>0</v>
      </c>
      <c r="E172" s="42">
        <f>_xlfn.XLOOKUP(ssH!$AG$5&amp;B172,ssH!A:A,ssH!D:D,0)</f>
        <v>0</v>
      </c>
      <c r="F172" s="42">
        <f>_xlfn.XLOOKUP(ssH!$AG$6&amp;B172,ssH!A:A,ssH!D:D,0)</f>
        <v>0</v>
      </c>
      <c r="G172" s="48">
        <f>_xlfn.XLOOKUP(A172&amp;B172,ssH!A:A,ssH!F:F,-100%)</f>
        <v>-1</v>
      </c>
      <c r="H172" s="46">
        <f>_xlfn.XLOOKUP(ssH!$AG$3&amp;B172,ssH!A:A,ssH!F:F,0)</f>
        <v>0</v>
      </c>
      <c r="I172" s="46">
        <f>_xlfn.XLOOKUP(ssH!$AG$5&amp;B172,ssH!A:A,ssH!F:F,0)</f>
        <v>0</v>
      </c>
      <c r="J172" s="46">
        <f>_xlfn.XLOOKUP(ssH!$AG$6&amp;B172,ssH!A:A,ssH!F:F,0)</f>
        <v>0</v>
      </c>
      <c r="K172" s="46">
        <f>_xlfn.XLOOKUP(B172,ssL!C:C,ssL!G:G,"Removed")</f>
        <v>0</v>
      </c>
      <c r="L172" s="27">
        <f>_xlfn.XLOOKUP(A172&amp;B172,ssH!A:A,ssH!D:D,0)</f>
        <v>0</v>
      </c>
      <c r="M172" s="42" t="str">
        <f>_xlfn.XLOOKUP(A172&amp;B172,ssH!A:A,ssH!I:I,"")</f>
        <v/>
      </c>
      <c r="N172" s="51" t="str">
        <f t="shared" si="22"/>
        <v/>
      </c>
      <c r="O172" s="51" t="str">
        <f t="shared" si="23"/>
        <v/>
      </c>
      <c r="P172" s="51" t="str">
        <f t="shared" si="24"/>
        <v/>
      </c>
      <c r="Q172" s="52">
        <f t="shared" si="25"/>
        <v>0</v>
      </c>
      <c r="R172" s="51">
        <f t="shared" si="26"/>
        <v>2</v>
      </c>
      <c r="S172" s="51">
        <f t="shared" si="27"/>
        <v>0</v>
      </c>
      <c r="T172" s="51">
        <f t="shared" si="28"/>
        <v>0</v>
      </c>
      <c r="U172" s="52">
        <f t="shared" si="29"/>
        <v>2</v>
      </c>
      <c r="V172" s="52">
        <f t="shared" si="32"/>
        <v>0</v>
      </c>
      <c r="W172" s="52" t="str" cm="1">
        <f t="array" ref="W172">_xlfn.IFS(B172="","",AND(G172&gt;=0,L172&gt;0),"BuySome",AND(G172&gt;=0,K172="KMSignal"),"BuySome",AND(G172&lt;0,L172&gt;0),"BuyWatch",AND(Q172&lt;0,L172&gt;0),"BuyWatch",AND(G172&gt;=0,L172=0),"BuyWatch",L172&gt;0,"BuySome",TRUE,"")</f>
        <v/>
      </c>
      <c r="X172" s="47" t="str">
        <f>_xlfn.XLOOKUP(W172,Parm!$AN$2:$AN$25,Parm!$AO$2:$AO$25,"")</f>
        <v/>
      </c>
      <c r="Y172" s="52" t="str" cm="1">
        <f t="array" ref="Y172">_xlfn.IFS(B172="","",OR(Q172=-100,U172=-100),"SellAll",OR(Q172&lt;0,U172&lt;0),"SellSome",AND(Q172&gt;0,U172&gt;0),"BuySome",OR(Q172&gt;0,U172&gt;0),"BuyWatch",TRUE,"")</f>
        <v/>
      </c>
      <c r="Z172" s="47" t="str">
        <f>_xlfn.XLOOKUP(Y172,Parm!$AN$2:$AN$25,Parm!$AO$2:$AO$25,"")</f>
        <v/>
      </c>
      <c r="AA172" s="286">
        <f>IF(C172&lt;&gt;-100,A172,_xlfn.XLOOKUP(B172,ssH!L:L,ssH!M:M))</f>
        <v>46140</v>
      </c>
      <c r="AB172" s="49" t="str">
        <f t="shared" si="30"/>
        <v/>
      </c>
      <c r="AC172" s="52">
        <f>_xlfn.XLOOKUP(B172,TL!C:C,TL!C:C)</f>
        <v>0</v>
      </c>
      <c r="AD172" s="52">
        <f>_xlfn.XLOOKUP(B172,Y!C:C,Y!C:C)</f>
        <v>0</v>
      </c>
      <c r="AE172" s="52">
        <f>_xlfn.XLOOKUP(B172,MA!C:C,MA!C:C)</f>
        <v>0</v>
      </c>
    </row>
    <row r="173" spans="1:31" x14ac:dyDescent="0.25">
      <c r="A173" s="29">
        <f>ssH!$AG$1</f>
        <v>46140</v>
      </c>
      <c r="C173" s="47">
        <f t="shared" si="31"/>
        <v>0</v>
      </c>
      <c r="D173" s="42">
        <f>_xlfn.XLOOKUP(ssH!$AG$3&amp;B173,ssH!A:A,ssH!D:D,0)</f>
        <v>0</v>
      </c>
      <c r="E173" s="42">
        <f>_xlfn.XLOOKUP(ssH!$AG$5&amp;B173,ssH!A:A,ssH!D:D,0)</f>
        <v>0</v>
      </c>
      <c r="F173" s="42">
        <f>_xlfn.XLOOKUP(ssH!$AG$6&amp;B173,ssH!A:A,ssH!D:D,0)</f>
        <v>0</v>
      </c>
      <c r="G173" s="48">
        <f>_xlfn.XLOOKUP(A173&amp;B173,ssH!A:A,ssH!F:F,-100%)</f>
        <v>-1</v>
      </c>
      <c r="H173" s="46">
        <f>_xlfn.XLOOKUP(ssH!$AG$3&amp;B173,ssH!A:A,ssH!F:F,0)</f>
        <v>0</v>
      </c>
      <c r="I173" s="46">
        <f>_xlfn.XLOOKUP(ssH!$AG$5&amp;B173,ssH!A:A,ssH!F:F,0)</f>
        <v>0</v>
      </c>
      <c r="J173" s="46">
        <f>_xlfn.XLOOKUP(ssH!$AG$6&amp;B173,ssH!A:A,ssH!F:F,0)</f>
        <v>0</v>
      </c>
      <c r="K173" s="46">
        <f>_xlfn.XLOOKUP(B173,ssL!C:C,ssL!G:G,"Removed")</f>
        <v>0</v>
      </c>
      <c r="L173" s="27">
        <f>_xlfn.XLOOKUP(A173&amp;B173,ssH!A:A,ssH!D:D,0)</f>
        <v>0</v>
      </c>
      <c r="M173" s="42" t="str">
        <f>_xlfn.XLOOKUP(A173&amp;B173,ssH!A:A,ssH!I:I,"")</f>
        <v/>
      </c>
      <c r="N173" s="51" t="str">
        <f t="shared" si="22"/>
        <v/>
      </c>
      <c r="O173" s="51" t="str">
        <f t="shared" si="23"/>
        <v/>
      </c>
      <c r="P173" s="51" t="str">
        <f t="shared" si="24"/>
        <v/>
      </c>
      <c r="Q173" s="52">
        <f t="shared" si="25"/>
        <v>0</v>
      </c>
      <c r="R173" s="51">
        <f t="shared" si="26"/>
        <v>2</v>
      </c>
      <c r="S173" s="51">
        <f t="shared" si="27"/>
        <v>0</v>
      </c>
      <c r="T173" s="51">
        <f t="shared" si="28"/>
        <v>0</v>
      </c>
      <c r="U173" s="52">
        <f t="shared" si="29"/>
        <v>2</v>
      </c>
      <c r="V173" s="52">
        <f t="shared" si="32"/>
        <v>0</v>
      </c>
      <c r="W173" s="52" t="str" cm="1">
        <f t="array" ref="W173">_xlfn.IFS(B173="","",AND(G173&gt;=0,L173&gt;0),"BuySome",AND(G173&gt;=0,K173="KMSignal"),"BuySome",AND(G173&lt;0,L173&gt;0),"BuyWatch",AND(Q173&lt;0,L173&gt;0),"BuyWatch",AND(G173&gt;=0,L173=0),"BuyWatch",L173&gt;0,"BuySome",TRUE,"")</f>
        <v/>
      </c>
      <c r="X173" s="47" t="str">
        <f>_xlfn.XLOOKUP(W173,Parm!$AN$2:$AN$25,Parm!$AO$2:$AO$25,"")</f>
        <v/>
      </c>
      <c r="Y173" s="52" t="str" cm="1">
        <f t="array" ref="Y173">_xlfn.IFS(B173="","",OR(Q173=-100,U173=-100),"SellAll",OR(Q173&lt;0,U173&lt;0),"SellSome",AND(Q173&gt;0,U173&gt;0),"BuySome",OR(Q173&gt;0,U173&gt;0),"BuyWatch",TRUE,"")</f>
        <v/>
      </c>
      <c r="Z173" s="47" t="str">
        <f>_xlfn.XLOOKUP(Y173,Parm!$AN$2:$AN$25,Parm!$AO$2:$AO$25,"")</f>
        <v/>
      </c>
      <c r="AA173" s="286">
        <f>IF(C173&lt;&gt;-100,A173,_xlfn.XLOOKUP(B173,ssH!L:L,ssH!M:M))</f>
        <v>46140</v>
      </c>
      <c r="AB173" s="49" t="str">
        <f t="shared" si="30"/>
        <v/>
      </c>
      <c r="AC173" s="52">
        <f>_xlfn.XLOOKUP(B173,TL!C:C,TL!C:C)</f>
        <v>0</v>
      </c>
      <c r="AD173" s="52">
        <f>_xlfn.XLOOKUP(B173,Y!C:C,Y!C:C)</f>
        <v>0</v>
      </c>
      <c r="AE173" s="52">
        <f>_xlfn.XLOOKUP(B173,MA!C:C,MA!C:C)</f>
        <v>0</v>
      </c>
    </row>
    <row r="174" spans="1:31" x14ac:dyDescent="0.25">
      <c r="A174" s="29">
        <f>ssH!$AG$1</f>
        <v>46140</v>
      </c>
      <c r="C174" s="47">
        <f t="shared" si="31"/>
        <v>0</v>
      </c>
      <c r="D174" s="42">
        <f>_xlfn.XLOOKUP(ssH!$AG$3&amp;B174,ssH!A:A,ssH!D:D,0)</f>
        <v>0</v>
      </c>
      <c r="E174" s="42">
        <f>_xlfn.XLOOKUP(ssH!$AG$5&amp;B174,ssH!A:A,ssH!D:D,0)</f>
        <v>0</v>
      </c>
      <c r="F174" s="42">
        <f>_xlfn.XLOOKUP(ssH!$AG$6&amp;B174,ssH!A:A,ssH!D:D,0)</f>
        <v>0</v>
      </c>
      <c r="G174" s="48">
        <f>_xlfn.XLOOKUP(A174&amp;B174,ssH!A:A,ssH!F:F,-100%)</f>
        <v>-1</v>
      </c>
      <c r="H174" s="46">
        <f>_xlfn.XLOOKUP(ssH!$AG$3&amp;B174,ssH!A:A,ssH!F:F,0)</f>
        <v>0</v>
      </c>
      <c r="I174" s="46">
        <f>_xlfn.XLOOKUP(ssH!$AG$5&amp;B174,ssH!A:A,ssH!F:F,0)</f>
        <v>0</v>
      </c>
      <c r="J174" s="46">
        <f>_xlfn.XLOOKUP(ssH!$AG$6&amp;B174,ssH!A:A,ssH!F:F,0)</f>
        <v>0</v>
      </c>
      <c r="K174" s="46">
        <f>_xlfn.XLOOKUP(B174,ssL!C:C,ssL!G:G,"Removed")</f>
        <v>0</v>
      </c>
      <c r="L174" s="27">
        <f>_xlfn.XLOOKUP(A174&amp;B174,ssH!A:A,ssH!D:D,0)</f>
        <v>0</v>
      </c>
      <c r="M174" s="42" t="str">
        <f>_xlfn.XLOOKUP(A174&amp;B174,ssH!A:A,ssH!I:I,"")</f>
        <v/>
      </c>
      <c r="N174" s="51" t="str">
        <f t="shared" si="22"/>
        <v/>
      </c>
      <c r="O174" s="51" t="str">
        <f t="shared" si="23"/>
        <v/>
      </c>
      <c r="P174" s="51" t="str">
        <f t="shared" si="24"/>
        <v/>
      </c>
      <c r="Q174" s="52">
        <f t="shared" si="25"/>
        <v>0</v>
      </c>
      <c r="R174" s="51">
        <f t="shared" si="26"/>
        <v>2</v>
      </c>
      <c r="S174" s="51">
        <f t="shared" si="27"/>
        <v>0</v>
      </c>
      <c r="T174" s="51">
        <f t="shared" si="28"/>
        <v>0</v>
      </c>
      <c r="U174" s="52">
        <f t="shared" si="29"/>
        <v>2</v>
      </c>
      <c r="V174" s="52">
        <f t="shared" si="32"/>
        <v>0</v>
      </c>
      <c r="W174" s="52" t="str" cm="1">
        <f t="array" ref="W174">_xlfn.IFS(B174="","",AND(G174&gt;=0,L174&gt;0),"BuySome",AND(G174&gt;=0,K174="KMSignal"),"BuySome",AND(G174&lt;0,L174&gt;0),"BuyWatch",AND(Q174&lt;0,L174&gt;0),"BuyWatch",AND(G174&gt;=0,L174=0),"BuyWatch",L174&gt;0,"BuySome",TRUE,"")</f>
        <v/>
      </c>
      <c r="X174" s="47" t="str">
        <f>_xlfn.XLOOKUP(W174,Parm!$AN$2:$AN$25,Parm!$AO$2:$AO$25,"")</f>
        <v/>
      </c>
      <c r="Y174" s="52" t="str" cm="1">
        <f t="array" ref="Y174">_xlfn.IFS(B174="","",OR(Q174=-100,U174=-100),"SellAll",OR(Q174&lt;0,U174&lt;0),"SellSome",AND(Q174&gt;0,U174&gt;0),"BuySome",OR(Q174&gt;0,U174&gt;0),"BuyWatch",TRUE,"")</f>
        <v/>
      </c>
      <c r="Z174" s="47" t="str">
        <f>_xlfn.XLOOKUP(Y174,Parm!$AN$2:$AN$25,Parm!$AO$2:$AO$25,"")</f>
        <v/>
      </c>
      <c r="AA174" s="286">
        <f>IF(C174&lt;&gt;-100,A174,_xlfn.XLOOKUP(B174,ssH!L:L,ssH!M:M))</f>
        <v>46140</v>
      </c>
      <c r="AB174" s="49" t="str">
        <f t="shared" si="30"/>
        <v/>
      </c>
      <c r="AC174" s="52">
        <f>_xlfn.XLOOKUP(B174,TL!C:C,TL!C:C)</f>
        <v>0</v>
      </c>
      <c r="AD174" s="52">
        <f>_xlfn.XLOOKUP(B174,Y!C:C,Y!C:C)</f>
        <v>0</v>
      </c>
      <c r="AE174" s="52">
        <f>_xlfn.XLOOKUP(B174,MA!C:C,MA!C:C)</f>
        <v>0</v>
      </c>
    </row>
    <row r="175" spans="1:31" x14ac:dyDescent="0.25">
      <c r="A175" s="29">
        <f>ssH!$AG$1</f>
        <v>46140</v>
      </c>
      <c r="C175" s="47">
        <f t="shared" si="31"/>
        <v>0</v>
      </c>
      <c r="D175" s="42">
        <f>_xlfn.XLOOKUP(ssH!$AG$3&amp;B175,ssH!A:A,ssH!D:D,0)</f>
        <v>0</v>
      </c>
      <c r="E175" s="42">
        <f>_xlfn.XLOOKUP(ssH!$AG$5&amp;B175,ssH!A:A,ssH!D:D,0)</f>
        <v>0</v>
      </c>
      <c r="F175" s="42">
        <f>_xlfn.XLOOKUP(ssH!$AG$6&amp;B175,ssH!A:A,ssH!D:D,0)</f>
        <v>0</v>
      </c>
      <c r="G175" s="48">
        <f>_xlfn.XLOOKUP(A175&amp;B175,ssH!A:A,ssH!F:F,-100%)</f>
        <v>-1</v>
      </c>
      <c r="H175" s="46">
        <f>_xlfn.XLOOKUP(ssH!$AG$3&amp;B175,ssH!A:A,ssH!F:F,0)</f>
        <v>0</v>
      </c>
      <c r="I175" s="46">
        <f>_xlfn.XLOOKUP(ssH!$AG$5&amp;B175,ssH!A:A,ssH!F:F,0)</f>
        <v>0</v>
      </c>
      <c r="J175" s="46">
        <f>_xlfn.XLOOKUP(ssH!$AG$6&amp;B175,ssH!A:A,ssH!F:F,0)</f>
        <v>0</v>
      </c>
      <c r="K175" s="46">
        <f>_xlfn.XLOOKUP(B175,ssL!C:C,ssL!G:G,"Removed")</f>
        <v>0</v>
      </c>
      <c r="L175" s="27">
        <f>_xlfn.XLOOKUP(A175&amp;B175,ssH!A:A,ssH!D:D,0)</f>
        <v>0</v>
      </c>
      <c r="M175" s="42" t="str">
        <f>_xlfn.XLOOKUP(A175&amp;B175,ssH!A:A,ssH!I:I,"")</f>
        <v/>
      </c>
      <c r="N175" s="51" t="str">
        <f t="shared" si="22"/>
        <v/>
      </c>
      <c r="O175" s="51" t="str">
        <f t="shared" si="23"/>
        <v/>
      </c>
      <c r="P175" s="51" t="str">
        <f t="shared" si="24"/>
        <v/>
      </c>
      <c r="Q175" s="52">
        <f t="shared" si="25"/>
        <v>0</v>
      </c>
      <c r="R175" s="51">
        <f t="shared" si="26"/>
        <v>2</v>
      </c>
      <c r="S175" s="51">
        <f t="shared" si="27"/>
        <v>0</v>
      </c>
      <c r="T175" s="51">
        <f t="shared" si="28"/>
        <v>0</v>
      </c>
      <c r="U175" s="52">
        <f t="shared" si="29"/>
        <v>2</v>
      </c>
      <c r="V175" s="52">
        <f t="shared" si="32"/>
        <v>0</v>
      </c>
      <c r="W175" s="52" t="str" cm="1">
        <f t="array" ref="W175">_xlfn.IFS(B175="","",AND(G175&gt;=0,L175&gt;0),"BuySome",AND(G175&gt;=0,K175="KMSignal"),"BuySome",AND(G175&lt;0,L175&gt;0),"BuyWatch",AND(Q175&lt;0,L175&gt;0),"BuyWatch",AND(G175&gt;=0,L175=0),"BuyWatch",L175&gt;0,"BuySome",TRUE,"")</f>
        <v/>
      </c>
      <c r="X175" s="47" t="str">
        <f>_xlfn.XLOOKUP(W175,Parm!$AN$2:$AN$25,Parm!$AO$2:$AO$25,"")</f>
        <v/>
      </c>
      <c r="Y175" s="52" t="str" cm="1">
        <f t="array" ref="Y175">_xlfn.IFS(B175="","",OR(Q175=-100,U175=-100),"SellAll",OR(Q175&lt;0,U175&lt;0),"SellSome",AND(Q175&gt;0,U175&gt;0),"BuySome",OR(Q175&gt;0,U175&gt;0),"BuyWatch",TRUE,"")</f>
        <v/>
      </c>
      <c r="Z175" s="47" t="str">
        <f>_xlfn.XLOOKUP(Y175,Parm!$AN$2:$AN$25,Parm!$AO$2:$AO$25,"")</f>
        <v/>
      </c>
      <c r="AA175" s="286">
        <f>IF(C175&lt;&gt;-100,A175,_xlfn.XLOOKUP(B175,ssH!L:L,ssH!M:M))</f>
        <v>46140</v>
      </c>
      <c r="AB175" s="49" t="str">
        <f t="shared" si="30"/>
        <v/>
      </c>
      <c r="AC175" s="52">
        <f>_xlfn.XLOOKUP(B175,TL!C:C,TL!C:C)</f>
        <v>0</v>
      </c>
      <c r="AD175" s="52">
        <f>_xlfn.XLOOKUP(B175,Y!C:C,Y!C:C)</f>
        <v>0</v>
      </c>
      <c r="AE175" s="52">
        <f>_xlfn.XLOOKUP(B175,MA!C:C,MA!C:C)</f>
        <v>0</v>
      </c>
    </row>
    <row r="176" spans="1:31" x14ac:dyDescent="0.25">
      <c r="A176" s="29">
        <f>ssH!$AG$1</f>
        <v>46140</v>
      </c>
      <c r="C176" s="47">
        <f t="shared" si="31"/>
        <v>0</v>
      </c>
      <c r="D176" s="42">
        <f>_xlfn.XLOOKUP(ssH!$AG$3&amp;B176,ssH!A:A,ssH!D:D,0)</f>
        <v>0</v>
      </c>
      <c r="E176" s="42">
        <f>_xlfn.XLOOKUP(ssH!$AG$5&amp;B176,ssH!A:A,ssH!D:D,0)</f>
        <v>0</v>
      </c>
      <c r="F176" s="42">
        <f>_xlfn.XLOOKUP(ssH!$AG$6&amp;B176,ssH!A:A,ssH!D:D,0)</f>
        <v>0</v>
      </c>
      <c r="G176" s="48">
        <f>_xlfn.XLOOKUP(A176&amp;B176,ssH!A:A,ssH!F:F,-100%)</f>
        <v>-1</v>
      </c>
      <c r="H176" s="46">
        <f>_xlfn.XLOOKUP(ssH!$AG$3&amp;B176,ssH!A:A,ssH!F:F,0)</f>
        <v>0</v>
      </c>
      <c r="I176" s="46">
        <f>_xlfn.XLOOKUP(ssH!$AG$5&amp;B176,ssH!A:A,ssH!F:F,0)</f>
        <v>0</v>
      </c>
      <c r="J176" s="46">
        <f>_xlfn.XLOOKUP(ssH!$AG$6&amp;B176,ssH!A:A,ssH!F:F,0)</f>
        <v>0</v>
      </c>
      <c r="K176" s="46">
        <f>_xlfn.XLOOKUP(B176,ssL!C:C,ssL!G:G,"Removed")</f>
        <v>0</v>
      </c>
      <c r="L176" s="27">
        <f>_xlfn.XLOOKUP(A176&amp;B176,ssH!A:A,ssH!D:D,0)</f>
        <v>0</v>
      </c>
      <c r="M176" s="42" t="str">
        <f>_xlfn.XLOOKUP(A176&amp;B176,ssH!A:A,ssH!I:I,"")</f>
        <v/>
      </c>
      <c r="N176" s="51" t="str">
        <f t="shared" si="22"/>
        <v/>
      </c>
      <c r="O176" s="51" t="str">
        <f t="shared" si="23"/>
        <v/>
      </c>
      <c r="P176" s="51" t="str">
        <f t="shared" si="24"/>
        <v/>
      </c>
      <c r="Q176" s="52">
        <f t="shared" si="25"/>
        <v>0</v>
      </c>
      <c r="R176" s="51">
        <f t="shared" si="26"/>
        <v>2</v>
      </c>
      <c r="S176" s="51">
        <f t="shared" si="27"/>
        <v>0</v>
      </c>
      <c r="T176" s="51">
        <f t="shared" si="28"/>
        <v>0</v>
      </c>
      <c r="U176" s="52">
        <f t="shared" si="29"/>
        <v>2</v>
      </c>
      <c r="V176" s="52">
        <f t="shared" si="32"/>
        <v>0</v>
      </c>
      <c r="W176" s="52" t="str" cm="1">
        <f t="array" ref="W176">_xlfn.IFS(B176="","",AND(G176&gt;=0,L176&gt;0),"BuySome",AND(G176&gt;=0,K176="KMSignal"),"BuySome",AND(G176&lt;0,L176&gt;0),"BuyWatch",AND(Q176&lt;0,L176&gt;0),"BuyWatch",AND(G176&gt;=0,L176=0),"BuyWatch",L176&gt;0,"BuySome",TRUE,"")</f>
        <v/>
      </c>
      <c r="X176" s="47" t="str">
        <f>_xlfn.XLOOKUP(W176,Parm!$AN$2:$AN$25,Parm!$AO$2:$AO$25,"")</f>
        <v/>
      </c>
      <c r="Y176" s="52" t="str" cm="1">
        <f t="array" ref="Y176">_xlfn.IFS(B176="","",OR(Q176=-100,U176=-100),"SellAll",OR(Q176&lt;0,U176&lt;0),"SellSome",AND(Q176&gt;0,U176&gt;0),"BuySome",OR(Q176&gt;0,U176&gt;0),"BuyWatch",TRUE,"")</f>
        <v/>
      </c>
      <c r="Z176" s="47" t="str">
        <f>_xlfn.XLOOKUP(Y176,Parm!$AN$2:$AN$25,Parm!$AO$2:$AO$25,"")</f>
        <v/>
      </c>
      <c r="AA176" s="286">
        <f>IF(C176&lt;&gt;-100,A176,_xlfn.XLOOKUP(B176,ssH!L:L,ssH!M:M))</f>
        <v>46140</v>
      </c>
      <c r="AB176" s="49" t="str">
        <f t="shared" si="30"/>
        <v/>
      </c>
      <c r="AC176" s="52">
        <f>_xlfn.XLOOKUP(B176,TL!C:C,TL!C:C)</f>
        <v>0</v>
      </c>
      <c r="AD176" s="52">
        <f>_xlfn.XLOOKUP(B176,Y!C:C,Y!C:C)</f>
        <v>0</v>
      </c>
      <c r="AE176" s="52">
        <f>_xlfn.XLOOKUP(B176,MA!C:C,MA!C:C)</f>
        <v>0</v>
      </c>
    </row>
    <row r="177" spans="1:31" x14ac:dyDescent="0.25">
      <c r="A177" s="29">
        <f>ssH!$AG$1</f>
        <v>46140</v>
      </c>
      <c r="C177" s="47">
        <f t="shared" si="31"/>
        <v>0</v>
      </c>
      <c r="D177" s="42">
        <f>_xlfn.XLOOKUP(ssH!$AG$3&amp;B177,ssH!A:A,ssH!D:D,0)</f>
        <v>0</v>
      </c>
      <c r="E177" s="42">
        <f>_xlfn.XLOOKUP(ssH!$AG$5&amp;B177,ssH!A:A,ssH!D:D,0)</f>
        <v>0</v>
      </c>
      <c r="F177" s="42">
        <f>_xlfn.XLOOKUP(ssH!$AG$6&amp;B177,ssH!A:A,ssH!D:D,0)</f>
        <v>0</v>
      </c>
      <c r="G177" s="48">
        <f>_xlfn.XLOOKUP(A177&amp;B177,ssH!A:A,ssH!F:F,-100%)</f>
        <v>-1</v>
      </c>
      <c r="H177" s="46">
        <f>_xlfn.XLOOKUP(ssH!$AG$3&amp;B177,ssH!A:A,ssH!F:F,0)</f>
        <v>0</v>
      </c>
      <c r="I177" s="46">
        <f>_xlfn.XLOOKUP(ssH!$AG$5&amp;B177,ssH!A:A,ssH!F:F,0)</f>
        <v>0</v>
      </c>
      <c r="J177" s="46">
        <f>_xlfn.XLOOKUP(ssH!$AG$6&amp;B177,ssH!A:A,ssH!F:F,0)</f>
        <v>0</v>
      </c>
      <c r="K177" s="46">
        <f>_xlfn.XLOOKUP(B177,ssL!C:C,ssL!G:G,"Removed")</f>
        <v>0</v>
      </c>
      <c r="L177" s="27">
        <f>_xlfn.XLOOKUP(A177&amp;B177,ssH!A:A,ssH!D:D,0)</f>
        <v>0</v>
      </c>
      <c r="M177" s="42" t="str">
        <f>_xlfn.XLOOKUP(A177&amp;B177,ssH!A:A,ssH!I:I,"")</f>
        <v/>
      </c>
      <c r="N177" s="51" t="str">
        <f t="shared" si="22"/>
        <v/>
      </c>
      <c r="O177" s="51" t="str">
        <f t="shared" si="23"/>
        <v/>
      </c>
      <c r="P177" s="51" t="str">
        <f t="shared" si="24"/>
        <v/>
      </c>
      <c r="Q177" s="52">
        <f t="shared" si="25"/>
        <v>0</v>
      </c>
      <c r="R177" s="51">
        <f t="shared" si="26"/>
        <v>2</v>
      </c>
      <c r="S177" s="51">
        <f t="shared" si="27"/>
        <v>0</v>
      </c>
      <c r="T177" s="51">
        <f t="shared" si="28"/>
        <v>0</v>
      </c>
      <c r="U177" s="52">
        <f t="shared" si="29"/>
        <v>2</v>
      </c>
      <c r="V177" s="52">
        <f t="shared" si="32"/>
        <v>0</v>
      </c>
      <c r="W177" s="52" t="str" cm="1">
        <f t="array" ref="W177">_xlfn.IFS(B177="","",AND(G177&gt;=0,L177&gt;0),"BuySome",AND(G177&gt;=0,K177="KMSignal"),"BuySome",AND(G177&lt;0,L177&gt;0),"BuyWatch",AND(Q177&lt;0,L177&gt;0),"BuyWatch",AND(G177&gt;=0,L177=0),"BuyWatch",L177&gt;0,"BuySome",TRUE,"")</f>
        <v/>
      </c>
      <c r="X177" s="47" t="str">
        <f>_xlfn.XLOOKUP(W177,Parm!$AN$2:$AN$25,Parm!$AO$2:$AO$25,"")</f>
        <v/>
      </c>
      <c r="Y177" s="52" t="str" cm="1">
        <f t="array" ref="Y177">_xlfn.IFS(B177="","",OR(Q177=-100,U177=-100),"SellAll",OR(Q177&lt;0,U177&lt;0),"SellSome",AND(Q177&gt;0,U177&gt;0),"BuySome",OR(Q177&gt;0,U177&gt;0),"BuyWatch",TRUE,"")</f>
        <v/>
      </c>
      <c r="Z177" s="47" t="str">
        <f>_xlfn.XLOOKUP(Y177,Parm!$AN$2:$AN$25,Parm!$AO$2:$AO$25,"")</f>
        <v/>
      </c>
      <c r="AA177" s="286">
        <f>IF(C177&lt;&gt;-100,A177,_xlfn.XLOOKUP(B177,ssH!L:L,ssH!M:M))</f>
        <v>46140</v>
      </c>
      <c r="AB177" s="49" t="str">
        <f t="shared" si="30"/>
        <v/>
      </c>
      <c r="AC177" s="52">
        <f>_xlfn.XLOOKUP(B177,TL!C:C,TL!C:C)</f>
        <v>0</v>
      </c>
      <c r="AD177" s="52">
        <f>_xlfn.XLOOKUP(B177,Y!C:C,Y!C:C)</f>
        <v>0</v>
      </c>
      <c r="AE177" s="52">
        <f>_xlfn.XLOOKUP(B177,MA!C:C,MA!C:C)</f>
        <v>0</v>
      </c>
    </row>
    <row r="178" spans="1:31" x14ac:dyDescent="0.25">
      <c r="A178" s="29">
        <f>ssH!$AG$1</f>
        <v>46140</v>
      </c>
      <c r="C178" s="47">
        <f t="shared" si="31"/>
        <v>0</v>
      </c>
      <c r="D178" s="42">
        <f>_xlfn.XLOOKUP(ssH!$AG$3&amp;B178,ssH!A:A,ssH!D:D,0)</f>
        <v>0</v>
      </c>
      <c r="E178" s="42">
        <f>_xlfn.XLOOKUP(ssH!$AG$5&amp;B178,ssH!A:A,ssH!D:D,0)</f>
        <v>0</v>
      </c>
      <c r="F178" s="42">
        <f>_xlfn.XLOOKUP(ssH!$AG$6&amp;B178,ssH!A:A,ssH!D:D,0)</f>
        <v>0</v>
      </c>
      <c r="G178" s="48">
        <f>_xlfn.XLOOKUP(A178&amp;B178,ssH!A:A,ssH!F:F,-100%)</f>
        <v>-1</v>
      </c>
      <c r="H178" s="46">
        <f>_xlfn.XLOOKUP(ssH!$AG$3&amp;B178,ssH!A:A,ssH!F:F,0)</f>
        <v>0</v>
      </c>
      <c r="I178" s="46">
        <f>_xlfn.XLOOKUP(ssH!$AG$5&amp;B178,ssH!A:A,ssH!F:F,0)</f>
        <v>0</v>
      </c>
      <c r="J178" s="46">
        <f>_xlfn.XLOOKUP(ssH!$AG$6&amp;B178,ssH!A:A,ssH!F:F,0)</f>
        <v>0</v>
      </c>
      <c r="K178" s="46">
        <f>_xlfn.XLOOKUP(B178,ssL!C:C,ssL!G:G,"Removed")</f>
        <v>0</v>
      </c>
      <c r="L178" s="27">
        <f>_xlfn.XLOOKUP(A178&amp;B178,ssH!A:A,ssH!D:D,0)</f>
        <v>0</v>
      </c>
      <c r="M178" s="42" t="str">
        <f>_xlfn.XLOOKUP(A178&amp;B178,ssH!A:A,ssH!I:I,"")</f>
        <v/>
      </c>
      <c r="N178" s="51" t="str">
        <f t="shared" si="22"/>
        <v/>
      </c>
      <c r="O178" s="51" t="str">
        <f t="shared" si="23"/>
        <v/>
      </c>
      <c r="P178" s="51" t="str">
        <f t="shared" si="24"/>
        <v/>
      </c>
      <c r="Q178" s="52">
        <f t="shared" si="25"/>
        <v>0</v>
      </c>
      <c r="R178" s="51">
        <f t="shared" si="26"/>
        <v>2</v>
      </c>
      <c r="S178" s="51">
        <f t="shared" si="27"/>
        <v>0</v>
      </c>
      <c r="T178" s="51">
        <f t="shared" si="28"/>
        <v>0</v>
      </c>
      <c r="U178" s="52">
        <f t="shared" si="29"/>
        <v>2</v>
      </c>
      <c r="V178" s="52">
        <f t="shared" si="32"/>
        <v>0</v>
      </c>
      <c r="W178" s="52" t="str" cm="1">
        <f t="array" ref="W178">_xlfn.IFS(B178="","",AND(G178&gt;=0,L178&gt;0),"BuySome",AND(G178&gt;=0,K178="KMSignal"),"BuySome",AND(G178&lt;0,L178&gt;0),"BuyWatch",AND(Q178&lt;0,L178&gt;0),"BuyWatch",AND(G178&gt;=0,L178=0),"BuyWatch",L178&gt;0,"BuySome",TRUE,"")</f>
        <v/>
      </c>
      <c r="X178" s="47" t="str">
        <f>_xlfn.XLOOKUP(W178,Parm!$AN$2:$AN$25,Parm!$AO$2:$AO$25,"")</f>
        <v/>
      </c>
      <c r="Y178" s="52" t="str" cm="1">
        <f t="array" ref="Y178">_xlfn.IFS(B178="","",OR(Q178=-100,U178=-100),"SellAll",OR(Q178&lt;0,U178&lt;0),"SellSome",AND(Q178&gt;0,U178&gt;0),"BuySome",OR(Q178&gt;0,U178&gt;0),"BuyWatch",TRUE,"")</f>
        <v/>
      </c>
      <c r="Z178" s="47" t="str">
        <f>_xlfn.XLOOKUP(Y178,Parm!$AN$2:$AN$25,Parm!$AO$2:$AO$25,"")</f>
        <v/>
      </c>
      <c r="AA178" s="286">
        <f>IF(C178&lt;&gt;-100,A178,_xlfn.XLOOKUP(B178,ssH!L:L,ssH!M:M))</f>
        <v>46140</v>
      </c>
      <c r="AB178" s="49" t="str">
        <f t="shared" si="30"/>
        <v/>
      </c>
      <c r="AC178" s="52">
        <f>_xlfn.XLOOKUP(B178,TL!C:C,TL!C:C)</f>
        <v>0</v>
      </c>
      <c r="AD178" s="52">
        <f>_xlfn.XLOOKUP(B178,Y!C:C,Y!C:C)</f>
        <v>0</v>
      </c>
      <c r="AE178" s="52">
        <f>_xlfn.XLOOKUP(B178,MA!C:C,MA!C:C)</f>
        <v>0</v>
      </c>
    </row>
    <row r="179" spans="1:31" x14ac:dyDescent="0.25">
      <c r="A179" s="29">
        <f>ssH!$AG$1</f>
        <v>46140</v>
      </c>
      <c r="C179" s="47">
        <f t="shared" si="31"/>
        <v>0</v>
      </c>
      <c r="D179" s="42">
        <f>_xlfn.XLOOKUP(ssH!$AG$3&amp;B179,ssH!A:A,ssH!D:D,0)</f>
        <v>0</v>
      </c>
      <c r="E179" s="42">
        <f>_xlfn.XLOOKUP(ssH!$AG$5&amp;B179,ssH!A:A,ssH!D:D,0)</f>
        <v>0</v>
      </c>
      <c r="F179" s="42">
        <f>_xlfn.XLOOKUP(ssH!$AG$6&amp;B179,ssH!A:A,ssH!D:D,0)</f>
        <v>0</v>
      </c>
      <c r="G179" s="48">
        <f>_xlfn.XLOOKUP(A179&amp;B179,ssH!A:A,ssH!F:F,-100%)</f>
        <v>-1</v>
      </c>
      <c r="H179" s="46">
        <f>_xlfn.XLOOKUP(ssH!$AG$3&amp;B179,ssH!A:A,ssH!F:F,0)</f>
        <v>0</v>
      </c>
      <c r="I179" s="46">
        <f>_xlfn.XLOOKUP(ssH!$AG$5&amp;B179,ssH!A:A,ssH!F:F,0)</f>
        <v>0</v>
      </c>
      <c r="J179" s="46">
        <f>_xlfn.XLOOKUP(ssH!$AG$6&amp;B179,ssH!A:A,ssH!F:F,0)</f>
        <v>0</v>
      </c>
      <c r="K179" s="46">
        <f>_xlfn.XLOOKUP(B179,ssL!C:C,ssL!G:G,"Removed")</f>
        <v>0</v>
      </c>
      <c r="L179" s="27">
        <f>_xlfn.XLOOKUP(A179&amp;B179,ssH!A:A,ssH!D:D,0)</f>
        <v>0</v>
      </c>
      <c r="M179" s="42" t="str">
        <f>_xlfn.XLOOKUP(A179&amp;B179,ssH!A:A,ssH!I:I,"")</f>
        <v/>
      </c>
      <c r="N179" s="51" t="str">
        <f t="shared" si="22"/>
        <v/>
      </c>
      <c r="O179" s="51" t="str">
        <f t="shared" si="23"/>
        <v/>
      </c>
      <c r="P179" s="51" t="str">
        <f t="shared" si="24"/>
        <v/>
      </c>
      <c r="Q179" s="52">
        <f t="shared" si="25"/>
        <v>0</v>
      </c>
      <c r="R179" s="51">
        <f t="shared" si="26"/>
        <v>2</v>
      </c>
      <c r="S179" s="51">
        <f t="shared" si="27"/>
        <v>0</v>
      </c>
      <c r="T179" s="51">
        <f t="shared" si="28"/>
        <v>0</v>
      </c>
      <c r="U179" s="52">
        <f t="shared" si="29"/>
        <v>2</v>
      </c>
      <c r="V179" s="52">
        <f t="shared" si="32"/>
        <v>0</v>
      </c>
      <c r="W179" s="52" t="str" cm="1">
        <f t="array" ref="W179">_xlfn.IFS(B179="","",AND(G179&gt;=0,L179&gt;0),"BuySome",AND(G179&gt;=0,K179="KMSignal"),"BuySome",AND(G179&lt;0,L179&gt;0),"BuyWatch",AND(Q179&lt;0,L179&gt;0),"BuyWatch",AND(G179&gt;=0,L179=0),"BuyWatch",L179&gt;0,"BuySome",TRUE,"")</f>
        <v/>
      </c>
      <c r="X179" s="47" t="str">
        <f>_xlfn.XLOOKUP(W179,Parm!$AN$2:$AN$25,Parm!$AO$2:$AO$25,"")</f>
        <v/>
      </c>
      <c r="Y179" s="52" t="str" cm="1">
        <f t="array" ref="Y179">_xlfn.IFS(B179="","",OR(Q179=-100,U179=-100),"SellAll",OR(Q179&lt;0,U179&lt;0),"SellSome",AND(Q179&gt;0,U179&gt;0),"BuySome",OR(Q179&gt;0,U179&gt;0),"BuyWatch",TRUE,"")</f>
        <v/>
      </c>
      <c r="Z179" s="47" t="str">
        <f>_xlfn.XLOOKUP(Y179,Parm!$AN$2:$AN$25,Parm!$AO$2:$AO$25,"")</f>
        <v/>
      </c>
      <c r="AA179" s="286">
        <f>IF(C179&lt;&gt;-100,A179,_xlfn.XLOOKUP(B179,ssH!L:L,ssH!M:M))</f>
        <v>46140</v>
      </c>
      <c r="AB179" s="49" t="str">
        <f t="shared" si="30"/>
        <v/>
      </c>
      <c r="AC179" s="52">
        <f>_xlfn.XLOOKUP(B179,TL!C:C,TL!C:C)</f>
        <v>0</v>
      </c>
      <c r="AD179" s="52">
        <f>_xlfn.XLOOKUP(B179,Y!C:C,Y!C:C)</f>
        <v>0</v>
      </c>
      <c r="AE179" s="52">
        <f>_xlfn.XLOOKUP(B179,MA!C:C,MA!C:C)</f>
        <v>0</v>
      </c>
    </row>
    <row r="180" spans="1:31" x14ac:dyDescent="0.25">
      <c r="A180" s="29">
        <f>ssH!$AG$1</f>
        <v>46140</v>
      </c>
      <c r="C180" s="47">
        <f t="shared" si="31"/>
        <v>0</v>
      </c>
      <c r="D180" s="42">
        <f>_xlfn.XLOOKUP(ssH!$AG$3&amp;B180,ssH!A:A,ssH!D:D,0)</f>
        <v>0</v>
      </c>
      <c r="E180" s="42">
        <f>_xlfn.XLOOKUP(ssH!$AG$5&amp;B180,ssH!A:A,ssH!D:D,0)</f>
        <v>0</v>
      </c>
      <c r="F180" s="42">
        <f>_xlfn.XLOOKUP(ssH!$AG$6&amp;B180,ssH!A:A,ssH!D:D,0)</f>
        <v>0</v>
      </c>
      <c r="G180" s="48">
        <f>_xlfn.XLOOKUP(A180&amp;B180,ssH!A:A,ssH!F:F,-100%)</f>
        <v>-1</v>
      </c>
      <c r="H180" s="46">
        <f>_xlfn.XLOOKUP(ssH!$AG$3&amp;B180,ssH!A:A,ssH!F:F,0)</f>
        <v>0</v>
      </c>
      <c r="I180" s="46">
        <f>_xlfn.XLOOKUP(ssH!$AG$5&amp;B180,ssH!A:A,ssH!F:F,0)</f>
        <v>0</v>
      </c>
      <c r="J180" s="46">
        <f>_xlfn.XLOOKUP(ssH!$AG$6&amp;B180,ssH!A:A,ssH!F:F,0)</f>
        <v>0</v>
      </c>
      <c r="K180" s="46">
        <f>_xlfn.XLOOKUP(B180,ssL!C:C,ssL!G:G,"Removed")</f>
        <v>0</v>
      </c>
      <c r="L180" s="27">
        <f>_xlfn.XLOOKUP(A180&amp;B180,ssH!A:A,ssH!D:D,0)</f>
        <v>0</v>
      </c>
      <c r="M180" s="42" t="str">
        <f>_xlfn.XLOOKUP(A180&amp;B180,ssH!A:A,ssH!I:I,"")</f>
        <v/>
      </c>
      <c r="N180" s="51" t="str">
        <f t="shared" si="22"/>
        <v/>
      </c>
      <c r="O180" s="51" t="str">
        <f t="shared" si="23"/>
        <v/>
      </c>
      <c r="P180" s="51" t="str">
        <f t="shared" si="24"/>
        <v/>
      </c>
      <c r="Q180" s="52">
        <f t="shared" si="25"/>
        <v>0</v>
      </c>
      <c r="R180" s="51">
        <f t="shared" si="26"/>
        <v>2</v>
      </c>
      <c r="S180" s="51">
        <f t="shared" si="27"/>
        <v>0</v>
      </c>
      <c r="T180" s="51">
        <f t="shared" si="28"/>
        <v>0</v>
      </c>
      <c r="U180" s="52">
        <f t="shared" si="29"/>
        <v>2</v>
      </c>
      <c r="V180" s="52">
        <f t="shared" si="32"/>
        <v>0</v>
      </c>
      <c r="W180" s="52" t="str" cm="1">
        <f t="array" ref="W180">_xlfn.IFS(B180="","",AND(G180&gt;=0,L180&gt;0),"BuySome",AND(G180&gt;=0,K180="KMSignal"),"BuySome",AND(G180&lt;0,L180&gt;0),"BuyWatch",AND(Q180&lt;0,L180&gt;0),"BuyWatch",AND(G180&gt;=0,L180=0),"BuyWatch",L180&gt;0,"BuySome",TRUE,"")</f>
        <v/>
      </c>
      <c r="X180" s="47" t="str">
        <f>_xlfn.XLOOKUP(W180,Parm!$AN$2:$AN$25,Parm!$AO$2:$AO$25,"")</f>
        <v/>
      </c>
      <c r="Y180" s="52" t="str" cm="1">
        <f t="array" ref="Y180">_xlfn.IFS(B180="","",OR(Q180=-100,U180=-100),"SellAll",OR(Q180&lt;0,U180&lt;0),"SellSome",AND(Q180&gt;0,U180&gt;0),"BuySome",OR(Q180&gt;0,U180&gt;0),"BuyWatch",TRUE,"")</f>
        <v/>
      </c>
      <c r="Z180" s="47" t="str">
        <f>_xlfn.XLOOKUP(Y180,Parm!$AN$2:$AN$25,Parm!$AO$2:$AO$25,"")</f>
        <v/>
      </c>
      <c r="AA180" s="286">
        <f>IF(C180&lt;&gt;-100,A180,_xlfn.XLOOKUP(B180,ssH!L:L,ssH!M:M))</f>
        <v>46140</v>
      </c>
      <c r="AB180" s="49" t="str">
        <f t="shared" si="30"/>
        <v/>
      </c>
      <c r="AC180" s="52">
        <f>_xlfn.XLOOKUP(B180,TL!C:C,TL!C:C)</f>
        <v>0</v>
      </c>
      <c r="AD180" s="52">
        <f>_xlfn.XLOOKUP(B180,Y!C:C,Y!C:C)</f>
        <v>0</v>
      </c>
      <c r="AE180" s="52">
        <f>_xlfn.XLOOKUP(B180,MA!C:C,MA!C:C)</f>
        <v>0</v>
      </c>
    </row>
    <row r="181" spans="1:31" x14ac:dyDescent="0.25">
      <c r="A181" s="29">
        <f>ssH!$AG$1</f>
        <v>46140</v>
      </c>
      <c r="C181" s="47">
        <f t="shared" si="31"/>
        <v>0</v>
      </c>
      <c r="D181" s="42">
        <f>_xlfn.XLOOKUP(ssH!$AG$3&amp;B181,ssH!A:A,ssH!D:D,0)</f>
        <v>0</v>
      </c>
      <c r="E181" s="42">
        <f>_xlfn.XLOOKUP(ssH!$AG$5&amp;B181,ssH!A:A,ssH!D:D,0)</f>
        <v>0</v>
      </c>
      <c r="F181" s="42">
        <f>_xlfn.XLOOKUP(ssH!$AG$6&amp;B181,ssH!A:A,ssH!D:D,0)</f>
        <v>0</v>
      </c>
      <c r="G181" s="48">
        <f>_xlfn.XLOOKUP(A181&amp;B181,ssH!A:A,ssH!F:F,-100%)</f>
        <v>-1</v>
      </c>
      <c r="H181" s="46">
        <f>_xlfn.XLOOKUP(ssH!$AG$3&amp;B181,ssH!A:A,ssH!F:F,0)</f>
        <v>0</v>
      </c>
      <c r="I181" s="46">
        <f>_xlfn.XLOOKUP(ssH!$AG$5&amp;B181,ssH!A:A,ssH!F:F,0)</f>
        <v>0</v>
      </c>
      <c r="J181" s="46">
        <f>_xlfn.XLOOKUP(ssH!$AG$6&amp;B181,ssH!A:A,ssH!F:F,0)</f>
        <v>0</v>
      </c>
      <c r="K181" s="46">
        <f>_xlfn.XLOOKUP(B181,ssL!C:C,ssL!G:G,"Removed")</f>
        <v>0</v>
      </c>
      <c r="L181" s="27">
        <f>_xlfn.XLOOKUP(A181&amp;B181,ssH!A:A,ssH!D:D,0)</f>
        <v>0</v>
      </c>
      <c r="M181" s="42" t="str">
        <f>_xlfn.XLOOKUP(A181&amp;B181,ssH!A:A,ssH!I:I,"")</f>
        <v/>
      </c>
      <c r="N181" s="51" t="str">
        <f t="shared" si="22"/>
        <v/>
      </c>
      <c r="O181" s="51" t="str">
        <f t="shared" si="23"/>
        <v/>
      </c>
      <c r="P181" s="51" t="str">
        <f t="shared" si="24"/>
        <v/>
      </c>
      <c r="Q181" s="52">
        <f t="shared" si="25"/>
        <v>0</v>
      </c>
      <c r="R181" s="51">
        <f t="shared" si="26"/>
        <v>2</v>
      </c>
      <c r="S181" s="51">
        <f t="shared" si="27"/>
        <v>0</v>
      </c>
      <c r="T181" s="51">
        <f t="shared" si="28"/>
        <v>0</v>
      </c>
      <c r="U181" s="52">
        <f t="shared" si="29"/>
        <v>2</v>
      </c>
      <c r="V181" s="52">
        <f t="shared" si="32"/>
        <v>0</v>
      </c>
      <c r="W181" s="52" t="str" cm="1">
        <f t="array" ref="W181">_xlfn.IFS(B181="","",AND(G181&gt;=0,L181&gt;0),"BuySome",AND(G181&gt;=0,K181="KMSignal"),"BuySome",AND(G181&lt;0,L181&gt;0),"BuyWatch",AND(Q181&lt;0,L181&gt;0),"BuyWatch",AND(G181&gt;=0,L181=0),"BuyWatch",L181&gt;0,"BuySome",TRUE,"")</f>
        <v/>
      </c>
      <c r="X181" s="47" t="str">
        <f>_xlfn.XLOOKUP(W181,Parm!$AN$2:$AN$25,Parm!$AO$2:$AO$25,"")</f>
        <v/>
      </c>
      <c r="Y181" s="52" t="str" cm="1">
        <f t="array" ref="Y181">_xlfn.IFS(B181="","",OR(Q181=-100,U181=-100),"SellAll",OR(Q181&lt;0,U181&lt;0),"SellSome",AND(Q181&gt;0,U181&gt;0),"BuySome",OR(Q181&gt;0,U181&gt;0),"BuyWatch",TRUE,"")</f>
        <v/>
      </c>
      <c r="Z181" s="47" t="str">
        <f>_xlfn.XLOOKUP(Y181,Parm!$AN$2:$AN$25,Parm!$AO$2:$AO$25,"")</f>
        <v/>
      </c>
      <c r="AA181" s="286">
        <f>IF(C181&lt;&gt;-100,A181,_xlfn.XLOOKUP(B181,ssH!L:L,ssH!M:M))</f>
        <v>46140</v>
      </c>
      <c r="AB181" s="49" t="str">
        <f t="shared" si="30"/>
        <v/>
      </c>
      <c r="AC181" s="52">
        <f>_xlfn.XLOOKUP(B181,TL!C:C,TL!C:C)</f>
        <v>0</v>
      </c>
      <c r="AD181" s="52">
        <f>_xlfn.XLOOKUP(B181,Y!C:C,Y!C:C)</f>
        <v>0</v>
      </c>
      <c r="AE181" s="52">
        <f>_xlfn.XLOOKUP(B181,MA!C:C,MA!C:C)</f>
        <v>0</v>
      </c>
    </row>
    <row r="182" spans="1:31" x14ac:dyDescent="0.25">
      <c r="A182" s="29">
        <f>ssH!$AG$1</f>
        <v>46140</v>
      </c>
      <c r="C182" s="47">
        <f t="shared" si="31"/>
        <v>0</v>
      </c>
      <c r="D182" s="42">
        <f>_xlfn.XLOOKUP(ssH!$AG$3&amp;B182,ssH!A:A,ssH!D:D,0)</f>
        <v>0</v>
      </c>
      <c r="E182" s="42">
        <f>_xlfn.XLOOKUP(ssH!$AG$5&amp;B182,ssH!A:A,ssH!D:D,0)</f>
        <v>0</v>
      </c>
      <c r="F182" s="42">
        <f>_xlfn.XLOOKUP(ssH!$AG$6&amp;B182,ssH!A:A,ssH!D:D,0)</f>
        <v>0</v>
      </c>
      <c r="G182" s="48">
        <f>_xlfn.XLOOKUP(A182&amp;B182,ssH!A:A,ssH!F:F,-100%)</f>
        <v>-1</v>
      </c>
      <c r="H182" s="46">
        <f>_xlfn.XLOOKUP(ssH!$AG$3&amp;B182,ssH!A:A,ssH!F:F,0)</f>
        <v>0</v>
      </c>
      <c r="I182" s="46">
        <f>_xlfn.XLOOKUP(ssH!$AG$5&amp;B182,ssH!A:A,ssH!F:F,0)</f>
        <v>0</v>
      </c>
      <c r="J182" s="46">
        <f>_xlfn.XLOOKUP(ssH!$AG$6&amp;B182,ssH!A:A,ssH!F:F,0)</f>
        <v>0</v>
      </c>
      <c r="K182" s="46">
        <f>_xlfn.XLOOKUP(B182,ssL!C:C,ssL!G:G,"Removed")</f>
        <v>0</v>
      </c>
      <c r="L182" s="27">
        <f>_xlfn.XLOOKUP(A182&amp;B182,ssH!A:A,ssH!D:D,0)</f>
        <v>0</v>
      </c>
      <c r="M182" s="42" t="str">
        <f>_xlfn.XLOOKUP(A182&amp;B182,ssH!A:A,ssH!I:I,"")</f>
        <v/>
      </c>
      <c r="N182" s="51" t="str">
        <f t="shared" si="22"/>
        <v/>
      </c>
      <c r="O182" s="51" t="str">
        <f t="shared" si="23"/>
        <v/>
      </c>
      <c r="P182" s="51" t="str">
        <f t="shared" si="24"/>
        <v/>
      </c>
      <c r="Q182" s="52">
        <f t="shared" si="25"/>
        <v>0</v>
      </c>
      <c r="R182" s="51">
        <f t="shared" si="26"/>
        <v>2</v>
      </c>
      <c r="S182" s="51">
        <f t="shared" si="27"/>
        <v>0</v>
      </c>
      <c r="T182" s="51">
        <f t="shared" si="28"/>
        <v>0</v>
      </c>
      <c r="U182" s="52">
        <f t="shared" si="29"/>
        <v>2</v>
      </c>
      <c r="V182" s="52">
        <f t="shared" si="32"/>
        <v>0</v>
      </c>
      <c r="W182" s="52" t="str" cm="1">
        <f t="array" ref="W182">_xlfn.IFS(B182="","",AND(G182&gt;=0,L182&gt;0),"BuySome",AND(G182&gt;=0,K182="KMSignal"),"BuySome",AND(G182&lt;0,L182&gt;0),"BuyWatch",AND(Q182&lt;0,L182&gt;0),"BuyWatch",AND(G182&gt;=0,L182=0),"BuyWatch",L182&gt;0,"BuySome",TRUE,"")</f>
        <v/>
      </c>
      <c r="X182" s="47" t="str">
        <f>_xlfn.XLOOKUP(W182,Parm!$AN$2:$AN$25,Parm!$AO$2:$AO$25,"")</f>
        <v/>
      </c>
      <c r="Y182" s="52" t="str" cm="1">
        <f t="array" ref="Y182">_xlfn.IFS(B182="","",OR(Q182=-100,U182=-100),"SellAll",OR(Q182&lt;0,U182&lt;0),"SellSome",AND(Q182&gt;0,U182&gt;0),"BuySome",OR(Q182&gt;0,U182&gt;0),"BuyWatch",TRUE,"")</f>
        <v/>
      </c>
      <c r="Z182" s="47" t="str">
        <f>_xlfn.XLOOKUP(Y182,Parm!$AN$2:$AN$25,Parm!$AO$2:$AO$25,"")</f>
        <v/>
      </c>
      <c r="AA182" s="286">
        <f>IF(C182&lt;&gt;-100,A182,_xlfn.XLOOKUP(B182,ssH!L:L,ssH!M:M))</f>
        <v>46140</v>
      </c>
      <c r="AB182" s="49" t="str">
        <f t="shared" si="30"/>
        <v/>
      </c>
      <c r="AC182" s="52">
        <f>_xlfn.XLOOKUP(B182,TL!C:C,TL!C:C)</f>
        <v>0</v>
      </c>
      <c r="AD182" s="52">
        <f>_xlfn.XLOOKUP(B182,Y!C:C,Y!C:C)</f>
        <v>0</v>
      </c>
      <c r="AE182" s="52">
        <f>_xlfn.XLOOKUP(B182,MA!C:C,MA!C:C)</f>
        <v>0</v>
      </c>
    </row>
    <row r="183" spans="1:31" x14ac:dyDescent="0.25">
      <c r="A183" s="29">
        <f>ssH!$AG$1</f>
        <v>46140</v>
      </c>
      <c r="C183" s="47">
        <f t="shared" si="31"/>
        <v>0</v>
      </c>
      <c r="D183" s="42">
        <f>_xlfn.XLOOKUP(ssH!$AG$3&amp;B183,ssH!A:A,ssH!D:D,0)</f>
        <v>0</v>
      </c>
      <c r="E183" s="42">
        <f>_xlfn.XLOOKUP(ssH!$AG$5&amp;B183,ssH!A:A,ssH!D:D,0)</f>
        <v>0</v>
      </c>
      <c r="F183" s="42">
        <f>_xlfn.XLOOKUP(ssH!$AG$6&amp;B183,ssH!A:A,ssH!D:D,0)</f>
        <v>0</v>
      </c>
      <c r="G183" s="48">
        <f>_xlfn.XLOOKUP(A183&amp;B183,ssH!A:A,ssH!F:F,-100%)</f>
        <v>-1</v>
      </c>
      <c r="H183" s="46">
        <f>_xlfn.XLOOKUP(ssH!$AG$3&amp;B183,ssH!A:A,ssH!F:F,0)</f>
        <v>0</v>
      </c>
      <c r="I183" s="46">
        <f>_xlfn.XLOOKUP(ssH!$AG$5&amp;B183,ssH!A:A,ssH!F:F,0)</f>
        <v>0</v>
      </c>
      <c r="J183" s="46">
        <f>_xlfn.XLOOKUP(ssH!$AG$6&amp;B183,ssH!A:A,ssH!F:F,0)</f>
        <v>0</v>
      </c>
      <c r="K183" s="46">
        <f>_xlfn.XLOOKUP(B183,ssL!C:C,ssL!G:G,"Removed")</f>
        <v>0</v>
      </c>
      <c r="L183" s="27">
        <f>_xlfn.XLOOKUP(A183&amp;B183,ssH!A:A,ssH!D:D,0)</f>
        <v>0</v>
      </c>
      <c r="M183" s="42" t="str">
        <f>_xlfn.XLOOKUP(A183&amp;B183,ssH!A:A,ssH!I:I,"")</f>
        <v/>
      </c>
      <c r="N183" s="51" t="str">
        <f t="shared" si="22"/>
        <v/>
      </c>
      <c r="O183" s="51" t="str">
        <f t="shared" si="23"/>
        <v/>
      </c>
      <c r="P183" s="51" t="str">
        <f t="shared" si="24"/>
        <v/>
      </c>
      <c r="Q183" s="52">
        <f t="shared" si="25"/>
        <v>0</v>
      </c>
      <c r="R183" s="51">
        <f t="shared" si="26"/>
        <v>2</v>
      </c>
      <c r="S183" s="51">
        <f t="shared" si="27"/>
        <v>0</v>
      </c>
      <c r="T183" s="51">
        <f t="shared" si="28"/>
        <v>0</v>
      </c>
      <c r="U183" s="52">
        <f t="shared" si="29"/>
        <v>2</v>
      </c>
      <c r="V183" s="52">
        <f t="shared" si="32"/>
        <v>0</v>
      </c>
      <c r="W183" s="52" t="str" cm="1">
        <f t="array" ref="W183">_xlfn.IFS(B183="","",AND(G183&gt;=0,L183&gt;0),"BuySome",AND(G183&gt;=0,K183="KMSignal"),"BuySome",AND(G183&lt;0,L183&gt;0),"BuyWatch",AND(Q183&lt;0,L183&gt;0),"BuyWatch",AND(G183&gt;=0,L183=0),"BuyWatch",L183&gt;0,"BuySome",TRUE,"")</f>
        <v/>
      </c>
      <c r="X183" s="47" t="str">
        <f>_xlfn.XLOOKUP(W183,Parm!$AN$2:$AN$25,Parm!$AO$2:$AO$25,"")</f>
        <v/>
      </c>
      <c r="Y183" s="52" t="str" cm="1">
        <f t="array" ref="Y183">_xlfn.IFS(B183="","",OR(Q183=-100,U183=-100),"SellAll",OR(Q183&lt;0,U183&lt;0),"SellSome",AND(Q183&gt;0,U183&gt;0),"BuySome",OR(Q183&gt;0,U183&gt;0),"BuyWatch",TRUE,"")</f>
        <v/>
      </c>
      <c r="Z183" s="47" t="str">
        <f>_xlfn.XLOOKUP(Y183,Parm!$AN$2:$AN$25,Parm!$AO$2:$AO$25,"")</f>
        <v/>
      </c>
      <c r="AA183" s="286">
        <f>IF(C183&lt;&gt;-100,A183,_xlfn.XLOOKUP(B183,ssH!L:L,ssH!M:M))</f>
        <v>46140</v>
      </c>
      <c r="AB183" s="49" t="str">
        <f t="shared" si="30"/>
        <v/>
      </c>
      <c r="AC183" s="52">
        <f>_xlfn.XLOOKUP(B183,TL!C:C,TL!C:C)</f>
        <v>0</v>
      </c>
      <c r="AD183" s="52">
        <f>_xlfn.XLOOKUP(B183,Y!C:C,Y!C:C)</f>
        <v>0</v>
      </c>
      <c r="AE183" s="52">
        <f>_xlfn.XLOOKUP(B183,MA!C:C,MA!C:C)</f>
        <v>0</v>
      </c>
    </row>
    <row r="184" spans="1:31" x14ac:dyDescent="0.25">
      <c r="A184" s="29">
        <f>ssH!$AG$1</f>
        <v>46140</v>
      </c>
      <c r="C184" s="47">
        <f t="shared" si="31"/>
        <v>0</v>
      </c>
      <c r="D184" s="42">
        <f>_xlfn.XLOOKUP(ssH!$AG$3&amp;B184,ssH!A:A,ssH!D:D,0)</f>
        <v>0</v>
      </c>
      <c r="E184" s="42">
        <f>_xlfn.XLOOKUP(ssH!$AG$5&amp;B184,ssH!A:A,ssH!D:D,0)</f>
        <v>0</v>
      </c>
      <c r="F184" s="42">
        <f>_xlfn.XLOOKUP(ssH!$AG$6&amp;B184,ssH!A:A,ssH!D:D,0)</f>
        <v>0</v>
      </c>
      <c r="G184" s="48">
        <f>_xlfn.XLOOKUP(A184&amp;B184,ssH!A:A,ssH!F:F,-100%)</f>
        <v>-1</v>
      </c>
      <c r="H184" s="46">
        <f>_xlfn.XLOOKUP(ssH!$AG$3&amp;B184,ssH!A:A,ssH!F:F,0)</f>
        <v>0</v>
      </c>
      <c r="I184" s="46">
        <f>_xlfn.XLOOKUP(ssH!$AG$5&amp;B184,ssH!A:A,ssH!F:F,0)</f>
        <v>0</v>
      </c>
      <c r="J184" s="46">
        <f>_xlfn.XLOOKUP(ssH!$AG$6&amp;B184,ssH!A:A,ssH!F:F,0)</f>
        <v>0</v>
      </c>
      <c r="K184" s="46">
        <f>_xlfn.XLOOKUP(B184,ssL!C:C,ssL!G:G,"Removed")</f>
        <v>0</v>
      </c>
      <c r="L184" s="27">
        <f>_xlfn.XLOOKUP(A184&amp;B184,ssH!A:A,ssH!D:D,0)</f>
        <v>0</v>
      </c>
      <c r="M184" s="42" t="str">
        <f>_xlfn.XLOOKUP(A184&amp;B184,ssH!A:A,ssH!I:I,"")</f>
        <v/>
      </c>
      <c r="N184" s="51" t="str">
        <f t="shared" si="22"/>
        <v/>
      </c>
      <c r="O184" s="51" t="str">
        <f t="shared" si="23"/>
        <v/>
      </c>
      <c r="P184" s="51" t="str">
        <f t="shared" si="24"/>
        <v/>
      </c>
      <c r="Q184" s="52">
        <f t="shared" si="25"/>
        <v>0</v>
      </c>
      <c r="R184" s="51">
        <f t="shared" si="26"/>
        <v>2</v>
      </c>
      <c r="S184" s="51">
        <f t="shared" si="27"/>
        <v>0</v>
      </c>
      <c r="T184" s="51">
        <f t="shared" si="28"/>
        <v>0</v>
      </c>
      <c r="U184" s="52">
        <f t="shared" si="29"/>
        <v>2</v>
      </c>
      <c r="V184" s="52">
        <f t="shared" si="32"/>
        <v>0</v>
      </c>
      <c r="W184" s="52" t="str" cm="1">
        <f t="array" ref="W184">_xlfn.IFS(B184="","",AND(G184&gt;=0,L184&gt;0),"BuySome",AND(G184&gt;=0,K184="KMSignal"),"BuySome",AND(G184&lt;0,L184&gt;0),"BuyWatch",AND(Q184&lt;0,L184&gt;0),"BuyWatch",AND(G184&gt;=0,L184=0),"BuyWatch",L184&gt;0,"BuySome",TRUE,"")</f>
        <v/>
      </c>
      <c r="X184" s="47" t="str">
        <f>_xlfn.XLOOKUP(W184,Parm!$AN$2:$AN$25,Parm!$AO$2:$AO$25,"")</f>
        <v/>
      </c>
      <c r="Y184" s="52" t="str" cm="1">
        <f t="array" ref="Y184">_xlfn.IFS(B184="","",OR(Q184=-100,U184=-100),"SellAll",OR(Q184&lt;0,U184&lt;0),"SellSome",AND(Q184&gt;0,U184&gt;0),"BuySome",OR(Q184&gt;0,U184&gt;0),"BuyWatch",TRUE,"")</f>
        <v/>
      </c>
      <c r="Z184" s="47" t="str">
        <f>_xlfn.XLOOKUP(Y184,Parm!$AN$2:$AN$25,Parm!$AO$2:$AO$25,"")</f>
        <v/>
      </c>
      <c r="AA184" s="286">
        <f>IF(C184&lt;&gt;-100,A184,_xlfn.XLOOKUP(B184,ssH!L:L,ssH!M:M))</f>
        <v>46140</v>
      </c>
      <c r="AB184" s="49" t="str">
        <f t="shared" si="30"/>
        <v/>
      </c>
      <c r="AC184" s="52">
        <f>_xlfn.XLOOKUP(B184,TL!C:C,TL!C:C)</f>
        <v>0</v>
      </c>
      <c r="AD184" s="52">
        <f>_xlfn.XLOOKUP(B184,Y!C:C,Y!C:C)</f>
        <v>0</v>
      </c>
      <c r="AE184" s="52">
        <f>_xlfn.XLOOKUP(B184,MA!C:C,MA!C:C)</f>
        <v>0</v>
      </c>
    </row>
    <row r="185" spans="1:31" x14ac:dyDescent="0.25">
      <c r="A185" s="29">
        <f>ssH!$AG$1</f>
        <v>46140</v>
      </c>
      <c r="C185" s="47">
        <f t="shared" si="31"/>
        <v>0</v>
      </c>
      <c r="D185" s="42">
        <f>_xlfn.XLOOKUP(ssH!$AG$3&amp;B185,ssH!A:A,ssH!D:D,0)</f>
        <v>0</v>
      </c>
      <c r="E185" s="42">
        <f>_xlfn.XLOOKUP(ssH!$AG$5&amp;B185,ssH!A:A,ssH!D:D,0)</f>
        <v>0</v>
      </c>
      <c r="F185" s="42">
        <f>_xlfn.XLOOKUP(ssH!$AG$6&amp;B185,ssH!A:A,ssH!D:D,0)</f>
        <v>0</v>
      </c>
      <c r="G185" s="48">
        <f>_xlfn.XLOOKUP(A185&amp;B185,ssH!A:A,ssH!F:F,-100%)</f>
        <v>-1</v>
      </c>
      <c r="H185" s="46">
        <f>_xlfn.XLOOKUP(ssH!$AG$3&amp;B185,ssH!A:A,ssH!F:F,0)</f>
        <v>0</v>
      </c>
      <c r="I185" s="46">
        <f>_xlfn.XLOOKUP(ssH!$AG$5&amp;B185,ssH!A:A,ssH!F:F,0)</f>
        <v>0</v>
      </c>
      <c r="J185" s="46">
        <f>_xlfn.XLOOKUP(ssH!$AG$6&amp;B185,ssH!A:A,ssH!F:F,0)</f>
        <v>0</v>
      </c>
      <c r="K185" s="46">
        <f>_xlfn.XLOOKUP(B185,ssL!C:C,ssL!G:G,"Removed")</f>
        <v>0</v>
      </c>
      <c r="L185" s="27">
        <f>_xlfn.XLOOKUP(A185&amp;B185,ssH!A:A,ssH!D:D,0)</f>
        <v>0</v>
      </c>
      <c r="M185" s="42" t="str">
        <f>_xlfn.XLOOKUP(A185&amp;B185,ssH!A:A,ssH!I:I,"")</f>
        <v/>
      </c>
      <c r="N185" s="51" t="str">
        <f t="shared" si="22"/>
        <v/>
      </c>
      <c r="O185" s="51" t="str">
        <f t="shared" si="23"/>
        <v/>
      </c>
      <c r="P185" s="51" t="str">
        <f t="shared" si="24"/>
        <v/>
      </c>
      <c r="Q185" s="52">
        <f t="shared" si="25"/>
        <v>0</v>
      </c>
      <c r="R185" s="51">
        <f t="shared" si="26"/>
        <v>2</v>
      </c>
      <c r="S185" s="51">
        <f t="shared" si="27"/>
        <v>0</v>
      </c>
      <c r="T185" s="51">
        <f t="shared" si="28"/>
        <v>0</v>
      </c>
      <c r="U185" s="52">
        <f t="shared" si="29"/>
        <v>2</v>
      </c>
      <c r="V185" s="52">
        <f t="shared" si="32"/>
        <v>0</v>
      </c>
      <c r="W185" s="52" t="str" cm="1">
        <f t="array" ref="W185">_xlfn.IFS(B185="","",AND(G185&gt;=0,L185&gt;0),"BuySome",AND(G185&gt;=0,K185="KMSignal"),"BuySome",AND(G185&lt;0,L185&gt;0),"BuyWatch",AND(Q185&lt;0,L185&gt;0),"BuyWatch",AND(G185&gt;=0,L185=0),"BuyWatch",L185&gt;0,"BuySome",TRUE,"")</f>
        <v/>
      </c>
      <c r="X185" s="47" t="str">
        <f>_xlfn.XLOOKUP(W185,Parm!$AN$2:$AN$25,Parm!$AO$2:$AO$25,"")</f>
        <v/>
      </c>
      <c r="Y185" s="52" t="str" cm="1">
        <f t="array" ref="Y185">_xlfn.IFS(B185="","",OR(Q185=-100,U185=-100),"SellAll",OR(Q185&lt;0,U185&lt;0),"SellSome",AND(Q185&gt;0,U185&gt;0),"BuySome",OR(Q185&gt;0,U185&gt;0),"BuyWatch",TRUE,"")</f>
        <v/>
      </c>
      <c r="Z185" s="47" t="str">
        <f>_xlfn.XLOOKUP(Y185,Parm!$AN$2:$AN$25,Parm!$AO$2:$AO$25,"")</f>
        <v/>
      </c>
      <c r="AA185" s="286">
        <f>IF(C185&lt;&gt;-100,A185,_xlfn.XLOOKUP(B185,ssH!L:L,ssH!M:M))</f>
        <v>46140</v>
      </c>
      <c r="AB185" s="49" t="str">
        <f t="shared" si="30"/>
        <v/>
      </c>
      <c r="AC185" s="52">
        <f>_xlfn.XLOOKUP(B185,TL!C:C,TL!C:C)</f>
        <v>0</v>
      </c>
      <c r="AD185" s="52">
        <f>_xlfn.XLOOKUP(B185,Y!C:C,Y!C:C)</f>
        <v>0</v>
      </c>
      <c r="AE185" s="52">
        <f>_xlfn.XLOOKUP(B185,MA!C:C,MA!C:C)</f>
        <v>0</v>
      </c>
    </row>
    <row r="186" spans="1:31" x14ac:dyDescent="0.25">
      <c r="A186" s="29">
        <f>ssH!$AG$1</f>
        <v>46140</v>
      </c>
      <c r="C186" s="47">
        <f t="shared" si="31"/>
        <v>0</v>
      </c>
      <c r="D186" s="42">
        <f>_xlfn.XLOOKUP(ssH!$AG$3&amp;B186,ssH!A:A,ssH!D:D,0)</f>
        <v>0</v>
      </c>
      <c r="E186" s="42">
        <f>_xlfn.XLOOKUP(ssH!$AG$5&amp;B186,ssH!A:A,ssH!D:D,0)</f>
        <v>0</v>
      </c>
      <c r="F186" s="42">
        <f>_xlfn.XLOOKUP(ssH!$AG$6&amp;B186,ssH!A:A,ssH!D:D,0)</f>
        <v>0</v>
      </c>
      <c r="G186" s="48">
        <f>_xlfn.XLOOKUP(A186&amp;B186,ssH!A:A,ssH!F:F,-100%)</f>
        <v>-1</v>
      </c>
      <c r="H186" s="46">
        <f>_xlfn.XLOOKUP(ssH!$AG$3&amp;B186,ssH!A:A,ssH!F:F,0)</f>
        <v>0</v>
      </c>
      <c r="I186" s="46">
        <f>_xlfn.XLOOKUP(ssH!$AG$5&amp;B186,ssH!A:A,ssH!F:F,0)</f>
        <v>0</v>
      </c>
      <c r="J186" s="46">
        <f>_xlfn.XLOOKUP(ssH!$AG$6&amp;B186,ssH!A:A,ssH!F:F,0)</f>
        <v>0</v>
      </c>
      <c r="K186" s="46">
        <f>_xlfn.XLOOKUP(B186,ssL!C:C,ssL!G:G,"Removed")</f>
        <v>0</v>
      </c>
      <c r="L186" s="27">
        <f>_xlfn.XLOOKUP(A186&amp;B186,ssH!A:A,ssH!D:D,0)</f>
        <v>0</v>
      </c>
      <c r="M186" s="42" t="str">
        <f>_xlfn.XLOOKUP(A186&amp;B186,ssH!A:A,ssH!I:I,"")</f>
        <v/>
      </c>
      <c r="N186" s="51" t="str">
        <f t="shared" si="22"/>
        <v/>
      </c>
      <c r="O186" s="51" t="str">
        <f t="shared" si="23"/>
        <v/>
      </c>
      <c r="P186" s="51" t="str">
        <f t="shared" si="24"/>
        <v/>
      </c>
      <c r="Q186" s="52">
        <f t="shared" si="25"/>
        <v>0</v>
      </c>
      <c r="R186" s="51">
        <f t="shared" si="26"/>
        <v>2</v>
      </c>
      <c r="S186" s="51">
        <f t="shared" si="27"/>
        <v>0</v>
      </c>
      <c r="T186" s="51">
        <f t="shared" si="28"/>
        <v>0</v>
      </c>
      <c r="U186" s="52">
        <f t="shared" si="29"/>
        <v>2</v>
      </c>
      <c r="V186" s="52">
        <f t="shared" si="32"/>
        <v>0</v>
      </c>
      <c r="W186" s="52" t="str" cm="1">
        <f t="array" ref="W186">_xlfn.IFS(B186="","",AND(G186&gt;=0,L186&gt;0),"BuySome",AND(G186&gt;=0,K186="KMSignal"),"BuySome",AND(G186&lt;0,L186&gt;0),"BuyWatch",AND(Q186&lt;0,L186&gt;0),"BuyWatch",AND(G186&gt;=0,L186=0),"BuyWatch",L186&gt;0,"BuySome",TRUE,"")</f>
        <v/>
      </c>
      <c r="X186" s="47" t="str">
        <f>_xlfn.XLOOKUP(W186,Parm!$AN$2:$AN$25,Parm!$AO$2:$AO$25,"")</f>
        <v/>
      </c>
      <c r="Y186" s="52" t="str" cm="1">
        <f t="array" ref="Y186">_xlfn.IFS(B186="","",OR(Q186=-100,U186=-100),"SellAll",OR(Q186&lt;0,U186&lt;0),"SellSome",AND(Q186&gt;0,U186&gt;0),"BuySome",OR(Q186&gt;0,U186&gt;0),"BuyWatch",TRUE,"")</f>
        <v/>
      </c>
      <c r="Z186" s="47" t="str">
        <f>_xlfn.XLOOKUP(Y186,Parm!$AN$2:$AN$25,Parm!$AO$2:$AO$25,"")</f>
        <v/>
      </c>
      <c r="AA186" s="286">
        <f>IF(C186&lt;&gt;-100,A186,_xlfn.XLOOKUP(B186,ssH!L:L,ssH!M:M))</f>
        <v>46140</v>
      </c>
      <c r="AB186" s="49" t="str">
        <f t="shared" si="30"/>
        <v/>
      </c>
      <c r="AC186" s="52">
        <f>_xlfn.XLOOKUP(B186,TL!C:C,TL!C:C)</f>
        <v>0</v>
      </c>
      <c r="AD186" s="52">
        <f>_xlfn.XLOOKUP(B186,Y!C:C,Y!C:C)</f>
        <v>0</v>
      </c>
      <c r="AE186" s="52">
        <f>_xlfn.XLOOKUP(B186,MA!C:C,MA!C:C)</f>
        <v>0</v>
      </c>
    </row>
    <row r="187" spans="1:31" x14ac:dyDescent="0.25">
      <c r="A187" s="29">
        <f>ssH!$AG$1</f>
        <v>46140</v>
      </c>
      <c r="C187" s="47">
        <f t="shared" si="31"/>
        <v>0</v>
      </c>
      <c r="D187" s="42">
        <f>_xlfn.XLOOKUP(ssH!$AG$3&amp;B187,ssH!A:A,ssH!D:D,0)</f>
        <v>0</v>
      </c>
      <c r="E187" s="42">
        <f>_xlfn.XLOOKUP(ssH!$AG$5&amp;B187,ssH!A:A,ssH!D:D,0)</f>
        <v>0</v>
      </c>
      <c r="F187" s="42">
        <f>_xlfn.XLOOKUP(ssH!$AG$6&amp;B187,ssH!A:A,ssH!D:D,0)</f>
        <v>0</v>
      </c>
      <c r="G187" s="48">
        <f>_xlfn.XLOOKUP(A187&amp;B187,ssH!A:A,ssH!F:F,-100%)</f>
        <v>-1</v>
      </c>
      <c r="H187" s="46">
        <f>_xlfn.XLOOKUP(ssH!$AG$3&amp;B187,ssH!A:A,ssH!F:F,0)</f>
        <v>0</v>
      </c>
      <c r="I187" s="46">
        <f>_xlfn.XLOOKUP(ssH!$AG$5&amp;B187,ssH!A:A,ssH!F:F,0)</f>
        <v>0</v>
      </c>
      <c r="J187" s="46">
        <f>_xlfn.XLOOKUP(ssH!$AG$6&amp;B187,ssH!A:A,ssH!F:F,0)</f>
        <v>0</v>
      </c>
      <c r="K187" s="46">
        <f>_xlfn.XLOOKUP(B187,ssL!C:C,ssL!G:G,"Removed")</f>
        <v>0</v>
      </c>
      <c r="L187" s="27">
        <f>_xlfn.XLOOKUP(A187&amp;B187,ssH!A:A,ssH!D:D,0)</f>
        <v>0</v>
      </c>
      <c r="M187" s="42" t="str">
        <f>_xlfn.XLOOKUP(A187&amp;B187,ssH!A:A,ssH!I:I,"")</f>
        <v/>
      </c>
      <c r="N187" s="51" t="str">
        <f t="shared" si="22"/>
        <v/>
      </c>
      <c r="O187" s="51" t="str">
        <f t="shared" si="23"/>
        <v/>
      </c>
      <c r="P187" s="51" t="str">
        <f t="shared" si="24"/>
        <v/>
      </c>
      <c r="Q187" s="52">
        <f t="shared" si="25"/>
        <v>0</v>
      </c>
      <c r="R187" s="51">
        <f t="shared" si="26"/>
        <v>2</v>
      </c>
      <c r="S187" s="51">
        <f t="shared" si="27"/>
        <v>0</v>
      </c>
      <c r="T187" s="51">
        <f t="shared" si="28"/>
        <v>0</v>
      </c>
      <c r="U187" s="52">
        <f t="shared" si="29"/>
        <v>2</v>
      </c>
      <c r="V187" s="52">
        <f t="shared" si="32"/>
        <v>0</v>
      </c>
      <c r="W187" s="52" t="str" cm="1">
        <f t="array" ref="W187">_xlfn.IFS(B187="","",AND(G187&gt;=0,L187&gt;0),"BuySome",AND(G187&gt;=0,K187="KMSignal"),"BuySome",AND(G187&lt;0,L187&gt;0),"BuyWatch",AND(Q187&lt;0,L187&gt;0),"BuyWatch",AND(G187&gt;=0,L187=0),"BuyWatch",L187&gt;0,"BuySome",TRUE,"")</f>
        <v/>
      </c>
      <c r="X187" s="47" t="str">
        <f>_xlfn.XLOOKUP(W187,Parm!$AN$2:$AN$25,Parm!$AO$2:$AO$25,"")</f>
        <v/>
      </c>
      <c r="Y187" s="52" t="str" cm="1">
        <f t="array" ref="Y187">_xlfn.IFS(B187="","",OR(Q187=-100,U187=-100),"SellAll",OR(Q187&lt;0,U187&lt;0),"SellSome",AND(Q187&gt;0,U187&gt;0),"BuySome",OR(Q187&gt;0,U187&gt;0),"BuyWatch",TRUE,"")</f>
        <v/>
      </c>
      <c r="Z187" s="47" t="str">
        <f>_xlfn.XLOOKUP(Y187,Parm!$AN$2:$AN$25,Parm!$AO$2:$AO$25,"")</f>
        <v/>
      </c>
      <c r="AA187" s="286">
        <f>IF(C187&lt;&gt;-100,A187,_xlfn.XLOOKUP(B187,ssH!L:L,ssH!M:M))</f>
        <v>46140</v>
      </c>
      <c r="AB187" s="49" t="str">
        <f t="shared" si="30"/>
        <v/>
      </c>
      <c r="AC187" s="52">
        <f>_xlfn.XLOOKUP(B187,TL!C:C,TL!C:C)</f>
        <v>0</v>
      </c>
      <c r="AD187" s="52">
        <f>_xlfn.XLOOKUP(B187,Y!C:C,Y!C:C)</f>
        <v>0</v>
      </c>
      <c r="AE187" s="52">
        <f>_xlfn.XLOOKUP(B187,MA!C:C,MA!C:C)</f>
        <v>0</v>
      </c>
    </row>
    <row r="188" spans="1:31" x14ac:dyDescent="0.25">
      <c r="A188" s="29">
        <f>ssH!$AG$1</f>
        <v>46140</v>
      </c>
      <c r="C188" s="47">
        <f t="shared" si="31"/>
        <v>0</v>
      </c>
      <c r="D188" s="42">
        <f>_xlfn.XLOOKUP(ssH!$AG$3&amp;B188,ssH!A:A,ssH!D:D,0)</f>
        <v>0</v>
      </c>
      <c r="E188" s="42">
        <f>_xlfn.XLOOKUP(ssH!$AG$5&amp;B188,ssH!A:A,ssH!D:D,0)</f>
        <v>0</v>
      </c>
      <c r="F188" s="42">
        <f>_xlfn.XLOOKUP(ssH!$AG$6&amp;B188,ssH!A:A,ssH!D:D,0)</f>
        <v>0</v>
      </c>
      <c r="G188" s="48">
        <f>_xlfn.XLOOKUP(A188&amp;B188,ssH!A:A,ssH!F:F,-100%)</f>
        <v>-1</v>
      </c>
      <c r="H188" s="46">
        <f>_xlfn.XLOOKUP(ssH!$AG$3&amp;B188,ssH!A:A,ssH!F:F,0)</f>
        <v>0</v>
      </c>
      <c r="I188" s="46">
        <f>_xlfn.XLOOKUP(ssH!$AG$5&amp;B188,ssH!A:A,ssH!F:F,0)</f>
        <v>0</v>
      </c>
      <c r="J188" s="46">
        <f>_xlfn.XLOOKUP(ssH!$AG$6&amp;B188,ssH!A:A,ssH!F:F,0)</f>
        <v>0</v>
      </c>
      <c r="K188" s="46">
        <f>_xlfn.XLOOKUP(B188,ssL!C:C,ssL!G:G,"Removed")</f>
        <v>0</v>
      </c>
      <c r="L188" s="27">
        <f>_xlfn.XLOOKUP(A188&amp;B188,ssH!A:A,ssH!D:D,0)</f>
        <v>0</v>
      </c>
      <c r="M188" s="42" t="str">
        <f>_xlfn.XLOOKUP(A188&amp;B188,ssH!A:A,ssH!I:I,"")</f>
        <v/>
      </c>
      <c r="N188" s="51" t="str">
        <f t="shared" si="22"/>
        <v/>
      </c>
      <c r="O188" s="51" t="str">
        <f t="shared" si="23"/>
        <v/>
      </c>
      <c r="P188" s="51" t="str">
        <f t="shared" si="24"/>
        <v/>
      </c>
      <c r="Q188" s="52">
        <f t="shared" si="25"/>
        <v>0</v>
      </c>
      <c r="R188" s="51">
        <f t="shared" si="26"/>
        <v>2</v>
      </c>
      <c r="S188" s="51">
        <f t="shared" si="27"/>
        <v>0</v>
      </c>
      <c r="T188" s="51">
        <f t="shared" si="28"/>
        <v>0</v>
      </c>
      <c r="U188" s="52">
        <f t="shared" si="29"/>
        <v>2</v>
      </c>
      <c r="V188" s="52">
        <f t="shared" si="32"/>
        <v>0</v>
      </c>
      <c r="W188" s="52" t="str" cm="1">
        <f t="array" ref="W188">_xlfn.IFS(B188="","",AND(G188&gt;=0,L188&gt;0),"BuySome",AND(G188&gt;=0,K188="KMSignal"),"BuySome",AND(G188&lt;0,L188&gt;0),"BuyWatch",AND(Q188&lt;0,L188&gt;0),"BuyWatch",AND(G188&gt;=0,L188=0),"BuyWatch",L188&gt;0,"BuySome",TRUE,"")</f>
        <v/>
      </c>
      <c r="X188" s="47" t="str">
        <f>_xlfn.XLOOKUP(W188,Parm!$AN$2:$AN$25,Parm!$AO$2:$AO$25,"")</f>
        <v/>
      </c>
      <c r="Y188" s="52" t="str" cm="1">
        <f t="array" ref="Y188">_xlfn.IFS(B188="","",OR(Q188=-100,U188=-100),"SellAll",OR(Q188&lt;0,U188&lt;0),"SellSome",AND(Q188&gt;0,U188&gt;0),"BuySome",OR(Q188&gt;0,U188&gt;0),"BuyWatch",TRUE,"")</f>
        <v/>
      </c>
      <c r="Z188" s="47" t="str">
        <f>_xlfn.XLOOKUP(Y188,Parm!$AN$2:$AN$25,Parm!$AO$2:$AO$25,"")</f>
        <v/>
      </c>
      <c r="AA188" s="286">
        <f>IF(C188&lt;&gt;-100,A188,_xlfn.XLOOKUP(B188,ssH!L:L,ssH!M:M))</f>
        <v>46140</v>
      </c>
      <c r="AB188" s="49" t="str">
        <f t="shared" si="30"/>
        <v/>
      </c>
      <c r="AC188" s="52">
        <f>_xlfn.XLOOKUP(B188,TL!C:C,TL!C:C)</f>
        <v>0</v>
      </c>
      <c r="AD188" s="52">
        <f>_xlfn.XLOOKUP(B188,Y!C:C,Y!C:C)</f>
        <v>0</v>
      </c>
      <c r="AE188" s="52">
        <f>_xlfn.XLOOKUP(B188,MA!C:C,MA!C:C)</f>
        <v>0</v>
      </c>
    </row>
    <row r="189" spans="1:31" x14ac:dyDescent="0.25">
      <c r="A189" s="29">
        <f>ssH!$AG$1</f>
        <v>46140</v>
      </c>
      <c r="C189" s="47">
        <f t="shared" si="31"/>
        <v>0</v>
      </c>
      <c r="D189" s="42">
        <f>_xlfn.XLOOKUP(ssH!$AG$3&amp;B189,ssH!A:A,ssH!D:D,0)</f>
        <v>0</v>
      </c>
      <c r="E189" s="42">
        <f>_xlfn.XLOOKUP(ssH!$AG$5&amp;B189,ssH!A:A,ssH!D:D,0)</f>
        <v>0</v>
      </c>
      <c r="F189" s="42">
        <f>_xlfn.XLOOKUP(ssH!$AG$6&amp;B189,ssH!A:A,ssH!D:D,0)</f>
        <v>0</v>
      </c>
      <c r="G189" s="48">
        <f>_xlfn.XLOOKUP(A189&amp;B189,ssH!A:A,ssH!F:F,-100%)</f>
        <v>-1</v>
      </c>
      <c r="H189" s="46">
        <f>_xlfn.XLOOKUP(ssH!$AG$3&amp;B189,ssH!A:A,ssH!F:F,0)</f>
        <v>0</v>
      </c>
      <c r="I189" s="46">
        <f>_xlfn.XLOOKUP(ssH!$AG$5&amp;B189,ssH!A:A,ssH!F:F,0)</f>
        <v>0</v>
      </c>
      <c r="J189" s="46">
        <f>_xlfn.XLOOKUP(ssH!$AG$6&amp;B189,ssH!A:A,ssH!F:F,0)</f>
        <v>0</v>
      </c>
      <c r="K189" s="46">
        <f>_xlfn.XLOOKUP(B189,ssL!C:C,ssL!G:G,"Removed")</f>
        <v>0</v>
      </c>
      <c r="L189" s="27">
        <f>_xlfn.XLOOKUP(A189&amp;B189,ssH!A:A,ssH!D:D,0)</f>
        <v>0</v>
      </c>
      <c r="M189" s="42" t="str">
        <f>_xlfn.XLOOKUP(A189&amp;B189,ssH!A:A,ssH!I:I,"")</f>
        <v/>
      </c>
      <c r="N189" s="51" t="str">
        <f t="shared" si="22"/>
        <v/>
      </c>
      <c r="O189" s="51" t="str">
        <f t="shared" si="23"/>
        <v/>
      </c>
      <c r="P189" s="51" t="str">
        <f t="shared" si="24"/>
        <v/>
      </c>
      <c r="Q189" s="52">
        <f t="shared" si="25"/>
        <v>0</v>
      </c>
      <c r="R189" s="51">
        <f t="shared" si="26"/>
        <v>2</v>
      </c>
      <c r="S189" s="51">
        <f t="shared" si="27"/>
        <v>0</v>
      </c>
      <c r="T189" s="51">
        <f t="shared" si="28"/>
        <v>0</v>
      </c>
      <c r="U189" s="52">
        <f t="shared" si="29"/>
        <v>2</v>
      </c>
      <c r="V189" s="52">
        <f t="shared" si="32"/>
        <v>0</v>
      </c>
      <c r="W189" s="52" t="str" cm="1">
        <f t="array" ref="W189">_xlfn.IFS(B189="","",AND(G189&gt;=0,L189&gt;0),"BuySome",AND(G189&gt;=0,K189="KMSignal"),"BuySome",AND(G189&lt;0,L189&gt;0),"BuyWatch",AND(Q189&lt;0,L189&gt;0),"BuyWatch",AND(G189&gt;=0,L189=0),"BuyWatch",L189&gt;0,"BuySome",TRUE,"")</f>
        <v/>
      </c>
      <c r="X189" s="47" t="str">
        <f>_xlfn.XLOOKUP(W189,Parm!$AN$2:$AN$25,Parm!$AO$2:$AO$25,"")</f>
        <v/>
      </c>
      <c r="Y189" s="52" t="str" cm="1">
        <f t="array" ref="Y189">_xlfn.IFS(B189="","",OR(Q189=-100,U189=-100),"SellAll",OR(Q189&lt;0,U189&lt;0),"SellSome",AND(Q189&gt;0,U189&gt;0),"BuySome",OR(Q189&gt;0,U189&gt;0),"BuyWatch",TRUE,"")</f>
        <v/>
      </c>
      <c r="Z189" s="47" t="str">
        <f>_xlfn.XLOOKUP(Y189,Parm!$AN$2:$AN$25,Parm!$AO$2:$AO$25,"")</f>
        <v/>
      </c>
      <c r="AA189" s="286">
        <f>IF(C189&lt;&gt;-100,A189,_xlfn.XLOOKUP(B189,ssH!L:L,ssH!M:M))</f>
        <v>46140</v>
      </c>
      <c r="AB189" s="49" t="str">
        <f t="shared" si="30"/>
        <v/>
      </c>
      <c r="AC189" s="52">
        <f>_xlfn.XLOOKUP(B189,TL!C:C,TL!C:C)</f>
        <v>0</v>
      </c>
      <c r="AD189" s="52">
        <f>_xlfn.XLOOKUP(B189,Y!C:C,Y!C:C)</f>
        <v>0</v>
      </c>
      <c r="AE189" s="52">
        <f>_xlfn.XLOOKUP(B189,MA!C:C,MA!C:C)</f>
        <v>0</v>
      </c>
    </row>
    <row r="190" spans="1:31" x14ac:dyDescent="0.25">
      <c r="A190" s="29">
        <f>ssH!$AG$1</f>
        <v>46140</v>
      </c>
      <c r="C190" s="47">
        <f t="shared" si="31"/>
        <v>0</v>
      </c>
      <c r="D190" s="42">
        <f>_xlfn.XLOOKUP(ssH!$AG$3&amp;B190,ssH!A:A,ssH!D:D,0)</f>
        <v>0</v>
      </c>
      <c r="E190" s="42">
        <f>_xlfn.XLOOKUP(ssH!$AG$5&amp;B190,ssH!A:A,ssH!D:D,0)</f>
        <v>0</v>
      </c>
      <c r="F190" s="42">
        <f>_xlfn.XLOOKUP(ssH!$AG$6&amp;B190,ssH!A:A,ssH!D:D,0)</f>
        <v>0</v>
      </c>
      <c r="G190" s="48">
        <f>_xlfn.XLOOKUP(A190&amp;B190,ssH!A:A,ssH!F:F,-100%)</f>
        <v>-1</v>
      </c>
      <c r="H190" s="46">
        <f>_xlfn.XLOOKUP(ssH!$AG$3&amp;B190,ssH!A:A,ssH!F:F,0)</f>
        <v>0</v>
      </c>
      <c r="I190" s="46">
        <f>_xlfn.XLOOKUP(ssH!$AG$5&amp;B190,ssH!A:A,ssH!F:F,0)</f>
        <v>0</v>
      </c>
      <c r="J190" s="46">
        <f>_xlfn.XLOOKUP(ssH!$AG$6&amp;B190,ssH!A:A,ssH!F:F,0)</f>
        <v>0</v>
      </c>
      <c r="K190" s="46">
        <f>_xlfn.XLOOKUP(B190,ssL!C:C,ssL!G:G,"Removed")</f>
        <v>0</v>
      </c>
      <c r="L190" s="27">
        <f>_xlfn.XLOOKUP(A190&amp;B190,ssH!A:A,ssH!D:D,0)</f>
        <v>0</v>
      </c>
      <c r="M190" s="42" t="str">
        <f>_xlfn.XLOOKUP(A190&amp;B190,ssH!A:A,ssH!I:I,"")</f>
        <v/>
      </c>
      <c r="N190" s="51" t="str">
        <f t="shared" si="22"/>
        <v/>
      </c>
      <c r="O190" s="51" t="str">
        <f t="shared" si="23"/>
        <v/>
      </c>
      <c r="P190" s="51" t="str">
        <f t="shared" si="24"/>
        <v/>
      </c>
      <c r="Q190" s="52">
        <f t="shared" si="25"/>
        <v>0</v>
      </c>
      <c r="R190" s="51">
        <f t="shared" si="26"/>
        <v>2</v>
      </c>
      <c r="S190" s="51">
        <f t="shared" si="27"/>
        <v>0</v>
      </c>
      <c r="T190" s="51">
        <f t="shared" si="28"/>
        <v>0</v>
      </c>
      <c r="U190" s="52">
        <f t="shared" si="29"/>
        <v>2</v>
      </c>
      <c r="V190" s="52">
        <f t="shared" si="32"/>
        <v>0</v>
      </c>
      <c r="W190" s="52" t="str" cm="1">
        <f t="array" ref="W190">_xlfn.IFS(B190="","",AND(G190&gt;=0,L190&gt;0),"BuySome",AND(G190&gt;=0,K190="KMSignal"),"BuySome",AND(G190&lt;0,L190&gt;0),"BuyWatch",AND(Q190&lt;0,L190&gt;0),"BuyWatch",AND(G190&gt;=0,L190=0),"BuyWatch",L190&gt;0,"BuySome",TRUE,"")</f>
        <v/>
      </c>
      <c r="X190" s="47" t="str">
        <f>_xlfn.XLOOKUP(W190,Parm!$AN$2:$AN$25,Parm!$AO$2:$AO$25,"")</f>
        <v/>
      </c>
      <c r="Y190" s="52" t="str" cm="1">
        <f t="array" ref="Y190">_xlfn.IFS(B190="","",OR(Q190=-100,U190=-100),"SellAll",OR(Q190&lt;0,U190&lt;0),"SellSome",AND(Q190&gt;0,U190&gt;0),"BuySome",OR(Q190&gt;0,U190&gt;0),"BuyWatch",TRUE,"")</f>
        <v/>
      </c>
      <c r="Z190" s="47" t="str">
        <f>_xlfn.XLOOKUP(Y190,Parm!$AN$2:$AN$25,Parm!$AO$2:$AO$25,"")</f>
        <v/>
      </c>
      <c r="AA190" s="286">
        <f>IF(C190&lt;&gt;-100,A190,_xlfn.XLOOKUP(B190,ssH!L:L,ssH!M:M))</f>
        <v>46140</v>
      </c>
      <c r="AB190" s="49" t="str">
        <f t="shared" si="30"/>
        <v/>
      </c>
      <c r="AC190" s="52">
        <f>_xlfn.XLOOKUP(B190,TL!C:C,TL!C:C)</f>
        <v>0</v>
      </c>
      <c r="AD190" s="52">
        <f>_xlfn.XLOOKUP(B190,Y!C:C,Y!C:C)</f>
        <v>0</v>
      </c>
      <c r="AE190" s="52">
        <f>_xlfn.XLOOKUP(B190,MA!C:C,MA!C:C)</f>
        <v>0</v>
      </c>
    </row>
    <row r="191" spans="1:31" x14ac:dyDescent="0.25">
      <c r="A191" s="29">
        <f>ssH!$AG$1</f>
        <v>46140</v>
      </c>
      <c r="C191" s="47">
        <f t="shared" si="31"/>
        <v>0</v>
      </c>
      <c r="D191" s="42">
        <f>_xlfn.XLOOKUP(ssH!$AG$3&amp;B191,ssH!A:A,ssH!D:D,0)</f>
        <v>0</v>
      </c>
      <c r="E191" s="42">
        <f>_xlfn.XLOOKUP(ssH!$AG$5&amp;B191,ssH!A:A,ssH!D:D,0)</f>
        <v>0</v>
      </c>
      <c r="F191" s="42">
        <f>_xlfn.XLOOKUP(ssH!$AG$6&amp;B191,ssH!A:A,ssH!D:D,0)</f>
        <v>0</v>
      </c>
      <c r="G191" s="48">
        <f>_xlfn.XLOOKUP(A191&amp;B191,ssH!A:A,ssH!F:F,-100%)</f>
        <v>-1</v>
      </c>
      <c r="H191" s="46">
        <f>_xlfn.XLOOKUP(ssH!$AG$3&amp;B191,ssH!A:A,ssH!F:F,0)</f>
        <v>0</v>
      </c>
      <c r="I191" s="46">
        <f>_xlfn.XLOOKUP(ssH!$AG$5&amp;B191,ssH!A:A,ssH!F:F,0)</f>
        <v>0</v>
      </c>
      <c r="J191" s="46">
        <f>_xlfn.XLOOKUP(ssH!$AG$6&amp;B191,ssH!A:A,ssH!F:F,0)</f>
        <v>0</v>
      </c>
      <c r="K191" s="46">
        <f>_xlfn.XLOOKUP(B191,ssL!C:C,ssL!G:G,"Removed")</f>
        <v>0</v>
      </c>
      <c r="L191" s="27">
        <f>_xlfn.XLOOKUP(A191&amp;B191,ssH!A:A,ssH!D:D,0)</f>
        <v>0</v>
      </c>
      <c r="M191" s="42" t="str">
        <f>_xlfn.XLOOKUP(A191&amp;B191,ssH!A:A,ssH!I:I,"")</f>
        <v/>
      </c>
      <c r="N191" s="51" t="str">
        <f t="shared" si="22"/>
        <v/>
      </c>
      <c r="O191" s="51" t="str">
        <f t="shared" si="23"/>
        <v/>
      </c>
      <c r="P191" s="51" t="str">
        <f t="shared" si="24"/>
        <v/>
      </c>
      <c r="Q191" s="52">
        <f t="shared" si="25"/>
        <v>0</v>
      </c>
      <c r="R191" s="51">
        <f t="shared" si="26"/>
        <v>2</v>
      </c>
      <c r="S191" s="51">
        <f t="shared" si="27"/>
        <v>0</v>
      </c>
      <c r="T191" s="51">
        <f t="shared" si="28"/>
        <v>0</v>
      </c>
      <c r="U191" s="52">
        <f t="shared" si="29"/>
        <v>2</v>
      </c>
      <c r="V191" s="52">
        <f t="shared" si="32"/>
        <v>0</v>
      </c>
      <c r="W191" s="52" t="str" cm="1">
        <f t="array" ref="W191">_xlfn.IFS(B191="","",AND(G191&gt;=0,L191&gt;0),"BuySome",AND(G191&gt;=0,K191="KMSignal"),"BuySome",AND(G191&lt;0,L191&gt;0),"BuyWatch",AND(Q191&lt;0,L191&gt;0),"BuyWatch",AND(G191&gt;=0,L191=0),"BuyWatch",L191&gt;0,"BuySome",TRUE,"")</f>
        <v/>
      </c>
      <c r="X191" s="47" t="str">
        <f>_xlfn.XLOOKUP(W191,Parm!$AN$2:$AN$25,Parm!$AO$2:$AO$25,"")</f>
        <v/>
      </c>
      <c r="Y191" s="52" t="str" cm="1">
        <f t="array" ref="Y191">_xlfn.IFS(B191="","",OR(Q191=-100,U191=-100),"SellAll",OR(Q191&lt;0,U191&lt;0),"SellSome",AND(Q191&gt;0,U191&gt;0),"BuySome",OR(Q191&gt;0,U191&gt;0),"BuyWatch",TRUE,"")</f>
        <v/>
      </c>
      <c r="Z191" s="47" t="str">
        <f>_xlfn.XLOOKUP(Y191,Parm!$AN$2:$AN$25,Parm!$AO$2:$AO$25,"")</f>
        <v/>
      </c>
      <c r="AA191" s="286">
        <f>IF(C191&lt;&gt;-100,A191,_xlfn.XLOOKUP(B191,ssH!L:L,ssH!M:M))</f>
        <v>46140</v>
      </c>
      <c r="AB191" s="49" t="str">
        <f t="shared" si="30"/>
        <v/>
      </c>
      <c r="AC191" s="52">
        <f>_xlfn.XLOOKUP(B191,TL!C:C,TL!C:C)</f>
        <v>0</v>
      </c>
      <c r="AD191" s="52">
        <f>_xlfn.XLOOKUP(B191,Y!C:C,Y!C:C)</f>
        <v>0</v>
      </c>
      <c r="AE191" s="52">
        <f>_xlfn.XLOOKUP(B191,MA!C:C,MA!C:C)</f>
        <v>0</v>
      </c>
    </row>
    <row r="192" spans="1:31" x14ac:dyDescent="0.25">
      <c r="A192" s="29">
        <f>ssH!$AG$1</f>
        <v>46140</v>
      </c>
      <c r="C192" s="47">
        <f t="shared" si="31"/>
        <v>0</v>
      </c>
      <c r="D192" s="42">
        <f>_xlfn.XLOOKUP(ssH!$AG$3&amp;B192,ssH!A:A,ssH!D:D,0)</f>
        <v>0</v>
      </c>
      <c r="E192" s="42">
        <f>_xlfn.XLOOKUP(ssH!$AG$5&amp;B192,ssH!A:A,ssH!D:D,0)</f>
        <v>0</v>
      </c>
      <c r="F192" s="42">
        <f>_xlfn.XLOOKUP(ssH!$AG$6&amp;B192,ssH!A:A,ssH!D:D,0)</f>
        <v>0</v>
      </c>
      <c r="G192" s="48">
        <f>_xlfn.XLOOKUP(A192&amp;B192,ssH!A:A,ssH!F:F,-100%)</f>
        <v>-1</v>
      </c>
      <c r="H192" s="46">
        <f>_xlfn.XLOOKUP(ssH!$AG$3&amp;B192,ssH!A:A,ssH!F:F,0)</f>
        <v>0</v>
      </c>
      <c r="I192" s="46">
        <f>_xlfn.XLOOKUP(ssH!$AG$5&amp;B192,ssH!A:A,ssH!F:F,0)</f>
        <v>0</v>
      </c>
      <c r="J192" s="46">
        <f>_xlfn.XLOOKUP(ssH!$AG$6&amp;B192,ssH!A:A,ssH!F:F,0)</f>
        <v>0</v>
      </c>
      <c r="K192" s="46">
        <f>_xlfn.XLOOKUP(B192,ssL!C:C,ssL!G:G,"Removed")</f>
        <v>0</v>
      </c>
      <c r="L192" s="27">
        <f>_xlfn.XLOOKUP(A192&amp;B192,ssH!A:A,ssH!D:D,0)</f>
        <v>0</v>
      </c>
      <c r="M192" s="42" t="str">
        <f>_xlfn.XLOOKUP(A192&amp;B192,ssH!A:A,ssH!I:I,"")</f>
        <v/>
      </c>
      <c r="N192" s="51" t="str">
        <f t="shared" si="22"/>
        <v/>
      </c>
      <c r="O192" s="51" t="str">
        <f t="shared" si="23"/>
        <v/>
      </c>
      <c r="P192" s="51" t="str">
        <f t="shared" si="24"/>
        <v/>
      </c>
      <c r="Q192" s="52">
        <f t="shared" si="25"/>
        <v>0</v>
      </c>
      <c r="R192" s="51">
        <f t="shared" si="26"/>
        <v>2</v>
      </c>
      <c r="S192" s="51">
        <f t="shared" si="27"/>
        <v>0</v>
      </c>
      <c r="T192" s="51">
        <f t="shared" si="28"/>
        <v>0</v>
      </c>
      <c r="U192" s="52">
        <f t="shared" si="29"/>
        <v>2</v>
      </c>
      <c r="V192" s="52">
        <f t="shared" si="32"/>
        <v>0</v>
      </c>
      <c r="W192" s="52" t="str" cm="1">
        <f t="array" ref="W192">_xlfn.IFS(B192="","",AND(G192&gt;=0,L192&gt;0),"BuySome",AND(G192&gt;=0,K192="KMSignal"),"BuySome",AND(G192&lt;0,L192&gt;0),"BuyWatch",AND(Q192&lt;0,L192&gt;0),"BuyWatch",AND(G192&gt;=0,L192=0),"BuyWatch",L192&gt;0,"BuySome",TRUE,"")</f>
        <v/>
      </c>
      <c r="X192" s="47" t="str">
        <f>_xlfn.XLOOKUP(W192,Parm!$AN$2:$AN$25,Parm!$AO$2:$AO$25,"")</f>
        <v/>
      </c>
      <c r="Y192" s="52" t="str" cm="1">
        <f t="array" ref="Y192">_xlfn.IFS(B192="","",OR(Q192=-100,U192=-100),"SellAll",OR(Q192&lt;0,U192&lt;0),"SellSome",AND(Q192&gt;0,U192&gt;0),"BuySome",OR(Q192&gt;0,U192&gt;0),"BuyWatch",TRUE,"")</f>
        <v/>
      </c>
      <c r="Z192" s="47" t="str">
        <f>_xlfn.XLOOKUP(Y192,Parm!$AN$2:$AN$25,Parm!$AO$2:$AO$25,"")</f>
        <v/>
      </c>
      <c r="AA192" s="286">
        <f>IF(C192&lt;&gt;-100,A192,_xlfn.XLOOKUP(B192,ssH!L:L,ssH!M:M))</f>
        <v>46140</v>
      </c>
      <c r="AB192" s="49" t="str">
        <f t="shared" si="30"/>
        <v/>
      </c>
      <c r="AC192" s="52">
        <f>_xlfn.XLOOKUP(B192,TL!C:C,TL!C:C)</f>
        <v>0</v>
      </c>
      <c r="AD192" s="52">
        <f>_xlfn.XLOOKUP(B192,Y!C:C,Y!C:C)</f>
        <v>0</v>
      </c>
      <c r="AE192" s="52">
        <f>_xlfn.XLOOKUP(B192,MA!C:C,MA!C:C)</f>
        <v>0</v>
      </c>
    </row>
    <row r="193" spans="1:31" x14ac:dyDescent="0.25">
      <c r="A193" s="29">
        <f>ssH!$AG$1</f>
        <v>46140</v>
      </c>
      <c r="C193" s="47">
        <f t="shared" si="31"/>
        <v>0</v>
      </c>
      <c r="D193" s="42">
        <f>_xlfn.XLOOKUP(ssH!$AG$3&amp;B193,ssH!A:A,ssH!D:D,0)</f>
        <v>0</v>
      </c>
      <c r="E193" s="42">
        <f>_xlfn.XLOOKUP(ssH!$AG$5&amp;B193,ssH!A:A,ssH!D:D,0)</f>
        <v>0</v>
      </c>
      <c r="F193" s="42">
        <f>_xlfn.XLOOKUP(ssH!$AG$6&amp;B193,ssH!A:A,ssH!D:D,0)</f>
        <v>0</v>
      </c>
      <c r="G193" s="48">
        <f>_xlfn.XLOOKUP(A193&amp;B193,ssH!A:A,ssH!F:F,-100%)</f>
        <v>-1</v>
      </c>
      <c r="H193" s="46">
        <f>_xlfn.XLOOKUP(ssH!$AG$3&amp;B193,ssH!A:A,ssH!F:F,0)</f>
        <v>0</v>
      </c>
      <c r="I193" s="46">
        <f>_xlfn.XLOOKUP(ssH!$AG$5&amp;B193,ssH!A:A,ssH!F:F,0)</f>
        <v>0</v>
      </c>
      <c r="J193" s="46">
        <f>_xlfn.XLOOKUP(ssH!$AG$6&amp;B193,ssH!A:A,ssH!F:F,0)</f>
        <v>0</v>
      </c>
      <c r="K193" s="46">
        <f>_xlfn.XLOOKUP(B193,ssL!C:C,ssL!G:G,"Removed")</f>
        <v>0</v>
      </c>
      <c r="L193" s="27">
        <f>_xlfn.XLOOKUP(A193&amp;B193,ssH!A:A,ssH!D:D,0)</f>
        <v>0</v>
      </c>
      <c r="M193" s="42" t="str">
        <f>_xlfn.XLOOKUP(A193&amp;B193,ssH!A:A,ssH!I:I,"")</f>
        <v/>
      </c>
      <c r="N193" s="51" t="str">
        <f t="shared" si="22"/>
        <v/>
      </c>
      <c r="O193" s="51" t="str">
        <f t="shared" si="23"/>
        <v/>
      </c>
      <c r="P193" s="51" t="str">
        <f t="shared" si="24"/>
        <v/>
      </c>
      <c r="Q193" s="52">
        <f t="shared" si="25"/>
        <v>0</v>
      </c>
      <c r="R193" s="51">
        <f t="shared" si="26"/>
        <v>2</v>
      </c>
      <c r="S193" s="51">
        <f t="shared" si="27"/>
        <v>0</v>
      </c>
      <c r="T193" s="51">
        <f t="shared" si="28"/>
        <v>0</v>
      </c>
      <c r="U193" s="52">
        <f t="shared" si="29"/>
        <v>2</v>
      </c>
      <c r="V193" s="52">
        <f t="shared" si="32"/>
        <v>0</v>
      </c>
      <c r="W193" s="52" t="str" cm="1">
        <f t="array" ref="W193">_xlfn.IFS(B193="","",AND(G193&gt;=0,L193&gt;0),"BuySome",AND(G193&gt;=0,K193="KMSignal"),"BuySome",AND(G193&lt;0,L193&gt;0),"BuyWatch",AND(Q193&lt;0,L193&gt;0),"BuyWatch",AND(G193&gt;=0,L193=0),"BuyWatch",L193&gt;0,"BuySome",TRUE,"")</f>
        <v/>
      </c>
      <c r="X193" s="47" t="str">
        <f>_xlfn.XLOOKUP(W193,Parm!$AN$2:$AN$25,Parm!$AO$2:$AO$25,"")</f>
        <v/>
      </c>
      <c r="Y193" s="52" t="str" cm="1">
        <f t="array" ref="Y193">_xlfn.IFS(B193="","",OR(Q193=-100,U193=-100),"SellAll",OR(Q193&lt;0,U193&lt;0),"SellSome",AND(Q193&gt;0,U193&gt;0),"BuySome",OR(Q193&gt;0,U193&gt;0),"BuyWatch",TRUE,"")</f>
        <v/>
      </c>
      <c r="Z193" s="47" t="str">
        <f>_xlfn.XLOOKUP(Y193,Parm!$AN$2:$AN$25,Parm!$AO$2:$AO$25,"")</f>
        <v/>
      </c>
      <c r="AA193" s="286">
        <f>IF(C193&lt;&gt;-100,A193,_xlfn.XLOOKUP(B193,ssH!L:L,ssH!M:M))</f>
        <v>46140</v>
      </c>
      <c r="AB193" s="49" t="str">
        <f t="shared" si="30"/>
        <v/>
      </c>
      <c r="AC193" s="52">
        <f>_xlfn.XLOOKUP(B193,TL!C:C,TL!C:C)</f>
        <v>0</v>
      </c>
      <c r="AD193" s="52">
        <f>_xlfn.XLOOKUP(B193,Y!C:C,Y!C:C)</f>
        <v>0</v>
      </c>
      <c r="AE193" s="52">
        <f>_xlfn.XLOOKUP(B193,MA!C:C,MA!C:C)</f>
        <v>0</v>
      </c>
    </row>
    <row r="194" spans="1:31" x14ac:dyDescent="0.25">
      <c r="A194" s="29">
        <f>ssH!$AG$1</f>
        <v>46140</v>
      </c>
      <c r="C194" s="47">
        <f t="shared" si="31"/>
        <v>0</v>
      </c>
      <c r="D194" s="42">
        <f>_xlfn.XLOOKUP(ssH!$AG$3&amp;B194,ssH!A:A,ssH!D:D,0)</f>
        <v>0</v>
      </c>
      <c r="E194" s="42">
        <f>_xlfn.XLOOKUP(ssH!$AG$5&amp;B194,ssH!A:A,ssH!D:D,0)</f>
        <v>0</v>
      </c>
      <c r="F194" s="42">
        <f>_xlfn.XLOOKUP(ssH!$AG$6&amp;B194,ssH!A:A,ssH!D:D,0)</f>
        <v>0</v>
      </c>
      <c r="G194" s="48">
        <f>_xlfn.XLOOKUP(A194&amp;B194,ssH!A:A,ssH!F:F,-100%)</f>
        <v>-1</v>
      </c>
      <c r="H194" s="46">
        <f>_xlfn.XLOOKUP(ssH!$AG$3&amp;B194,ssH!A:A,ssH!F:F,0)</f>
        <v>0</v>
      </c>
      <c r="I194" s="46">
        <f>_xlfn.XLOOKUP(ssH!$AG$5&amp;B194,ssH!A:A,ssH!F:F,0)</f>
        <v>0</v>
      </c>
      <c r="J194" s="46">
        <f>_xlfn.XLOOKUP(ssH!$AG$6&amp;B194,ssH!A:A,ssH!F:F,0)</f>
        <v>0</v>
      </c>
      <c r="K194" s="46">
        <f>_xlfn.XLOOKUP(B194,ssL!C:C,ssL!G:G,"Removed")</f>
        <v>0</v>
      </c>
      <c r="L194" s="27">
        <f>_xlfn.XLOOKUP(A194&amp;B194,ssH!A:A,ssH!D:D,0)</f>
        <v>0</v>
      </c>
      <c r="M194" s="42" t="str">
        <f>_xlfn.XLOOKUP(A194&amp;B194,ssH!A:A,ssH!I:I,"")</f>
        <v/>
      </c>
      <c r="N194" s="51" t="str">
        <f t="shared" ref="N194:N257" si="33">IF(AND(C194&lt;&gt;"",C194&gt;0),IF(AND(C194&gt;0,D194&gt;0),D194-$C194,MAX(C:C)+1-C194)*$AH$2,"")</f>
        <v/>
      </c>
      <c r="O194" s="51" t="str">
        <f t="shared" ref="O194:O257" si="34">IF(AND(D194&lt;&gt;"",D194&gt;0),IF(AND(D194&gt;0,E194&gt;0),E194-$D194,MAX(D:D)+1-D194)*$AH$4,"")</f>
        <v/>
      </c>
      <c r="P194" s="51" t="str">
        <f t="shared" ref="P194:P257" si="35">IF(AND(E194&lt;&gt;"",E194&gt;0),IF(AND(E194&gt;0,F194&gt;0),F194-$E194,MAX(E:E)+1-E194)*$AH$5,"")</f>
        <v/>
      </c>
      <c r="Q194" s="52">
        <f t="shared" ref="Q194:Q257" si="36">IF(K194="Removed",-100,SUM(N194:P194))</f>
        <v>0</v>
      </c>
      <c r="R194" s="51">
        <f t="shared" ref="R194:R257" si="37">IF(G194=H194,0,IF(AND(G194&lt;&gt;""),IF(AND(G194&lt;&gt;0,H194&lt;&gt;0),G194-H194,MAX(G:G)+1-G194)*$AH$2,""))</f>
        <v>2</v>
      </c>
      <c r="S194" s="51">
        <f t="shared" ref="S194:S257" si="38">IF(H194=I194,0,IF(AND(H194&lt;&gt;""),IF(AND(H194&lt;&gt;0,I194&lt;&gt;0),H194-I194,MAX(H:H)+1-H194)*$AH$4,""))</f>
        <v>0</v>
      </c>
      <c r="T194" s="51">
        <f t="shared" ref="T194:T257" si="39">IF(I194=J194,0,IF(AND(I194&lt;&gt;""),IF(AND(I194&lt;&gt;0,J194&lt;&gt;0),I194-J194,MAX(I:I)+1-I194)*$AH$5,""))</f>
        <v>0</v>
      </c>
      <c r="U194" s="52">
        <f t="shared" ref="U194:U257" si="40">IF(K194="Removed",-100,SUM(R194:T194))</f>
        <v>2</v>
      </c>
      <c r="V194" s="52">
        <f t="shared" si="32"/>
        <v>0</v>
      </c>
      <c r="W194" s="52" t="str" cm="1">
        <f t="array" ref="W194">_xlfn.IFS(B194="","",AND(G194&gt;=0,L194&gt;0),"BuySome",AND(G194&gt;=0,K194="KMSignal"),"BuySome",AND(G194&lt;0,L194&gt;0),"BuyWatch",AND(Q194&lt;0,L194&gt;0),"BuyWatch",AND(G194&gt;=0,L194=0),"BuyWatch",L194&gt;0,"BuySome",TRUE,"")</f>
        <v/>
      </c>
      <c r="X194" s="47" t="str">
        <f>_xlfn.XLOOKUP(W194,Parm!$AN$2:$AN$25,Parm!$AO$2:$AO$25,"")</f>
        <v/>
      </c>
      <c r="Y194" s="52" t="str" cm="1">
        <f t="array" ref="Y194">_xlfn.IFS(B194="","",OR(Q194=-100,U194=-100),"SellAll",OR(Q194&lt;0,U194&lt;0),"SellSome",AND(Q194&gt;0,U194&gt;0),"BuySome",OR(Q194&gt;0,U194&gt;0),"BuyWatch",TRUE,"")</f>
        <v/>
      </c>
      <c r="Z194" s="47" t="str">
        <f>_xlfn.XLOOKUP(Y194,Parm!$AN$2:$AN$25,Parm!$AO$2:$AO$25,"")</f>
        <v/>
      </c>
      <c r="AA194" s="286">
        <f>IF(C194&lt;&gt;-100,A194,_xlfn.XLOOKUP(B194,ssH!L:L,ssH!M:M))</f>
        <v>46140</v>
      </c>
      <c r="AB194" s="49" t="str">
        <f t="shared" ref="AB194:AB257" si="41">IF(ISNA(AC194),B194,"")</f>
        <v/>
      </c>
      <c r="AC194" s="52">
        <f>_xlfn.XLOOKUP(B194,TL!C:C,TL!C:C)</f>
        <v>0</v>
      </c>
      <c r="AD194" s="52">
        <f>_xlfn.XLOOKUP(B194,Y!C:C,Y!C:C)</f>
        <v>0</v>
      </c>
      <c r="AE194" s="52">
        <f>_xlfn.XLOOKUP(B194,MA!C:C,MA!C:C)</f>
        <v>0</v>
      </c>
    </row>
    <row r="195" spans="1:31" x14ac:dyDescent="0.25">
      <c r="A195" s="29">
        <f>ssH!$AG$1</f>
        <v>46140</v>
      </c>
      <c r="C195" s="47">
        <f t="shared" ref="C195:C258" si="42">IF(K195="Removed",-100, L195)</f>
        <v>0</v>
      </c>
      <c r="D195" s="42">
        <f>_xlfn.XLOOKUP(ssH!$AG$3&amp;B195,ssH!A:A,ssH!D:D,0)</f>
        <v>0</v>
      </c>
      <c r="E195" s="42">
        <f>_xlfn.XLOOKUP(ssH!$AG$5&amp;B195,ssH!A:A,ssH!D:D,0)</f>
        <v>0</v>
      </c>
      <c r="F195" s="42">
        <f>_xlfn.XLOOKUP(ssH!$AG$6&amp;B195,ssH!A:A,ssH!D:D,0)</f>
        <v>0</v>
      </c>
      <c r="G195" s="48">
        <f>_xlfn.XLOOKUP(A195&amp;B195,ssH!A:A,ssH!F:F,-100%)</f>
        <v>-1</v>
      </c>
      <c r="H195" s="46">
        <f>_xlfn.XLOOKUP(ssH!$AG$3&amp;B195,ssH!A:A,ssH!F:F,0)</f>
        <v>0</v>
      </c>
      <c r="I195" s="46">
        <f>_xlfn.XLOOKUP(ssH!$AG$5&amp;B195,ssH!A:A,ssH!F:F,0)</f>
        <v>0</v>
      </c>
      <c r="J195" s="46">
        <f>_xlfn.XLOOKUP(ssH!$AG$6&amp;B195,ssH!A:A,ssH!F:F,0)</f>
        <v>0</v>
      </c>
      <c r="K195" s="46">
        <f>_xlfn.XLOOKUP(B195,ssL!C:C,ssL!G:G,"Removed")</f>
        <v>0</v>
      </c>
      <c r="L195" s="27">
        <f>_xlfn.XLOOKUP(A195&amp;B195,ssH!A:A,ssH!D:D,0)</f>
        <v>0</v>
      </c>
      <c r="M195" s="42" t="str">
        <f>_xlfn.XLOOKUP(A195&amp;B195,ssH!A:A,ssH!I:I,"")</f>
        <v/>
      </c>
      <c r="N195" s="51" t="str">
        <f t="shared" si="33"/>
        <v/>
      </c>
      <c r="O195" s="51" t="str">
        <f t="shared" si="34"/>
        <v/>
      </c>
      <c r="P195" s="51" t="str">
        <f t="shared" si="35"/>
        <v/>
      </c>
      <c r="Q195" s="52">
        <f t="shared" si="36"/>
        <v>0</v>
      </c>
      <c r="R195" s="51">
        <f t="shared" si="37"/>
        <v>2</v>
      </c>
      <c r="S195" s="51">
        <f t="shared" si="38"/>
        <v>0</v>
      </c>
      <c r="T195" s="51">
        <f t="shared" si="39"/>
        <v>0</v>
      </c>
      <c r="U195" s="52">
        <f t="shared" si="40"/>
        <v>2</v>
      </c>
      <c r="V195" s="52">
        <f t="shared" ref="V195:V258" si="43">B195</f>
        <v>0</v>
      </c>
      <c r="W195" s="52" t="str" cm="1">
        <f t="array" ref="W195">_xlfn.IFS(B195="","",AND(G195&gt;=0,L195&gt;0),"BuySome",AND(G195&gt;=0,K195="KMSignal"),"BuySome",AND(G195&lt;0,L195&gt;0),"BuyWatch",AND(Q195&lt;0,L195&gt;0),"BuyWatch",AND(G195&gt;=0,L195=0),"BuyWatch",L195&gt;0,"BuySome",TRUE,"")</f>
        <v/>
      </c>
      <c r="X195" s="47" t="str">
        <f>_xlfn.XLOOKUP(W195,Parm!$AN$2:$AN$25,Parm!$AO$2:$AO$25,"")</f>
        <v/>
      </c>
      <c r="Y195" s="52" t="str" cm="1">
        <f t="array" ref="Y195">_xlfn.IFS(B195="","",OR(Q195=-100,U195=-100),"SellAll",OR(Q195&lt;0,U195&lt;0),"SellSome",AND(Q195&gt;0,U195&gt;0),"BuySome",OR(Q195&gt;0,U195&gt;0),"BuyWatch",TRUE,"")</f>
        <v/>
      </c>
      <c r="Z195" s="47" t="str">
        <f>_xlfn.XLOOKUP(Y195,Parm!$AN$2:$AN$25,Parm!$AO$2:$AO$25,"")</f>
        <v/>
      </c>
      <c r="AA195" s="286">
        <f>IF(C195&lt;&gt;-100,A195,_xlfn.XLOOKUP(B195,ssH!L:L,ssH!M:M))</f>
        <v>46140</v>
      </c>
      <c r="AB195" s="49" t="str">
        <f t="shared" si="41"/>
        <v/>
      </c>
      <c r="AC195" s="52">
        <f>_xlfn.XLOOKUP(B195,TL!C:C,TL!C:C)</f>
        <v>0</v>
      </c>
      <c r="AD195" s="52">
        <f>_xlfn.XLOOKUP(B195,Y!C:C,Y!C:C)</f>
        <v>0</v>
      </c>
      <c r="AE195" s="52">
        <f>_xlfn.XLOOKUP(B195,MA!C:C,MA!C:C)</f>
        <v>0</v>
      </c>
    </row>
    <row r="196" spans="1:31" x14ac:dyDescent="0.25">
      <c r="A196" s="29">
        <f>ssH!$AG$1</f>
        <v>46140</v>
      </c>
      <c r="C196" s="47">
        <f t="shared" si="42"/>
        <v>0</v>
      </c>
      <c r="D196" s="42">
        <f>_xlfn.XLOOKUP(ssH!$AG$3&amp;B196,ssH!A:A,ssH!D:D,0)</f>
        <v>0</v>
      </c>
      <c r="E196" s="42">
        <f>_xlfn.XLOOKUP(ssH!$AG$5&amp;B196,ssH!A:A,ssH!D:D,0)</f>
        <v>0</v>
      </c>
      <c r="F196" s="42">
        <f>_xlfn.XLOOKUP(ssH!$AG$6&amp;B196,ssH!A:A,ssH!D:D,0)</f>
        <v>0</v>
      </c>
      <c r="G196" s="48">
        <f>_xlfn.XLOOKUP(A196&amp;B196,ssH!A:A,ssH!F:F,-100%)</f>
        <v>-1</v>
      </c>
      <c r="H196" s="46">
        <f>_xlfn.XLOOKUP(ssH!$AG$3&amp;B196,ssH!A:A,ssH!F:F,0)</f>
        <v>0</v>
      </c>
      <c r="I196" s="46">
        <f>_xlfn.XLOOKUP(ssH!$AG$5&amp;B196,ssH!A:A,ssH!F:F,0)</f>
        <v>0</v>
      </c>
      <c r="J196" s="46">
        <f>_xlfn.XLOOKUP(ssH!$AG$6&amp;B196,ssH!A:A,ssH!F:F,0)</f>
        <v>0</v>
      </c>
      <c r="K196" s="46">
        <f>_xlfn.XLOOKUP(B196,ssL!C:C,ssL!G:G,"Removed")</f>
        <v>0</v>
      </c>
      <c r="L196" s="27">
        <f>_xlfn.XLOOKUP(A196&amp;B196,ssH!A:A,ssH!D:D,0)</f>
        <v>0</v>
      </c>
      <c r="M196" s="42" t="str">
        <f>_xlfn.XLOOKUP(A196&amp;B196,ssH!A:A,ssH!I:I,"")</f>
        <v/>
      </c>
      <c r="N196" s="51" t="str">
        <f t="shared" si="33"/>
        <v/>
      </c>
      <c r="O196" s="51" t="str">
        <f t="shared" si="34"/>
        <v/>
      </c>
      <c r="P196" s="51" t="str">
        <f t="shared" si="35"/>
        <v/>
      </c>
      <c r="Q196" s="52">
        <f t="shared" si="36"/>
        <v>0</v>
      </c>
      <c r="R196" s="51">
        <f t="shared" si="37"/>
        <v>2</v>
      </c>
      <c r="S196" s="51">
        <f t="shared" si="38"/>
        <v>0</v>
      </c>
      <c r="T196" s="51">
        <f t="shared" si="39"/>
        <v>0</v>
      </c>
      <c r="U196" s="52">
        <f t="shared" si="40"/>
        <v>2</v>
      </c>
      <c r="V196" s="52">
        <f t="shared" si="43"/>
        <v>0</v>
      </c>
      <c r="W196" s="52" t="str" cm="1">
        <f t="array" ref="W196">_xlfn.IFS(B196="","",AND(G196&gt;=0,L196&gt;0),"BuySome",AND(G196&gt;=0,K196="KMSignal"),"BuySome",AND(G196&lt;0,L196&gt;0),"BuyWatch",AND(Q196&lt;0,L196&gt;0),"BuyWatch",AND(G196&gt;=0,L196=0),"BuyWatch",L196&gt;0,"BuySome",TRUE,"")</f>
        <v/>
      </c>
      <c r="X196" s="47" t="str">
        <f>_xlfn.XLOOKUP(W196,Parm!$AN$2:$AN$25,Parm!$AO$2:$AO$25,"")</f>
        <v/>
      </c>
      <c r="Y196" s="52" t="str" cm="1">
        <f t="array" ref="Y196">_xlfn.IFS(B196="","",OR(Q196=-100,U196=-100),"SellAll",OR(Q196&lt;0,U196&lt;0),"SellSome",AND(Q196&gt;0,U196&gt;0),"BuySome",OR(Q196&gt;0,U196&gt;0),"BuyWatch",TRUE,"")</f>
        <v/>
      </c>
      <c r="Z196" s="47" t="str">
        <f>_xlfn.XLOOKUP(Y196,Parm!$AN$2:$AN$25,Parm!$AO$2:$AO$25,"")</f>
        <v/>
      </c>
      <c r="AA196" s="286">
        <f>IF(C196&lt;&gt;-100,A196,_xlfn.XLOOKUP(B196,ssH!L:L,ssH!M:M))</f>
        <v>46140</v>
      </c>
      <c r="AB196" s="49" t="str">
        <f t="shared" si="41"/>
        <v/>
      </c>
      <c r="AC196" s="52">
        <f>_xlfn.XLOOKUP(B196,TL!C:C,TL!C:C)</f>
        <v>0</v>
      </c>
      <c r="AD196" s="52">
        <f>_xlfn.XLOOKUP(B196,Y!C:C,Y!C:C)</f>
        <v>0</v>
      </c>
      <c r="AE196" s="52">
        <f>_xlfn.XLOOKUP(B196,MA!C:C,MA!C:C)</f>
        <v>0</v>
      </c>
    </row>
    <row r="197" spans="1:31" x14ac:dyDescent="0.25">
      <c r="A197" s="29">
        <f>ssH!$AG$1</f>
        <v>46140</v>
      </c>
      <c r="C197" s="47">
        <f t="shared" si="42"/>
        <v>0</v>
      </c>
      <c r="D197" s="42">
        <f>_xlfn.XLOOKUP(ssH!$AG$3&amp;B197,ssH!A:A,ssH!D:D,0)</f>
        <v>0</v>
      </c>
      <c r="E197" s="42">
        <f>_xlfn.XLOOKUP(ssH!$AG$5&amp;B197,ssH!A:A,ssH!D:D,0)</f>
        <v>0</v>
      </c>
      <c r="F197" s="42">
        <f>_xlfn.XLOOKUP(ssH!$AG$6&amp;B197,ssH!A:A,ssH!D:D,0)</f>
        <v>0</v>
      </c>
      <c r="G197" s="48">
        <f>_xlfn.XLOOKUP(A197&amp;B197,ssH!A:A,ssH!F:F,-100%)</f>
        <v>-1</v>
      </c>
      <c r="H197" s="46">
        <f>_xlfn.XLOOKUP(ssH!$AG$3&amp;B197,ssH!A:A,ssH!F:F,0)</f>
        <v>0</v>
      </c>
      <c r="I197" s="46">
        <f>_xlfn.XLOOKUP(ssH!$AG$5&amp;B197,ssH!A:A,ssH!F:F,0)</f>
        <v>0</v>
      </c>
      <c r="J197" s="46">
        <f>_xlfn.XLOOKUP(ssH!$AG$6&amp;B197,ssH!A:A,ssH!F:F,0)</f>
        <v>0</v>
      </c>
      <c r="K197" s="46">
        <f>_xlfn.XLOOKUP(B197,ssL!C:C,ssL!G:G,"Removed")</f>
        <v>0</v>
      </c>
      <c r="L197" s="27">
        <f>_xlfn.XLOOKUP(A197&amp;B197,ssH!A:A,ssH!D:D,0)</f>
        <v>0</v>
      </c>
      <c r="M197" s="42" t="str">
        <f>_xlfn.XLOOKUP(A197&amp;B197,ssH!A:A,ssH!I:I,"")</f>
        <v/>
      </c>
      <c r="N197" s="51" t="str">
        <f t="shared" si="33"/>
        <v/>
      </c>
      <c r="O197" s="51" t="str">
        <f t="shared" si="34"/>
        <v/>
      </c>
      <c r="P197" s="51" t="str">
        <f t="shared" si="35"/>
        <v/>
      </c>
      <c r="Q197" s="52">
        <f t="shared" si="36"/>
        <v>0</v>
      </c>
      <c r="R197" s="51">
        <f t="shared" si="37"/>
        <v>2</v>
      </c>
      <c r="S197" s="51">
        <f t="shared" si="38"/>
        <v>0</v>
      </c>
      <c r="T197" s="51">
        <f t="shared" si="39"/>
        <v>0</v>
      </c>
      <c r="U197" s="52">
        <f t="shared" si="40"/>
        <v>2</v>
      </c>
      <c r="V197" s="52">
        <f t="shared" si="43"/>
        <v>0</v>
      </c>
      <c r="W197" s="52" t="str" cm="1">
        <f t="array" ref="W197">_xlfn.IFS(B197="","",AND(G197&gt;=0,L197&gt;0),"BuySome",AND(G197&gt;=0,K197="KMSignal"),"BuySome",AND(G197&lt;0,L197&gt;0),"BuyWatch",AND(Q197&lt;0,L197&gt;0),"BuyWatch",AND(G197&gt;=0,L197=0),"BuyWatch",L197&gt;0,"BuySome",TRUE,"")</f>
        <v/>
      </c>
      <c r="X197" s="47" t="str">
        <f>_xlfn.XLOOKUP(W197,Parm!$AN$2:$AN$25,Parm!$AO$2:$AO$25,"")</f>
        <v/>
      </c>
      <c r="Y197" s="52" t="str" cm="1">
        <f t="array" ref="Y197">_xlfn.IFS(B197="","",OR(Q197=-100,U197=-100),"SellAll",OR(Q197&lt;0,U197&lt;0),"SellSome",AND(Q197&gt;0,U197&gt;0),"BuySome",OR(Q197&gt;0,U197&gt;0),"BuyWatch",TRUE,"")</f>
        <v/>
      </c>
      <c r="Z197" s="47" t="str">
        <f>_xlfn.XLOOKUP(Y197,Parm!$AN$2:$AN$25,Parm!$AO$2:$AO$25,"")</f>
        <v/>
      </c>
      <c r="AA197" s="286">
        <f>IF(C197&lt;&gt;-100,A197,_xlfn.XLOOKUP(B197,ssH!L:L,ssH!M:M))</f>
        <v>46140</v>
      </c>
      <c r="AB197" s="49" t="str">
        <f t="shared" si="41"/>
        <v/>
      </c>
      <c r="AC197" s="52">
        <f>_xlfn.XLOOKUP(B197,TL!C:C,TL!C:C)</f>
        <v>0</v>
      </c>
      <c r="AD197" s="52">
        <f>_xlfn.XLOOKUP(B197,Y!C:C,Y!C:C)</f>
        <v>0</v>
      </c>
      <c r="AE197" s="52">
        <f>_xlfn.XLOOKUP(B197,MA!C:C,MA!C:C)</f>
        <v>0</v>
      </c>
    </row>
    <row r="198" spans="1:31" x14ac:dyDescent="0.25">
      <c r="A198" s="29">
        <f>ssH!$AG$1</f>
        <v>46140</v>
      </c>
      <c r="C198" s="47">
        <f t="shared" si="42"/>
        <v>0</v>
      </c>
      <c r="D198" s="42">
        <f>_xlfn.XLOOKUP(ssH!$AG$3&amp;B198,ssH!A:A,ssH!D:D,0)</f>
        <v>0</v>
      </c>
      <c r="E198" s="42">
        <f>_xlfn.XLOOKUP(ssH!$AG$5&amp;B198,ssH!A:A,ssH!D:D,0)</f>
        <v>0</v>
      </c>
      <c r="F198" s="42">
        <f>_xlfn.XLOOKUP(ssH!$AG$6&amp;B198,ssH!A:A,ssH!D:D,0)</f>
        <v>0</v>
      </c>
      <c r="G198" s="48">
        <f>_xlfn.XLOOKUP(A198&amp;B198,ssH!A:A,ssH!F:F,-100%)</f>
        <v>-1</v>
      </c>
      <c r="H198" s="46">
        <f>_xlfn.XLOOKUP(ssH!$AG$3&amp;B198,ssH!A:A,ssH!F:F,0)</f>
        <v>0</v>
      </c>
      <c r="I198" s="46">
        <f>_xlfn.XLOOKUP(ssH!$AG$5&amp;B198,ssH!A:A,ssH!F:F,0)</f>
        <v>0</v>
      </c>
      <c r="J198" s="46">
        <f>_xlfn.XLOOKUP(ssH!$AG$6&amp;B198,ssH!A:A,ssH!F:F,0)</f>
        <v>0</v>
      </c>
      <c r="K198" s="46">
        <f>_xlfn.XLOOKUP(B198,ssL!C:C,ssL!G:G,"Removed")</f>
        <v>0</v>
      </c>
      <c r="L198" s="27">
        <f>_xlfn.XLOOKUP(A198&amp;B198,ssH!A:A,ssH!D:D,0)</f>
        <v>0</v>
      </c>
      <c r="M198" s="42" t="str">
        <f>_xlfn.XLOOKUP(A198&amp;B198,ssH!A:A,ssH!I:I,"")</f>
        <v/>
      </c>
      <c r="N198" s="51" t="str">
        <f t="shared" si="33"/>
        <v/>
      </c>
      <c r="O198" s="51" t="str">
        <f t="shared" si="34"/>
        <v/>
      </c>
      <c r="P198" s="51" t="str">
        <f t="shared" si="35"/>
        <v/>
      </c>
      <c r="Q198" s="52">
        <f t="shared" si="36"/>
        <v>0</v>
      </c>
      <c r="R198" s="51">
        <f t="shared" si="37"/>
        <v>2</v>
      </c>
      <c r="S198" s="51">
        <f t="shared" si="38"/>
        <v>0</v>
      </c>
      <c r="T198" s="51">
        <f t="shared" si="39"/>
        <v>0</v>
      </c>
      <c r="U198" s="52">
        <f t="shared" si="40"/>
        <v>2</v>
      </c>
      <c r="V198" s="52">
        <f t="shared" si="43"/>
        <v>0</v>
      </c>
      <c r="W198" s="52" t="str" cm="1">
        <f t="array" ref="W198">_xlfn.IFS(B198="","",AND(G198&gt;=0,L198&gt;0),"BuySome",AND(G198&gt;=0,K198="KMSignal"),"BuySome",AND(G198&lt;0,L198&gt;0),"BuyWatch",AND(Q198&lt;0,L198&gt;0),"BuyWatch",AND(G198&gt;=0,L198=0),"BuyWatch",L198&gt;0,"BuySome",TRUE,"")</f>
        <v/>
      </c>
      <c r="X198" s="47" t="str">
        <f>_xlfn.XLOOKUP(W198,Parm!$AN$2:$AN$25,Parm!$AO$2:$AO$25,"")</f>
        <v/>
      </c>
      <c r="Y198" s="52" t="str" cm="1">
        <f t="array" ref="Y198">_xlfn.IFS(B198="","",OR(Q198=-100,U198=-100),"SellAll",OR(Q198&lt;0,U198&lt;0),"SellSome",AND(Q198&gt;0,U198&gt;0),"BuySome",OR(Q198&gt;0,U198&gt;0),"BuyWatch",TRUE,"")</f>
        <v/>
      </c>
      <c r="Z198" s="47" t="str">
        <f>_xlfn.XLOOKUP(Y198,Parm!$AN$2:$AN$25,Parm!$AO$2:$AO$25,"")</f>
        <v/>
      </c>
      <c r="AA198" s="286">
        <f>IF(C198&lt;&gt;-100,A198,_xlfn.XLOOKUP(B198,ssH!L:L,ssH!M:M))</f>
        <v>46140</v>
      </c>
      <c r="AB198" s="49" t="str">
        <f t="shared" si="41"/>
        <v/>
      </c>
      <c r="AC198" s="52">
        <f>_xlfn.XLOOKUP(B198,TL!C:C,TL!C:C)</f>
        <v>0</v>
      </c>
      <c r="AD198" s="52">
        <f>_xlfn.XLOOKUP(B198,Y!C:C,Y!C:C)</f>
        <v>0</v>
      </c>
      <c r="AE198" s="52">
        <f>_xlfn.XLOOKUP(B198,MA!C:C,MA!C:C)</f>
        <v>0</v>
      </c>
    </row>
    <row r="199" spans="1:31" x14ac:dyDescent="0.25">
      <c r="A199" s="29">
        <f>ssH!$AG$1</f>
        <v>46140</v>
      </c>
      <c r="C199" s="47">
        <f t="shared" si="42"/>
        <v>0</v>
      </c>
      <c r="D199" s="42">
        <f>_xlfn.XLOOKUP(ssH!$AG$3&amp;B199,ssH!A:A,ssH!D:D,0)</f>
        <v>0</v>
      </c>
      <c r="E199" s="42">
        <f>_xlfn.XLOOKUP(ssH!$AG$5&amp;B199,ssH!A:A,ssH!D:D,0)</f>
        <v>0</v>
      </c>
      <c r="F199" s="42">
        <f>_xlfn.XLOOKUP(ssH!$AG$6&amp;B199,ssH!A:A,ssH!D:D,0)</f>
        <v>0</v>
      </c>
      <c r="G199" s="48">
        <f>_xlfn.XLOOKUP(A199&amp;B199,ssH!A:A,ssH!F:F,-100%)</f>
        <v>-1</v>
      </c>
      <c r="H199" s="46">
        <f>_xlfn.XLOOKUP(ssH!$AG$3&amp;B199,ssH!A:A,ssH!F:F,0)</f>
        <v>0</v>
      </c>
      <c r="I199" s="46">
        <f>_xlfn.XLOOKUP(ssH!$AG$5&amp;B199,ssH!A:A,ssH!F:F,0)</f>
        <v>0</v>
      </c>
      <c r="J199" s="46">
        <f>_xlfn.XLOOKUP(ssH!$AG$6&amp;B199,ssH!A:A,ssH!F:F,0)</f>
        <v>0</v>
      </c>
      <c r="K199" s="46">
        <f>_xlfn.XLOOKUP(B199,ssL!C:C,ssL!G:G,"Removed")</f>
        <v>0</v>
      </c>
      <c r="L199" s="27">
        <f>_xlfn.XLOOKUP(A199&amp;B199,ssH!A:A,ssH!D:D,0)</f>
        <v>0</v>
      </c>
      <c r="M199" s="42" t="str">
        <f>_xlfn.XLOOKUP(A199&amp;B199,ssH!A:A,ssH!I:I,"")</f>
        <v/>
      </c>
      <c r="N199" s="51" t="str">
        <f t="shared" si="33"/>
        <v/>
      </c>
      <c r="O199" s="51" t="str">
        <f t="shared" si="34"/>
        <v/>
      </c>
      <c r="P199" s="51" t="str">
        <f t="shared" si="35"/>
        <v/>
      </c>
      <c r="Q199" s="52">
        <f t="shared" si="36"/>
        <v>0</v>
      </c>
      <c r="R199" s="51">
        <f t="shared" si="37"/>
        <v>2</v>
      </c>
      <c r="S199" s="51">
        <f t="shared" si="38"/>
        <v>0</v>
      </c>
      <c r="T199" s="51">
        <f t="shared" si="39"/>
        <v>0</v>
      </c>
      <c r="U199" s="52">
        <f t="shared" si="40"/>
        <v>2</v>
      </c>
      <c r="V199" s="52">
        <f t="shared" si="43"/>
        <v>0</v>
      </c>
      <c r="W199" s="52" t="str" cm="1">
        <f t="array" ref="W199">_xlfn.IFS(B199="","",AND(G199&gt;=0,L199&gt;0),"BuySome",AND(G199&gt;=0,K199="KMSignal"),"BuySome",AND(G199&lt;0,L199&gt;0),"BuyWatch",AND(Q199&lt;0,L199&gt;0),"BuyWatch",AND(G199&gt;=0,L199=0),"BuyWatch",L199&gt;0,"BuySome",TRUE,"")</f>
        <v/>
      </c>
      <c r="X199" s="47" t="str">
        <f>_xlfn.XLOOKUP(W199,Parm!$AN$2:$AN$25,Parm!$AO$2:$AO$25,"")</f>
        <v/>
      </c>
      <c r="Y199" s="52" t="str" cm="1">
        <f t="array" ref="Y199">_xlfn.IFS(B199="","",OR(Q199=-100,U199=-100),"SellAll",OR(Q199&lt;0,U199&lt;0),"SellSome",AND(Q199&gt;0,U199&gt;0),"BuySome",OR(Q199&gt;0,U199&gt;0),"BuyWatch",TRUE,"")</f>
        <v/>
      </c>
      <c r="Z199" s="47" t="str">
        <f>_xlfn.XLOOKUP(Y199,Parm!$AN$2:$AN$25,Parm!$AO$2:$AO$25,"")</f>
        <v/>
      </c>
      <c r="AA199" s="286">
        <f>IF(C199&lt;&gt;-100,A199,_xlfn.XLOOKUP(B199,ssH!L:L,ssH!M:M))</f>
        <v>46140</v>
      </c>
      <c r="AB199" s="49" t="str">
        <f t="shared" si="41"/>
        <v/>
      </c>
      <c r="AC199" s="52">
        <f>_xlfn.XLOOKUP(B199,TL!C:C,TL!C:C)</f>
        <v>0</v>
      </c>
      <c r="AD199" s="52">
        <f>_xlfn.XLOOKUP(B199,Y!C:C,Y!C:C)</f>
        <v>0</v>
      </c>
      <c r="AE199" s="52">
        <f>_xlfn.XLOOKUP(B199,MA!C:C,MA!C:C)</f>
        <v>0</v>
      </c>
    </row>
    <row r="200" spans="1:31" x14ac:dyDescent="0.25">
      <c r="A200" s="29">
        <f>ssH!$AG$1</f>
        <v>46140</v>
      </c>
      <c r="C200" s="47">
        <f t="shared" si="42"/>
        <v>0</v>
      </c>
      <c r="D200" s="42">
        <f>_xlfn.XLOOKUP(ssH!$AG$3&amp;B200,ssH!A:A,ssH!D:D,0)</f>
        <v>0</v>
      </c>
      <c r="E200" s="42">
        <f>_xlfn.XLOOKUP(ssH!$AG$5&amp;B200,ssH!A:A,ssH!D:D,0)</f>
        <v>0</v>
      </c>
      <c r="F200" s="42">
        <f>_xlfn.XLOOKUP(ssH!$AG$6&amp;B200,ssH!A:A,ssH!D:D,0)</f>
        <v>0</v>
      </c>
      <c r="G200" s="48">
        <f>_xlfn.XLOOKUP(A200&amp;B200,ssH!A:A,ssH!F:F,-100%)</f>
        <v>-1</v>
      </c>
      <c r="H200" s="46">
        <f>_xlfn.XLOOKUP(ssH!$AG$3&amp;B200,ssH!A:A,ssH!F:F,0)</f>
        <v>0</v>
      </c>
      <c r="I200" s="46">
        <f>_xlfn.XLOOKUP(ssH!$AG$5&amp;B200,ssH!A:A,ssH!F:F,0)</f>
        <v>0</v>
      </c>
      <c r="J200" s="46">
        <f>_xlfn.XLOOKUP(ssH!$AG$6&amp;B200,ssH!A:A,ssH!F:F,0)</f>
        <v>0</v>
      </c>
      <c r="K200" s="46">
        <f>_xlfn.XLOOKUP(B200,ssL!C:C,ssL!G:G,"Removed")</f>
        <v>0</v>
      </c>
      <c r="L200" s="27">
        <f>_xlfn.XLOOKUP(A200&amp;B200,ssH!A:A,ssH!D:D,0)</f>
        <v>0</v>
      </c>
      <c r="M200" s="42" t="str">
        <f>_xlfn.XLOOKUP(A200&amp;B200,ssH!A:A,ssH!I:I,"")</f>
        <v/>
      </c>
      <c r="N200" s="51" t="str">
        <f t="shared" si="33"/>
        <v/>
      </c>
      <c r="O200" s="51" t="str">
        <f t="shared" si="34"/>
        <v/>
      </c>
      <c r="P200" s="51" t="str">
        <f t="shared" si="35"/>
        <v/>
      </c>
      <c r="Q200" s="52">
        <f t="shared" si="36"/>
        <v>0</v>
      </c>
      <c r="R200" s="51">
        <f t="shared" si="37"/>
        <v>2</v>
      </c>
      <c r="S200" s="51">
        <f t="shared" si="38"/>
        <v>0</v>
      </c>
      <c r="T200" s="51">
        <f t="shared" si="39"/>
        <v>0</v>
      </c>
      <c r="U200" s="52">
        <f t="shared" si="40"/>
        <v>2</v>
      </c>
      <c r="V200" s="52">
        <f t="shared" si="43"/>
        <v>0</v>
      </c>
      <c r="W200" s="52" t="str" cm="1">
        <f t="array" ref="W200">_xlfn.IFS(B200="","",AND(G200&gt;=0,L200&gt;0),"BuySome",AND(G200&gt;=0,K200="KMSignal"),"BuySome",AND(G200&lt;0,L200&gt;0),"BuyWatch",AND(Q200&lt;0,L200&gt;0),"BuyWatch",AND(G200&gt;=0,L200=0),"BuyWatch",L200&gt;0,"BuySome",TRUE,"")</f>
        <v/>
      </c>
      <c r="X200" s="47" t="str">
        <f>_xlfn.XLOOKUP(W200,Parm!$AN$2:$AN$25,Parm!$AO$2:$AO$25,"")</f>
        <v/>
      </c>
      <c r="Y200" s="52" t="str" cm="1">
        <f t="array" ref="Y200">_xlfn.IFS(B200="","",OR(Q200=-100,U200=-100),"SellAll",OR(Q200&lt;0,U200&lt;0),"SellSome",AND(Q200&gt;0,U200&gt;0),"BuySome",OR(Q200&gt;0,U200&gt;0),"BuyWatch",TRUE,"")</f>
        <v/>
      </c>
      <c r="Z200" s="47" t="str">
        <f>_xlfn.XLOOKUP(Y200,Parm!$AN$2:$AN$25,Parm!$AO$2:$AO$25,"")</f>
        <v/>
      </c>
      <c r="AA200" s="286">
        <f>IF(C200&lt;&gt;-100,A200,_xlfn.XLOOKUP(B200,ssH!L:L,ssH!M:M))</f>
        <v>46140</v>
      </c>
      <c r="AB200" s="49" t="str">
        <f t="shared" si="41"/>
        <v/>
      </c>
      <c r="AC200" s="52">
        <f>_xlfn.XLOOKUP(B200,TL!C:C,TL!C:C)</f>
        <v>0</v>
      </c>
      <c r="AD200" s="52">
        <f>_xlfn.XLOOKUP(B200,Y!C:C,Y!C:C)</f>
        <v>0</v>
      </c>
      <c r="AE200" s="52">
        <f>_xlfn.XLOOKUP(B200,MA!C:C,MA!C:C)</f>
        <v>0</v>
      </c>
    </row>
    <row r="201" spans="1:31" x14ac:dyDescent="0.25">
      <c r="A201" s="29">
        <f>ssH!$AG$1</f>
        <v>46140</v>
      </c>
      <c r="C201" s="47">
        <f t="shared" si="42"/>
        <v>0</v>
      </c>
      <c r="D201" s="42">
        <f>_xlfn.XLOOKUP(ssH!$AG$3&amp;B201,ssH!A:A,ssH!D:D,0)</f>
        <v>0</v>
      </c>
      <c r="E201" s="42">
        <f>_xlfn.XLOOKUP(ssH!$AG$5&amp;B201,ssH!A:A,ssH!D:D,0)</f>
        <v>0</v>
      </c>
      <c r="F201" s="42">
        <f>_xlfn.XLOOKUP(ssH!$AG$6&amp;B201,ssH!A:A,ssH!D:D,0)</f>
        <v>0</v>
      </c>
      <c r="G201" s="48">
        <f>_xlfn.XLOOKUP(A201&amp;B201,ssH!A:A,ssH!F:F,-100%)</f>
        <v>-1</v>
      </c>
      <c r="H201" s="46">
        <f>_xlfn.XLOOKUP(ssH!$AG$3&amp;B201,ssH!A:A,ssH!F:F,0)</f>
        <v>0</v>
      </c>
      <c r="I201" s="46">
        <f>_xlfn.XLOOKUP(ssH!$AG$5&amp;B201,ssH!A:A,ssH!F:F,0)</f>
        <v>0</v>
      </c>
      <c r="J201" s="46">
        <f>_xlfn.XLOOKUP(ssH!$AG$6&amp;B201,ssH!A:A,ssH!F:F,0)</f>
        <v>0</v>
      </c>
      <c r="K201" s="46">
        <f>_xlfn.XLOOKUP(B201,ssL!C:C,ssL!G:G,"Removed")</f>
        <v>0</v>
      </c>
      <c r="L201" s="27">
        <f>_xlfn.XLOOKUP(A201&amp;B201,ssH!A:A,ssH!D:D,0)</f>
        <v>0</v>
      </c>
      <c r="M201" s="42" t="str">
        <f>_xlfn.XLOOKUP(A201&amp;B201,ssH!A:A,ssH!I:I,"")</f>
        <v/>
      </c>
      <c r="N201" s="51" t="str">
        <f t="shared" si="33"/>
        <v/>
      </c>
      <c r="O201" s="51" t="str">
        <f t="shared" si="34"/>
        <v/>
      </c>
      <c r="P201" s="51" t="str">
        <f t="shared" si="35"/>
        <v/>
      </c>
      <c r="Q201" s="52">
        <f t="shared" si="36"/>
        <v>0</v>
      </c>
      <c r="R201" s="51">
        <f t="shared" si="37"/>
        <v>2</v>
      </c>
      <c r="S201" s="51">
        <f t="shared" si="38"/>
        <v>0</v>
      </c>
      <c r="T201" s="51">
        <f t="shared" si="39"/>
        <v>0</v>
      </c>
      <c r="U201" s="52">
        <f t="shared" si="40"/>
        <v>2</v>
      </c>
      <c r="V201" s="52">
        <f t="shared" si="43"/>
        <v>0</v>
      </c>
      <c r="W201" s="52" t="str" cm="1">
        <f t="array" ref="W201">_xlfn.IFS(B201="","",AND(G201&gt;=0,L201&gt;0),"BuySome",AND(G201&gt;=0,K201="KMSignal"),"BuySome",AND(G201&lt;0,L201&gt;0),"BuyWatch",AND(Q201&lt;0,L201&gt;0),"BuyWatch",AND(G201&gt;=0,L201=0),"BuyWatch",L201&gt;0,"BuySome",TRUE,"")</f>
        <v/>
      </c>
      <c r="X201" s="47" t="str">
        <f>_xlfn.XLOOKUP(W201,Parm!$AN$2:$AN$25,Parm!$AO$2:$AO$25,"")</f>
        <v/>
      </c>
      <c r="Y201" s="52" t="str" cm="1">
        <f t="array" ref="Y201">_xlfn.IFS(B201="","",OR(Q201=-100,U201=-100),"SellAll",OR(Q201&lt;0,U201&lt;0),"SellSome",AND(Q201&gt;0,U201&gt;0),"BuySome",OR(Q201&gt;0,U201&gt;0),"BuyWatch",TRUE,"")</f>
        <v/>
      </c>
      <c r="Z201" s="47" t="str">
        <f>_xlfn.XLOOKUP(Y201,Parm!$AN$2:$AN$25,Parm!$AO$2:$AO$25,"")</f>
        <v/>
      </c>
      <c r="AA201" s="286">
        <f>IF(C201&lt;&gt;-100,A201,_xlfn.XLOOKUP(B201,ssH!L:L,ssH!M:M))</f>
        <v>46140</v>
      </c>
      <c r="AB201" s="49" t="str">
        <f t="shared" si="41"/>
        <v/>
      </c>
      <c r="AC201" s="52">
        <f>_xlfn.XLOOKUP(B201,TL!C:C,TL!C:C)</f>
        <v>0</v>
      </c>
      <c r="AD201" s="52">
        <f>_xlfn.XLOOKUP(B201,Y!C:C,Y!C:C)</f>
        <v>0</v>
      </c>
      <c r="AE201" s="52">
        <f>_xlfn.XLOOKUP(B201,MA!C:C,MA!C:C)</f>
        <v>0</v>
      </c>
    </row>
    <row r="202" spans="1:31" x14ac:dyDescent="0.25">
      <c r="A202" s="29">
        <f>ssH!$AG$1</f>
        <v>46140</v>
      </c>
      <c r="C202" s="47">
        <f t="shared" si="42"/>
        <v>0</v>
      </c>
      <c r="D202" s="42">
        <f>_xlfn.XLOOKUP(ssH!$AG$3&amp;B202,ssH!A:A,ssH!D:D,0)</f>
        <v>0</v>
      </c>
      <c r="E202" s="42">
        <f>_xlfn.XLOOKUP(ssH!$AG$5&amp;B202,ssH!A:A,ssH!D:D,0)</f>
        <v>0</v>
      </c>
      <c r="F202" s="42">
        <f>_xlfn.XLOOKUP(ssH!$AG$6&amp;B202,ssH!A:A,ssH!D:D,0)</f>
        <v>0</v>
      </c>
      <c r="G202" s="48">
        <f>_xlfn.XLOOKUP(A202&amp;B202,ssH!A:A,ssH!F:F,-100%)</f>
        <v>-1</v>
      </c>
      <c r="H202" s="46">
        <f>_xlfn.XLOOKUP(ssH!$AG$3&amp;B202,ssH!A:A,ssH!F:F,0)</f>
        <v>0</v>
      </c>
      <c r="I202" s="46">
        <f>_xlfn.XLOOKUP(ssH!$AG$5&amp;B202,ssH!A:A,ssH!F:F,0)</f>
        <v>0</v>
      </c>
      <c r="J202" s="46">
        <f>_xlfn.XLOOKUP(ssH!$AG$6&amp;B202,ssH!A:A,ssH!F:F,0)</f>
        <v>0</v>
      </c>
      <c r="K202" s="46">
        <f>_xlfn.XLOOKUP(B202,ssL!C:C,ssL!G:G,"Removed")</f>
        <v>0</v>
      </c>
      <c r="L202" s="27">
        <f>_xlfn.XLOOKUP(A202&amp;B202,ssH!A:A,ssH!D:D,0)</f>
        <v>0</v>
      </c>
      <c r="M202" s="42" t="str">
        <f>_xlfn.XLOOKUP(A202&amp;B202,ssH!A:A,ssH!I:I,"")</f>
        <v/>
      </c>
      <c r="N202" s="51" t="str">
        <f t="shared" si="33"/>
        <v/>
      </c>
      <c r="O202" s="51" t="str">
        <f t="shared" si="34"/>
        <v/>
      </c>
      <c r="P202" s="51" t="str">
        <f t="shared" si="35"/>
        <v/>
      </c>
      <c r="Q202" s="52">
        <f t="shared" si="36"/>
        <v>0</v>
      </c>
      <c r="R202" s="51">
        <f t="shared" si="37"/>
        <v>2</v>
      </c>
      <c r="S202" s="51">
        <f t="shared" si="38"/>
        <v>0</v>
      </c>
      <c r="T202" s="51">
        <f t="shared" si="39"/>
        <v>0</v>
      </c>
      <c r="U202" s="52">
        <f t="shared" si="40"/>
        <v>2</v>
      </c>
      <c r="V202" s="52">
        <f t="shared" si="43"/>
        <v>0</v>
      </c>
      <c r="W202" s="52" t="str" cm="1">
        <f t="array" ref="W202">_xlfn.IFS(B202="","",AND(G202&gt;=0,L202&gt;0),"BuySome",AND(G202&gt;=0,K202="KMSignal"),"BuySome",AND(G202&lt;0,L202&gt;0),"BuyWatch",AND(Q202&lt;0,L202&gt;0),"BuyWatch",AND(G202&gt;=0,L202=0),"BuyWatch",L202&gt;0,"BuySome",TRUE,"")</f>
        <v/>
      </c>
      <c r="X202" s="47" t="str">
        <f>_xlfn.XLOOKUP(W202,Parm!$AN$2:$AN$25,Parm!$AO$2:$AO$25,"")</f>
        <v/>
      </c>
      <c r="Y202" s="52" t="str" cm="1">
        <f t="array" ref="Y202">_xlfn.IFS(B202="","",OR(Q202=-100,U202=-100),"SellAll",OR(Q202&lt;0,U202&lt;0),"SellSome",AND(Q202&gt;0,U202&gt;0),"BuySome",OR(Q202&gt;0,U202&gt;0),"BuyWatch",TRUE,"")</f>
        <v/>
      </c>
      <c r="Z202" s="47" t="str">
        <f>_xlfn.XLOOKUP(Y202,Parm!$AN$2:$AN$25,Parm!$AO$2:$AO$25,"")</f>
        <v/>
      </c>
      <c r="AA202" s="286">
        <f>IF(C202&lt;&gt;-100,A202,_xlfn.XLOOKUP(B202,ssH!L:L,ssH!M:M))</f>
        <v>46140</v>
      </c>
      <c r="AB202" s="49" t="str">
        <f t="shared" si="41"/>
        <v/>
      </c>
      <c r="AC202" s="52">
        <f>_xlfn.XLOOKUP(B202,TL!C:C,TL!C:C)</f>
        <v>0</v>
      </c>
      <c r="AD202" s="52">
        <f>_xlfn.XLOOKUP(B202,Y!C:C,Y!C:C)</f>
        <v>0</v>
      </c>
      <c r="AE202" s="52">
        <f>_xlfn.XLOOKUP(B202,MA!C:C,MA!C:C)</f>
        <v>0</v>
      </c>
    </row>
    <row r="203" spans="1:31" x14ac:dyDescent="0.25">
      <c r="A203" s="29">
        <f>ssH!$AG$1</f>
        <v>46140</v>
      </c>
      <c r="C203" s="47">
        <f t="shared" si="42"/>
        <v>0</v>
      </c>
      <c r="D203" s="42">
        <f>_xlfn.XLOOKUP(ssH!$AG$3&amp;B203,ssH!A:A,ssH!D:D,0)</f>
        <v>0</v>
      </c>
      <c r="E203" s="42">
        <f>_xlfn.XLOOKUP(ssH!$AG$5&amp;B203,ssH!A:A,ssH!D:D,0)</f>
        <v>0</v>
      </c>
      <c r="F203" s="42">
        <f>_xlfn.XLOOKUP(ssH!$AG$6&amp;B203,ssH!A:A,ssH!D:D,0)</f>
        <v>0</v>
      </c>
      <c r="G203" s="48">
        <f>_xlfn.XLOOKUP(A203&amp;B203,ssH!A:A,ssH!F:F,-100%)</f>
        <v>-1</v>
      </c>
      <c r="H203" s="46">
        <f>_xlfn.XLOOKUP(ssH!$AG$3&amp;B203,ssH!A:A,ssH!F:F,0)</f>
        <v>0</v>
      </c>
      <c r="I203" s="46">
        <f>_xlfn.XLOOKUP(ssH!$AG$5&amp;B203,ssH!A:A,ssH!F:F,0)</f>
        <v>0</v>
      </c>
      <c r="J203" s="46">
        <f>_xlfn.XLOOKUP(ssH!$AG$6&amp;B203,ssH!A:A,ssH!F:F,0)</f>
        <v>0</v>
      </c>
      <c r="K203" s="46">
        <f>_xlfn.XLOOKUP(B203,ssL!C:C,ssL!G:G,"Removed")</f>
        <v>0</v>
      </c>
      <c r="L203" s="27">
        <f>_xlfn.XLOOKUP(A203&amp;B203,ssH!A:A,ssH!D:D,0)</f>
        <v>0</v>
      </c>
      <c r="M203" s="42" t="str">
        <f>_xlfn.XLOOKUP(A203&amp;B203,ssH!A:A,ssH!I:I,"")</f>
        <v/>
      </c>
      <c r="N203" s="51" t="str">
        <f t="shared" si="33"/>
        <v/>
      </c>
      <c r="O203" s="51" t="str">
        <f t="shared" si="34"/>
        <v/>
      </c>
      <c r="P203" s="51" t="str">
        <f t="shared" si="35"/>
        <v/>
      </c>
      <c r="Q203" s="52">
        <f t="shared" si="36"/>
        <v>0</v>
      </c>
      <c r="R203" s="51">
        <f t="shared" si="37"/>
        <v>2</v>
      </c>
      <c r="S203" s="51">
        <f t="shared" si="38"/>
        <v>0</v>
      </c>
      <c r="T203" s="51">
        <f t="shared" si="39"/>
        <v>0</v>
      </c>
      <c r="U203" s="52">
        <f t="shared" si="40"/>
        <v>2</v>
      </c>
      <c r="V203" s="52">
        <f t="shared" si="43"/>
        <v>0</v>
      </c>
      <c r="W203" s="52" t="str" cm="1">
        <f t="array" ref="W203">_xlfn.IFS(B203="","",AND(G203&gt;=0,L203&gt;0),"BuySome",AND(G203&gt;=0,K203="KMSignal"),"BuySome",AND(G203&lt;0,L203&gt;0),"BuyWatch",AND(Q203&lt;0,L203&gt;0),"BuyWatch",AND(G203&gt;=0,L203=0),"BuyWatch",L203&gt;0,"BuySome",TRUE,"")</f>
        <v/>
      </c>
      <c r="X203" s="47" t="str">
        <f>_xlfn.XLOOKUP(W203,Parm!$AN$2:$AN$25,Parm!$AO$2:$AO$25,"")</f>
        <v/>
      </c>
      <c r="Y203" s="52" t="str" cm="1">
        <f t="array" ref="Y203">_xlfn.IFS(B203="","",OR(Q203=-100,U203=-100),"SellAll",OR(Q203&lt;0,U203&lt;0),"SellSome",AND(Q203&gt;0,U203&gt;0),"BuySome",OR(Q203&gt;0,U203&gt;0),"BuyWatch",TRUE,"")</f>
        <v/>
      </c>
      <c r="Z203" s="47" t="str">
        <f>_xlfn.XLOOKUP(Y203,Parm!$AN$2:$AN$25,Parm!$AO$2:$AO$25,"")</f>
        <v/>
      </c>
      <c r="AA203" s="286">
        <f>IF(C203&lt;&gt;-100,A203,_xlfn.XLOOKUP(B203,ssH!L:L,ssH!M:M))</f>
        <v>46140</v>
      </c>
      <c r="AB203" s="49" t="str">
        <f t="shared" si="41"/>
        <v/>
      </c>
      <c r="AC203" s="52">
        <f>_xlfn.XLOOKUP(B203,TL!C:C,TL!C:C)</f>
        <v>0</v>
      </c>
      <c r="AD203" s="52">
        <f>_xlfn.XLOOKUP(B203,Y!C:C,Y!C:C)</f>
        <v>0</v>
      </c>
      <c r="AE203" s="52">
        <f>_xlfn.XLOOKUP(B203,MA!C:C,MA!C:C)</f>
        <v>0</v>
      </c>
    </row>
    <row r="204" spans="1:31" x14ac:dyDescent="0.25">
      <c r="A204" s="29">
        <f>ssH!$AG$1</f>
        <v>46140</v>
      </c>
      <c r="C204" s="47">
        <f t="shared" si="42"/>
        <v>0</v>
      </c>
      <c r="D204" s="42">
        <f>_xlfn.XLOOKUP(ssH!$AG$3&amp;B204,ssH!A:A,ssH!D:D,0)</f>
        <v>0</v>
      </c>
      <c r="E204" s="42">
        <f>_xlfn.XLOOKUP(ssH!$AG$5&amp;B204,ssH!A:A,ssH!D:D,0)</f>
        <v>0</v>
      </c>
      <c r="F204" s="42">
        <f>_xlfn.XLOOKUP(ssH!$AG$6&amp;B204,ssH!A:A,ssH!D:D,0)</f>
        <v>0</v>
      </c>
      <c r="G204" s="48">
        <f>_xlfn.XLOOKUP(A204&amp;B204,ssH!A:A,ssH!F:F,-100%)</f>
        <v>-1</v>
      </c>
      <c r="H204" s="46">
        <f>_xlfn.XLOOKUP(ssH!$AG$3&amp;B204,ssH!A:A,ssH!F:F,0)</f>
        <v>0</v>
      </c>
      <c r="I204" s="46">
        <f>_xlfn.XLOOKUP(ssH!$AG$5&amp;B204,ssH!A:A,ssH!F:F,0)</f>
        <v>0</v>
      </c>
      <c r="J204" s="46">
        <f>_xlfn.XLOOKUP(ssH!$AG$6&amp;B204,ssH!A:A,ssH!F:F,0)</f>
        <v>0</v>
      </c>
      <c r="K204" s="46">
        <f>_xlfn.XLOOKUP(B204,ssL!C:C,ssL!G:G,"Removed")</f>
        <v>0</v>
      </c>
      <c r="L204" s="27">
        <f>_xlfn.XLOOKUP(A204&amp;B204,ssH!A:A,ssH!D:D,0)</f>
        <v>0</v>
      </c>
      <c r="M204" s="42" t="str">
        <f>_xlfn.XLOOKUP(A204&amp;B204,ssH!A:A,ssH!I:I,"")</f>
        <v/>
      </c>
      <c r="N204" s="51" t="str">
        <f t="shared" si="33"/>
        <v/>
      </c>
      <c r="O204" s="51" t="str">
        <f t="shared" si="34"/>
        <v/>
      </c>
      <c r="P204" s="51" t="str">
        <f t="shared" si="35"/>
        <v/>
      </c>
      <c r="Q204" s="52">
        <f t="shared" si="36"/>
        <v>0</v>
      </c>
      <c r="R204" s="51">
        <f t="shared" si="37"/>
        <v>2</v>
      </c>
      <c r="S204" s="51">
        <f t="shared" si="38"/>
        <v>0</v>
      </c>
      <c r="T204" s="51">
        <f t="shared" si="39"/>
        <v>0</v>
      </c>
      <c r="U204" s="52">
        <f t="shared" si="40"/>
        <v>2</v>
      </c>
      <c r="V204" s="52">
        <f t="shared" si="43"/>
        <v>0</v>
      </c>
      <c r="W204" s="52" t="str" cm="1">
        <f t="array" ref="W204">_xlfn.IFS(B204="","",AND(G204&gt;=0,L204&gt;0),"BuySome",AND(G204&gt;=0,K204="KMSignal"),"BuySome",AND(G204&lt;0,L204&gt;0),"BuyWatch",AND(Q204&lt;0,L204&gt;0),"BuyWatch",AND(G204&gt;=0,L204=0),"BuyWatch",L204&gt;0,"BuySome",TRUE,"")</f>
        <v/>
      </c>
      <c r="X204" s="47" t="str">
        <f>_xlfn.XLOOKUP(W204,Parm!$AN$2:$AN$25,Parm!$AO$2:$AO$25,"")</f>
        <v/>
      </c>
      <c r="Y204" s="52" t="str" cm="1">
        <f t="array" ref="Y204">_xlfn.IFS(B204="","",OR(Q204=-100,U204=-100),"SellAll",OR(Q204&lt;0,U204&lt;0),"SellSome",AND(Q204&gt;0,U204&gt;0),"BuySome",OR(Q204&gt;0,U204&gt;0),"BuyWatch",TRUE,"")</f>
        <v/>
      </c>
      <c r="Z204" s="47" t="str">
        <f>_xlfn.XLOOKUP(Y204,Parm!$AN$2:$AN$25,Parm!$AO$2:$AO$25,"")</f>
        <v/>
      </c>
      <c r="AA204" s="286">
        <f>IF(C204&lt;&gt;-100,A204,_xlfn.XLOOKUP(B204,ssH!L:L,ssH!M:M))</f>
        <v>46140</v>
      </c>
      <c r="AB204" s="49" t="str">
        <f t="shared" si="41"/>
        <v/>
      </c>
      <c r="AC204" s="52">
        <f>_xlfn.XLOOKUP(B204,TL!C:C,TL!C:C)</f>
        <v>0</v>
      </c>
      <c r="AD204" s="52">
        <f>_xlfn.XLOOKUP(B204,Y!C:C,Y!C:C)</f>
        <v>0</v>
      </c>
      <c r="AE204" s="52">
        <f>_xlfn.XLOOKUP(B204,MA!C:C,MA!C:C)</f>
        <v>0</v>
      </c>
    </row>
    <row r="205" spans="1:31" x14ac:dyDescent="0.25">
      <c r="A205" s="29">
        <f>ssH!$AG$1</f>
        <v>46140</v>
      </c>
      <c r="C205" s="47">
        <f t="shared" si="42"/>
        <v>0</v>
      </c>
      <c r="D205" s="42">
        <f>_xlfn.XLOOKUP(ssH!$AG$3&amp;B205,ssH!A:A,ssH!D:D,0)</f>
        <v>0</v>
      </c>
      <c r="E205" s="42">
        <f>_xlfn.XLOOKUP(ssH!$AG$5&amp;B205,ssH!A:A,ssH!D:D,0)</f>
        <v>0</v>
      </c>
      <c r="F205" s="42">
        <f>_xlfn.XLOOKUP(ssH!$AG$6&amp;B205,ssH!A:A,ssH!D:D,0)</f>
        <v>0</v>
      </c>
      <c r="G205" s="48">
        <f>_xlfn.XLOOKUP(A205&amp;B205,ssH!A:A,ssH!F:F,-100%)</f>
        <v>-1</v>
      </c>
      <c r="H205" s="46">
        <f>_xlfn.XLOOKUP(ssH!$AG$3&amp;B205,ssH!A:A,ssH!F:F,0)</f>
        <v>0</v>
      </c>
      <c r="I205" s="46">
        <f>_xlfn.XLOOKUP(ssH!$AG$5&amp;B205,ssH!A:A,ssH!F:F,0)</f>
        <v>0</v>
      </c>
      <c r="J205" s="46">
        <f>_xlfn.XLOOKUP(ssH!$AG$6&amp;B205,ssH!A:A,ssH!F:F,0)</f>
        <v>0</v>
      </c>
      <c r="K205" s="46">
        <f>_xlfn.XLOOKUP(B205,ssL!C:C,ssL!G:G,"Removed")</f>
        <v>0</v>
      </c>
      <c r="L205" s="27">
        <f>_xlfn.XLOOKUP(A205&amp;B205,ssH!A:A,ssH!D:D,0)</f>
        <v>0</v>
      </c>
      <c r="M205" s="42" t="str">
        <f>_xlfn.XLOOKUP(A205&amp;B205,ssH!A:A,ssH!I:I,"")</f>
        <v/>
      </c>
      <c r="N205" s="51" t="str">
        <f t="shared" si="33"/>
        <v/>
      </c>
      <c r="O205" s="51" t="str">
        <f t="shared" si="34"/>
        <v/>
      </c>
      <c r="P205" s="51" t="str">
        <f t="shared" si="35"/>
        <v/>
      </c>
      <c r="Q205" s="52">
        <f t="shared" si="36"/>
        <v>0</v>
      </c>
      <c r="R205" s="51">
        <f t="shared" si="37"/>
        <v>2</v>
      </c>
      <c r="S205" s="51">
        <f t="shared" si="38"/>
        <v>0</v>
      </c>
      <c r="T205" s="51">
        <f t="shared" si="39"/>
        <v>0</v>
      </c>
      <c r="U205" s="52">
        <f t="shared" si="40"/>
        <v>2</v>
      </c>
      <c r="V205" s="52">
        <f t="shared" si="43"/>
        <v>0</v>
      </c>
      <c r="W205" s="52" t="str" cm="1">
        <f t="array" ref="W205">_xlfn.IFS(B205="","",AND(G205&gt;=0,L205&gt;0),"BuySome",AND(G205&gt;=0,K205="KMSignal"),"BuySome",AND(G205&lt;0,L205&gt;0),"BuyWatch",AND(Q205&lt;0,L205&gt;0),"BuyWatch",AND(G205&gt;=0,L205=0),"BuyWatch",L205&gt;0,"BuySome",TRUE,"")</f>
        <v/>
      </c>
      <c r="X205" s="47" t="str">
        <f>_xlfn.XLOOKUP(W205,Parm!$AN$2:$AN$25,Parm!$AO$2:$AO$25,"")</f>
        <v/>
      </c>
      <c r="Y205" s="52" t="str" cm="1">
        <f t="array" ref="Y205">_xlfn.IFS(B205="","",OR(Q205=-100,U205=-100),"SellAll",OR(Q205&lt;0,U205&lt;0),"SellSome",AND(Q205&gt;0,U205&gt;0),"BuySome",OR(Q205&gt;0,U205&gt;0),"BuyWatch",TRUE,"")</f>
        <v/>
      </c>
      <c r="Z205" s="47" t="str">
        <f>_xlfn.XLOOKUP(Y205,Parm!$AN$2:$AN$25,Parm!$AO$2:$AO$25,"")</f>
        <v/>
      </c>
      <c r="AA205" s="286">
        <f>IF(C205&lt;&gt;-100,A205,_xlfn.XLOOKUP(B205,ssH!L:L,ssH!M:M))</f>
        <v>46140</v>
      </c>
      <c r="AB205" s="49" t="str">
        <f t="shared" si="41"/>
        <v/>
      </c>
      <c r="AC205" s="52">
        <f>_xlfn.XLOOKUP(B205,TL!C:C,TL!C:C)</f>
        <v>0</v>
      </c>
      <c r="AD205" s="52">
        <f>_xlfn.XLOOKUP(B205,Y!C:C,Y!C:C)</f>
        <v>0</v>
      </c>
      <c r="AE205" s="52">
        <f>_xlfn.XLOOKUP(B205,MA!C:C,MA!C:C)</f>
        <v>0</v>
      </c>
    </row>
    <row r="206" spans="1:31" x14ac:dyDescent="0.25">
      <c r="A206" s="29">
        <f>ssH!$AG$1</f>
        <v>46140</v>
      </c>
      <c r="C206" s="47">
        <f t="shared" si="42"/>
        <v>0</v>
      </c>
      <c r="D206" s="42">
        <f>_xlfn.XLOOKUP(ssH!$AG$3&amp;B206,ssH!A:A,ssH!D:D,0)</f>
        <v>0</v>
      </c>
      <c r="E206" s="42">
        <f>_xlfn.XLOOKUP(ssH!$AG$5&amp;B206,ssH!A:A,ssH!D:D,0)</f>
        <v>0</v>
      </c>
      <c r="F206" s="42">
        <f>_xlfn.XLOOKUP(ssH!$AG$6&amp;B206,ssH!A:A,ssH!D:D,0)</f>
        <v>0</v>
      </c>
      <c r="G206" s="48">
        <f>_xlfn.XLOOKUP(A206&amp;B206,ssH!A:A,ssH!F:F,-100%)</f>
        <v>-1</v>
      </c>
      <c r="H206" s="46">
        <f>_xlfn.XLOOKUP(ssH!$AG$3&amp;B206,ssH!A:A,ssH!F:F,0)</f>
        <v>0</v>
      </c>
      <c r="I206" s="46">
        <f>_xlfn.XLOOKUP(ssH!$AG$5&amp;B206,ssH!A:A,ssH!F:F,0)</f>
        <v>0</v>
      </c>
      <c r="J206" s="46">
        <f>_xlfn.XLOOKUP(ssH!$AG$6&amp;B206,ssH!A:A,ssH!F:F,0)</f>
        <v>0</v>
      </c>
      <c r="K206" s="46">
        <f>_xlfn.XLOOKUP(B206,ssL!C:C,ssL!G:G,"Removed")</f>
        <v>0</v>
      </c>
      <c r="L206" s="27">
        <f>_xlfn.XLOOKUP(A206&amp;B206,ssH!A:A,ssH!D:D,0)</f>
        <v>0</v>
      </c>
      <c r="M206" s="42" t="str">
        <f>_xlfn.XLOOKUP(A206&amp;B206,ssH!A:A,ssH!I:I,"")</f>
        <v/>
      </c>
      <c r="N206" s="51" t="str">
        <f t="shared" si="33"/>
        <v/>
      </c>
      <c r="O206" s="51" t="str">
        <f t="shared" si="34"/>
        <v/>
      </c>
      <c r="P206" s="51" t="str">
        <f t="shared" si="35"/>
        <v/>
      </c>
      <c r="Q206" s="52">
        <f t="shared" si="36"/>
        <v>0</v>
      </c>
      <c r="R206" s="51">
        <f t="shared" si="37"/>
        <v>2</v>
      </c>
      <c r="S206" s="51">
        <f t="shared" si="38"/>
        <v>0</v>
      </c>
      <c r="T206" s="51">
        <f t="shared" si="39"/>
        <v>0</v>
      </c>
      <c r="U206" s="52">
        <f t="shared" si="40"/>
        <v>2</v>
      </c>
      <c r="V206" s="52">
        <f t="shared" si="43"/>
        <v>0</v>
      </c>
      <c r="W206" s="52" t="str" cm="1">
        <f t="array" ref="W206">_xlfn.IFS(B206="","",AND(G206&gt;=0,L206&gt;0),"BuySome",AND(G206&gt;=0,K206="KMSignal"),"BuySome",AND(G206&lt;0,L206&gt;0),"BuyWatch",AND(Q206&lt;0,L206&gt;0),"BuyWatch",AND(G206&gt;=0,L206=0),"BuyWatch",L206&gt;0,"BuySome",TRUE,"")</f>
        <v/>
      </c>
      <c r="X206" s="47" t="str">
        <f>_xlfn.XLOOKUP(W206,Parm!$AN$2:$AN$25,Parm!$AO$2:$AO$25,"")</f>
        <v/>
      </c>
      <c r="Y206" s="52" t="str" cm="1">
        <f t="array" ref="Y206">_xlfn.IFS(B206="","",OR(Q206=-100,U206=-100),"SellAll",OR(Q206&lt;0,U206&lt;0),"SellSome",AND(Q206&gt;0,U206&gt;0),"BuySome",OR(Q206&gt;0,U206&gt;0),"BuyWatch",TRUE,"")</f>
        <v/>
      </c>
      <c r="Z206" s="47" t="str">
        <f>_xlfn.XLOOKUP(Y206,Parm!$AN$2:$AN$25,Parm!$AO$2:$AO$25,"")</f>
        <v/>
      </c>
      <c r="AA206" s="286">
        <f>IF(C206&lt;&gt;-100,A206,_xlfn.XLOOKUP(B206,ssH!L:L,ssH!M:M))</f>
        <v>46140</v>
      </c>
      <c r="AB206" s="49" t="str">
        <f t="shared" si="41"/>
        <v/>
      </c>
      <c r="AC206" s="52">
        <f>_xlfn.XLOOKUP(B206,TL!C:C,TL!C:C)</f>
        <v>0</v>
      </c>
      <c r="AD206" s="52">
        <f>_xlfn.XLOOKUP(B206,Y!C:C,Y!C:C)</f>
        <v>0</v>
      </c>
      <c r="AE206" s="52">
        <f>_xlfn.XLOOKUP(B206,MA!C:C,MA!C:C)</f>
        <v>0</v>
      </c>
    </row>
    <row r="207" spans="1:31" x14ac:dyDescent="0.25">
      <c r="A207" s="29">
        <f>ssH!$AG$1</f>
        <v>46140</v>
      </c>
      <c r="C207" s="47">
        <f t="shared" si="42"/>
        <v>0</v>
      </c>
      <c r="D207" s="42">
        <f>_xlfn.XLOOKUP(ssH!$AG$3&amp;B207,ssH!A:A,ssH!D:D,0)</f>
        <v>0</v>
      </c>
      <c r="E207" s="42">
        <f>_xlfn.XLOOKUP(ssH!$AG$5&amp;B207,ssH!A:A,ssH!D:D,0)</f>
        <v>0</v>
      </c>
      <c r="F207" s="42">
        <f>_xlfn.XLOOKUP(ssH!$AG$6&amp;B207,ssH!A:A,ssH!D:D,0)</f>
        <v>0</v>
      </c>
      <c r="G207" s="48">
        <f>_xlfn.XLOOKUP(A207&amp;B207,ssH!A:A,ssH!F:F,-100%)</f>
        <v>-1</v>
      </c>
      <c r="H207" s="46">
        <f>_xlfn.XLOOKUP(ssH!$AG$3&amp;B207,ssH!A:A,ssH!F:F,0)</f>
        <v>0</v>
      </c>
      <c r="I207" s="46">
        <f>_xlfn.XLOOKUP(ssH!$AG$5&amp;B207,ssH!A:A,ssH!F:F,0)</f>
        <v>0</v>
      </c>
      <c r="J207" s="46">
        <f>_xlfn.XLOOKUP(ssH!$AG$6&amp;B207,ssH!A:A,ssH!F:F,0)</f>
        <v>0</v>
      </c>
      <c r="K207" s="46">
        <f>_xlfn.XLOOKUP(B207,ssL!C:C,ssL!G:G,"Removed")</f>
        <v>0</v>
      </c>
      <c r="L207" s="27">
        <f>_xlfn.XLOOKUP(A207&amp;B207,ssH!A:A,ssH!D:D,0)</f>
        <v>0</v>
      </c>
      <c r="M207" s="42" t="str">
        <f>_xlfn.XLOOKUP(A207&amp;B207,ssH!A:A,ssH!I:I,"")</f>
        <v/>
      </c>
      <c r="N207" s="51" t="str">
        <f t="shared" si="33"/>
        <v/>
      </c>
      <c r="O207" s="51" t="str">
        <f t="shared" si="34"/>
        <v/>
      </c>
      <c r="P207" s="51" t="str">
        <f t="shared" si="35"/>
        <v/>
      </c>
      <c r="Q207" s="52">
        <f t="shared" si="36"/>
        <v>0</v>
      </c>
      <c r="R207" s="51">
        <f t="shared" si="37"/>
        <v>2</v>
      </c>
      <c r="S207" s="51">
        <f t="shared" si="38"/>
        <v>0</v>
      </c>
      <c r="T207" s="51">
        <f t="shared" si="39"/>
        <v>0</v>
      </c>
      <c r="U207" s="52">
        <f t="shared" si="40"/>
        <v>2</v>
      </c>
      <c r="V207" s="52">
        <f t="shared" si="43"/>
        <v>0</v>
      </c>
      <c r="W207" s="52" t="str" cm="1">
        <f t="array" ref="W207">_xlfn.IFS(B207="","",AND(G207&gt;=0,L207&gt;0),"BuySome",AND(G207&gt;=0,K207="KMSignal"),"BuySome",AND(G207&lt;0,L207&gt;0),"BuyWatch",AND(Q207&lt;0,L207&gt;0),"BuyWatch",AND(G207&gt;=0,L207=0),"BuyWatch",L207&gt;0,"BuySome",TRUE,"")</f>
        <v/>
      </c>
      <c r="X207" s="47" t="str">
        <f>_xlfn.XLOOKUP(W207,Parm!$AN$2:$AN$25,Parm!$AO$2:$AO$25,"")</f>
        <v/>
      </c>
      <c r="Y207" s="52" t="str" cm="1">
        <f t="array" ref="Y207">_xlfn.IFS(B207="","",OR(Q207=-100,U207=-100),"SellAll",OR(Q207&lt;0,U207&lt;0),"SellSome",AND(Q207&gt;0,U207&gt;0),"BuySome",OR(Q207&gt;0,U207&gt;0),"BuyWatch",TRUE,"")</f>
        <v/>
      </c>
      <c r="Z207" s="47" t="str">
        <f>_xlfn.XLOOKUP(Y207,Parm!$AN$2:$AN$25,Parm!$AO$2:$AO$25,"")</f>
        <v/>
      </c>
      <c r="AA207" s="286">
        <f>IF(C207&lt;&gt;-100,A207,_xlfn.XLOOKUP(B207,ssH!L:L,ssH!M:M))</f>
        <v>46140</v>
      </c>
      <c r="AB207" s="49" t="str">
        <f t="shared" si="41"/>
        <v/>
      </c>
      <c r="AC207" s="52">
        <f>_xlfn.XLOOKUP(B207,TL!C:C,TL!C:C)</f>
        <v>0</v>
      </c>
      <c r="AD207" s="52">
        <f>_xlfn.XLOOKUP(B207,Y!C:C,Y!C:C)</f>
        <v>0</v>
      </c>
      <c r="AE207" s="52">
        <f>_xlfn.XLOOKUP(B207,MA!C:C,MA!C:C)</f>
        <v>0</v>
      </c>
    </row>
    <row r="208" spans="1:31" x14ac:dyDescent="0.25">
      <c r="A208" s="29">
        <f>ssH!$AG$1</f>
        <v>46140</v>
      </c>
      <c r="C208" s="47">
        <f t="shared" si="42"/>
        <v>0</v>
      </c>
      <c r="D208" s="42">
        <f>_xlfn.XLOOKUP(ssH!$AG$3&amp;B208,ssH!A:A,ssH!D:D,0)</f>
        <v>0</v>
      </c>
      <c r="E208" s="42">
        <f>_xlfn.XLOOKUP(ssH!$AG$5&amp;B208,ssH!A:A,ssH!D:D,0)</f>
        <v>0</v>
      </c>
      <c r="F208" s="42">
        <f>_xlfn.XLOOKUP(ssH!$AG$6&amp;B208,ssH!A:A,ssH!D:D,0)</f>
        <v>0</v>
      </c>
      <c r="G208" s="48">
        <f>_xlfn.XLOOKUP(A208&amp;B208,ssH!A:A,ssH!F:F,-100%)</f>
        <v>-1</v>
      </c>
      <c r="H208" s="46">
        <f>_xlfn.XLOOKUP(ssH!$AG$3&amp;B208,ssH!A:A,ssH!F:F,0)</f>
        <v>0</v>
      </c>
      <c r="I208" s="46">
        <f>_xlfn.XLOOKUP(ssH!$AG$5&amp;B208,ssH!A:A,ssH!F:F,0)</f>
        <v>0</v>
      </c>
      <c r="J208" s="46">
        <f>_xlfn.XLOOKUP(ssH!$AG$6&amp;B208,ssH!A:A,ssH!F:F,0)</f>
        <v>0</v>
      </c>
      <c r="K208" s="46">
        <f>_xlfn.XLOOKUP(B208,ssL!C:C,ssL!G:G,"Removed")</f>
        <v>0</v>
      </c>
      <c r="L208" s="27">
        <f>_xlfn.XLOOKUP(A208&amp;B208,ssH!A:A,ssH!D:D,0)</f>
        <v>0</v>
      </c>
      <c r="M208" s="42" t="str">
        <f>_xlfn.XLOOKUP(A208&amp;B208,ssH!A:A,ssH!I:I,"")</f>
        <v/>
      </c>
      <c r="N208" s="51" t="str">
        <f t="shared" si="33"/>
        <v/>
      </c>
      <c r="O208" s="51" t="str">
        <f t="shared" si="34"/>
        <v/>
      </c>
      <c r="P208" s="51" t="str">
        <f t="shared" si="35"/>
        <v/>
      </c>
      <c r="Q208" s="52">
        <f t="shared" si="36"/>
        <v>0</v>
      </c>
      <c r="R208" s="51">
        <f t="shared" si="37"/>
        <v>2</v>
      </c>
      <c r="S208" s="51">
        <f t="shared" si="38"/>
        <v>0</v>
      </c>
      <c r="T208" s="51">
        <f t="shared" si="39"/>
        <v>0</v>
      </c>
      <c r="U208" s="52">
        <f t="shared" si="40"/>
        <v>2</v>
      </c>
      <c r="V208" s="52">
        <f t="shared" si="43"/>
        <v>0</v>
      </c>
      <c r="W208" s="52" t="str" cm="1">
        <f t="array" ref="W208">_xlfn.IFS(B208="","",AND(G208&gt;=0,L208&gt;0),"BuySome",AND(G208&gt;=0,K208="KMSignal"),"BuySome",AND(G208&lt;0,L208&gt;0),"BuyWatch",AND(Q208&lt;0,L208&gt;0),"BuyWatch",AND(G208&gt;=0,L208=0),"BuyWatch",L208&gt;0,"BuySome",TRUE,"")</f>
        <v/>
      </c>
      <c r="X208" s="47" t="str">
        <f>_xlfn.XLOOKUP(W208,Parm!$AN$2:$AN$25,Parm!$AO$2:$AO$25,"")</f>
        <v/>
      </c>
      <c r="Y208" s="52" t="str" cm="1">
        <f t="array" ref="Y208">_xlfn.IFS(B208="","",OR(Q208=-100,U208=-100),"SellAll",OR(Q208&lt;0,U208&lt;0),"SellSome",AND(Q208&gt;0,U208&gt;0),"BuySome",OR(Q208&gt;0,U208&gt;0),"BuyWatch",TRUE,"")</f>
        <v/>
      </c>
      <c r="Z208" s="47" t="str">
        <f>_xlfn.XLOOKUP(Y208,Parm!$AN$2:$AN$25,Parm!$AO$2:$AO$25,"")</f>
        <v/>
      </c>
      <c r="AA208" s="286">
        <f>IF(C208&lt;&gt;-100,A208,_xlfn.XLOOKUP(B208,ssH!L:L,ssH!M:M))</f>
        <v>46140</v>
      </c>
      <c r="AB208" s="49" t="str">
        <f t="shared" si="41"/>
        <v/>
      </c>
      <c r="AC208" s="52">
        <f>_xlfn.XLOOKUP(B208,TL!C:C,TL!C:C)</f>
        <v>0</v>
      </c>
      <c r="AD208" s="52">
        <f>_xlfn.XLOOKUP(B208,Y!C:C,Y!C:C)</f>
        <v>0</v>
      </c>
      <c r="AE208" s="52">
        <f>_xlfn.XLOOKUP(B208,MA!C:C,MA!C:C)</f>
        <v>0</v>
      </c>
    </row>
    <row r="209" spans="1:31" x14ac:dyDescent="0.25">
      <c r="A209" s="29">
        <f>ssH!$AG$1</f>
        <v>46140</v>
      </c>
      <c r="C209" s="47">
        <f t="shared" si="42"/>
        <v>0</v>
      </c>
      <c r="D209" s="42">
        <f>_xlfn.XLOOKUP(ssH!$AG$3&amp;B209,ssH!A:A,ssH!D:D,0)</f>
        <v>0</v>
      </c>
      <c r="E209" s="42">
        <f>_xlfn.XLOOKUP(ssH!$AG$5&amp;B209,ssH!A:A,ssH!D:D,0)</f>
        <v>0</v>
      </c>
      <c r="F209" s="42">
        <f>_xlfn.XLOOKUP(ssH!$AG$6&amp;B209,ssH!A:A,ssH!D:D,0)</f>
        <v>0</v>
      </c>
      <c r="G209" s="48">
        <f>_xlfn.XLOOKUP(A209&amp;B209,ssH!A:A,ssH!F:F,-100%)</f>
        <v>-1</v>
      </c>
      <c r="H209" s="46">
        <f>_xlfn.XLOOKUP(ssH!$AG$3&amp;B209,ssH!A:A,ssH!F:F,0)</f>
        <v>0</v>
      </c>
      <c r="I209" s="46">
        <f>_xlfn.XLOOKUP(ssH!$AG$5&amp;B209,ssH!A:A,ssH!F:F,0)</f>
        <v>0</v>
      </c>
      <c r="J209" s="46">
        <f>_xlfn.XLOOKUP(ssH!$AG$6&amp;B209,ssH!A:A,ssH!F:F,0)</f>
        <v>0</v>
      </c>
      <c r="K209" s="46">
        <f>_xlfn.XLOOKUP(B209,ssL!C:C,ssL!G:G,"Removed")</f>
        <v>0</v>
      </c>
      <c r="L209" s="27">
        <f>_xlfn.XLOOKUP(A209&amp;B209,ssH!A:A,ssH!D:D,0)</f>
        <v>0</v>
      </c>
      <c r="M209" s="42" t="str">
        <f>_xlfn.XLOOKUP(A209&amp;B209,ssH!A:A,ssH!I:I,"")</f>
        <v/>
      </c>
      <c r="N209" s="51" t="str">
        <f t="shared" si="33"/>
        <v/>
      </c>
      <c r="O209" s="51" t="str">
        <f t="shared" si="34"/>
        <v/>
      </c>
      <c r="P209" s="51" t="str">
        <f t="shared" si="35"/>
        <v/>
      </c>
      <c r="Q209" s="52">
        <f t="shared" si="36"/>
        <v>0</v>
      </c>
      <c r="R209" s="51">
        <f t="shared" si="37"/>
        <v>2</v>
      </c>
      <c r="S209" s="51">
        <f t="shared" si="38"/>
        <v>0</v>
      </c>
      <c r="T209" s="51">
        <f t="shared" si="39"/>
        <v>0</v>
      </c>
      <c r="U209" s="52">
        <f t="shared" si="40"/>
        <v>2</v>
      </c>
      <c r="V209" s="52">
        <f t="shared" si="43"/>
        <v>0</v>
      </c>
      <c r="W209" s="52" t="str" cm="1">
        <f t="array" ref="W209">_xlfn.IFS(B209="","",AND(G209&gt;=0,L209&gt;0),"BuySome",AND(G209&gt;=0,K209="KMSignal"),"BuySome",AND(G209&lt;0,L209&gt;0),"BuyWatch",AND(Q209&lt;0,L209&gt;0),"BuyWatch",AND(G209&gt;=0,L209=0),"BuyWatch",L209&gt;0,"BuySome",TRUE,"")</f>
        <v/>
      </c>
      <c r="X209" s="47" t="str">
        <f>_xlfn.XLOOKUP(W209,Parm!$AN$2:$AN$25,Parm!$AO$2:$AO$25,"")</f>
        <v/>
      </c>
      <c r="Y209" s="52" t="str" cm="1">
        <f t="array" ref="Y209">_xlfn.IFS(B209="","",OR(Q209=-100,U209=-100),"SellAll",OR(Q209&lt;0,U209&lt;0),"SellSome",AND(Q209&gt;0,U209&gt;0),"BuySome",OR(Q209&gt;0,U209&gt;0),"BuyWatch",TRUE,"")</f>
        <v/>
      </c>
      <c r="Z209" s="47" t="str">
        <f>_xlfn.XLOOKUP(Y209,Parm!$AN$2:$AN$25,Parm!$AO$2:$AO$25,"")</f>
        <v/>
      </c>
      <c r="AA209" s="286">
        <f>IF(C209&lt;&gt;-100,A209,_xlfn.XLOOKUP(B209,ssH!L:L,ssH!M:M))</f>
        <v>46140</v>
      </c>
      <c r="AB209" s="49" t="str">
        <f t="shared" si="41"/>
        <v/>
      </c>
      <c r="AC209" s="52">
        <f>_xlfn.XLOOKUP(B209,TL!C:C,TL!C:C)</f>
        <v>0</v>
      </c>
      <c r="AD209" s="52">
        <f>_xlfn.XLOOKUP(B209,Y!C:C,Y!C:C)</f>
        <v>0</v>
      </c>
      <c r="AE209" s="52">
        <f>_xlfn.XLOOKUP(B209,MA!C:C,MA!C:C)</f>
        <v>0</v>
      </c>
    </row>
    <row r="210" spans="1:31" x14ac:dyDescent="0.25">
      <c r="A210" s="29">
        <f>ssH!$AG$1</f>
        <v>46140</v>
      </c>
      <c r="C210" s="47">
        <f t="shared" si="42"/>
        <v>0</v>
      </c>
      <c r="D210" s="42">
        <f>_xlfn.XLOOKUP(ssH!$AG$3&amp;B210,ssH!A:A,ssH!D:D,0)</f>
        <v>0</v>
      </c>
      <c r="E210" s="42">
        <f>_xlfn.XLOOKUP(ssH!$AG$5&amp;B210,ssH!A:A,ssH!D:D,0)</f>
        <v>0</v>
      </c>
      <c r="F210" s="42">
        <f>_xlfn.XLOOKUP(ssH!$AG$6&amp;B210,ssH!A:A,ssH!D:D,0)</f>
        <v>0</v>
      </c>
      <c r="G210" s="48">
        <f>_xlfn.XLOOKUP(A210&amp;B210,ssH!A:A,ssH!F:F,-100%)</f>
        <v>-1</v>
      </c>
      <c r="H210" s="46">
        <f>_xlfn.XLOOKUP(ssH!$AG$3&amp;B210,ssH!A:A,ssH!F:F,0)</f>
        <v>0</v>
      </c>
      <c r="I210" s="46">
        <f>_xlfn.XLOOKUP(ssH!$AG$5&amp;B210,ssH!A:A,ssH!F:F,0)</f>
        <v>0</v>
      </c>
      <c r="J210" s="46">
        <f>_xlfn.XLOOKUP(ssH!$AG$6&amp;B210,ssH!A:A,ssH!F:F,0)</f>
        <v>0</v>
      </c>
      <c r="K210" s="46">
        <f>_xlfn.XLOOKUP(B210,ssL!C:C,ssL!G:G,"Removed")</f>
        <v>0</v>
      </c>
      <c r="L210" s="27">
        <f>_xlfn.XLOOKUP(A210&amp;B210,ssH!A:A,ssH!D:D,0)</f>
        <v>0</v>
      </c>
      <c r="M210" s="42" t="str">
        <f>_xlfn.XLOOKUP(A210&amp;B210,ssH!A:A,ssH!I:I,"")</f>
        <v/>
      </c>
      <c r="N210" s="51" t="str">
        <f t="shared" si="33"/>
        <v/>
      </c>
      <c r="O210" s="51" t="str">
        <f t="shared" si="34"/>
        <v/>
      </c>
      <c r="P210" s="51" t="str">
        <f t="shared" si="35"/>
        <v/>
      </c>
      <c r="Q210" s="52">
        <f t="shared" si="36"/>
        <v>0</v>
      </c>
      <c r="R210" s="51">
        <f t="shared" si="37"/>
        <v>2</v>
      </c>
      <c r="S210" s="51">
        <f t="shared" si="38"/>
        <v>0</v>
      </c>
      <c r="T210" s="51">
        <f t="shared" si="39"/>
        <v>0</v>
      </c>
      <c r="U210" s="52">
        <f t="shared" si="40"/>
        <v>2</v>
      </c>
      <c r="V210" s="52">
        <f t="shared" si="43"/>
        <v>0</v>
      </c>
      <c r="W210" s="52" t="str" cm="1">
        <f t="array" ref="W210">_xlfn.IFS(B210="","",AND(G210&gt;=0,L210&gt;0),"BuySome",AND(G210&gt;=0,K210="KMSignal"),"BuySome",AND(G210&lt;0,L210&gt;0),"BuyWatch",AND(Q210&lt;0,L210&gt;0),"BuyWatch",AND(G210&gt;=0,L210=0),"BuyWatch",L210&gt;0,"BuySome",TRUE,"")</f>
        <v/>
      </c>
      <c r="X210" s="47" t="str">
        <f>_xlfn.XLOOKUP(W210,Parm!$AN$2:$AN$25,Parm!$AO$2:$AO$25,"")</f>
        <v/>
      </c>
      <c r="Y210" s="52" t="str" cm="1">
        <f t="array" ref="Y210">_xlfn.IFS(B210="","",OR(Q210=-100,U210=-100),"SellAll",OR(Q210&lt;0,U210&lt;0),"SellSome",AND(Q210&gt;0,U210&gt;0),"BuySome",OR(Q210&gt;0,U210&gt;0),"BuyWatch",TRUE,"")</f>
        <v/>
      </c>
      <c r="Z210" s="47" t="str">
        <f>_xlfn.XLOOKUP(Y210,Parm!$AN$2:$AN$25,Parm!$AO$2:$AO$25,"")</f>
        <v/>
      </c>
      <c r="AA210" s="286">
        <f>IF(C210&lt;&gt;-100,A210,_xlfn.XLOOKUP(B210,ssH!L:L,ssH!M:M))</f>
        <v>46140</v>
      </c>
      <c r="AB210" s="49" t="str">
        <f t="shared" si="41"/>
        <v/>
      </c>
      <c r="AC210" s="52">
        <f>_xlfn.XLOOKUP(B210,TL!C:C,TL!C:C)</f>
        <v>0</v>
      </c>
      <c r="AD210" s="52">
        <f>_xlfn.XLOOKUP(B210,Y!C:C,Y!C:C)</f>
        <v>0</v>
      </c>
      <c r="AE210" s="52">
        <f>_xlfn.XLOOKUP(B210,MA!C:C,MA!C:C)</f>
        <v>0</v>
      </c>
    </row>
    <row r="211" spans="1:31" x14ac:dyDescent="0.25">
      <c r="A211" s="29">
        <f>ssH!$AG$1</f>
        <v>46140</v>
      </c>
      <c r="C211" s="47">
        <f t="shared" si="42"/>
        <v>0</v>
      </c>
      <c r="D211" s="42">
        <f>_xlfn.XLOOKUP(ssH!$AG$3&amp;B211,ssH!A:A,ssH!D:D,0)</f>
        <v>0</v>
      </c>
      <c r="E211" s="42">
        <f>_xlfn.XLOOKUP(ssH!$AG$5&amp;B211,ssH!A:A,ssH!D:D,0)</f>
        <v>0</v>
      </c>
      <c r="F211" s="42">
        <f>_xlfn.XLOOKUP(ssH!$AG$6&amp;B211,ssH!A:A,ssH!D:D,0)</f>
        <v>0</v>
      </c>
      <c r="G211" s="48">
        <f>_xlfn.XLOOKUP(A211&amp;B211,ssH!A:A,ssH!F:F,-100%)</f>
        <v>-1</v>
      </c>
      <c r="H211" s="46">
        <f>_xlfn.XLOOKUP(ssH!$AG$3&amp;B211,ssH!A:A,ssH!F:F,0)</f>
        <v>0</v>
      </c>
      <c r="I211" s="46">
        <f>_xlfn.XLOOKUP(ssH!$AG$5&amp;B211,ssH!A:A,ssH!F:F,0)</f>
        <v>0</v>
      </c>
      <c r="J211" s="46">
        <f>_xlfn.XLOOKUP(ssH!$AG$6&amp;B211,ssH!A:A,ssH!F:F,0)</f>
        <v>0</v>
      </c>
      <c r="K211" s="46">
        <f>_xlfn.XLOOKUP(B211,ssL!C:C,ssL!G:G,"Removed")</f>
        <v>0</v>
      </c>
      <c r="L211" s="27">
        <f>_xlfn.XLOOKUP(A211&amp;B211,ssH!A:A,ssH!D:D,0)</f>
        <v>0</v>
      </c>
      <c r="M211" s="42" t="str">
        <f>_xlfn.XLOOKUP(A211&amp;B211,ssH!A:A,ssH!I:I,"")</f>
        <v/>
      </c>
      <c r="N211" s="51" t="str">
        <f t="shared" si="33"/>
        <v/>
      </c>
      <c r="O211" s="51" t="str">
        <f t="shared" si="34"/>
        <v/>
      </c>
      <c r="P211" s="51" t="str">
        <f t="shared" si="35"/>
        <v/>
      </c>
      <c r="Q211" s="52">
        <f t="shared" si="36"/>
        <v>0</v>
      </c>
      <c r="R211" s="51">
        <f t="shared" si="37"/>
        <v>2</v>
      </c>
      <c r="S211" s="51">
        <f t="shared" si="38"/>
        <v>0</v>
      </c>
      <c r="T211" s="51">
        <f t="shared" si="39"/>
        <v>0</v>
      </c>
      <c r="U211" s="52">
        <f t="shared" si="40"/>
        <v>2</v>
      </c>
      <c r="V211" s="52">
        <f t="shared" si="43"/>
        <v>0</v>
      </c>
      <c r="W211" s="52" t="str" cm="1">
        <f t="array" ref="W211">_xlfn.IFS(B211="","",AND(G211&gt;=0,L211&gt;0),"BuySome",AND(G211&gt;=0,K211="KMSignal"),"BuySome",AND(G211&lt;0,L211&gt;0),"BuyWatch",AND(Q211&lt;0,L211&gt;0),"BuyWatch",AND(G211&gt;=0,L211=0),"BuyWatch",L211&gt;0,"BuySome",TRUE,"")</f>
        <v/>
      </c>
      <c r="X211" s="47" t="str">
        <f>_xlfn.XLOOKUP(W211,Parm!$AN$2:$AN$25,Parm!$AO$2:$AO$25,"")</f>
        <v/>
      </c>
      <c r="Y211" s="52" t="str" cm="1">
        <f t="array" ref="Y211">_xlfn.IFS(B211="","",OR(Q211=-100,U211=-100),"SellAll",OR(Q211&lt;0,U211&lt;0),"SellSome",AND(Q211&gt;0,U211&gt;0),"BuySome",OR(Q211&gt;0,U211&gt;0),"BuyWatch",TRUE,"")</f>
        <v/>
      </c>
      <c r="Z211" s="47" t="str">
        <f>_xlfn.XLOOKUP(Y211,Parm!$AN$2:$AN$25,Parm!$AO$2:$AO$25,"")</f>
        <v/>
      </c>
      <c r="AA211" s="286">
        <f>IF(C211&lt;&gt;-100,A211,_xlfn.XLOOKUP(B211,ssH!L:L,ssH!M:M))</f>
        <v>46140</v>
      </c>
      <c r="AB211" s="49" t="str">
        <f t="shared" si="41"/>
        <v/>
      </c>
      <c r="AC211" s="52">
        <f>_xlfn.XLOOKUP(B211,TL!C:C,TL!C:C)</f>
        <v>0</v>
      </c>
      <c r="AD211" s="52">
        <f>_xlfn.XLOOKUP(B211,Y!C:C,Y!C:C)</f>
        <v>0</v>
      </c>
      <c r="AE211" s="52">
        <f>_xlfn.XLOOKUP(B211,MA!C:C,MA!C:C)</f>
        <v>0</v>
      </c>
    </row>
    <row r="212" spans="1:31" x14ac:dyDescent="0.25">
      <c r="A212" s="29">
        <f>ssH!$AG$1</f>
        <v>46140</v>
      </c>
      <c r="C212" s="47">
        <f t="shared" si="42"/>
        <v>0</v>
      </c>
      <c r="D212" s="42">
        <f>_xlfn.XLOOKUP(ssH!$AG$3&amp;B212,ssH!A:A,ssH!D:D,0)</f>
        <v>0</v>
      </c>
      <c r="E212" s="42">
        <f>_xlfn.XLOOKUP(ssH!$AG$5&amp;B212,ssH!A:A,ssH!D:D,0)</f>
        <v>0</v>
      </c>
      <c r="F212" s="42">
        <f>_xlfn.XLOOKUP(ssH!$AG$6&amp;B212,ssH!A:A,ssH!D:D,0)</f>
        <v>0</v>
      </c>
      <c r="G212" s="48">
        <f>_xlfn.XLOOKUP(A212&amp;B212,ssH!A:A,ssH!F:F,-100%)</f>
        <v>-1</v>
      </c>
      <c r="H212" s="46">
        <f>_xlfn.XLOOKUP(ssH!$AG$3&amp;B212,ssH!A:A,ssH!F:F,0)</f>
        <v>0</v>
      </c>
      <c r="I212" s="46">
        <f>_xlfn.XLOOKUP(ssH!$AG$5&amp;B212,ssH!A:A,ssH!F:F,0)</f>
        <v>0</v>
      </c>
      <c r="J212" s="46">
        <f>_xlfn.XLOOKUP(ssH!$AG$6&amp;B212,ssH!A:A,ssH!F:F,0)</f>
        <v>0</v>
      </c>
      <c r="K212" s="46">
        <f>_xlfn.XLOOKUP(B212,ssL!C:C,ssL!G:G,"Removed")</f>
        <v>0</v>
      </c>
      <c r="L212" s="27">
        <f>_xlfn.XLOOKUP(A212&amp;B212,ssH!A:A,ssH!D:D,0)</f>
        <v>0</v>
      </c>
      <c r="M212" s="42" t="str">
        <f>_xlfn.XLOOKUP(A212&amp;B212,ssH!A:A,ssH!I:I,"")</f>
        <v/>
      </c>
      <c r="N212" s="51" t="str">
        <f t="shared" si="33"/>
        <v/>
      </c>
      <c r="O212" s="51" t="str">
        <f t="shared" si="34"/>
        <v/>
      </c>
      <c r="P212" s="51" t="str">
        <f t="shared" si="35"/>
        <v/>
      </c>
      <c r="Q212" s="52">
        <f t="shared" si="36"/>
        <v>0</v>
      </c>
      <c r="R212" s="51">
        <f t="shared" si="37"/>
        <v>2</v>
      </c>
      <c r="S212" s="51">
        <f t="shared" si="38"/>
        <v>0</v>
      </c>
      <c r="T212" s="51">
        <f t="shared" si="39"/>
        <v>0</v>
      </c>
      <c r="U212" s="52">
        <f t="shared" si="40"/>
        <v>2</v>
      </c>
      <c r="V212" s="52">
        <f t="shared" si="43"/>
        <v>0</v>
      </c>
      <c r="W212" s="52" t="str" cm="1">
        <f t="array" ref="W212">_xlfn.IFS(B212="","",AND(G212&gt;=0,L212&gt;0),"BuySome",AND(G212&gt;=0,K212="KMSignal"),"BuySome",AND(G212&lt;0,L212&gt;0),"BuyWatch",AND(Q212&lt;0,L212&gt;0),"BuyWatch",AND(G212&gt;=0,L212=0),"BuyWatch",L212&gt;0,"BuySome",TRUE,"")</f>
        <v/>
      </c>
      <c r="X212" s="47" t="str">
        <f>_xlfn.XLOOKUP(W212,Parm!$AN$2:$AN$25,Parm!$AO$2:$AO$25,"")</f>
        <v/>
      </c>
      <c r="Y212" s="52" t="str" cm="1">
        <f t="array" ref="Y212">_xlfn.IFS(B212="","",OR(Q212=-100,U212=-100),"SellAll",OR(Q212&lt;0,U212&lt;0),"SellSome",AND(Q212&gt;0,U212&gt;0),"BuySome",OR(Q212&gt;0,U212&gt;0),"BuyWatch",TRUE,"")</f>
        <v/>
      </c>
      <c r="Z212" s="47" t="str">
        <f>_xlfn.XLOOKUP(Y212,Parm!$AN$2:$AN$25,Parm!$AO$2:$AO$25,"")</f>
        <v/>
      </c>
      <c r="AA212" s="286">
        <f>IF(C212&lt;&gt;-100,A212,_xlfn.XLOOKUP(B212,ssH!L:L,ssH!M:M))</f>
        <v>46140</v>
      </c>
      <c r="AB212" s="49" t="str">
        <f t="shared" si="41"/>
        <v/>
      </c>
      <c r="AC212" s="52">
        <f>_xlfn.XLOOKUP(B212,TL!C:C,TL!C:C)</f>
        <v>0</v>
      </c>
      <c r="AD212" s="52">
        <f>_xlfn.XLOOKUP(B212,Y!C:C,Y!C:C)</f>
        <v>0</v>
      </c>
      <c r="AE212" s="52">
        <f>_xlfn.XLOOKUP(B212,MA!C:C,MA!C:C)</f>
        <v>0</v>
      </c>
    </row>
    <row r="213" spans="1:31" x14ac:dyDescent="0.25">
      <c r="A213" s="29">
        <f>ssH!$AG$1</f>
        <v>46140</v>
      </c>
      <c r="C213" s="47">
        <f t="shared" si="42"/>
        <v>0</v>
      </c>
      <c r="D213" s="42">
        <f>_xlfn.XLOOKUP(ssH!$AG$3&amp;B213,ssH!A:A,ssH!D:D,0)</f>
        <v>0</v>
      </c>
      <c r="E213" s="42">
        <f>_xlfn.XLOOKUP(ssH!$AG$5&amp;B213,ssH!A:A,ssH!D:D,0)</f>
        <v>0</v>
      </c>
      <c r="F213" s="42">
        <f>_xlfn.XLOOKUP(ssH!$AG$6&amp;B213,ssH!A:A,ssH!D:D,0)</f>
        <v>0</v>
      </c>
      <c r="G213" s="48">
        <f>_xlfn.XLOOKUP(A213&amp;B213,ssH!A:A,ssH!F:F,-100%)</f>
        <v>-1</v>
      </c>
      <c r="H213" s="46">
        <f>_xlfn.XLOOKUP(ssH!$AG$3&amp;B213,ssH!A:A,ssH!F:F,0)</f>
        <v>0</v>
      </c>
      <c r="I213" s="46">
        <f>_xlfn.XLOOKUP(ssH!$AG$5&amp;B213,ssH!A:A,ssH!F:F,0)</f>
        <v>0</v>
      </c>
      <c r="J213" s="46">
        <f>_xlfn.XLOOKUP(ssH!$AG$6&amp;B213,ssH!A:A,ssH!F:F,0)</f>
        <v>0</v>
      </c>
      <c r="K213" s="46">
        <f>_xlfn.XLOOKUP(B213,ssL!C:C,ssL!G:G,"Removed")</f>
        <v>0</v>
      </c>
      <c r="L213" s="27">
        <f>_xlfn.XLOOKUP(A213&amp;B213,ssH!A:A,ssH!D:D,0)</f>
        <v>0</v>
      </c>
      <c r="M213" s="42" t="str">
        <f>_xlfn.XLOOKUP(A213&amp;B213,ssH!A:A,ssH!I:I,"")</f>
        <v/>
      </c>
      <c r="N213" s="51" t="str">
        <f t="shared" si="33"/>
        <v/>
      </c>
      <c r="O213" s="51" t="str">
        <f t="shared" si="34"/>
        <v/>
      </c>
      <c r="P213" s="51" t="str">
        <f t="shared" si="35"/>
        <v/>
      </c>
      <c r="Q213" s="52">
        <f t="shared" si="36"/>
        <v>0</v>
      </c>
      <c r="R213" s="51">
        <f t="shared" si="37"/>
        <v>2</v>
      </c>
      <c r="S213" s="51">
        <f t="shared" si="38"/>
        <v>0</v>
      </c>
      <c r="T213" s="51">
        <f t="shared" si="39"/>
        <v>0</v>
      </c>
      <c r="U213" s="52">
        <f t="shared" si="40"/>
        <v>2</v>
      </c>
      <c r="V213" s="52">
        <f t="shared" si="43"/>
        <v>0</v>
      </c>
      <c r="W213" s="52" t="str" cm="1">
        <f t="array" ref="W213">_xlfn.IFS(B213="","",AND(G213&gt;=0,L213&gt;0),"BuySome",AND(G213&gt;=0,K213="KMSignal"),"BuySome",AND(G213&lt;0,L213&gt;0),"BuyWatch",AND(Q213&lt;0,L213&gt;0),"BuyWatch",AND(G213&gt;=0,L213=0),"BuyWatch",L213&gt;0,"BuySome",TRUE,"")</f>
        <v/>
      </c>
      <c r="X213" s="47" t="str">
        <f>_xlfn.XLOOKUP(W213,Parm!$AN$2:$AN$25,Parm!$AO$2:$AO$25,"")</f>
        <v/>
      </c>
      <c r="Y213" s="52" t="str" cm="1">
        <f t="array" ref="Y213">_xlfn.IFS(B213="","",OR(Q213=-100,U213=-100),"SellAll",OR(Q213&lt;0,U213&lt;0),"SellSome",AND(Q213&gt;0,U213&gt;0),"BuySome",OR(Q213&gt;0,U213&gt;0),"BuyWatch",TRUE,"")</f>
        <v/>
      </c>
      <c r="Z213" s="47" t="str">
        <f>_xlfn.XLOOKUP(Y213,Parm!$AN$2:$AN$25,Parm!$AO$2:$AO$25,"")</f>
        <v/>
      </c>
      <c r="AA213" s="286">
        <f>IF(C213&lt;&gt;-100,A213,_xlfn.XLOOKUP(B213,ssH!L:L,ssH!M:M))</f>
        <v>46140</v>
      </c>
      <c r="AB213" s="49" t="str">
        <f t="shared" si="41"/>
        <v/>
      </c>
      <c r="AC213" s="52">
        <f>_xlfn.XLOOKUP(B213,TL!C:C,TL!C:C)</f>
        <v>0</v>
      </c>
      <c r="AD213" s="52">
        <f>_xlfn.XLOOKUP(B213,Y!C:C,Y!C:C)</f>
        <v>0</v>
      </c>
      <c r="AE213" s="52">
        <f>_xlfn.XLOOKUP(B213,MA!C:C,MA!C:C)</f>
        <v>0</v>
      </c>
    </row>
    <row r="214" spans="1:31" x14ac:dyDescent="0.25">
      <c r="A214" s="29">
        <f>ssH!$AG$1</f>
        <v>46140</v>
      </c>
      <c r="C214" s="47">
        <f t="shared" si="42"/>
        <v>0</v>
      </c>
      <c r="D214" s="42">
        <f>_xlfn.XLOOKUP(ssH!$AG$3&amp;B214,ssH!A:A,ssH!D:D,0)</f>
        <v>0</v>
      </c>
      <c r="E214" s="42">
        <f>_xlfn.XLOOKUP(ssH!$AG$5&amp;B214,ssH!A:A,ssH!D:D,0)</f>
        <v>0</v>
      </c>
      <c r="F214" s="42">
        <f>_xlfn.XLOOKUP(ssH!$AG$6&amp;B214,ssH!A:A,ssH!D:D,0)</f>
        <v>0</v>
      </c>
      <c r="G214" s="48">
        <f>_xlfn.XLOOKUP(A214&amp;B214,ssH!A:A,ssH!F:F,-100%)</f>
        <v>-1</v>
      </c>
      <c r="H214" s="46">
        <f>_xlfn.XLOOKUP(ssH!$AG$3&amp;B214,ssH!A:A,ssH!F:F,0)</f>
        <v>0</v>
      </c>
      <c r="I214" s="46">
        <f>_xlfn.XLOOKUP(ssH!$AG$5&amp;B214,ssH!A:A,ssH!F:F,0)</f>
        <v>0</v>
      </c>
      <c r="J214" s="46">
        <f>_xlfn.XLOOKUP(ssH!$AG$6&amp;B214,ssH!A:A,ssH!F:F,0)</f>
        <v>0</v>
      </c>
      <c r="K214" s="46">
        <f>_xlfn.XLOOKUP(B214,ssL!C:C,ssL!G:G,"Removed")</f>
        <v>0</v>
      </c>
      <c r="L214" s="27">
        <f>_xlfn.XLOOKUP(A214&amp;B214,ssH!A:A,ssH!D:D,0)</f>
        <v>0</v>
      </c>
      <c r="M214" s="42" t="str">
        <f>_xlfn.XLOOKUP(A214&amp;B214,ssH!A:A,ssH!I:I,"")</f>
        <v/>
      </c>
      <c r="N214" s="51" t="str">
        <f t="shared" si="33"/>
        <v/>
      </c>
      <c r="O214" s="51" t="str">
        <f t="shared" si="34"/>
        <v/>
      </c>
      <c r="P214" s="51" t="str">
        <f t="shared" si="35"/>
        <v/>
      </c>
      <c r="Q214" s="52">
        <f t="shared" si="36"/>
        <v>0</v>
      </c>
      <c r="R214" s="51">
        <f t="shared" si="37"/>
        <v>2</v>
      </c>
      <c r="S214" s="51">
        <f t="shared" si="38"/>
        <v>0</v>
      </c>
      <c r="T214" s="51">
        <f t="shared" si="39"/>
        <v>0</v>
      </c>
      <c r="U214" s="52">
        <f t="shared" si="40"/>
        <v>2</v>
      </c>
      <c r="V214" s="52">
        <f t="shared" si="43"/>
        <v>0</v>
      </c>
      <c r="W214" s="52" t="str" cm="1">
        <f t="array" ref="W214">_xlfn.IFS(B214="","",AND(G214&gt;=0,L214&gt;0),"BuySome",AND(G214&gt;=0,K214="KMSignal"),"BuySome",AND(G214&lt;0,L214&gt;0),"BuyWatch",AND(Q214&lt;0,L214&gt;0),"BuyWatch",AND(G214&gt;=0,L214=0),"BuyWatch",L214&gt;0,"BuySome",TRUE,"")</f>
        <v/>
      </c>
      <c r="X214" s="47" t="str">
        <f>_xlfn.XLOOKUP(W214,Parm!$AN$2:$AN$25,Parm!$AO$2:$AO$25,"")</f>
        <v/>
      </c>
      <c r="Y214" s="52" t="str" cm="1">
        <f t="array" ref="Y214">_xlfn.IFS(B214="","",OR(Q214=-100,U214=-100),"SellAll",OR(Q214&lt;0,U214&lt;0),"SellSome",AND(Q214&gt;0,U214&gt;0),"BuySome",OR(Q214&gt;0,U214&gt;0),"BuyWatch",TRUE,"")</f>
        <v/>
      </c>
      <c r="Z214" s="47" t="str">
        <f>_xlfn.XLOOKUP(Y214,Parm!$AN$2:$AN$25,Parm!$AO$2:$AO$25,"")</f>
        <v/>
      </c>
      <c r="AA214" s="286">
        <f>IF(C214&lt;&gt;-100,A214,_xlfn.XLOOKUP(B214,ssH!L:L,ssH!M:M))</f>
        <v>46140</v>
      </c>
      <c r="AB214" s="49" t="str">
        <f t="shared" si="41"/>
        <v/>
      </c>
      <c r="AC214" s="52">
        <f>_xlfn.XLOOKUP(B214,TL!C:C,TL!C:C)</f>
        <v>0</v>
      </c>
      <c r="AD214" s="52">
        <f>_xlfn.XLOOKUP(B214,Y!C:C,Y!C:C)</f>
        <v>0</v>
      </c>
      <c r="AE214" s="52">
        <f>_xlfn.XLOOKUP(B214,MA!C:C,MA!C:C)</f>
        <v>0</v>
      </c>
    </row>
    <row r="215" spans="1:31" x14ac:dyDescent="0.25">
      <c r="A215" s="29">
        <f>ssH!$AG$1</f>
        <v>46140</v>
      </c>
      <c r="C215" s="47">
        <f t="shared" si="42"/>
        <v>0</v>
      </c>
      <c r="D215" s="42">
        <f>_xlfn.XLOOKUP(ssH!$AG$3&amp;B215,ssH!A:A,ssH!D:D,0)</f>
        <v>0</v>
      </c>
      <c r="E215" s="42">
        <f>_xlfn.XLOOKUP(ssH!$AG$5&amp;B215,ssH!A:A,ssH!D:D,0)</f>
        <v>0</v>
      </c>
      <c r="F215" s="42">
        <f>_xlfn.XLOOKUP(ssH!$AG$6&amp;B215,ssH!A:A,ssH!D:D,0)</f>
        <v>0</v>
      </c>
      <c r="G215" s="48">
        <f>_xlfn.XLOOKUP(A215&amp;B215,ssH!A:A,ssH!F:F,-100%)</f>
        <v>-1</v>
      </c>
      <c r="H215" s="46">
        <f>_xlfn.XLOOKUP(ssH!$AG$3&amp;B215,ssH!A:A,ssH!F:F,0)</f>
        <v>0</v>
      </c>
      <c r="I215" s="46">
        <f>_xlfn.XLOOKUP(ssH!$AG$5&amp;B215,ssH!A:A,ssH!F:F,0)</f>
        <v>0</v>
      </c>
      <c r="J215" s="46">
        <f>_xlfn.XLOOKUP(ssH!$AG$6&amp;B215,ssH!A:A,ssH!F:F,0)</f>
        <v>0</v>
      </c>
      <c r="K215" s="46">
        <f>_xlfn.XLOOKUP(B215,ssL!C:C,ssL!G:G,"Removed")</f>
        <v>0</v>
      </c>
      <c r="L215" s="27">
        <f>_xlfn.XLOOKUP(A215&amp;B215,ssH!A:A,ssH!D:D,0)</f>
        <v>0</v>
      </c>
      <c r="M215" s="42" t="str">
        <f>_xlfn.XLOOKUP(A215&amp;B215,ssH!A:A,ssH!I:I,"")</f>
        <v/>
      </c>
      <c r="N215" s="51" t="str">
        <f t="shared" si="33"/>
        <v/>
      </c>
      <c r="O215" s="51" t="str">
        <f t="shared" si="34"/>
        <v/>
      </c>
      <c r="P215" s="51" t="str">
        <f t="shared" si="35"/>
        <v/>
      </c>
      <c r="Q215" s="52">
        <f t="shared" si="36"/>
        <v>0</v>
      </c>
      <c r="R215" s="51">
        <f t="shared" si="37"/>
        <v>2</v>
      </c>
      <c r="S215" s="51">
        <f t="shared" si="38"/>
        <v>0</v>
      </c>
      <c r="T215" s="51">
        <f t="shared" si="39"/>
        <v>0</v>
      </c>
      <c r="U215" s="52">
        <f t="shared" si="40"/>
        <v>2</v>
      </c>
      <c r="V215" s="52">
        <f t="shared" si="43"/>
        <v>0</v>
      </c>
      <c r="W215" s="52" t="str" cm="1">
        <f t="array" ref="W215">_xlfn.IFS(B215="","",AND(G215&gt;=0,L215&gt;0),"BuySome",AND(G215&gt;=0,K215="KMSignal"),"BuySome",AND(G215&lt;0,L215&gt;0),"BuyWatch",AND(Q215&lt;0,L215&gt;0),"BuyWatch",AND(G215&gt;=0,L215=0),"BuyWatch",L215&gt;0,"BuySome",TRUE,"")</f>
        <v/>
      </c>
      <c r="X215" s="47" t="str">
        <f>_xlfn.XLOOKUP(W215,Parm!$AN$2:$AN$25,Parm!$AO$2:$AO$25,"")</f>
        <v/>
      </c>
      <c r="Y215" s="52" t="str" cm="1">
        <f t="array" ref="Y215">_xlfn.IFS(B215="","",OR(Q215=-100,U215=-100),"SellAll",OR(Q215&lt;0,U215&lt;0),"SellSome",AND(Q215&gt;0,U215&gt;0),"BuySome",OR(Q215&gt;0,U215&gt;0),"BuyWatch",TRUE,"")</f>
        <v/>
      </c>
      <c r="Z215" s="47" t="str">
        <f>_xlfn.XLOOKUP(Y215,Parm!$AN$2:$AN$25,Parm!$AO$2:$AO$25,"")</f>
        <v/>
      </c>
      <c r="AA215" s="286">
        <f>IF(C215&lt;&gt;-100,A215,_xlfn.XLOOKUP(B215,ssH!L:L,ssH!M:M))</f>
        <v>46140</v>
      </c>
      <c r="AB215" s="49" t="str">
        <f t="shared" si="41"/>
        <v/>
      </c>
      <c r="AC215" s="52">
        <f>_xlfn.XLOOKUP(B215,TL!C:C,TL!C:C)</f>
        <v>0</v>
      </c>
      <c r="AD215" s="52">
        <f>_xlfn.XLOOKUP(B215,Y!C:C,Y!C:C)</f>
        <v>0</v>
      </c>
      <c r="AE215" s="52">
        <f>_xlfn.XLOOKUP(B215,MA!C:C,MA!C:C)</f>
        <v>0</v>
      </c>
    </row>
    <row r="216" spans="1:31" x14ac:dyDescent="0.25">
      <c r="A216" s="29">
        <f>ssH!$AG$1</f>
        <v>46140</v>
      </c>
      <c r="C216" s="47">
        <f t="shared" si="42"/>
        <v>0</v>
      </c>
      <c r="D216" s="42">
        <f>_xlfn.XLOOKUP(ssH!$AG$3&amp;B216,ssH!A:A,ssH!D:D,0)</f>
        <v>0</v>
      </c>
      <c r="E216" s="42">
        <f>_xlfn.XLOOKUP(ssH!$AG$5&amp;B216,ssH!A:A,ssH!D:D,0)</f>
        <v>0</v>
      </c>
      <c r="F216" s="42">
        <f>_xlfn.XLOOKUP(ssH!$AG$6&amp;B216,ssH!A:A,ssH!D:D,0)</f>
        <v>0</v>
      </c>
      <c r="G216" s="48">
        <f>_xlfn.XLOOKUP(A216&amp;B216,ssH!A:A,ssH!F:F,-100%)</f>
        <v>-1</v>
      </c>
      <c r="H216" s="46">
        <f>_xlfn.XLOOKUP(ssH!$AG$3&amp;B216,ssH!A:A,ssH!F:F,0)</f>
        <v>0</v>
      </c>
      <c r="I216" s="46">
        <f>_xlfn.XLOOKUP(ssH!$AG$5&amp;B216,ssH!A:A,ssH!F:F,0)</f>
        <v>0</v>
      </c>
      <c r="J216" s="46">
        <f>_xlfn.XLOOKUP(ssH!$AG$6&amp;B216,ssH!A:A,ssH!F:F,0)</f>
        <v>0</v>
      </c>
      <c r="K216" s="46">
        <f>_xlfn.XLOOKUP(B216,ssL!C:C,ssL!G:G,"Removed")</f>
        <v>0</v>
      </c>
      <c r="L216" s="27">
        <f>_xlfn.XLOOKUP(A216&amp;B216,ssH!A:A,ssH!D:D,0)</f>
        <v>0</v>
      </c>
      <c r="M216" s="42" t="str">
        <f>_xlfn.XLOOKUP(A216&amp;B216,ssH!A:A,ssH!I:I,"")</f>
        <v/>
      </c>
      <c r="N216" s="51" t="str">
        <f t="shared" si="33"/>
        <v/>
      </c>
      <c r="O216" s="51" t="str">
        <f t="shared" si="34"/>
        <v/>
      </c>
      <c r="P216" s="51" t="str">
        <f t="shared" si="35"/>
        <v/>
      </c>
      <c r="Q216" s="52">
        <f t="shared" si="36"/>
        <v>0</v>
      </c>
      <c r="R216" s="51">
        <f t="shared" si="37"/>
        <v>2</v>
      </c>
      <c r="S216" s="51">
        <f t="shared" si="38"/>
        <v>0</v>
      </c>
      <c r="T216" s="51">
        <f t="shared" si="39"/>
        <v>0</v>
      </c>
      <c r="U216" s="52">
        <f t="shared" si="40"/>
        <v>2</v>
      </c>
      <c r="V216" s="52">
        <f t="shared" si="43"/>
        <v>0</v>
      </c>
      <c r="W216" s="52" t="str" cm="1">
        <f t="array" ref="W216">_xlfn.IFS(B216="","",AND(G216&gt;=0,L216&gt;0),"BuySome",AND(G216&gt;=0,K216="KMSignal"),"BuySome",AND(G216&lt;0,L216&gt;0),"BuyWatch",AND(Q216&lt;0,L216&gt;0),"BuyWatch",AND(G216&gt;=0,L216=0),"BuyWatch",L216&gt;0,"BuySome",TRUE,"")</f>
        <v/>
      </c>
      <c r="X216" s="47" t="str">
        <f>_xlfn.XLOOKUP(W216,Parm!$AN$2:$AN$25,Parm!$AO$2:$AO$25,"")</f>
        <v/>
      </c>
      <c r="Y216" s="52" t="str" cm="1">
        <f t="array" ref="Y216">_xlfn.IFS(B216="","",OR(Q216=-100,U216=-100),"SellAll",OR(Q216&lt;0,U216&lt;0),"SellSome",AND(Q216&gt;0,U216&gt;0),"BuySome",OR(Q216&gt;0,U216&gt;0),"BuyWatch",TRUE,"")</f>
        <v/>
      </c>
      <c r="Z216" s="47" t="str">
        <f>_xlfn.XLOOKUP(Y216,Parm!$AN$2:$AN$25,Parm!$AO$2:$AO$25,"")</f>
        <v/>
      </c>
      <c r="AA216" s="286">
        <f>IF(C216&lt;&gt;-100,A216,_xlfn.XLOOKUP(B216,ssH!L:L,ssH!M:M))</f>
        <v>46140</v>
      </c>
      <c r="AB216" s="49" t="str">
        <f t="shared" si="41"/>
        <v/>
      </c>
      <c r="AC216" s="52">
        <f>_xlfn.XLOOKUP(B216,TL!C:C,TL!C:C)</f>
        <v>0</v>
      </c>
      <c r="AD216" s="52">
        <f>_xlfn.XLOOKUP(B216,Y!C:C,Y!C:C)</f>
        <v>0</v>
      </c>
      <c r="AE216" s="52">
        <f>_xlfn.XLOOKUP(B216,MA!C:C,MA!C:C)</f>
        <v>0</v>
      </c>
    </row>
    <row r="217" spans="1:31" x14ac:dyDescent="0.25">
      <c r="A217" s="29">
        <f>ssH!$AG$1</f>
        <v>46140</v>
      </c>
      <c r="C217" s="47">
        <f t="shared" si="42"/>
        <v>0</v>
      </c>
      <c r="D217" s="42">
        <f>_xlfn.XLOOKUP(ssH!$AG$3&amp;B217,ssH!A:A,ssH!D:D,0)</f>
        <v>0</v>
      </c>
      <c r="E217" s="42">
        <f>_xlfn.XLOOKUP(ssH!$AG$5&amp;B217,ssH!A:A,ssH!D:D,0)</f>
        <v>0</v>
      </c>
      <c r="F217" s="42">
        <f>_xlfn.XLOOKUP(ssH!$AG$6&amp;B217,ssH!A:A,ssH!D:D,0)</f>
        <v>0</v>
      </c>
      <c r="G217" s="48">
        <f>_xlfn.XLOOKUP(A217&amp;B217,ssH!A:A,ssH!F:F,-100%)</f>
        <v>-1</v>
      </c>
      <c r="H217" s="46">
        <f>_xlfn.XLOOKUP(ssH!$AG$3&amp;B217,ssH!A:A,ssH!F:F,0)</f>
        <v>0</v>
      </c>
      <c r="I217" s="46">
        <f>_xlfn.XLOOKUP(ssH!$AG$5&amp;B217,ssH!A:A,ssH!F:F,0)</f>
        <v>0</v>
      </c>
      <c r="J217" s="46">
        <f>_xlfn.XLOOKUP(ssH!$AG$6&amp;B217,ssH!A:A,ssH!F:F,0)</f>
        <v>0</v>
      </c>
      <c r="K217" s="46">
        <f>_xlfn.XLOOKUP(B217,ssL!C:C,ssL!G:G,"Removed")</f>
        <v>0</v>
      </c>
      <c r="L217" s="27">
        <f>_xlfn.XLOOKUP(A217&amp;B217,ssH!A:A,ssH!D:D,0)</f>
        <v>0</v>
      </c>
      <c r="M217" s="42" t="str">
        <f>_xlfn.XLOOKUP(A217&amp;B217,ssH!A:A,ssH!I:I,"")</f>
        <v/>
      </c>
      <c r="N217" s="51" t="str">
        <f t="shared" si="33"/>
        <v/>
      </c>
      <c r="O217" s="51" t="str">
        <f t="shared" si="34"/>
        <v/>
      </c>
      <c r="P217" s="51" t="str">
        <f t="shared" si="35"/>
        <v/>
      </c>
      <c r="Q217" s="52">
        <f t="shared" si="36"/>
        <v>0</v>
      </c>
      <c r="R217" s="51">
        <f t="shared" si="37"/>
        <v>2</v>
      </c>
      <c r="S217" s="51">
        <f t="shared" si="38"/>
        <v>0</v>
      </c>
      <c r="T217" s="51">
        <f t="shared" si="39"/>
        <v>0</v>
      </c>
      <c r="U217" s="52">
        <f t="shared" si="40"/>
        <v>2</v>
      </c>
      <c r="V217" s="52">
        <f t="shared" si="43"/>
        <v>0</v>
      </c>
      <c r="W217" s="52" t="str" cm="1">
        <f t="array" ref="W217">_xlfn.IFS(B217="","",AND(G217&gt;=0,L217&gt;0),"BuySome",AND(G217&gt;=0,K217="KMSignal"),"BuySome",AND(G217&lt;0,L217&gt;0),"BuyWatch",AND(Q217&lt;0,L217&gt;0),"BuyWatch",AND(G217&gt;=0,L217=0),"BuyWatch",L217&gt;0,"BuySome",TRUE,"")</f>
        <v/>
      </c>
      <c r="X217" s="47" t="str">
        <f>_xlfn.XLOOKUP(W217,Parm!$AN$2:$AN$25,Parm!$AO$2:$AO$25,"")</f>
        <v/>
      </c>
      <c r="Y217" s="52" t="str" cm="1">
        <f t="array" ref="Y217">_xlfn.IFS(B217="","",OR(Q217=-100,U217=-100),"SellAll",OR(Q217&lt;0,U217&lt;0),"SellSome",AND(Q217&gt;0,U217&gt;0),"BuySome",OR(Q217&gt;0,U217&gt;0),"BuyWatch",TRUE,"")</f>
        <v/>
      </c>
      <c r="Z217" s="47" t="str">
        <f>_xlfn.XLOOKUP(Y217,Parm!$AN$2:$AN$25,Parm!$AO$2:$AO$25,"")</f>
        <v/>
      </c>
      <c r="AA217" s="286">
        <f>IF(C217&lt;&gt;-100,A217,_xlfn.XLOOKUP(B217,ssH!L:L,ssH!M:M))</f>
        <v>46140</v>
      </c>
      <c r="AB217" s="49" t="str">
        <f t="shared" si="41"/>
        <v/>
      </c>
      <c r="AC217" s="52">
        <f>_xlfn.XLOOKUP(B217,TL!C:C,TL!C:C)</f>
        <v>0</v>
      </c>
      <c r="AD217" s="52">
        <f>_xlfn.XLOOKUP(B217,Y!C:C,Y!C:C)</f>
        <v>0</v>
      </c>
      <c r="AE217" s="52">
        <f>_xlfn.XLOOKUP(B217,MA!C:C,MA!C:C)</f>
        <v>0</v>
      </c>
    </row>
    <row r="218" spans="1:31" x14ac:dyDescent="0.25">
      <c r="A218" s="29">
        <f>ssH!$AG$1</f>
        <v>46140</v>
      </c>
      <c r="C218" s="47">
        <f t="shared" si="42"/>
        <v>0</v>
      </c>
      <c r="D218" s="42">
        <f>_xlfn.XLOOKUP(ssH!$AG$3&amp;B218,ssH!A:A,ssH!D:D,0)</f>
        <v>0</v>
      </c>
      <c r="E218" s="42">
        <f>_xlfn.XLOOKUP(ssH!$AG$5&amp;B218,ssH!A:A,ssH!D:D,0)</f>
        <v>0</v>
      </c>
      <c r="F218" s="42">
        <f>_xlfn.XLOOKUP(ssH!$AG$6&amp;B218,ssH!A:A,ssH!D:D,0)</f>
        <v>0</v>
      </c>
      <c r="G218" s="48">
        <f>_xlfn.XLOOKUP(A218&amp;B218,ssH!A:A,ssH!F:F,-100%)</f>
        <v>-1</v>
      </c>
      <c r="H218" s="46">
        <f>_xlfn.XLOOKUP(ssH!$AG$3&amp;B218,ssH!A:A,ssH!F:F,0)</f>
        <v>0</v>
      </c>
      <c r="I218" s="46">
        <f>_xlfn.XLOOKUP(ssH!$AG$5&amp;B218,ssH!A:A,ssH!F:F,0)</f>
        <v>0</v>
      </c>
      <c r="J218" s="46">
        <f>_xlfn.XLOOKUP(ssH!$AG$6&amp;B218,ssH!A:A,ssH!F:F,0)</f>
        <v>0</v>
      </c>
      <c r="K218" s="46">
        <f>_xlfn.XLOOKUP(B218,ssL!C:C,ssL!G:G,"Removed")</f>
        <v>0</v>
      </c>
      <c r="L218" s="27">
        <f>_xlfn.XLOOKUP(A218&amp;B218,ssH!A:A,ssH!D:D,0)</f>
        <v>0</v>
      </c>
      <c r="M218" s="42" t="str">
        <f>_xlfn.XLOOKUP(A218&amp;B218,ssH!A:A,ssH!I:I,"")</f>
        <v/>
      </c>
      <c r="N218" s="51" t="str">
        <f t="shared" si="33"/>
        <v/>
      </c>
      <c r="O218" s="51" t="str">
        <f t="shared" si="34"/>
        <v/>
      </c>
      <c r="P218" s="51" t="str">
        <f t="shared" si="35"/>
        <v/>
      </c>
      <c r="Q218" s="52">
        <f t="shared" si="36"/>
        <v>0</v>
      </c>
      <c r="R218" s="51">
        <f t="shared" si="37"/>
        <v>2</v>
      </c>
      <c r="S218" s="51">
        <f t="shared" si="38"/>
        <v>0</v>
      </c>
      <c r="T218" s="51">
        <f t="shared" si="39"/>
        <v>0</v>
      </c>
      <c r="U218" s="52">
        <f t="shared" si="40"/>
        <v>2</v>
      </c>
      <c r="V218" s="52">
        <f t="shared" si="43"/>
        <v>0</v>
      </c>
      <c r="W218" s="52" t="str" cm="1">
        <f t="array" ref="W218">_xlfn.IFS(B218="","",AND(G218&gt;=0,L218&gt;0),"BuySome",AND(G218&gt;=0,K218="KMSignal"),"BuySome",AND(G218&lt;0,L218&gt;0),"BuyWatch",AND(Q218&lt;0,L218&gt;0),"BuyWatch",AND(G218&gt;=0,L218=0),"BuyWatch",L218&gt;0,"BuySome",TRUE,"")</f>
        <v/>
      </c>
      <c r="X218" s="47" t="str">
        <f>_xlfn.XLOOKUP(W218,Parm!$AN$2:$AN$25,Parm!$AO$2:$AO$25,"")</f>
        <v/>
      </c>
      <c r="Y218" s="52" t="str" cm="1">
        <f t="array" ref="Y218">_xlfn.IFS(B218="","",OR(Q218=-100,U218=-100),"SellAll",OR(Q218&lt;0,U218&lt;0),"SellSome",AND(Q218&gt;0,U218&gt;0),"BuySome",OR(Q218&gt;0,U218&gt;0),"BuyWatch",TRUE,"")</f>
        <v/>
      </c>
      <c r="Z218" s="47" t="str">
        <f>_xlfn.XLOOKUP(Y218,Parm!$AN$2:$AN$25,Parm!$AO$2:$AO$25,"")</f>
        <v/>
      </c>
      <c r="AA218" s="286">
        <f>IF(C218&lt;&gt;-100,A218,_xlfn.XLOOKUP(B218,ssH!L:L,ssH!M:M))</f>
        <v>46140</v>
      </c>
      <c r="AB218" s="49" t="str">
        <f t="shared" si="41"/>
        <v/>
      </c>
      <c r="AC218" s="52">
        <f>_xlfn.XLOOKUP(B218,TL!C:C,TL!C:C)</f>
        <v>0</v>
      </c>
      <c r="AD218" s="52">
        <f>_xlfn.XLOOKUP(B218,Y!C:C,Y!C:C)</f>
        <v>0</v>
      </c>
      <c r="AE218" s="52">
        <f>_xlfn.XLOOKUP(B218,MA!C:C,MA!C:C)</f>
        <v>0</v>
      </c>
    </row>
    <row r="219" spans="1:31" x14ac:dyDescent="0.25">
      <c r="A219" s="29">
        <f>ssH!$AG$1</f>
        <v>46140</v>
      </c>
      <c r="C219" s="47">
        <f t="shared" si="42"/>
        <v>0</v>
      </c>
      <c r="D219" s="42">
        <f>_xlfn.XLOOKUP(ssH!$AG$3&amp;B219,ssH!A:A,ssH!D:D,0)</f>
        <v>0</v>
      </c>
      <c r="E219" s="42">
        <f>_xlfn.XLOOKUP(ssH!$AG$5&amp;B219,ssH!A:A,ssH!D:D,0)</f>
        <v>0</v>
      </c>
      <c r="F219" s="42">
        <f>_xlfn.XLOOKUP(ssH!$AG$6&amp;B219,ssH!A:A,ssH!D:D,0)</f>
        <v>0</v>
      </c>
      <c r="G219" s="48">
        <f>_xlfn.XLOOKUP(A219&amp;B219,ssH!A:A,ssH!F:F,-100%)</f>
        <v>-1</v>
      </c>
      <c r="H219" s="46">
        <f>_xlfn.XLOOKUP(ssH!$AG$3&amp;B219,ssH!A:A,ssH!F:F,0)</f>
        <v>0</v>
      </c>
      <c r="I219" s="46">
        <f>_xlfn.XLOOKUP(ssH!$AG$5&amp;B219,ssH!A:A,ssH!F:F,0)</f>
        <v>0</v>
      </c>
      <c r="J219" s="46">
        <f>_xlfn.XLOOKUP(ssH!$AG$6&amp;B219,ssH!A:A,ssH!F:F,0)</f>
        <v>0</v>
      </c>
      <c r="K219" s="46">
        <f>_xlfn.XLOOKUP(B219,ssL!C:C,ssL!G:G,"Removed")</f>
        <v>0</v>
      </c>
      <c r="L219" s="27">
        <f>_xlfn.XLOOKUP(A219&amp;B219,ssH!A:A,ssH!D:D,0)</f>
        <v>0</v>
      </c>
      <c r="M219" s="42" t="str">
        <f>_xlfn.XLOOKUP(A219&amp;B219,ssH!A:A,ssH!I:I,"")</f>
        <v/>
      </c>
      <c r="N219" s="51" t="str">
        <f t="shared" si="33"/>
        <v/>
      </c>
      <c r="O219" s="51" t="str">
        <f t="shared" si="34"/>
        <v/>
      </c>
      <c r="P219" s="51" t="str">
        <f t="shared" si="35"/>
        <v/>
      </c>
      <c r="Q219" s="52">
        <f t="shared" si="36"/>
        <v>0</v>
      </c>
      <c r="R219" s="51">
        <f t="shared" si="37"/>
        <v>2</v>
      </c>
      <c r="S219" s="51">
        <f t="shared" si="38"/>
        <v>0</v>
      </c>
      <c r="T219" s="51">
        <f t="shared" si="39"/>
        <v>0</v>
      </c>
      <c r="U219" s="52">
        <f t="shared" si="40"/>
        <v>2</v>
      </c>
      <c r="V219" s="52">
        <f t="shared" si="43"/>
        <v>0</v>
      </c>
      <c r="W219" s="52" t="str" cm="1">
        <f t="array" ref="W219">_xlfn.IFS(B219="","",AND(G219&gt;=0,L219&gt;0),"BuySome",AND(G219&gt;=0,K219="KMSignal"),"BuySome",AND(G219&lt;0,L219&gt;0),"BuyWatch",AND(Q219&lt;0,L219&gt;0),"BuyWatch",AND(G219&gt;=0,L219=0),"BuyWatch",L219&gt;0,"BuySome",TRUE,"")</f>
        <v/>
      </c>
      <c r="X219" s="47" t="str">
        <f>_xlfn.XLOOKUP(W219,Parm!$AN$2:$AN$25,Parm!$AO$2:$AO$25,"")</f>
        <v/>
      </c>
      <c r="Y219" s="52" t="str" cm="1">
        <f t="array" ref="Y219">_xlfn.IFS(B219="","",OR(Q219=-100,U219=-100),"SellAll",OR(Q219&lt;0,U219&lt;0),"SellSome",AND(Q219&gt;0,U219&gt;0),"BuySome",OR(Q219&gt;0,U219&gt;0),"BuyWatch",TRUE,"")</f>
        <v/>
      </c>
      <c r="Z219" s="47" t="str">
        <f>_xlfn.XLOOKUP(Y219,Parm!$AN$2:$AN$25,Parm!$AO$2:$AO$25,"")</f>
        <v/>
      </c>
      <c r="AA219" s="286">
        <f>IF(C219&lt;&gt;-100,A219,_xlfn.XLOOKUP(B219,ssH!L:L,ssH!M:M))</f>
        <v>46140</v>
      </c>
      <c r="AB219" s="49" t="str">
        <f t="shared" si="41"/>
        <v/>
      </c>
      <c r="AC219" s="52">
        <f>_xlfn.XLOOKUP(B219,TL!C:C,TL!C:C)</f>
        <v>0</v>
      </c>
      <c r="AD219" s="52">
        <f>_xlfn.XLOOKUP(B219,Y!C:C,Y!C:C)</f>
        <v>0</v>
      </c>
      <c r="AE219" s="52">
        <f>_xlfn.XLOOKUP(B219,MA!C:C,MA!C:C)</f>
        <v>0</v>
      </c>
    </row>
    <row r="220" spans="1:31" x14ac:dyDescent="0.25">
      <c r="A220" s="29">
        <f>ssH!$AG$1</f>
        <v>46140</v>
      </c>
      <c r="C220" s="47">
        <f t="shared" si="42"/>
        <v>0</v>
      </c>
      <c r="D220" s="42">
        <f>_xlfn.XLOOKUP(ssH!$AG$3&amp;B220,ssH!A:A,ssH!D:D,0)</f>
        <v>0</v>
      </c>
      <c r="E220" s="42">
        <f>_xlfn.XLOOKUP(ssH!$AG$5&amp;B220,ssH!A:A,ssH!D:D,0)</f>
        <v>0</v>
      </c>
      <c r="F220" s="42">
        <f>_xlfn.XLOOKUP(ssH!$AG$6&amp;B220,ssH!A:A,ssH!D:D,0)</f>
        <v>0</v>
      </c>
      <c r="G220" s="48">
        <f>_xlfn.XLOOKUP(A220&amp;B220,ssH!A:A,ssH!F:F,-100%)</f>
        <v>-1</v>
      </c>
      <c r="H220" s="46">
        <f>_xlfn.XLOOKUP(ssH!$AG$3&amp;B220,ssH!A:A,ssH!F:F,0)</f>
        <v>0</v>
      </c>
      <c r="I220" s="46">
        <f>_xlfn.XLOOKUP(ssH!$AG$5&amp;B220,ssH!A:A,ssH!F:F,0)</f>
        <v>0</v>
      </c>
      <c r="J220" s="46">
        <f>_xlfn.XLOOKUP(ssH!$AG$6&amp;B220,ssH!A:A,ssH!F:F,0)</f>
        <v>0</v>
      </c>
      <c r="K220" s="46">
        <f>_xlfn.XLOOKUP(B220,ssL!C:C,ssL!G:G,"Removed")</f>
        <v>0</v>
      </c>
      <c r="L220" s="27">
        <f>_xlfn.XLOOKUP(A220&amp;B220,ssH!A:A,ssH!D:D,0)</f>
        <v>0</v>
      </c>
      <c r="M220" s="42" t="str">
        <f>_xlfn.XLOOKUP(A220&amp;B220,ssH!A:A,ssH!I:I,"")</f>
        <v/>
      </c>
      <c r="N220" s="51" t="str">
        <f t="shared" si="33"/>
        <v/>
      </c>
      <c r="O220" s="51" t="str">
        <f t="shared" si="34"/>
        <v/>
      </c>
      <c r="P220" s="51" t="str">
        <f t="shared" si="35"/>
        <v/>
      </c>
      <c r="Q220" s="52">
        <f t="shared" si="36"/>
        <v>0</v>
      </c>
      <c r="R220" s="51">
        <f t="shared" si="37"/>
        <v>2</v>
      </c>
      <c r="S220" s="51">
        <f t="shared" si="38"/>
        <v>0</v>
      </c>
      <c r="T220" s="51">
        <f t="shared" si="39"/>
        <v>0</v>
      </c>
      <c r="U220" s="52">
        <f t="shared" si="40"/>
        <v>2</v>
      </c>
      <c r="V220" s="52">
        <f t="shared" si="43"/>
        <v>0</v>
      </c>
      <c r="W220" s="52" t="str" cm="1">
        <f t="array" ref="W220">_xlfn.IFS(B220="","",AND(G220&gt;=0,L220&gt;0),"BuySome",AND(G220&gt;=0,K220="KMSignal"),"BuySome",AND(G220&lt;0,L220&gt;0),"BuyWatch",AND(Q220&lt;0,L220&gt;0),"BuyWatch",AND(G220&gt;=0,L220=0),"BuyWatch",L220&gt;0,"BuySome",TRUE,"")</f>
        <v/>
      </c>
      <c r="X220" s="47" t="str">
        <f>_xlfn.XLOOKUP(W220,Parm!$AN$2:$AN$25,Parm!$AO$2:$AO$25,"")</f>
        <v/>
      </c>
      <c r="Y220" s="52" t="str" cm="1">
        <f t="array" ref="Y220">_xlfn.IFS(B220="","",OR(Q220=-100,U220=-100),"SellAll",OR(Q220&lt;0,U220&lt;0),"SellSome",AND(Q220&gt;0,U220&gt;0),"BuySome",OR(Q220&gt;0,U220&gt;0),"BuyWatch",TRUE,"")</f>
        <v/>
      </c>
      <c r="Z220" s="47" t="str">
        <f>_xlfn.XLOOKUP(Y220,Parm!$AN$2:$AN$25,Parm!$AO$2:$AO$25,"")</f>
        <v/>
      </c>
      <c r="AA220" s="286">
        <f>IF(C220&lt;&gt;-100,A220,_xlfn.XLOOKUP(B220,ssH!L:L,ssH!M:M))</f>
        <v>46140</v>
      </c>
      <c r="AB220" s="49" t="str">
        <f t="shared" si="41"/>
        <v/>
      </c>
      <c r="AC220" s="52">
        <f>_xlfn.XLOOKUP(B220,TL!C:C,TL!C:C)</f>
        <v>0</v>
      </c>
      <c r="AD220" s="52">
        <f>_xlfn.XLOOKUP(B220,Y!C:C,Y!C:C)</f>
        <v>0</v>
      </c>
      <c r="AE220" s="52">
        <f>_xlfn.XLOOKUP(B220,MA!C:C,MA!C:C)</f>
        <v>0</v>
      </c>
    </row>
    <row r="221" spans="1:31" x14ac:dyDescent="0.25">
      <c r="A221" s="29">
        <f>ssH!$AG$1</f>
        <v>46140</v>
      </c>
      <c r="C221" s="47">
        <f t="shared" si="42"/>
        <v>0</v>
      </c>
      <c r="D221" s="42">
        <f>_xlfn.XLOOKUP(ssH!$AG$3&amp;B221,ssH!A:A,ssH!D:D,0)</f>
        <v>0</v>
      </c>
      <c r="E221" s="42">
        <f>_xlfn.XLOOKUP(ssH!$AG$5&amp;B221,ssH!A:A,ssH!D:D,0)</f>
        <v>0</v>
      </c>
      <c r="F221" s="42">
        <f>_xlfn.XLOOKUP(ssH!$AG$6&amp;B221,ssH!A:A,ssH!D:D,0)</f>
        <v>0</v>
      </c>
      <c r="G221" s="48">
        <f>_xlfn.XLOOKUP(A221&amp;B221,ssH!A:A,ssH!F:F,-100%)</f>
        <v>-1</v>
      </c>
      <c r="H221" s="46">
        <f>_xlfn.XLOOKUP(ssH!$AG$3&amp;B221,ssH!A:A,ssH!F:F,0)</f>
        <v>0</v>
      </c>
      <c r="I221" s="46">
        <f>_xlfn.XLOOKUP(ssH!$AG$5&amp;B221,ssH!A:A,ssH!F:F,0)</f>
        <v>0</v>
      </c>
      <c r="J221" s="46">
        <f>_xlfn.XLOOKUP(ssH!$AG$6&amp;B221,ssH!A:A,ssH!F:F,0)</f>
        <v>0</v>
      </c>
      <c r="K221" s="46">
        <f>_xlfn.XLOOKUP(B221,ssL!C:C,ssL!G:G,"Removed")</f>
        <v>0</v>
      </c>
      <c r="L221" s="27">
        <f>_xlfn.XLOOKUP(A221&amp;B221,ssH!A:A,ssH!D:D,0)</f>
        <v>0</v>
      </c>
      <c r="M221" s="42" t="str">
        <f>_xlfn.XLOOKUP(A221&amp;B221,ssH!A:A,ssH!I:I,"")</f>
        <v/>
      </c>
      <c r="N221" s="51" t="str">
        <f t="shared" si="33"/>
        <v/>
      </c>
      <c r="O221" s="51" t="str">
        <f t="shared" si="34"/>
        <v/>
      </c>
      <c r="P221" s="51" t="str">
        <f t="shared" si="35"/>
        <v/>
      </c>
      <c r="Q221" s="52">
        <f t="shared" si="36"/>
        <v>0</v>
      </c>
      <c r="R221" s="51">
        <f t="shared" si="37"/>
        <v>2</v>
      </c>
      <c r="S221" s="51">
        <f t="shared" si="38"/>
        <v>0</v>
      </c>
      <c r="T221" s="51">
        <f t="shared" si="39"/>
        <v>0</v>
      </c>
      <c r="U221" s="52">
        <f t="shared" si="40"/>
        <v>2</v>
      </c>
      <c r="V221" s="52">
        <f t="shared" si="43"/>
        <v>0</v>
      </c>
      <c r="W221" s="52" t="str" cm="1">
        <f t="array" ref="W221">_xlfn.IFS(B221="","",AND(G221&gt;=0,L221&gt;0),"BuySome",AND(G221&gt;=0,K221="KMSignal"),"BuySome",AND(G221&lt;0,L221&gt;0),"BuyWatch",AND(Q221&lt;0,L221&gt;0),"BuyWatch",AND(G221&gt;=0,L221=0),"BuyWatch",L221&gt;0,"BuySome",TRUE,"")</f>
        <v/>
      </c>
      <c r="X221" s="47" t="str">
        <f>_xlfn.XLOOKUP(W221,Parm!$AN$2:$AN$25,Parm!$AO$2:$AO$25,"")</f>
        <v/>
      </c>
      <c r="Y221" s="52" t="str" cm="1">
        <f t="array" ref="Y221">_xlfn.IFS(B221="","",OR(Q221=-100,U221=-100),"SellAll",OR(Q221&lt;0,U221&lt;0),"SellSome",AND(Q221&gt;0,U221&gt;0),"BuySome",OR(Q221&gt;0,U221&gt;0),"BuyWatch",TRUE,"")</f>
        <v/>
      </c>
      <c r="Z221" s="47" t="str">
        <f>_xlfn.XLOOKUP(Y221,Parm!$AN$2:$AN$25,Parm!$AO$2:$AO$25,"")</f>
        <v/>
      </c>
      <c r="AA221" s="286">
        <f>IF(C221&lt;&gt;-100,A221,_xlfn.XLOOKUP(B221,ssH!L:L,ssH!M:M))</f>
        <v>46140</v>
      </c>
      <c r="AB221" s="49" t="str">
        <f t="shared" si="41"/>
        <v/>
      </c>
      <c r="AC221" s="52">
        <f>_xlfn.XLOOKUP(B221,TL!C:C,TL!C:C)</f>
        <v>0</v>
      </c>
      <c r="AD221" s="52">
        <f>_xlfn.XLOOKUP(B221,Y!C:C,Y!C:C)</f>
        <v>0</v>
      </c>
      <c r="AE221" s="52">
        <f>_xlfn.XLOOKUP(B221,MA!C:C,MA!C:C)</f>
        <v>0</v>
      </c>
    </row>
    <row r="222" spans="1:31" x14ac:dyDescent="0.25">
      <c r="A222" s="29">
        <f>ssH!$AG$1</f>
        <v>46140</v>
      </c>
      <c r="C222" s="47">
        <f t="shared" si="42"/>
        <v>0</v>
      </c>
      <c r="D222" s="42">
        <f>_xlfn.XLOOKUP(ssH!$AG$3&amp;B222,ssH!A:A,ssH!D:D,0)</f>
        <v>0</v>
      </c>
      <c r="E222" s="42">
        <f>_xlfn.XLOOKUP(ssH!$AG$5&amp;B222,ssH!A:A,ssH!D:D,0)</f>
        <v>0</v>
      </c>
      <c r="F222" s="42">
        <f>_xlfn.XLOOKUP(ssH!$AG$6&amp;B222,ssH!A:A,ssH!D:D,0)</f>
        <v>0</v>
      </c>
      <c r="G222" s="48">
        <f>_xlfn.XLOOKUP(A222&amp;B222,ssH!A:A,ssH!F:F,-100%)</f>
        <v>-1</v>
      </c>
      <c r="H222" s="46">
        <f>_xlfn.XLOOKUP(ssH!$AG$3&amp;B222,ssH!A:A,ssH!F:F,0)</f>
        <v>0</v>
      </c>
      <c r="I222" s="46">
        <f>_xlfn.XLOOKUP(ssH!$AG$5&amp;B222,ssH!A:A,ssH!F:F,0)</f>
        <v>0</v>
      </c>
      <c r="J222" s="46">
        <f>_xlfn.XLOOKUP(ssH!$AG$6&amp;B222,ssH!A:A,ssH!F:F,0)</f>
        <v>0</v>
      </c>
      <c r="K222" s="46">
        <f>_xlfn.XLOOKUP(B222,ssL!C:C,ssL!G:G,"Removed")</f>
        <v>0</v>
      </c>
      <c r="L222" s="27">
        <f>_xlfn.XLOOKUP(A222&amp;B222,ssH!A:A,ssH!D:D,0)</f>
        <v>0</v>
      </c>
      <c r="M222" s="42" t="str">
        <f>_xlfn.XLOOKUP(A222&amp;B222,ssH!A:A,ssH!I:I,"")</f>
        <v/>
      </c>
      <c r="N222" s="51" t="str">
        <f t="shared" si="33"/>
        <v/>
      </c>
      <c r="O222" s="51" t="str">
        <f t="shared" si="34"/>
        <v/>
      </c>
      <c r="P222" s="51" t="str">
        <f t="shared" si="35"/>
        <v/>
      </c>
      <c r="Q222" s="52">
        <f t="shared" si="36"/>
        <v>0</v>
      </c>
      <c r="R222" s="51">
        <f t="shared" si="37"/>
        <v>2</v>
      </c>
      <c r="S222" s="51">
        <f t="shared" si="38"/>
        <v>0</v>
      </c>
      <c r="T222" s="51">
        <f t="shared" si="39"/>
        <v>0</v>
      </c>
      <c r="U222" s="52">
        <f t="shared" si="40"/>
        <v>2</v>
      </c>
      <c r="V222" s="52">
        <f t="shared" si="43"/>
        <v>0</v>
      </c>
      <c r="W222" s="52" t="str" cm="1">
        <f t="array" ref="W222">_xlfn.IFS(B222="","",AND(G222&gt;=0,L222&gt;0),"BuySome",AND(G222&gt;=0,K222="KMSignal"),"BuySome",AND(G222&lt;0,L222&gt;0),"BuyWatch",AND(Q222&lt;0,L222&gt;0),"BuyWatch",AND(G222&gt;=0,L222=0),"BuyWatch",L222&gt;0,"BuySome",TRUE,"")</f>
        <v/>
      </c>
      <c r="X222" s="47" t="str">
        <f>_xlfn.XLOOKUP(W222,Parm!$AN$2:$AN$25,Parm!$AO$2:$AO$25,"")</f>
        <v/>
      </c>
      <c r="Y222" s="52" t="str" cm="1">
        <f t="array" ref="Y222">_xlfn.IFS(B222="","",OR(Q222=-100,U222=-100),"SellAll",OR(Q222&lt;0,U222&lt;0),"SellSome",AND(Q222&gt;0,U222&gt;0),"BuySome",OR(Q222&gt;0,U222&gt;0),"BuyWatch",TRUE,"")</f>
        <v/>
      </c>
      <c r="Z222" s="47" t="str">
        <f>_xlfn.XLOOKUP(Y222,Parm!$AN$2:$AN$25,Parm!$AO$2:$AO$25,"")</f>
        <v/>
      </c>
      <c r="AA222" s="286">
        <f>IF(C222&lt;&gt;-100,A222,_xlfn.XLOOKUP(B222,ssH!L:L,ssH!M:M))</f>
        <v>46140</v>
      </c>
      <c r="AB222" s="49" t="str">
        <f t="shared" si="41"/>
        <v/>
      </c>
      <c r="AC222" s="52">
        <f>_xlfn.XLOOKUP(B222,TL!C:C,TL!C:C)</f>
        <v>0</v>
      </c>
      <c r="AD222" s="52">
        <f>_xlfn.XLOOKUP(B222,Y!C:C,Y!C:C)</f>
        <v>0</v>
      </c>
      <c r="AE222" s="52">
        <f>_xlfn.XLOOKUP(B222,MA!C:C,MA!C:C)</f>
        <v>0</v>
      </c>
    </row>
    <row r="223" spans="1:31" x14ac:dyDescent="0.25">
      <c r="A223" s="29">
        <f>ssH!$AG$1</f>
        <v>46140</v>
      </c>
      <c r="C223" s="47">
        <f t="shared" si="42"/>
        <v>0</v>
      </c>
      <c r="D223" s="42">
        <f>_xlfn.XLOOKUP(ssH!$AG$3&amp;B223,ssH!A:A,ssH!D:D,0)</f>
        <v>0</v>
      </c>
      <c r="E223" s="42">
        <f>_xlfn.XLOOKUP(ssH!$AG$5&amp;B223,ssH!A:A,ssH!D:D,0)</f>
        <v>0</v>
      </c>
      <c r="F223" s="42">
        <f>_xlfn.XLOOKUP(ssH!$AG$6&amp;B223,ssH!A:A,ssH!D:D,0)</f>
        <v>0</v>
      </c>
      <c r="G223" s="48">
        <f>_xlfn.XLOOKUP(A223&amp;B223,ssH!A:A,ssH!F:F,-100%)</f>
        <v>-1</v>
      </c>
      <c r="H223" s="46">
        <f>_xlfn.XLOOKUP(ssH!$AG$3&amp;B223,ssH!A:A,ssH!F:F,0)</f>
        <v>0</v>
      </c>
      <c r="I223" s="46">
        <f>_xlfn.XLOOKUP(ssH!$AG$5&amp;B223,ssH!A:A,ssH!F:F,0)</f>
        <v>0</v>
      </c>
      <c r="J223" s="46">
        <f>_xlfn.XLOOKUP(ssH!$AG$6&amp;B223,ssH!A:A,ssH!F:F,0)</f>
        <v>0</v>
      </c>
      <c r="K223" s="46">
        <f>_xlfn.XLOOKUP(B223,ssL!C:C,ssL!G:G,"Removed")</f>
        <v>0</v>
      </c>
      <c r="L223" s="27">
        <f>_xlfn.XLOOKUP(A223&amp;B223,ssH!A:A,ssH!D:D,0)</f>
        <v>0</v>
      </c>
      <c r="M223" s="42" t="str">
        <f>_xlfn.XLOOKUP(A223&amp;B223,ssH!A:A,ssH!I:I,"")</f>
        <v/>
      </c>
      <c r="N223" s="51" t="str">
        <f t="shared" si="33"/>
        <v/>
      </c>
      <c r="O223" s="51" t="str">
        <f t="shared" si="34"/>
        <v/>
      </c>
      <c r="P223" s="51" t="str">
        <f t="shared" si="35"/>
        <v/>
      </c>
      <c r="Q223" s="52">
        <f t="shared" si="36"/>
        <v>0</v>
      </c>
      <c r="R223" s="51">
        <f t="shared" si="37"/>
        <v>2</v>
      </c>
      <c r="S223" s="51">
        <f t="shared" si="38"/>
        <v>0</v>
      </c>
      <c r="T223" s="51">
        <f t="shared" si="39"/>
        <v>0</v>
      </c>
      <c r="U223" s="52">
        <f t="shared" si="40"/>
        <v>2</v>
      </c>
      <c r="V223" s="52">
        <f t="shared" si="43"/>
        <v>0</v>
      </c>
      <c r="W223" s="52" t="str" cm="1">
        <f t="array" ref="W223">_xlfn.IFS(B223="","",AND(G223&gt;=0,L223&gt;0),"BuySome",AND(G223&gt;=0,K223="KMSignal"),"BuySome",AND(G223&lt;0,L223&gt;0),"BuyWatch",AND(Q223&lt;0,L223&gt;0),"BuyWatch",AND(G223&gt;=0,L223=0),"BuyWatch",L223&gt;0,"BuySome",TRUE,"")</f>
        <v/>
      </c>
      <c r="X223" s="47" t="str">
        <f>_xlfn.XLOOKUP(W223,Parm!$AN$2:$AN$25,Parm!$AO$2:$AO$25,"")</f>
        <v/>
      </c>
      <c r="Y223" s="52" t="str" cm="1">
        <f t="array" ref="Y223">_xlfn.IFS(B223="","",OR(Q223=-100,U223=-100),"SellAll",OR(Q223&lt;0,U223&lt;0),"SellSome",AND(Q223&gt;0,U223&gt;0),"BuySome",OR(Q223&gt;0,U223&gt;0),"BuyWatch",TRUE,"")</f>
        <v/>
      </c>
      <c r="Z223" s="47" t="str">
        <f>_xlfn.XLOOKUP(Y223,Parm!$AN$2:$AN$25,Parm!$AO$2:$AO$25,"")</f>
        <v/>
      </c>
      <c r="AA223" s="286">
        <f>IF(C223&lt;&gt;-100,A223,_xlfn.XLOOKUP(B223,ssH!L:L,ssH!M:M))</f>
        <v>46140</v>
      </c>
      <c r="AB223" s="49" t="str">
        <f t="shared" si="41"/>
        <v/>
      </c>
      <c r="AC223" s="52">
        <f>_xlfn.XLOOKUP(B223,TL!C:C,TL!C:C)</f>
        <v>0</v>
      </c>
      <c r="AD223" s="52">
        <f>_xlfn.XLOOKUP(B223,Y!C:C,Y!C:C)</f>
        <v>0</v>
      </c>
      <c r="AE223" s="52">
        <f>_xlfn.XLOOKUP(B223,MA!C:C,MA!C:C)</f>
        <v>0</v>
      </c>
    </row>
    <row r="224" spans="1:31" x14ac:dyDescent="0.25">
      <c r="A224" s="29">
        <f>ssH!$AG$1</f>
        <v>46140</v>
      </c>
      <c r="C224" s="47">
        <f t="shared" si="42"/>
        <v>0</v>
      </c>
      <c r="D224" s="42">
        <f>_xlfn.XLOOKUP(ssH!$AG$3&amp;B224,ssH!A:A,ssH!D:D,0)</f>
        <v>0</v>
      </c>
      <c r="E224" s="42">
        <f>_xlfn.XLOOKUP(ssH!$AG$5&amp;B224,ssH!A:A,ssH!D:D,0)</f>
        <v>0</v>
      </c>
      <c r="F224" s="42">
        <f>_xlfn.XLOOKUP(ssH!$AG$6&amp;B224,ssH!A:A,ssH!D:D,0)</f>
        <v>0</v>
      </c>
      <c r="G224" s="48">
        <f>_xlfn.XLOOKUP(A224&amp;B224,ssH!A:A,ssH!F:F,-100%)</f>
        <v>-1</v>
      </c>
      <c r="H224" s="46">
        <f>_xlfn.XLOOKUP(ssH!$AG$3&amp;B224,ssH!A:A,ssH!F:F,0)</f>
        <v>0</v>
      </c>
      <c r="I224" s="46">
        <f>_xlfn.XLOOKUP(ssH!$AG$5&amp;B224,ssH!A:A,ssH!F:F,0)</f>
        <v>0</v>
      </c>
      <c r="J224" s="46">
        <f>_xlfn.XLOOKUP(ssH!$AG$6&amp;B224,ssH!A:A,ssH!F:F,0)</f>
        <v>0</v>
      </c>
      <c r="K224" s="46">
        <f>_xlfn.XLOOKUP(B224,ssL!C:C,ssL!G:G,"Removed")</f>
        <v>0</v>
      </c>
      <c r="L224" s="27">
        <f>_xlfn.XLOOKUP(A224&amp;B224,ssH!A:A,ssH!D:D,0)</f>
        <v>0</v>
      </c>
      <c r="M224" s="42" t="str">
        <f>_xlfn.XLOOKUP(A224&amp;B224,ssH!A:A,ssH!I:I,"")</f>
        <v/>
      </c>
      <c r="N224" s="51" t="str">
        <f t="shared" si="33"/>
        <v/>
      </c>
      <c r="O224" s="51" t="str">
        <f t="shared" si="34"/>
        <v/>
      </c>
      <c r="P224" s="51" t="str">
        <f t="shared" si="35"/>
        <v/>
      </c>
      <c r="Q224" s="52">
        <f t="shared" si="36"/>
        <v>0</v>
      </c>
      <c r="R224" s="51">
        <f t="shared" si="37"/>
        <v>2</v>
      </c>
      <c r="S224" s="51">
        <f t="shared" si="38"/>
        <v>0</v>
      </c>
      <c r="T224" s="51">
        <f t="shared" si="39"/>
        <v>0</v>
      </c>
      <c r="U224" s="52">
        <f t="shared" si="40"/>
        <v>2</v>
      </c>
      <c r="V224" s="52">
        <f t="shared" si="43"/>
        <v>0</v>
      </c>
      <c r="W224" s="52" t="str" cm="1">
        <f t="array" ref="W224">_xlfn.IFS(B224="","",AND(G224&gt;=0,L224&gt;0),"BuySome",AND(G224&gt;=0,K224="KMSignal"),"BuySome",AND(G224&lt;0,L224&gt;0),"BuyWatch",AND(Q224&lt;0,L224&gt;0),"BuyWatch",AND(G224&gt;=0,L224=0),"BuyWatch",L224&gt;0,"BuySome",TRUE,"")</f>
        <v/>
      </c>
      <c r="X224" s="47" t="str">
        <f>_xlfn.XLOOKUP(W224,Parm!$AN$2:$AN$25,Parm!$AO$2:$AO$25,"")</f>
        <v/>
      </c>
      <c r="Y224" s="52" t="str" cm="1">
        <f t="array" ref="Y224">_xlfn.IFS(B224="","",OR(Q224=-100,U224=-100),"SellAll",OR(Q224&lt;0,U224&lt;0),"SellSome",AND(Q224&gt;0,U224&gt;0),"BuySome",OR(Q224&gt;0,U224&gt;0),"BuyWatch",TRUE,"")</f>
        <v/>
      </c>
      <c r="Z224" s="47" t="str">
        <f>_xlfn.XLOOKUP(Y224,Parm!$AN$2:$AN$25,Parm!$AO$2:$AO$25,"")</f>
        <v/>
      </c>
      <c r="AA224" s="286">
        <f>IF(C224&lt;&gt;-100,A224,_xlfn.XLOOKUP(B224,ssH!L:L,ssH!M:M))</f>
        <v>46140</v>
      </c>
      <c r="AB224" s="49" t="str">
        <f t="shared" si="41"/>
        <v/>
      </c>
      <c r="AC224" s="52">
        <f>_xlfn.XLOOKUP(B224,TL!C:C,TL!C:C)</f>
        <v>0</v>
      </c>
      <c r="AD224" s="52">
        <f>_xlfn.XLOOKUP(B224,Y!C:C,Y!C:C)</f>
        <v>0</v>
      </c>
      <c r="AE224" s="52">
        <f>_xlfn.XLOOKUP(B224,MA!C:C,MA!C:C)</f>
        <v>0</v>
      </c>
    </row>
    <row r="225" spans="1:31" x14ac:dyDescent="0.25">
      <c r="A225" s="29">
        <f>ssH!$AG$1</f>
        <v>46140</v>
      </c>
      <c r="C225" s="47">
        <f t="shared" si="42"/>
        <v>0</v>
      </c>
      <c r="D225" s="42">
        <f>_xlfn.XLOOKUP(ssH!$AG$3&amp;B225,ssH!A:A,ssH!D:D,0)</f>
        <v>0</v>
      </c>
      <c r="E225" s="42">
        <f>_xlfn.XLOOKUP(ssH!$AG$5&amp;B225,ssH!A:A,ssH!D:D,0)</f>
        <v>0</v>
      </c>
      <c r="F225" s="42">
        <f>_xlfn.XLOOKUP(ssH!$AG$6&amp;B225,ssH!A:A,ssH!D:D,0)</f>
        <v>0</v>
      </c>
      <c r="G225" s="48">
        <f>_xlfn.XLOOKUP(A225&amp;B225,ssH!A:A,ssH!F:F,-100%)</f>
        <v>-1</v>
      </c>
      <c r="H225" s="46">
        <f>_xlfn.XLOOKUP(ssH!$AG$3&amp;B225,ssH!A:A,ssH!F:F,0)</f>
        <v>0</v>
      </c>
      <c r="I225" s="46">
        <f>_xlfn.XLOOKUP(ssH!$AG$5&amp;B225,ssH!A:A,ssH!F:F,0)</f>
        <v>0</v>
      </c>
      <c r="J225" s="46">
        <f>_xlfn.XLOOKUP(ssH!$AG$6&amp;B225,ssH!A:A,ssH!F:F,0)</f>
        <v>0</v>
      </c>
      <c r="K225" s="46">
        <f>_xlfn.XLOOKUP(B225,ssL!C:C,ssL!G:G,"Removed")</f>
        <v>0</v>
      </c>
      <c r="L225" s="27">
        <f>_xlfn.XLOOKUP(A225&amp;B225,ssH!A:A,ssH!D:D,0)</f>
        <v>0</v>
      </c>
      <c r="M225" s="42" t="str">
        <f>_xlfn.XLOOKUP(A225&amp;B225,ssH!A:A,ssH!I:I,"")</f>
        <v/>
      </c>
      <c r="N225" s="51" t="str">
        <f t="shared" si="33"/>
        <v/>
      </c>
      <c r="O225" s="51" t="str">
        <f t="shared" si="34"/>
        <v/>
      </c>
      <c r="P225" s="51" t="str">
        <f t="shared" si="35"/>
        <v/>
      </c>
      <c r="Q225" s="52">
        <f t="shared" si="36"/>
        <v>0</v>
      </c>
      <c r="R225" s="51">
        <f t="shared" si="37"/>
        <v>2</v>
      </c>
      <c r="S225" s="51">
        <f t="shared" si="38"/>
        <v>0</v>
      </c>
      <c r="T225" s="51">
        <f t="shared" si="39"/>
        <v>0</v>
      </c>
      <c r="U225" s="52">
        <f t="shared" si="40"/>
        <v>2</v>
      </c>
      <c r="V225" s="52">
        <f t="shared" si="43"/>
        <v>0</v>
      </c>
      <c r="W225" s="52" t="str" cm="1">
        <f t="array" ref="W225">_xlfn.IFS(B225="","",AND(G225&gt;=0,L225&gt;0),"BuySome",AND(G225&gt;=0,K225="KMSignal"),"BuySome",AND(G225&lt;0,L225&gt;0),"BuyWatch",AND(Q225&lt;0,L225&gt;0),"BuyWatch",AND(G225&gt;=0,L225=0),"BuyWatch",L225&gt;0,"BuySome",TRUE,"")</f>
        <v/>
      </c>
      <c r="X225" s="47" t="str">
        <f>_xlfn.XLOOKUP(W225,Parm!$AN$2:$AN$25,Parm!$AO$2:$AO$25,"")</f>
        <v/>
      </c>
      <c r="Y225" s="52" t="str" cm="1">
        <f t="array" ref="Y225">_xlfn.IFS(B225="","",OR(Q225=-100,U225=-100),"SellAll",OR(Q225&lt;0,U225&lt;0),"SellSome",AND(Q225&gt;0,U225&gt;0),"BuySome",OR(Q225&gt;0,U225&gt;0),"BuyWatch",TRUE,"")</f>
        <v/>
      </c>
      <c r="Z225" s="47" t="str">
        <f>_xlfn.XLOOKUP(Y225,Parm!$AN$2:$AN$25,Parm!$AO$2:$AO$25,"")</f>
        <v/>
      </c>
      <c r="AA225" s="286">
        <f>IF(C225&lt;&gt;-100,A225,_xlfn.XLOOKUP(B225,ssH!L:L,ssH!M:M))</f>
        <v>46140</v>
      </c>
      <c r="AB225" s="49" t="str">
        <f t="shared" si="41"/>
        <v/>
      </c>
      <c r="AC225" s="52">
        <f>_xlfn.XLOOKUP(B225,TL!C:C,TL!C:C)</f>
        <v>0</v>
      </c>
      <c r="AD225" s="52">
        <f>_xlfn.XLOOKUP(B225,Y!C:C,Y!C:C)</f>
        <v>0</v>
      </c>
      <c r="AE225" s="52">
        <f>_xlfn.XLOOKUP(B225,MA!C:C,MA!C:C)</f>
        <v>0</v>
      </c>
    </row>
    <row r="226" spans="1:31" x14ac:dyDescent="0.25">
      <c r="A226" s="29">
        <f>ssH!$AG$1</f>
        <v>46140</v>
      </c>
      <c r="C226" s="47">
        <f t="shared" si="42"/>
        <v>0</v>
      </c>
      <c r="D226" s="42">
        <f>_xlfn.XLOOKUP(ssH!$AG$3&amp;B226,ssH!A:A,ssH!D:D,0)</f>
        <v>0</v>
      </c>
      <c r="E226" s="42">
        <f>_xlfn.XLOOKUP(ssH!$AG$5&amp;B226,ssH!A:A,ssH!D:D,0)</f>
        <v>0</v>
      </c>
      <c r="F226" s="42">
        <f>_xlfn.XLOOKUP(ssH!$AG$6&amp;B226,ssH!A:A,ssH!D:D,0)</f>
        <v>0</v>
      </c>
      <c r="G226" s="48">
        <f>_xlfn.XLOOKUP(A226&amp;B226,ssH!A:A,ssH!F:F,-100%)</f>
        <v>-1</v>
      </c>
      <c r="H226" s="46">
        <f>_xlfn.XLOOKUP(ssH!$AG$3&amp;B226,ssH!A:A,ssH!F:F,0)</f>
        <v>0</v>
      </c>
      <c r="I226" s="46">
        <f>_xlfn.XLOOKUP(ssH!$AG$5&amp;B226,ssH!A:A,ssH!F:F,0)</f>
        <v>0</v>
      </c>
      <c r="J226" s="46">
        <f>_xlfn.XLOOKUP(ssH!$AG$6&amp;B226,ssH!A:A,ssH!F:F,0)</f>
        <v>0</v>
      </c>
      <c r="K226" s="46">
        <f>_xlfn.XLOOKUP(B226,ssL!C:C,ssL!G:G,"Removed")</f>
        <v>0</v>
      </c>
      <c r="L226" s="27">
        <f>_xlfn.XLOOKUP(A226&amp;B226,ssH!A:A,ssH!D:D,0)</f>
        <v>0</v>
      </c>
      <c r="M226" s="42" t="str">
        <f>_xlfn.XLOOKUP(A226&amp;B226,ssH!A:A,ssH!I:I,"")</f>
        <v/>
      </c>
      <c r="N226" s="51" t="str">
        <f t="shared" si="33"/>
        <v/>
      </c>
      <c r="O226" s="51" t="str">
        <f t="shared" si="34"/>
        <v/>
      </c>
      <c r="P226" s="51" t="str">
        <f t="shared" si="35"/>
        <v/>
      </c>
      <c r="Q226" s="52">
        <f t="shared" si="36"/>
        <v>0</v>
      </c>
      <c r="R226" s="51">
        <f t="shared" si="37"/>
        <v>2</v>
      </c>
      <c r="S226" s="51">
        <f t="shared" si="38"/>
        <v>0</v>
      </c>
      <c r="T226" s="51">
        <f t="shared" si="39"/>
        <v>0</v>
      </c>
      <c r="U226" s="52">
        <f t="shared" si="40"/>
        <v>2</v>
      </c>
      <c r="V226" s="52">
        <f t="shared" si="43"/>
        <v>0</v>
      </c>
      <c r="W226" s="52" t="str" cm="1">
        <f t="array" ref="W226">_xlfn.IFS(B226="","",AND(G226&gt;=0,L226&gt;0),"BuySome",AND(G226&gt;=0,K226="KMSignal"),"BuySome",AND(G226&lt;0,L226&gt;0),"BuyWatch",AND(Q226&lt;0,L226&gt;0),"BuyWatch",AND(G226&gt;=0,L226=0),"BuyWatch",L226&gt;0,"BuySome",TRUE,"")</f>
        <v/>
      </c>
      <c r="X226" s="47" t="str">
        <f>_xlfn.XLOOKUP(W226,Parm!$AN$2:$AN$25,Parm!$AO$2:$AO$25,"")</f>
        <v/>
      </c>
      <c r="Y226" s="52" t="str" cm="1">
        <f t="array" ref="Y226">_xlfn.IFS(B226="","",OR(Q226=-100,U226=-100),"SellAll",OR(Q226&lt;0,U226&lt;0),"SellSome",AND(Q226&gt;0,U226&gt;0),"BuySome",OR(Q226&gt;0,U226&gt;0),"BuyWatch",TRUE,"")</f>
        <v/>
      </c>
      <c r="Z226" s="47" t="str">
        <f>_xlfn.XLOOKUP(Y226,Parm!$AN$2:$AN$25,Parm!$AO$2:$AO$25,"")</f>
        <v/>
      </c>
      <c r="AA226" s="286">
        <f>IF(C226&lt;&gt;-100,A226,_xlfn.XLOOKUP(B226,ssH!L:L,ssH!M:M))</f>
        <v>46140</v>
      </c>
      <c r="AB226" s="49" t="str">
        <f t="shared" si="41"/>
        <v/>
      </c>
      <c r="AC226" s="52">
        <f>_xlfn.XLOOKUP(B226,TL!C:C,TL!C:C)</f>
        <v>0</v>
      </c>
      <c r="AD226" s="52">
        <f>_xlfn.XLOOKUP(B226,Y!C:C,Y!C:C)</f>
        <v>0</v>
      </c>
      <c r="AE226" s="52">
        <f>_xlfn.XLOOKUP(B226,MA!C:C,MA!C:C)</f>
        <v>0</v>
      </c>
    </row>
    <row r="227" spans="1:31" x14ac:dyDescent="0.25">
      <c r="A227" s="29">
        <f>ssH!$AG$1</f>
        <v>46140</v>
      </c>
      <c r="C227" s="47">
        <f t="shared" si="42"/>
        <v>0</v>
      </c>
      <c r="D227" s="42">
        <f>_xlfn.XLOOKUP(ssH!$AG$3&amp;B227,ssH!A:A,ssH!D:D,0)</f>
        <v>0</v>
      </c>
      <c r="E227" s="42">
        <f>_xlfn.XLOOKUP(ssH!$AG$5&amp;B227,ssH!A:A,ssH!D:D,0)</f>
        <v>0</v>
      </c>
      <c r="F227" s="42">
        <f>_xlfn.XLOOKUP(ssH!$AG$6&amp;B227,ssH!A:A,ssH!D:D,0)</f>
        <v>0</v>
      </c>
      <c r="G227" s="48">
        <f>_xlfn.XLOOKUP(A227&amp;B227,ssH!A:A,ssH!F:F,-100%)</f>
        <v>-1</v>
      </c>
      <c r="H227" s="46">
        <f>_xlfn.XLOOKUP(ssH!$AG$3&amp;B227,ssH!A:A,ssH!F:F,0)</f>
        <v>0</v>
      </c>
      <c r="I227" s="46">
        <f>_xlfn.XLOOKUP(ssH!$AG$5&amp;B227,ssH!A:A,ssH!F:F,0)</f>
        <v>0</v>
      </c>
      <c r="J227" s="46">
        <f>_xlfn.XLOOKUP(ssH!$AG$6&amp;B227,ssH!A:A,ssH!F:F,0)</f>
        <v>0</v>
      </c>
      <c r="K227" s="46">
        <f>_xlfn.XLOOKUP(B227,ssL!C:C,ssL!G:G,"Removed")</f>
        <v>0</v>
      </c>
      <c r="L227" s="27">
        <f>_xlfn.XLOOKUP(A227&amp;B227,ssH!A:A,ssH!D:D,0)</f>
        <v>0</v>
      </c>
      <c r="M227" s="42" t="str">
        <f>_xlfn.XLOOKUP(A227&amp;B227,ssH!A:A,ssH!I:I,"")</f>
        <v/>
      </c>
      <c r="N227" s="51" t="str">
        <f t="shared" si="33"/>
        <v/>
      </c>
      <c r="O227" s="51" t="str">
        <f t="shared" si="34"/>
        <v/>
      </c>
      <c r="P227" s="51" t="str">
        <f t="shared" si="35"/>
        <v/>
      </c>
      <c r="Q227" s="52">
        <f t="shared" si="36"/>
        <v>0</v>
      </c>
      <c r="R227" s="51">
        <f t="shared" si="37"/>
        <v>2</v>
      </c>
      <c r="S227" s="51">
        <f t="shared" si="38"/>
        <v>0</v>
      </c>
      <c r="T227" s="51">
        <f t="shared" si="39"/>
        <v>0</v>
      </c>
      <c r="U227" s="52">
        <f t="shared" si="40"/>
        <v>2</v>
      </c>
      <c r="V227" s="52">
        <f t="shared" si="43"/>
        <v>0</v>
      </c>
      <c r="W227" s="52" t="str" cm="1">
        <f t="array" ref="W227">_xlfn.IFS(B227="","",AND(G227&gt;=0,L227&gt;0),"BuySome",AND(G227&gt;=0,K227="KMSignal"),"BuySome",AND(G227&lt;0,L227&gt;0),"BuyWatch",AND(Q227&lt;0,L227&gt;0),"BuyWatch",AND(G227&gt;=0,L227=0),"BuyWatch",L227&gt;0,"BuySome",TRUE,"")</f>
        <v/>
      </c>
      <c r="X227" s="47" t="str">
        <f>_xlfn.XLOOKUP(W227,Parm!$AN$2:$AN$25,Parm!$AO$2:$AO$25,"")</f>
        <v/>
      </c>
      <c r="Y227" s="52" t="str" cm="1">
        <f t="array" ref="Y227">_xlfn.IFS(B227="","",OR(Q227=-100,U227=-100),"SellAll",OR(Q227&lt;0,U227&lt;0),"SellSome",AND(Q227&gt;0,U227&gt;0),"BuySome",OR(Q227&gt;0,U227&gt;0),"BuyWatch",TRUE,"")</f>
        <v/>
      </c>
      <c r="Z227" s="47" t="str">
        <f>_xlfn.XLOOKUP(Y227,Parm!$AN$2:$AN$25,Parm!$AO$2:$AO$25,"")</f>
        <v/>
      </c>
      <c r="AA227" s="286">
        <f>IF(C227&lt;&gt;-100,A227,_xlfn.XLOOKUP(B227,ssH!L:L,ssH!M:M))</f>
        <v>46140</v>
      </c>
      <c r="AB227" s="49" t="str">
        <f t="shared" si="41"/>
        <v/>
      </c>
      <c r="AC227" s="52">
        <f>_xlfn.XLOOKUP(B227,TL!C:C,TL!C:C)</f>
        <v>0</v>
      </c>
      <c r="AD227" s="52">
        <f>_xlfn.XLOOKUP(B227,Y!C:C,Y!C:C)</f>
        <v>0</v>
      </c>
      <c r="AE227" s="52">
        <f>_xlfn.XLOOKUP(B227,MA!C:C,MA!C:C)</f>
        <v>0</v>
      </c>
    </row>
    <row r="228" spans="1:31" x14ac:dyDescent="0.25">
      <c r="A228" s="29">
        <f>ssH!$AG$1</f>
        <v>46140</v>
      </c>
      <c r="C228" s="47">
        <f t="shared" si="42"/>
        <v>0</v>
      </c>
      <c r="D228" s="42">
        <f>_xlfn.XLOOKUP(ssH!$AG$3&amp;B228,ssH!A:A,ssH!D:D,0)</f>
        <v>0</v>
      </c>
      <c r="E228" s="42">
        <f>_xlfn.XLOOKUP(ssH!$AG$5&amp;B228,ssH!A:A,ssH!D:D,0)</f>
        <v>0</v>
      </c>
      <c r="F228" s="42">
        <f>_xlfn.XLOOKUP(ssH!$AG$6&amp;B228,ssH!A:A,ssH!D:D,0)</f>
        <v>0</v>
      </c>
      <c r="G228" s="48">
        <f>_xlfn.XLOOKUP(A228&amp;B228,ssH!A:A,ssH!F:F,-100%)</f>
        <v>-1</v>
      </c>
      <c r="H228" s="46">
        <f>_xlfn.XLOOKUP(ssH!$AG$3&amp;B228,ssH!A:A,ssH!F:F,0)</f>
        <v>0</v>
      </c>
      <c r="I228" s="46">
        <f>_xlfn.XLOOKUP(ssH!$AG$5&amp;B228,ssH!A:A,ssH!F:F,0)</f>
        <v>0</v>
      </c>
      <c r="J228" s="46">
        <f>_xlfn.XLOOKUP(ssH!$AG$6&amp;B228,ssH!A:A,ssH!F:F,0)</f>
        <v>0</v>
      </c>
      <c r="K228" s="46">
        <f>_xlfn.XLOOKUP(B228,ssL!C:C,ssL!G:G,"Removed")</f>
        <v>0</v>
      </c>
      <c r="L228" s="27">
        <f>_xlfn.XLOOKUP(A228&amp;B228,ssH!A:A,ssH!D:D,0)</f>
        <v>0</v>
      </c>
      <c r="M228" s="42" t="str">
        <f>_xlfn.XLOOKUP(A228&amp;B228,ssH!A:A,ssH!I:I,"")</f>
        <v/>
      </c>
      <c r="N228" s="51" t="str">
        <f t="shared" si="33"/>
        <v/>
      </c>
      <c r="O228" s="51" t="str">
        <f t="shared" si="34"/>
        <v/>
      </c>
      <c r="P228" s="51" t="str">
        <f t="shared" si="35"/>
        <v/>
      </c>
      <c r="Q228" s="52">
        <f t="shared" si="36"/>
        <v>0</v>
      </c>
      <c r="R228" s="51">
        <f t="shared" si="37"/>
        <v>2</v>
      </c>
      <c r="S228" s="51">
        <f t="shared" si="38"/>
        <v>0</v>
      </c>
      <c r="T228" s="51">
        <f t="shared" si="39"/>
        <v>0</v>
      </c>
      <c r="U228" s="52">
        <f t="shared" si="40"/>
        <v>2</v>
      </c>
      <c r="V228" s="52">
        <f t="shared" si="43"/>
        <v>0</v>
      </c>
      <c r="W228" s="52" t="str" cm="1">
        <f t="array" ref="W228">_xlfn.IFS(B228="","",AND(G228&gt;=0,L228&gt;0),"BuySome",AND(G228&gt;=0,K228="KMSignal"),"BuySome",AND(G228&lt;0,L228&gt;0),"BuyWatch",AND(Q228&lt;0,L228&gt;0),"BuyWatch",AND(G228&gt;=0,L228=0),"BuyWatch",L228&gt;0,"BuySome",TRUE,"")</f>
        <v/>
      </c>
      <c r="X228" s="47" t="str">
        <f>_xlfn.XLOOKUP(W228,Parm!$AN$2:$AN$25,Parm!$AO$2:$AO$25,"")</f>
        <v/>
      </c>
      <c r="Y228" s="52" t="str" cm="1">
        <f t="array" ref="Y228">_xlfn.IFS(B228="","",OR(Q228=-100,U228=-100),"SellAll",OR(Q228&lt;0,U228&lt;0),"SellSome",AND(Q228&gt;0,U228&gt;0),"BuySome",OR(Q228&gt;0,U228&gt;0),"BuyWatch",TRUE,"")</f>
        <v/>
      </c>
      <c r="Z228" s="47" t="str">
        <f>_xlfn.XLOOKUP(Y228,Parm!$AN$2:$AN$25,Parm!$AO$2:$AO$25,"")</f>
        <v/>
      </c>
      <c r="AA228" s="286">
        <f>IF(C228&lt;&gt;-100,A228,_xlfn.XLOOKUP(B228,ssH!L:L,ssH!M:M))</f>
        <v>46140</v>
      </c>
      <c r="AB228" s="49" t="str">
        <f t="shared" si="41"/>
        <v/>
      </c>
      <c r="AC228" s="52">
        <f>_xlfn.XLOOKUP(B228,TL!C:C,TL!C:C)</f>
        <v>0</v>
      </c>
      <c r="AD228" s="52">
        <f>_xlfn.XLOOKUP(B228,Y!C:C,Y!C:C)</f>
        <v>0</v>
      </c>
      <c r="AE228" s="52">
        <f>_xlfn.XLOOKUP(B228,MA!C:C,MA!C:C)</f>
        <v>0</v>
      </c>
    </row>
    <row r="229" spans="1:31" x14ac:dyDescent="0.25">
      <c r="A229" s="29">
        <f>ssH!$AG$1</f>
        <v>46140</v>
      </c>
      <c r="C229" s="47">
        <f t="shared" si="42"/>
        <v>0</v>
      </c>
      <c r="D229" s="42">
        <f>_xlfn.XLOOKUP(ssH!$AG$3&amp;B229,ssH!A:A,ssH!D:D,0)</f>
        <v>0</v>
      </c>
      <c r="E229" s="42">
        <f>_xlfn.XLOOKUP(ssH!$AG$5&amp;B229,ssH!A:A,ssH!D:D,0)</f>
        <v>0</v>
      </c>
      <c r="F229" s="42">
        <f>_xlfn.XLOOKUP(ssH!$AG$6&amp;B229,ssH!A:A,ssH!D:D,0)</f>
        <v>0</v>
      </c>
      <c r="G229" s="48">
        <f>_xlfn.XLOOKUP(A229&amp;B229,ssH!A:A,ssH!F:F,-100%)</f>
        <v>-1</v>
      </c>
      <c r="H229" s="46">
        <f>_xlfn.XLOOKUP(ssH!$AG$3&amp;B229,ssH!A:A,ssH!F:F,0)</f>
        <v>0</v>
      </c>
      <c r="I229" s="46">
        <f>_xlfn.XLOOKUP(ssH!$AG$5&amp;B229,ssH!A:A,ssH!F:F,0)</f>
        <v>0</v>
      </c>
      <c r="J229" s="46">
        <f>_xlfn.XLOOKUP(ssH!$AG$6&amp;B229,ssH!A:A,ssH!F:F,0)</f>
        <v>0</v>
      </c>
      <c r="K229" s="46">
        <f>_xlfn.XLOOKUP(B229,ssL!C:C,ssL!G:G,"Removed")</f>
        <v>0</v>
      </c>
      <c r="L229" s="27">
        <f>_xlfn.XLOOKUP(A229&amp;B229,ssH!A:A,ssH!D:D,0)</f>
        <v>0</v>
      </c>
      <c r="M229" s="42" t="str">
        <f>_xlfn.XLOOKUP(A229&amp;B229,ssH!A:A,ssH!I:I,"")</f>
        <v/>
      </c>
      <c r="N229" s="51" t="str">
        <f t="shared" si="33"/>
        <v/>
      </c>
      <c r="O229" s="51" t="str">
        <f t="shared" si="34"/>
        <v/>
      </c>
      <c r="P229" s="51" t="str">
        <f t="shared" si="35"/>
        <v/>
      </c>
      <c r="Q229" s="52">
        <f t="shared" si="36"/>
        <v>0</v>
      </c>
      <c r="R229" s="51">
        <f t="shared" si="37"/>
        <v>2</v>
      </c>
      <c r="S229" s="51">
        <f t="shared" si="38"/>
        <v>0</v>
      </c>
      <c r="T229" s="51">
        <f t="shared" si="39"/>
        <v>0</v>
      </c>
      <c r="U229" s="52">
        <f t="shared" si="40"/>
        <v>2</v>
      </c>
      <c r="V229" s="52">
        <f t="shared" si="43"/>
        <v>0</v>
      </c>
      <c r="W229" s="52" t="str" cm="1">
        <f t="array" ref="W229">_xlfn.IFS(B229="","",AND(G229&gt;=0,L229&gt;0),"BuySome",AND(G229&gt;=0,K229="KMSignal"),"BuySome",AND(G229&lt;0,L229&gt;0),"BuyWatch",AND(Q229&lt;0,L229&gt;0),"BuyWatch",AND(G229&gt;=0,L229=0),"BuyWatch",L229&gt;0,"BuySome",TRUE,"")</f>
        <v/>
      </c>
      <c r="X229" s="47" t="str">
        <f>_xlfn.XLOOKUP(W229,Parm!$AN$2:$AN$25,Parm!$AO$2:$AO$25,"")</f>
        <v/>
      </c>
      <c r="Y229" s="52" t="str" cm="1">
        <f t="array" ref="Y229">_xlfn.IFS(B229="","",OR(Q229=-100,U229=-100),"SellAll",OR(Q229&lt;0,U229&lt;0),"SellSome",AND(Q229&gt;0,U229&gt;0),"BuySome",OR(Q229&gt;0,U229&gt;0),"BuyWatch",TRUE,"")</f>
        <v/>
      </c>
      <c r="Z229" s="47" t="str">
        <f>_xlfn.XLOOKUP(Y229,Parm!$AN$2:$AN$25,Parm!$AO$2:$AO$25,"")</f>
        <v/>
      </c>
      <c r="AA229" s="286">
        <f>IF(C229&lt;&gt;-100,A229,_xlfn.XLOOKUP(B229,ssH!L:L,ssH!M:M))</f>
        <v>46140</v>
      </c>
      <c r="AB229" s="49" t="str">
        <f t="shared" si="41"/>
        <v/>
      </c>
      <c r="AC229" s="52">
        <f>_xlfn.XLOOKUP(B229,TL!C:C,TL!C:C)</f>
        <v>0</v>
      </c>
      <c r="AD229" s="52">
        <f>_xlfn.XLOOKUP(B229,Y!C:C,Y!C:C)</f>
        <v>0</v>
      </c>
      <c r="AE229" s="52">
        <f>_xlfn.XLOOKUP(B229,MA!C:C,MA!C:C)</f>
        <v>0</v>
      </c>
    </row>
    <row r="230" spans="1:31" x14ac:dyDescent="0.25">
      <c r="A230" s="29">
        <f>ssH!$AG$1</f>
        <v>46140</v>
      </c>
      <c r="C230" s="47">
        <f t="shared" si="42"/>
        <v>0</v>
      </c>
      <c r="D230" s="42">
        <f>_xlfn.XLOOKUP(ssH!$AG$3&amp;B230,ssH!A:A,ssH!D:D,0)</f>
        <v>0</v>
      </c>
      <c r="E230" s="42">
        <f>_xlfn.XLOOKUP(ssH!$AG$5&amp;B230,ssH!A:A,ssH!D:D,0)</f>
        <v>0</v>
      </c>
      <c r="F230" s="42">
        <f>_xlfn.XLOOKUP(ssH!$AG$6&amp;B230,ssH!A:A,ssH!D:D,0)</f>
        <v>0</v>
      </c>
      <c r="G230" s="48">
        <f>_xlfn.XLOOKUP(A230&amp;B230,ssH!A:A,ssH!F:F,-100%)</f>
        <v>-1</v>
      </c>
      <c r="H230" s="46">
        <f>_xlfn.XLOOKUP(ssH!$AG$3&amp;B230,ssH!A:A,ssH!F:F,0)</f>
        <v>0</v>
      </c>
      <c r="I230" s="46">
        <f>_xlfn.XLOOKUP(ssH!$AG$5&amp;B230,ssH!A:A,ssH!F:F,0)</f>
        <v>0</v>
      </c>
      <c r="J230" s="46">
        <f>_xlfn.XLOOKUP(ssH!$AG$6&amp;B230,ssH!A:A,ssH!F:F,0)</f>
        <v>0</v>
      </c>
      <c r="K230" s="46">
        <f>_xlfn.XLOOKUP(B230,ssL!C:C,ssL!G:G,"Removed")</f>
        <v>0</v>
      </c>
      <c r="L230" s="27">
        <f>_xlfn.XLOOKUP(A230&amp;B230,ssH!A:A,ssH!D:D,0)</f>
        <v>0</v>
      </c>
      <c r="M230" s="42" t="str">
        <f>_xlfn.XLOOKUP(A230&amp;B230,ssH!A:A,ssH!I:I,"")</f>
        <v/>
      </c>
      <c r="N230" s="51" t="str">
        <f t="shared" si="33"/>
        <v/>
      </c>
      <c r="O230" s="51" t="str">
        <f t="shared" si="34"/>
        <v/>
      </c>
      <c r="P230" s="51" t="str">
        <f t="shared" si="35"/>
        <v/>
      </c>
      <c r="Q230" s="52">
        <f t="shared" si="36"/>
        <v>0</v>
      </c>
      <c r="R230" s="51">
        <f t="shared" si="37"/>
        <v>2</v>
      </c>
      <c r="S230" s="51">
        <f t="shared" si="38"/>
        <v>0</v>
      </c>
      <c r="T230" s="51">
        <f t="shared" si="39"/>
        <v>0</v>
      </c>
      <c r="U230" s="52">
        <f t="shared" si="40"/>
        <v>2</v>
      </c>
      <c r="V230" s="52">
        <f t="shared" si="43"/>
        <v>0</v>
      </c>
      <c r="W230" s="52" t="str" cm="1">
        <f t="array" ref="W230">_xlfn.IFS(B230="","",AND(G230&gt;=0,L230&gt;0),"BuySome",AND(G230&gt;=0,K230="KMSignal"),"BuySome",AND(G230&lt;0,L230&gt;0),"BuyWatch",AND(Q230&lt;0,L230&gt;0),"BuyWatch",AND(G230&gt;=0,L230=0),"BuyWatch",L230&gt;0,"BuySome",TRUE,"")</f>
        <v/>
      </c>
      <c r="X230" s="47" t="str">
        <f>_xlfn.XLOOKUP(W230,Parm!$AN$2:$AN$25,Parm!$AO$2:$AO$25,"")</f>
        <v/>
      </c>
      <c r="Y230" s="52" t="str" cm="1">
        <f t="array" ref="Y230">_xlfn.IFS(B230="","",OR(Q230=-100,U230=-100),"SellAll",OR(Q230&lt;0,U230&lt;0),"SellSome",AND(Q230&gt;0,U230&gt;0),"BuySome",OR(Q230&gt;0,U230&gt;0),"BuyWatch",TRUE,"")</f>
        <v/>
      </c>
      <c r="Z230" s="47" t="str">
        <f>_xlfn.XLOOKUP(Y230,Parm!$AN$2:$AN$25,Parm!$AO$2:$AO$25,"")</f>
        <v/>
      </c>
      <c r="AA230" s="286">
        <f>IF(C230&lt;&gt;-100,A230,_xlfn.XLOOKUP(B230,ssH!L:L,ssH!M:M))</f>
        <v>46140</v>
      </c>
      <c r="AB230" s="49" t="str">
        <f t="shared" si="41"/>
        <v/>
      </c>
      <c r="AC230" s="52">
        <f>_xlfn.XLOOKUP(B230,TL!C:C,TL!C:C)</f>
        <v>0</v>
      </c>
      <c r="AD230" s="52">
        <f>_xlfn.XLOOKUP(B230,Y!C:C,Y!C:C)</f>
        <v>0</v>
      </c>
      <c r="AE230" s="52">
        <f>_xlfn.XLOOKUP(B230,MA!C:C,MA!C:C)</f>
        <v>0</v>
      </c>
    </row>
    <row r="231" spans="1:31" x14ac:dyDescent="0.25">
      <c r="A231" s="29">
        <f>ssH!$AG$1</f>
        <v>46140</v>
      </c>
      <c r="C231" s="47">
        <f t="shared" si="42"/>
        <v>0</v>
      </c>
      <c r="D231" s="42">
        <f>_xlfn.XLOOKUP(ssH!$AG$3&amp;B231,ssH!A:A,ssH!D:D,0)</f>
        <v>0</v>
      </c>
      <c r="E231" s="42">
        <f>_xlfn.XLOOKUP(ssH!$AG$5&amp;B231,ssH!A:A,ssH!D:D,0)</f>
        <v>0</v>
      </c>
      <c r="F231" s="42">
        <f>_xlfn.XLOOKUP(ssH!$AG$6&amp;B231,ssH!A:A,ssH!D:D,0)</f>
        <v>0</v>
      </c>
      <c r="G231" s="48">
        <f>_xlfn.XLOOKUP(A231&amp;B231,ssH!A:A,ssH!F:F,-100%)</f>
        <v>-1</v>
      </c>
      <c r="H231" s="46">
        <f>_xlfn.XLOOKUP(ssH!$AG$3&amp;B231,ssH!A:A,ssH!F:F,0)</f>
        <v>0</v>
      </c>
      <c r="I231" s="46">
        <f>_xlfn.XLOOKUP(ssH!$AG$5&amp;B231,ssH!A:A,ssH!F:F,0)</f>
        <v>0</v>
      </c>
      <c r="J231" s="46">
        <f>_xlfn.XLOOKUP(ssH!$AG$6&amp;B231,ssH!A:A,ssH!F:F,0)</f>
        <v>0</v>
      </c>
      <c r="K231" s="46">
        <f>_xlfn.XLOOKUP(B231,ssL!C:C,ssL!G:G,"Removed")</f>
        <v>0</v>
      </c>
      <c r="L231" s="27">
        <f>_xlfn.XLOOKUP(A231&amp;B231,ssH!A:A,ssH!D:D,0)</f>
        <v>0</v>
      </c>
      <c r="M231" s="42" t="str">
        <f>_xlfn.XLOOKUP(A231&amp;B231,ssH!A:A,ssH!I:I,"")</f>
        <v/>
      </c>
      <c r="N231" s="51" t="str">
        <f t="shared" si="33"/>
        <v/>
      </c>
      <c r="O231" s="51" t="str">
        <f t="shared" si="34"/>
        <v/>
      </c>
      <c r="P231" s="51" t="str">
        <f t="shared" si="35"/>
        <v/>
      </c>
      <c r="Q231" s="52">
        <f t="shared" si="36"/>
        <v>0</v>
      </c>
      <c r="R231" s="51">
        <f t="shared" si="37"/>
        <v>2</v>
      </c>
      <c r="S231" s="51">
        <f t="shared" si="38"/>
        <v>0</v>
      </c>
      <c r="T231" s="51">
        <f t="shared" si="39"/>
        <v>0</v>
      </c>
      <c r="U231" s="52">
        <f t="shared" si="40"/>
        <v>2</v>
      </c>
      <c r="V231" s="52">
        <f t="shared" si="43"/>
        <v>0</v>
      </c>
      <c r="W231" s="52" t="str" cm="1">
        <f t="array" ref="W231">_xlfn.IFS(B231="","",AND(G231&gt;=0,L231&gt;0),"BuySome",AND(G231&gt;=0,K231="KMSignal"),"BuySome",AND(G231&lt;0,L231&gt;0),"BuyWatch",AND(Q231&lt;0,L231&gt;0),"BuyWatch",AND(G231&gt;=0,L231=0),"BuyWatch",L231&gt;0,"BuySome",TRUE,"")</f>
        <v/>
      </c>
      <c r="X231" s="47" t="str">
        <f>_xlfn.XLOOKUP(W231,Parm!$AN$2:$AN$25,Parm!$AO$2:$AO$25,"")</f>
        <v/>
      </c>
      <c r="Y231" s="52" t="str" cm="1">
        <f t="array" ref="Y231">_xlfn.IFS(B231="","",OR(Q231=-100,U231=-100),"SellAll",OR(Q231&lt;0,U231&lt;0),"SellSome",AND(Q231&gt;0,U231&gt;0),"BuySome",OR(Q231&gt;0,U231&gt;0),"BuyWatch",TRUE,"")</f>
        <v/>
      </c>
      <c r="Z231" s="47" t="str">
        <f>_xlfn.XLOOKUP(Y231,Parm!$AN$2:$AN$25,Parm!$AO$2:$AO$25,"")</f>
        <v/>
      </c>
      <c r="AA231" s="286">
        <f>IF(C231&lt;&gt;-100,A231,_xlfn.XLOOKUP(B231,ssH!L:L,ssH!M:M))</f>
        <v>46140</v>
      </c>
      <c r="AB231" s="49" t="str">
        <f t="shared" si="41"/>
        <v/>
      </c>
      <c r="AC231" s="52">
        <f>_xlfn.XLOOKUP(B231,TL!C:C,TL!C:C)</f>
        <v>0</v>
      </c>
      <c r="AD231" s="52">
        <f>_xlfn.XLOOKUP(B231,Y!C:C,Y!C:C)</f>
        <v>0</v>
      </c>
      <c r="AE231" s="52">
        <f>_xlfn.XLOOKUP(B231,MA!C:C,MA!C:C)</f>
        <v>0</v>
      </c>
    </row>
    <row r="232" spans="1:31" x14ac:dyDescent="0.25">
      <c r="A232" s="29">
        <f>ssH!$AG$1</f>
        <v>46140</v>
      </c>
      <c r="C232" s="47">
        <f t="shared" si="42"/>
        <v>0</v>
      </c>
      <c r="D232" s="42">
        <f>_xlfn.XLOOKUP(ssH!$AG$3&amp;B232,ssH!A:A,ssH!D:D,0)</f>
        <v>0</v>
      </c>
      <c r="E232" s="42">
        <f>_xlfn.XLOOKUP(ssH!$AG$5&amp;B232,ssH!A:A,ssH!D:D,0)</f>
        <v>0</v>
      </c>
      <c r="F232" s="42">
        <f>_xlfn.XLOOKUP(ssH!$AG$6&amp;B232,ssH!A:A,ssH!D:D,0)</f>
        <v>0</v>
      </c>
      <c r="G232" s="48">
        <f>_xlfn.XLOOKUP(A232&amp;B232,ssH!A:A,ssH!F:F,-100%)</f>
        <v>-1</v>
      </c>
      <c r="H232" s="46">
        <f>_xlfn.XLOOKUP(ssH!$AG$3&amp;B232,ssH!A:A,ssH!F:F,0)</f>
        <v>0</v>
      </c>
      <c r="I232" s="46">
        <f>_xlfn.XLOOKUP(ssH!$AG$5&amp;B232,ssH!A:A,ssH!F:F,0)</f>
        <v>0</v>
      </c>
      <c r="J232" s="46">
        <f>_xlfn.XLOOKUP(ssH!$AG$6&amp;B232,ssH!A:A,ssH!F:F,0)</f>
        <v>0</v>
      </c>
      <c r="K232" s="46">
        <f>_xlfn.XLOOKUP(B232,ssL!C:C,ssL!G:G,"Removed")</f>
        <v>0</v>
      </c>
      <c r="L232" s="27">
        <f>_xlfn.XLOOKUP(A232&amp;B232,ssH!A:A,ssH!D:D,0)</f>
        <v>0</v>
      </c>
      <c r="M232" s="42" t="str">
        <f>_xlfn.XLOOKUP(A232&amp;B232,ssH!A:A,ssH!I:I,"")</f>
        <v/>
      </c>
      <c r="N232" s="51" t="str">
        <f t="shared" si="33"/>
        <v/>
      </c>
      <c r="O232" s="51" t="str">
        <f t="shared" si="34"/>
        <v/>
      </c>
      <c r="P232" s="51" t="str">
        <f t="shared" si="35"/>
        <v/>
      </c>
      <c r="Q232" s="52">
        <f t="shared" si="36"/>
        <v>0</v>
      </c>
      <c r="R232" s="51">
        <f t="shared" si="37"/>
        <v>2</v>
      </c>
      <c r="S232" s="51">
        <f t="shared" si="38"/>
        <v>0</v>
      </c>
      <c r="T232" s="51">
        <f t="shared" si="39"/>
        <v>0</v>
      </c>
      <c r="U232" s="52">
        <f t="shared" si="40"/>
        <v>2</v>
      </c>
      <c r="V232" s="52">
        <f t="shared" si="43"/>
        <v>0</v>
      </c>
      <c r="W232" s="52" t="str" cm="1">
        <f t="array" ref="W232">_xlfn.IFS(B232="","",AND(G232&gt;=0,L232&gt;0),"BuySome",AND(G232&gt;=0,K232="KMSignal"),"BuySome",AND(G232&lt;0,L232&gt;0),"BuyWatch",AND(Q232&lt;0,L232&gt;0),"BuyWatch",AND(G232&gt;=0,L232=0),"BuyWatch",L232&gt;0,"BuySome",TRUE,"")</f>
        <v/>
      </c>
      <c r="X232" s="47" t="str">
        <f>_xlfn.XLOOKUP(W232,Parm!$AN$2:$AN$25,Parm!$AO$2:$AO$25,"")</f>
        <v/>
      </c>
      <c r="Y232" s="52" t="str" cm="1">
        <f t="array" ref="Y232">_xlfn.IFS(B232="","",OR(Q232=-100,U232=-100),"SellAll",OR(Q232&lt;0,U232&lt;0),"SellSome",AND(Q232&gt;0,U232&gt;0),"BuySome",OR(Q232&gt;0,U232&gt;0),"BuyWatch",TRUE,"")</f>
        <v/>
      </c>
      <c r="Z232" s="47" t="str">
        <f>_xlfn.XLOOKUP(Y232,Parm!$AN$2:$AN$25,Parm!$AO$2:$AO$25,"")</f>
        <v/>
      </c>
      <c r="AA232" s="286">
        <f>IF(C232&lt;&gt;-100,A232,_xlfn.XLOOKUP(B232,ssH!L:L,ssH!M:M))</f>
        <v>46140</v>
      </c>
      <c r="AB232" s="49" t="str">
        <f t="shared" si="41"/>
        <v/>
      </c>
      <c r="AC232" s="52">
        <f>_xlfn.XLOOKUP(B232,TL!C:C,TL!C:C)</f>
        <v>0</v>
      </c>
      <c r="AD232" s="52">
        <f>_xlfn.XLOOKUP(B232,Y!C:C,Y!C:C)</f>
        <v>0</v>
      </c>
      <c r="AE232" s="52">
        <f>_xlfn.XLOOKUP(B232,MA!C:C,MA!C:C)</f>
        <v>0</v>
      </c>
    </row>
    <row r="233" spans="1:31" x14ac:dyDescent="0.25">
      <c r="A233" s="29">
        <f>ssH!$AG$1</f>
        <v>46140</v>
      </c>
      <c r="C233" s="47">
        <f t="shared" si="42"/>
        <v>0</v>
      </c>
      <c r="D233" s="42">
        <f>_xlfn.XLOOKUP(ssH!$AG$3&amp;B233,ssH!A:A,ssH!D:D,0)</f>
        <v>0</v>
      </c>
      <c r="E233" s="42">
        <f>_xlfn.XLOOKUP(ssH!$AG$5&amp;B233,ssH!A:A,ssH!D:D,0)</f>
        <v>0</v>
      </c>
      <c r="F233" s="42">
        <f>_xlfn.XLOOKUP(ssH!$AG$6&amp;B233,ssH!A:A,ssH!D:D,0)</f>
        <v>0</v>
      </c>
      <c r="G233" s="48">
        <f>_xlfn.XLOOKUP(A233&amp;B233,ssH!A:A,ssH!F:F,-100%)</f>
        <v>-1</v>
      </c>
      <c r="H233" s="46">
        <f>_xlfn.XLOOKUP(ssH!$AG$3&amp;B233,ssH!A:A,ssH!F:F,0)</f>
        <v>0</v>
      </c>
      <c r="I233" s="46">
        <f>_xlfn.XLOOKUP(ssH!$AG$5&amp;B233,ssH!A:A,ssH!F:F,0)</f>
        <v>0</v>
      </c>
      <c r="J233" s="46">
        <f>_xlfn.XLOOKUP(ssH!$AG$6&amp;B233,ssH!A:A,ssH!F:F,0)</f>
        <v>0</v>
      </c>
      <c r="K233" s="46">
        <f>_xlfn.XLOOKUP(B233,ssL!C:C,ssL!G:G,"Removed")</f>
        <v>0</v>
      </c>
      <c r="L233" s="27">
        <f>_xlfn.XLOOKUP(A233&amp;B233,ssH!A:A,ssH!D:D,0)</f>
        <v>0</v>
      </c>
      <c r="M233" s="42" t="str">
        <f>_xlfn.XLOOKUP(A233&amp;B233,ssH!A:A,ssH!I:I,"")</f>
        <v/>
      </c>
      <c r="N233" s="51" t="str">
        <f t="shared" si="33"/>
        <v/>
      </c>
      <c r="O233" s="51" t="str">
        <f t="shared" si="34"/>
        <v/>
      </c>
      <c r="P233" s="51" t="str">
        <f t="shared" si="35"/>
        <v/>
      </c>
      <c r="Q233" s="52">
        <f t="shared" si="36"/>
        <v>0</v>
      </c>
      <c r="R233" s="51">
        <f t="shared" si="37"/>
        <v>2</v>
      </c>
      <c r="S233" s="51">
        <f t="shared" si="38"/>
        <v>0</v>
      </c>
      <c r="T233" s="51">
        <f t="shared" si="39"/>
        <v>0</v>
      </c>
      <c r="U233" s="52">
        <f t="shared" si="40"/>
        <v>2</v>
      </c>
      <c r="V233" s="52">
        <f t="shared" si="43"/>
        <v>0</v>
      </c>
      <c r="W233" s="52" t="str" cm="1">
        <f t="array" ref="W233">_xlfn.IFS(B233="","",AND(G233&gt;=0,L233&gt;0),"BuySome",AND(G233&gt;=0,K233="KMSignal"),"BuySome",AND(G233&lt;0,L233&gt;0),"BuyWatch",AND(Q233&lt;0,L233&gt;0),"BuyWatch",AND(G233&gt;=0,L233=0),"BuyWatch",L233&gt;0,"BuySome",TRUE,"")</f>
        <v/>
      </c>
      <c r="X233" s="47" t="str">
        <f>_xlfn.XLOOKUP(W233,Parm!$AN$2:$AN$25,Parm!$AO$2:$AO$25,"")</f>
        <v/>
      </c>
      <c r="Y233" s="52" t="str" cm="1">
        <f t="array" ref="Y233">_xlfn.IFS(B233="","",OR(Q233=-100,U233=-100),"SellAll",OR(Q233&lt;0,U233&lt;0),"SellSome",AND(Q233&gt;0,U233&gt;0),"BuySome",OR(Q233&gt;0,U233&gt;0),"BuyWatch",TRUE,"")</f>
        <v/>
      </c>
      <c r="Z233" s="47" t="str">
        <f>_xlfn.XLOOKUP(Y233,Parm!$AN$2:$AN$25,Parm!$AO$2:$AO$25,"")</f>
        <v/>
      </c>
      <c r="AA233" s="286">
        <f>IF(C233&lt;&gt;-100,A233,_xlfn.XLOOKUP(B233,ssH!L:L,ssH!M:M))</f>
        <v>46140</v>
      </c>
      <c r="AB233" s="49" t="str">
        <f t="shared" si="41"/>
        <v/>
      </c>
      <c r="AC233" s="52">
        <f>_xlfn.XLOOKUP(B233,TL!C:C,TL!C:C)</f>
        <v>0</v>
      </c>
      <c r="AD233" s="52">
        <f>_xlfn.XLOOKUP(B233,Y!C:C,Y!C:C)</f>
        <v>0</v>
      </c>
      <c r="AE233" s="52">
        <f>_xlfn.XLOOKUP(B233,MA!C:C,MA!C:C)</f>
        <v>0</v>
      </c>
    </row>
    <row r="234" spans="1:31" x14ac:dyDescent="0.25">
      <c r="A234" s="29">
        <f>ssH!$AG$1</f>
        <v>46140</v>
      </c>
      <c r="C234" s="47">
        <f t="shared" si="42"/>
        <v>0</v>
      </c>
      <c r="D234" s="42">
        <f>_xlfn.XLOOKUP(ssH!$AG$3&amp;B234,ssH!A:A,ssH!D:D,0)</f>
        <v>0</v>
      </c>
      <c r="E234" s="42">
        <f>_xlfn.XLOOKUP(ssH!$AG$5&amp;B234,ssH!A:A,ssH!D:D,0)</f>
        <v>0</v>
      </c>
      <c r="F234" s="42">
        <f>_xlfn.XLOOKUP(ssH!$AG$6&amp;B234,ssH!A:A,ssH!D:D,0)</f>
        <v>0</v>
      </c>
      <c r="G234" s="48">
        <f>_xlfn.XLOOKUP(A234&amp;B234,ssH!A:A,ssH!F:F,-100%)</f>
        <v>-1</v>
      </c>
      <c r="H234" s="46">
        <f>_xlfn.XLOOKUP(ssH!$AG$3&amp;B234,ssH!A:A,ssH!F:F,0)</f>
        <v>0</v>
      </c>
      <c r="I234" s="46">
        <f>_xlfn.XLOOKUP(ssH!$AG$5&amp;B234,ssH!A:A,ssH!F:F,0)</f>
        <v>0</v>
      </c>
      <c r="J234" s="46">
        <f>_xlfn.XLOOKUP(ssH!$AG$6&amp;B234,ssH!A:A,ssH!F:F,0)</f>
        <v>0</v>
      </c>
      <c r="K234" s="46">
        <f>_xlfn.XLOOKUP(B234,ssL!C:C,ssL!G:G,"Removed")</f>
        <v>0</v>
      </c>
      <c r="L234" s="27">
        <f>_xlfn.XLOOKUP(A234&amp;B234,ssH!A:A,ssH!D:D,0)</f>
        <v>0</v>
      </c>
      <c r="M234" s="42" t="str">
        <f>_xlfn.XLOOKUP(A234&amp;B234,ssH!A:A,ssH!I:I,"")</f>
        <v/>
      </c>
      <c r="N234" s="51" t="str">
        <f t="shared" si="33"/>
        <v/>
      </c>
      <c r="O234" s="51" t="str">
        <f t="shared" si="34"/>
        <v/>
      </c>
      <c r="P234" s="51" t="str">
        <f t="shared" si="35"/>
        <v/>
      </c>
      <c r="Q234" s="52">
        <f t="shared" si="36"/>
        <v>0</v>
      </c>
      <c r="R234" s="51">
        <f t="shared" si="37"/>
        <v>2</v>
      </c>
      <c r="S234" s="51">
        <f t="shared" si="38"/>
        <v>0</v>
      </c>
      <c r="T234" s="51">
        <f t="shared" si="39"/>
        <v>0</v>
      </c>
      <c r="U234" s="52">
        <f t="shared" si="40"/>
        <v>2</v>
      </c>
      <c r="V234" s="52">
        <f t="shared" si="43"/>
        <v>0</v>
      </c>
      <c r="W234" s="52" t="str" cm="1">
        <f t="array" ref="W234">_xlfn.IFS(B234="","",AND(G234&gt;=0,L234&gt;0),"BuySome",AND(G234&gt;=0,K234="KMSignal"),"BuySome",AND(G234&lt;0,L234&gt;0),"BuyWatch",AND(Q234&lt;0,L234&gt;0),"BuyWatch",AND(G234&gt;=0,L234=0),"BuyWatch",L234&gt;0,"BuySome",TRUE,"")</f>
        <v/>
      </c>
      <c r="X234" s="47" t="str">
        <f>_xlfn.XLOOKUP(W234,Parm!$AN$2:$AN$25,Parm!$AO$2:$AO$25,"")</f>
        <v/>
      </c>
      <c r="Y234" s="52" t="str" cm="1">
        <f t="array" ref="Y234">_xlfn.IFS(B234="","",OR(Q234=-100,U234=-100),"SellAll",OR(Q234&lt;0,U234&lt;0),"SellSome",AND(Q234&gt;0,U234&gt;0),"BuySome",OR(Q234&gt;0,U234&gt;0),"BuyWatch",TRUE,"")</f>
        <v/>
      </c>
      <c r="Z234" s="47" t="str">
        <f>_xlfn.XLOOKUP(Y234,Parm!$AN$2:$AN$25,Parm!$AO$2:$AO$25,"")</f>
        <v/>
      </c>
      <c r="AA234" s="286">
        <f>IF(C234&lt;&gt;-100,A234,_xlfn.XLOOKUP(B234,ssH!L:L,ssH!M:M))</f>
        <v>46140</v>
      </c>
      <c r="AB234" s="49" t="str">
        <f t="shared" si="41"/>
        <v/>
      </c>
      <c r="AC234" s="52">
        <f>_xlfn.XLOOKUP(B234,TL!C:C,TL!C:C)</f>
        <v>0</v>
      </c>
      <c r="AD234" s="52">
        <f>_xlfn.XLOOKUP(B234,Y!C:C,Y!C:C)</f>
        <v>0</v>
      </c>
      <c r="AE234" s="52">
        <f>_xlfn.XLOOKUP(B234,MA!C:C,MA!C:C)</f>
        <v>0</v>
      </c>
    </row>
    <row r="235" spans="1:31" x14ac:dyDescent="0.25">
      <c r="A235" s="29">
        <f>ssH!$AG$1</f>
        <v>46140</v>
      </c>
      <c r="C235" s="47">
        <f t="shared" si="42"/>
        <v>0</v>
      </c>
      <c r="D235" s="42">
        <f>_xlfn.XLOOKUP(ssH!$AG$3&amp;B235,ssH!A:A,ssH!D:D,0)</f>
        <v>0</v>
      </c>
      <c r="E235" s="42">
        <f>_xlfn.XLOOKUP(ssH!$AG$5&amp;B235,ssH!A:A,ssH!D:D,0)</f>
        <v>0</v>
      </c>
      <c r="F235" s="42">
        <f>_xlfn.XLOOKUP(ssH!$AG$6&amp;B235,ssH!A:A,ssH!D:D,0)</f>
        <v>0</v>
      </c>
      <c r="G235" s="48">
        <f>_xlfn.XLOOKUP(A235&amp;B235,ssH!A:A,ssH!F:F,-100%)</f>
        <v>-1</v>
      </c>
      <c r="H235" s="46">
        <f>_xlfn.XLOOKUP(ssH!$AG$3&amp;B235,ssH!A:A,ssH!F:F,0)</f>
        <v>0</v>
      </c>
      <c r="I235" s="46">
        <f>_xlfn.XLOOKUP(ssH!$AG$5&amp;B235,ssH!A:A,ssH!F:F,0)</f>
        <v>0</v>
      </c>
      <c r="J235" s="46">
        <f>_xlfn.XLOOKUP(ssH!$AG$6&amp;B235,ssH!A:A,ssH!F:F,0)</f>
        <v>0</v>
      </c>
      <c r="K235" s="46">
        <f>_xlfn.XLOOKUP(B235,ssL!C:C,ssL!G:G,"Removed")</f>
        <v>0</v>
      </c>
      <c r="L235" s="27">
        <f>_xlfn.XLOOKUP(A235&amp;B235,ssH!A:A,ssH!D:D,0)</f>
        <v>0</v>
      </c>
      <c r="M235" s="42" t="str">
        <f>_xlfn.XLOOKUP(A235&amp;B235,ssH!A:A,ssH!I:I,"")</f>
        <v/>
      </c>
      <c r="N235" s="51" t="str">
        <f t="shared" si="33"/>
        <v/>
      </c>
      <c r="O235" s="51" t="str">
        <f t="shared" si="34"/>
        <v/>
      </c>
      <c r="P235" s="51" t="str">
        <f t="shared" si="35"/>
        <v/>
      </c>
      <c r="Q235" s="52">
        <f t="shared" si="36"/>
        <v>0</v>
      </c>
      <c r="R235" s="51">
        <f t="shared" si="37"/>
        <v>2</v>
      </c>
      <c r="S235" s="51">
        <f t="shared" si="38"/>
        <v>0</v>
      </c>
      <c r="T235" s="51">
        <f t="shared" si="39"/>
        <v>0</v>
      </c>
      <c r="U235" s="52">
        <f t="shared" si="40"/>
        <v>2</v>
      </c>
      <c r="V235" s="52">
        <f t="shared" si="43"/>
        <v>0</v>
      </c>
      <c r="W235" s="52" t="str" cm="1">
        <f t="array" ref="W235">_xlfn.IFS(B235="","",AND(G235&gt;=0,L235&gt;0),"BuySome",AND(G235&gt;=0,K235="KMSignal"),"BuySome",AND(G235&lt;0,L235&gt;0),"BuyWatch",AND(Q235&lt;0,L235&gt;0),"BuyWatch",AND(G235&gt;=0,L235=0),"BuyWatch",L235&gt;0,"BuySome",TRUE,"")</f>
        <v/>
      </c>
      <c r="X235" s="47" t="str">
        <f>_xlfn.XLOOKUP(W235,Parm!$AN$2:$AN$25,Parm!$AO$2:$AO$25,"")</f>
        <v/>
      </c>
      <c r="Y235" s="52" t="str" cm="1">
        <f t="array" ref="Y235">_xlfn.IFS(B235="","",OR(Q235=-100,U235=-100),"SellAll",OR(Q235&lt;0,U235&lt;0),"SellSome",AND(Q235&gt;0,U235&gt;0),"BuySome",OR(Q235&gt;0,U235&gt;0),"BuyWatch",TRUE,"")</f>
        <v/>
      </c>
      <c r="Z235" s="47" t="str">
        <f>_xlfn.XLOOKUP(Y235,Parm!$AN$2:$AN$25,Parm!$AO$2:$AO$25,"")</f>
        <v/>
      </c>
      <c r="AA235" s="286">
        <f>IF(C235&lt;&gt;-100,A235,_xlfn.XLOOKUP(B235,ssH!L:L,ssH!M:M))</f>
        <v>46140</v>
      </c>
      <c r="AB235" s="49" t="str">
        <f t="shared" si="41"/>
        <v/>
      </c>
      <c r="AC235" s="52">
        <f>_xlfn.XLOOKUP(B235,TL!C:C,TL!C:C)</f>
        <v>0</v>
      </c>
      <c r="AD235" s="52">
        <f>_xlfn.XLOOKUP(B235,Y!C:C,Y!C:C)</f>
        <v>0</v>
      </c>
      <c r="AE235" s="52">
        <f>_xlfn.XLOOKUP(B235,MA!C:C,MA!C:C)</f>
        <v>0</v>
      </c>
    </row>
    <row r="236" spans="1:31" x14ac:dyDescent="0.25">
      <c r="A236" s="29">
        <f>ssH!$AG$1</f>
        <v>46140</v>
      </c>
      <c r="C236" s="47">
        <f t="shared" si="42"/>
        <v>0</v>
      </c>
      <c r="D236" s="42">
        <f>_xlfn.XLOOKUP(ssH!$AG$3&amp;B236,ssH!A:A,ssH!D:D,0)</f>
        <v>0</v>
      </c>
      <c r="E236" s="42">
        <f>_xlfn.XLOOKUP(ssH!$AG$5&amp;B236,ssH!A:A,ssH!D:D,0)</f>
        <v>0</v>
      </c>
      <c r="F236" s="42">
        <f>_xlfn.XLOOKUP(ssH!$AG$6&amp;B236,ssH!A:A,ssH!D:D,0)</f>
        <v>0</v>
      </c>
      <c r="G236" s="48">
        <f>_xlfn.XLOOKUP(A236&amp;B236,ssH!A:A,ssH!F:F,-100%)</f>
        <v>-1</v>
      </c>
      <c r="H236" s="46">
        <f>_xlfn.XLOOKUP(ssH!$AG$3&amp;B236,ssH!A:A,ssH!F:F,0)</f>
        <v>0</v>
      </c>
      <c r="I236" s="46">
        <f>_xlfn.XLOOKUP(ssH!$AG$5&amp;B236,ssH!A:A,ssH!F:F,0)</f>
        <v>0</v>
      </c>
      <c r="J236" s="46">
        <f>_xlfn.XLOOKUP(ssH!$AG$6&amp;B236,ssH!A:A,ssH!F:F,0)</f>
        <v>0</v>
      </c>
      <c r="K236" s="46">
        <f>_xlfn.XLOOKUP(B236,ssL!C:C,ssL!G:G,"Removed")</f>
        <v>0</v>
      </c>
      <c r="L236" s="27">
        <f>_xlfn.XLOOKUP(A236&amp;B236,ssH!A:A,ssH!D:D,0)</f>
        <v>0</v>
      </c>
      <c r="M236" s="42" t="str">
        <f>_xlfn.XLOOKUP(A236&amp;B236,ssH!A:A,ssH!I:I,"")</f>
        <v/>
      </c>
      <c r="N236" s="51" t="str">
        <f t="shared" si="33"/>
        <v/>
      </c>
      <c r="O236" s="51" t="str">
        <f t="shared" si="34"/>
        <v/>
      </c>
      <c r="P236" s="51" t="str">
        <f t="shared" si="35"/>
        <v/>
      </c>
      <c r="Q236" s="52">
        <f t="shared" si="36"/>
        <v>0</v>
      </c>
      <c r="R236" s="51">
        <f t="shared" si="37"/>
        <v>2</v>
      </c>
      <c r="S236" s="51">
        <f t="shared" si="38"/>
        <v>0</v>
      </c>
      <c r="T236" s="51">
        <f t="shared" si="39"/>
        <v>0</v>
      </c>
      <c r="U236" s="52">
        <f t="shared" si="40"/>
        <v>2</v>
      </c>
      <c r="V236" s="52">
        <f t="shared" si="43"/>
        <v>0</v>
      </c>
      <c r="W236" s="52" t="str" cm="1">
        <f t="array" ref="W236">_xlfn.IFS(B236="","",AND(G236&gt;=0,L236&gt;0),"BuySome",AND(G236&gt;=0,K236="KMSignal"),"BuySome",AND(G236&lt;0,L236&gt;0),"BuyWatch",AND(Q236&lt;0,L236&gt;0),"BuyWatch",AND(G236&gt;=0,L236=0),"BuyWatch",L236&gt;0,"BuySome",TRUE,"")</f>
        <v/>
      </c>
      <c r="X236" s="47" t="str">
        <f>_xlfn.XLOOKUP(W236,Parm!$AN$2:$AN$25,Parm!$AO$2:$AO$25,"")</f>
        <v/>
      </c>
      <c r="Y236" s="52" t="str" cm="1">
        <f t="array" ref="Y236">_xlfn.IFS(B236="","",OR(Q236=-100,U236=-100),"SellAll",OR(Q236&lt;0,U236&lt;0),"SellSome",AND(Q236&gt;0,U236&gt;0),"BuySome",OR(Q236&gt;0,U236&gt;0),"BuyWatch",TRUE,"")</f>
        <v/>
      </c>
      <c r="Z236" s="47" t="str">
        <f>_xlfn.XLOOKUP(Y236,Parm!$AN$2:$AN$25,Parm!$AO$2:$AO$25,"")</f>
        <v/>
      </c>
      <c r="AA236" s="286">
        <f>IF(C236&lt;&gt;-100,A236,_xlfn.XLOOKUP(B236,ssH!L:L,ssH!M:M))</f>
        <v>46140</v>
      </c>
      <c r="AB236" s="49" t="str">
        <f t="shared" si="41"/>
        <v/>
      </c>
      <c r="AC236" s="52">
        <f>_xlfn.XLOOKUP(B236,TL!C:C,TL!C:C)</f>
        <v>0</v>
      </c>
      <c r="AD236" s="52">
        <f>_xlfn.XLOOKUP(B236,Y!C:C,Y!C:C)</f>
        <v>0</v>
      </c>
      <c r="AE236" s="52">
        <f>_xlfn.XLOOKUP(B236,MA!C:C,MA!C:C)</f>
        <v>0</v>
      </c>
    </row>
    <row r="237" spans="1:31" x14ac:dyDescent="0.25">
      <c r="A237" s="29">
        <f>ssH!$AG$1</f>
        <v>46140</v>
      </c>
      <c r="C237" s="47">
        <f t="shared" si="42"/>
        <v>0</v>
      </c>
      <c r="D237" s="42">
        <f>_xlfn.XLOOKUP(ssH!$AG$3&amp;B237,ssH!A:A,ssH!D:D,0)</f>
        <v>0</v>
      </c>
      <c r="E237" s="42">
        <f>_xlfn.XLOOKUP(ssH!$AG$5&amp;B237,ssH!A:A,ssH!D:D,0)</f>
        <v>0</v>
      </c>
      <c r="F237" s="42">
        <f>_xlfn.XLOOKUP(ssH!$AG$6&amp;B237,ssH!A:A,ssH!D:D,0)</f>
        <v>0</v>
      </c>
      <c r="G237" s="48">
        <f>_xlfn.XLOOKUP(A237&amp;B237,ssH!A:A,ssH!F:F,-100%)</f>
        <v>-1</v>
      </c>
      <c r="H237" s="46">
        <f>_xlfn.XLOOKUP(ssH!$AG$3&amp;B237,ssH!A:A,ssH!F:F,0)</f>
        <v>0</v>
      </c>
      <c r="I237" s="46">
        <f>_xlfn.XLOOKUP(ssH!$AG$5&amp;B237,ssH!A:A,ssH!F:F,0)</f>
        <v>0</v>
      </c>
      <c r="J237" s="46">
        <f>_xlfn.XLOOKUP(ssH!$AG$6&amp;B237,ssH!A:A,ssH!F:F,0)</f>
        <v>0</v>
      </c>
      <c r="K237" s="46">
        <f>_xlfn.XLOOKUP(B237,ssL!C:C,ssL!G:G,"Removed")</f>
        <v>0</v>
      </c>
      <c r="L237" s="27">
        <f>_xlfn.XLOOKUP(A237&amp;B237,ssH!A:A,ssH!D:D,0)</f>
        <v>0</v>
      </c>
      <c r="M237" s="42" t="str">
        <f>_xlfn.XLOOKUP(A237&amp;B237,ssH!A:A,ssH!I:I,"")</f>
        <v/>
      </c>
      <c r="N237" s="51" t="str">
        <f t="shared" si="33"/>
        <v/>
      </c>
      <c r="O237" s="51" t="str">
        <f t="shared" si="34"/>
        <v/>
      </c>
      <c r="P237" s="51" t="str">
        <f t="shared" si="35"/>
        <v/>
      </c>
      <c r="Q237" s="52">
        <f t="shared" si="36"/>
        <v>0</v>
      </c>
      <c r="R237" s="51">
        <f t="shared" si="37"/>
        <v>2</v>
      </c>
      <c r="S237" s="51">
        <f t="shared" si="38"/>
        <v>0</v>
      </c>
      <c r="T237" s="51">
        <f t="shared" si="39"/>
        <v>0</v>
      </c>
      <c r="U237" s="52">
        <f t="shared" si="40"/>
        <v>2</v>
      </c>
      <c r="V237" s="52">
        <f t="shared" si="43"/>
        <v>0</v>
      </c>
      <c r="W237" s="52" t="str" cm="1">
        <f t="array" ref="W237">_xlfn.IFS(B237="","",AND(G237&gt;=0,L237&gt;0),"BuySome",AND(G237&gt;=0,K237="KMSignal"),"BuySome",AND(G237&lt;0,L237&gt;0),"BuyWatch",AND(Q237&lt;0,L237&gt;0),"BuyWatch",AND(G237&gt;=0,L237=0),"BuyWatch",L237&gt;0,"BuySome",TRUE,"")</f>
        <v/>
      </c>
      <c r="X237" s="47" t="str">
        <f>_xlfn.XLOOKUP(W237,Parm!$AN$2:$AN$25,Parm!$AO$2:$AO$25,"")</f>
        <v/>
      </c>
      <c r="Y237" s="52" t="str" cm="1">
        <f t="array" ref="Y237">_xlfn.IFS(B237="","",OR(Q237=-100,U237=-100),"SellAll",OR(Q237&lt;0,U237&lt;0),"SellSome",AND(Q237&gt;0,U237&gt;0),"BuySome",OR(Q237&gt;0,U237&gt;0),"BuyWatch",TRUE,"")</f>
        <v/>
      </c>
      <c r="Z237" s="47" t="str">
        <f>_xlfn.XLOOKUP(Y237,Parm!$AN$2:$AN$25,Parm!$AO$2:$AO$25,"")</f>
        <v/>
      </c>
      <c r="AA237" s="286">
        <f>IF(C237&lt;&gt;-100,A237,_xlfn.XLOOKUP(B237,ssH!L:L,ssH!M:M))</f>
        <v>46140</v>
      </c>
      <c r="AB237" s="49" t="str">
        <f t="shared" si="41"/>
        <v/>
      </c>
      <c r="AC237" s="52">
        <f>_xlfn.XLOOKUP(B237,TL!C:C,TL!C:C)</f>
        <v>0</v>
      </c>
      <c r="AD237" s="52">
        <f>_xlfn.XLOOKUP(B237,Y!C:C,Y!C:C)</f>
        <v>0</v>
      </c>
      <c r="AE237" s="52">
        <f>_xlfn.XLOOKUP(B237,MA!C:C,MA!C:C)</f>
        <v>0</v>
      </c>
    </row>
    <row r="238" spans="1:31" x14ac:dyDescent="0.25">
      <c r="A238" s="29">
        <f>ssH!$AG$1</f>
        <v>46140</v>
      </c>
      <c r="C238" s="47">
        <f t="shared" si="42"/>
        <v>0</v>
      </c>
      <c r="D238" s="42">
        <f>_xlfn.XLOOKUP(ssH!$AG$3&amp;B238,ssH!A:A,ssH!D:D,0)</f>
        <v>0</v>
      </c>
      <c r="E238" s="42">
        <f>_xlfn.XLOOKUP(ssH!$AG$5&amp;B238,ssH!A:A,ssH!D:D,0)</f>
        <v>0</v>
      </c>
      <c r="F238" s="42">
        <f>_xlfn.XLOOKUP(ssH!$AG$6&amp;B238,ssH!A:A,ssH!D:D,0)</f>
        <v>0</v>
      </c>
      <c r="G238" s="48">
        <f>_xlfn.XLOOKUP(A238&amp;B238,ssH!A:A,ssH!F:F,-100%)</f>
        <v>-1</v>
      </c>
      <c r="H238" s="46">
        <f>_xlfn.XLOOKUP(ssH!$AG$3&amp;B238,ssH!A:A,ssH!F:F,0)</f>
        <v>0</v>
      </c>
      <c r="I238" s="46">
        <f>_xlfn.XLOOKUP(ssH!$AG$5&amp;B238,ssH!A:A,ssH!F:F,0)</f>
        <v>0</v>
      </c>
      <c r="J238" s="46">
        <f>_xlfn.XLOOKUP(ssH!$AG$6&amp;B238,ssH!A:A,ssH!F:F,0)</f>
        <v>0</v>
      </c>
      <c r="K238" s="46">
        <f>_xlfn.XLOOKUP(B238,ssL!C:C,ssL!G:G,"Removed")</f>
        <v>0</v>
      </c>
      <c r="L238" s="27">
        <f>_xlfn.XLOOKUP(A238&amp;B238,ssH!A:A,ssH!D:D,0)</f>
        <v>0</v>
      </c>
      <c r="M238" s="42" t="str">
        <f>_xlfn.XLOOKUP(A238&amp;B238,ssH!A:A,ssH!I:I,"")</f>
        <v/>
      </c>
      <c r="N238" s="51" t="str">
        <f t="shared" si="33"/>
        <v/>
      </c>
      <c r="O238" s="51" t="str">
        <f t="shared" si="34"/>
        <v/>
      </c>
      <c r="P238" s="51" t="str">
        <f t="shared" si="35"/>
        <v/>
      </c>
      <c r="Q238" s="52">
        <f t="shared" si="36"/>
        <v>0</v>
      </c>
      <c r="R238" s="51">
        <f t="shared" si="37"/>
        <v>2</v>
      </c>
      <c r="S238" s="51">
        <f t="shared" si="38"/>
        <v>0</v>
      </c>
      <c r="T238" s="51">
        <f t="shared" si="39"/>
        <v>0</v>
      </c>
      <c r="U238" s="52">
        <f t="shared" si="40"/>
        <v>2</v>
      </c>
      <c r="V238" s="52">
        <f t="shared" si="43"/>
        <v>0</v>
      </c>
      <c r="W238" s="52" t="str" cm="1">
        <f t="array" ref="W238">_xlfn.IFS(B238="","",AND(G238&gt;=0,L238&gt;0),"BuySome",AND(G238&gt;=0,K238="KMSignal"),"BuySome",AND(G238&lt;0,L238&gt;0),"BuyWatch",AND(Q238&lt;0,L238&gt;0),"BuyWatch",AND(G238&gt;=0,L238=0),"BuyWatch",L238&gt;0,"BuySome",TRUE,"")</f>
        <v/>
      </c>
      <c r="X238" s="47" t="str">
        <f>_xlfn.XLOOKUP(W238,Parm!$AN$2:$AN$25,Parm!$AO$2:$AO$25,"")</f>
        <v/>
      </c>
      <c r="Y238" s="52" t="str" cm="1">
        <f t="array" ref="Y238">_xlfn.IFS(B238="","",OR(Q238=-100,U238=-100),"SellAll",OR(Q238&lt;0,U238&lt;0),"SellSome",AND(Q238&gt;0,U238&gt;0),"BuySome",OR(Q238&gt;0,U238&gt;0),"BuyWatch",TRUE,"")</f>
        <v/>
      </c>
      <c r="Z238" s="47" t="str">
        <f>_xlfn.XLOOKUP(Y238,Parm!$AN$2:$AN$25,Parm!$AO$2:$AO$25,"")</f>
        <v/>
      </c>
      <c r="AA238" s="286">
        <f>IF(C238&lt;&gt;-100,A238,_xlfn.XLOOKUP(B238,ssH!L:L,ssH!M:M))</f>
        <v>46140</v>
      </c>
      <c r="AB238" s="49" t="str">
        <f t="shared" si="41"/>
        <v/>
      </c>
      <c r="AC238" s="52">
        <f>_xlfn.XLOOKUP(B238,TL!C:C,TL!C:C)</f>
        <v>0</v>
      </c>
      <c r="AD238" s="52">
        <f>_xlfn.XLOOKUP(B238,Y!C:C,Y!C:C)</f>
        <v>0</v>
      </c>
      <c r="AE238" s="52">
        <f>_xlfn.XLOOKUP(B238,MA!C:C,MA!C:C)</f>
        <v>0</v>
      </c>
    </row>
    <row r="239" spans="1:31" x14ac:dyDescent="0.25">
      <c r="A239" s="29">
        <f>ssH!$AG$1</f>
        <v>46140</v>
      </c>
      <c r="C239" s="47">
        <f t="shared" si="42"/>
        <v>0</v>
      </c>
      <c r="D239" s="42">
        <f>_xlfn.XLOOKUP(ssH!$AG$3&amp;B239,ssH!A:A,ssH!D:D,0)</f>
        <v>0</v>
      </c>
      <c r="E239" s="42">
        <f>_xlfn.XLOOKUP(ssH!$AG$5&amp;B239,ssH!A:A,ssH!D:D,0)</f>
        <v>0</v>
      </c>
      <c r="F239" s="42">
        <f>_xlfn.XLOOKUP(ssH!$AG$6&amp;B239,ssH!A:A,ssH!D:D,0)</f>
        <v>0</v>
      </c>
      <c r="G239" s="48">
        <f>_xlfn.XLOOKUP(A239&amp;B239,ssH!A:A,ssH!F:F,-100%)</f>
        <v>-1</v>
      </c>
      <c r="H239" s="46">
        <f>_xlfn.XLOOKUP(ssH!$AG$3&amp;B239,ssH!A:A,ssH!F:F,0)</f>
        <v>0</v>
      </c>
      <c r="I239" s="46">
        <f>_xlfn.XLOOKUP(ssH!$AG$5&amp;B239,ssH!A:A,ssH!F:F,0)</f>
        <v>0</v>
      </c>
      <c r="J239" s="46">
        <f>_xlfn.XLOOKUP(ssH!$AG$6&amp;B239,ssH!A:A,ssH!F:F,0)</f>
        <v>0</v>
      </c>
      <c r="K239" s="46">
        <f>_xlfn.XLOOKUP(B239,ssL!C:C,ssL!G:G,"Removed")</f>
        <v>0</v>
      </c>
      <c r="L239" s="27">
        <f>_xlfn.XLOOKUP(A239&amp;B239,ssH!A:A,ssH!D:D,0)</f>
        <v>0</v>
      </c>
      <c r="M239" s="42" t="str">
        <f>_xlfn.XLOOKUP(A239&amp;B239,ssH!A:A,ssH!I:I,"")</f>
        <v/>
      </c>
      <c r="N239" s="51" t="str">
        <f t="shared" si="33"/>
        <v/>
      </c>
      <c r="O239" s="51" t="str">
        <f t="shared" si="34"/>
        <v/>
      </c>
      <c r="P239" s="51" t="str">
        <f t="shared" si="35"/>
        <v/>
      </c>
      <c r="Q239" s="52">
        <f t="shared" si="36"/>
        <v>0</v>
      </c>
      <c r="R239" s="51">
        <f t="shared" si="37"/>
        <v>2</v>
      </c>
      <c r="S239" s="51">
        <f t="shared" si="38"/>
        <v>0</v>
      </c>
      <c r="T239" s="51">
        <f t="shared" si="39"/>
        <v>0</v>
      </c>
      <c r="U239" s="52">
        <f t="shared" si="40"/>
        <v>2</v>
      </c>
      <c r="V239" s="52">
        <f t="shared" si="43"/>
        <v>0</v>
      </c>
      <c r="W239" s="52" t="str" cm="1">
        <f t="array" ref="W239">_xlfn.IFS(B239="","",AND(G239&gt;=0,L239&gt;0),"BuySome",AND(G239&gt;=0,K239="KMSignal"),"BuySome",AND(G239&lt;0,L239&gt;0),"BuyWatch",AND(Q239&lt;0,L239&gt;0),"BuyWatch",AND(G239&gt;=0,L239=0),"BuyWatch",L239&gt;0,"BuySome",TRUE,"")</f>
        <v/>
      </c>
      <c r="X239" s="47" t="str">
        <f>_xlfn.XLOOKUP(W239,Parm!$AN$2:$AN$25,Parm!$AO$2:$AO$25,"")</f>
        <v/>
      </c>
      <c r="Y239" s="52" t="str" cm="1">
        <f t="array" ref="Y239">_xlfn.IFS(B239="","",OR(Q239=-100,U239=-100),"SellAll",OR(Q239&lt;0,U239&lt;0),"SellSome",AND(Q239&gt;0,U239&gt;0),"BuySome",OR(Q239&gt;0,U239&gt;0),"BuyWatch",TRUE,"")</f>
        <v/>
      </c>
      <c r="Z239" s="47" t="str">
        <f>_xlfn.XLOOKUP(Y239,Parm!$AN$2:$AN$25,Parm!$AO$2:$AO$25,"")</f>
        <v/>
      </c>
      <c r="AA239" s="286">
        <f>IF(C239&lt;&gt;-100,A239,_xlfn.XLOOKUP(B239,ssH!L:L,ssH!M:M))</f>
        <v>46140</v>
      </c>
      <c r="AB239" s="49" t="str">
        <f t="shared" si="41"/>
        <v/>
      </c>
      <c r="AC239" s="52">
        <f>_xlfn.XLOOKUP(B239,TL!C:C,TL!C:C)</f>
        <v>0</v>
      </c>
      <c r="AD239" s="52">
        <f>_xlfn.XLOOKUP(B239,Y!C:C,Y!C:C)</f>
        <v>0</v>
      </c>
      <c r="AE239" s="52">
        <f>_xlfn.XLOOKUP(B239,MA!C:C,MA!C:C)</f>
        <v>0</v>
      </c>
    </row>
    <row r="240" spans="1:31" x14ac:dyDescent="0.25">
      <c r="A240" s="29">
        <f>ssH!$AG$1</f>
        <v>46140</v>
      </c>
      <c r="C240" s="47">
        <f t="shared" si="42"/>
        <v>0</v>
      </c>
      <c r="D240" s="42">
        <f>_xlfn.XLOOKUP(ssH!$AG$3&amp;B240,ssH!A:A,ssH!D:D,0)</f>
        <v>0</v>
      </c>
      <c r="E240" s="42">
        <f>_xlfn.XLOOKUP(ssH!$AG$5&amp;B240,ssH!A:A,ssH!D:D,0)</f>
        <v>0</v>
      </c>
      <c r="F240" s="42">
        <f>_xlfn.XLOOKUP(ssH!$AG$6&amp;B240,ssH!A:A,ssH!D:D,0)</f>
        <v>0</v>
      </c>
      <c r="G240" s="48">
        <f>_xlfn.XLOOKUP(A240&amp;B240,ssH!A:A,ssH!F:F,-100%)</f>
        <v>-1</v>
      </c>
      <c r="H240" s="46">
        <f>_xlfn.XLOOKUP(ssH!$AG$3&amp;B240,ssH!A:A,ssH!F:F,0)</f>
        <v>0</v>
      </c>
      <c r="I240" s="46">
        <f>_xlfn.XLOOKUP(ssH!$AG$5&amp;B240,ssH!A:A,ssH!F:F,0)</f>
        <v>0</v>
      </c>
      <c r="J240" s="46">
        <f>_xlfn.XLOOKUP(ssH!$AG$6&amp;B240,ssH!A:A,ssH!F:F,0)</f>
        <v>0</v>
      </c>
      <c r="K240" s="46">
        <f>_xlfn.XLOOKUP(B240,ssL!C:C,ssL!G:G,"Removed")</f>
        <v>0</v>
      </c>
      <c r="L240" s="27">
        <f>_xlfn.XLOOKUP(A240&amp;B240,ssH!A:A,ssH!D:D,0)</f>
        <v>0</v>
      </c>
      <c r="M240" s="42" t="str">
        <f>_xlfn.XLOOKUP(A240&amp;B240,ssH!A:A,ssH!I:I,"")</f>
        <v/>
      </c>
      <c r="N240" s="51" t="str">
        <f t="shared" si="33"/>
        <v/>
      </c>
      <c r="O240" s="51" t="str">
        <f t="shared" si="34"/>
        <v/>
      </c>
      <c r="P240" s="51" t="str">
        <f t="shared" si="35"/>
        <v/>
      </c>
      <c r="Q240" s="52">
        <f t="shared" si="36"/>
        <v>0</v>
      </c>
      <c r="R240" s="51">
        <f t="shared" si="37"/>
        <v>2</v>
      </c>
      <c r="S240" s="51">
        <f t="shared" si="38"/>
        <v>0</v>
      </c>
      <c r="T240" s="51">
        <f t="shared" si="39"/>
        <v>0</v>
      </c>
      <c r="U240" s="52">
        <f t="shared" si="40"/>
        <v>2</v>
      </c>
      <c r="V240" s="52">
        <f t="shared" si="43"/>
        <v>0</v>
      </c>
      <c r="W240" s="52" t="str" cm="1">
        <f t="array" ref="W240">_xlfn.IFS(B240="","",AND(G240&gt;=0,L240&gt;0),"BuySome",AND(G240&gt;=0,K240="KMSignal"),"BuySome",AND(G240&lt;0,L240&gt;0),"BuyWatch",AND(Q240&lt;0,L240&gt;0),"BuyWatch",AND(G240&gt;=0,L240=0),"BuyWatch",L240&gt;0,"BuySome",TRUE,"")</f>
        <v/>
      </c>
      <c r="X240" s="47" t="str">
        <f>_xlfn.XLOOKUP(W240,Parm!$AN$2:$AN$25,Parm!$AO$2:$AO$25,"")</f>
        <v/>
      </c>
      <c r="Y240" s="52" t="str" cm="1">
        <f t="array" ref="Y240">_xlfn.IFS(B240="","",OR(Q240=-100,U240=-100),"SellAll",OR(Q240&lt;0,U240&lt;0),"SellSome",AND(Q240&gt;0,U240&gt;0),"BuySome",OR(Q240&gt;0,U240&gt;0),"BuyWatch",TRUE,"")</f>
        <v/>
      </c>
      <c r="Z240" s="47" t="str">
        <f>_xlfn.XLOOKUP(Y240,Parm!$AN$2:$AN$25,Parm!$AO$2:$AO$25,"")</f>
        <v/>
      </c>
      <c r="AA240" s="286">
        <f>IF(C240&lt;&gt;-100,A240,_xlfn.XLOOKUP(B240,ssH!L:L,ssH!M:M))</f>
        <v>46140</v>
      </c>
      <c r="AB240" s="49" t="str">
        <f t="shared" si="41"/>
        <v/>
      </c>
      <c r="AC240" s="52">
        <f>_xlfn.XLOOKUP(B240,TL!C:C,TL!C:C)</f>
        <v>0</v>
      </c>
      <c r="AD240" s="52">
        <f>_xlfn.XLOOKUP(B240,Y!C:C,Y!C:C)</f>
        <v>0</v>
      </c>
      <c r="AE240" s="52">
        <f>_xlfn.XLOOKUP(B240,MA!C:C,MA!C:C)</f>
        <v>0</v>
      </c>
    </row>
    <row r="241" spans="1:31" x14ac:dyDescent="0.25">
      <c r="A241" s="29">
        <f>ssH!$AG$1</f>
        <v>46140</v>
      </c>
      <c r="C241" s="47">
        <f t="shared" si="42"/>
        <v>0</v>
      </c>
      <c r="D241" s="42">
        <f>_xlfn.XLOOKUP(ssH!$AG$3&amp;B241,ssH!A:A,ssH!D:D,0)</f>
        <v>0</v>
      </c>
      <c r="E241" s="42">
        <f>_xlfn.XLOOKUP(ssH!$AG$5&amp;B241,ssH!A:A,ssH!D:D,0)</f>
        <v>0</v>
      </c>
      <c r="F241" s="42">
        <f>_xlfn.XLOOKUP(ssH!$AG$6&amp;B241,ssH!A:A,ssH!D:D,0)</f>
        <v>0</v>
      </c>
      <c r="G241" s="48">
        <f>_xlfn.XLOOKUP(A241&amp;B241,ssH!A:A,ssH!F:F,-100%)</f>
        <v>-1</v>
      </c>
      <c r="H241" s="46">
        <f>_xlfn.XLOOKUP(ssH!$AG$3&amp;B241,ssH!A:A,ssH!F:F,0)</f>
        <v>0</v>
      </c>
      <c r="I241" s="46">
        <f>_xlfn.XLOOKUP(ssH!$AG$5&amp;B241,ssH!A:A,ssH!F:F,0)</f>
        <v>0</v>
      </c>
      <c r="J241" s="46">
        <f>_xlfn.XLOOKUP(ssH!$AG$6&amp;B241,ssH!A:A,ssH!F:F,0)</f>
        <v>0</v>
      </c>
      <c r="K241" s="46">
        <f>_xlfn.XLOOKUP(B241,ssL!C:C,ssL!G:G,"Removed")</f>
        <v>0</v>
      </c>
      <c r="L241" s="27">
        <f>_xlfn.XLOOKUP(A241&amp;B241,ssH!A:A,ssH!D:D,0)</f>
        <v>0</v>
      </c>
      <c r="M241" s="42" t="str">
        <f>_xlfn.XLOOKUP(A241&amp;B241,ssH!A:A,ssH!I:I,"")</f>
        <v/>
      </c>
      <c r="N241" s="51" t="str">
        <f t="shared" si="33"/>
        <v/>
      </c>
      <c r="O241" s="51" t="str">
        <f t="shared" si="34"/>
        <v/>
      </c>
      <c r="P241" s="51" t="str">
        <f t="shared" si="35"/>
        <v/>
      </c>
      <c r="Q241" s="52">
        <f t="shared" si="36"/>
        <v>0</v>
      </c>
      <c r="R241" s="51">
        <f t="shared" si="37"/>
        <v>2</v>
      </c>
      <c r="S241" s="51">
        <f t="shared" si="38"/>
        <v>0</v>
      </c>
      <c r="T241" s="51">
        <f t="shared" si="39"/>
        <v>0</v>
      </c>
      <c r="U241" s="52">
        <f t="shared" si="40"/>
        <v>2</v>
      </c>
      <c r="V241" s="52">
        <f t="shared" si="43"/>
        <v>0</v>
      </c>
      <c r="W241" s="52" t="str" cm="1">
        <f t="array" ref="W241">_xlfn.IFS(B241="","",AND(G241&gt;=0,L241&gt;0),"BuySome",AND(G241&gt;=0,K241="KMSignal"),"BuySome",AND(G241&lt;0,L241&gt;0),"BuyWatch",AND(Q241&lt;0,L241&gt;0),"BuyWatch",AND(G241&gt;=0,L241=0),"BuyWatch",L241&gt;0,"BuySome",TRUE,"")</f>
        <v/>
      </c>
      <c r="X241" s="47" t="str">
        <f>_xlfn.XLOOKUP(W241,Parm!$AN$2:$AN$25,Parm!$AO$2:$AO$25,"")</f>
        <v/>
      </c>
      <c r="Y241" s="52" t="str" cm="1">
        <f t="array" ref="Y241">_xlfn.IFS(B241="","",OR(Q241=-100,U241=-100),"SellAll",OR(Q241&lt;0,U241&lt;0),"SellSome",AND(Q241&gt;0,U241&gt;0),"BuySome",OR(Q241&gt;0,U241&gt;0),"BuyWatch",TRUE,"")</f>
        <v/>
      </c>
      <c r="Z241" s="47" t="str">
        <f>_xlfn.XLOOKUP(Y241,Parm!$AN$2:$AN$25,Parm!$AO$2:$AO$25,"")</f>
        <v/>
      </c>
      <c r="AA241" s="286">
        <f>IF(C241&lt;&gt;-100,A241,_xlfn.XLOOKUP(B241,ssH!L:L,ssH!M:M))</f>
        <v>46140</v>
      </c>
      <c r="AB241" s="49" t="str">
        <f t="shared" si="41"/>
        <v/>
      </c>
      <c r="AC241" s="52">
        <f>_xlfn.XLOOKUP(B241,TL!C:C,TL!C:C)</f>
        <v>0</v>
      </c>
      <c r="AD241" s="52">
        <f>_xlfn.XLOOKUP(B241,Y!C:C,Y!C:C)</f>
        <v>0</v>
      </c>
      <c r="AE241" s="52">
        <f>_xlfn.XLOOKUP(B241,MA!C:C,MA!C:C)</f>
        <v>0</v>
      </c>
    </row>
    <row r="242" spans="1:31" x14ac:dyDescent="0.25">
      <c r="A242" s="29">
        <f>ssH!$AG$1</f>
        <v>46140</v>
      </c>
      <c r="C242" s="47">
        <f t="shared" si="42"/>
        <v>0</v>
      </c>
      <c r="D242" s="42">
        <f>_xlfn.XLOOKUP(ssH!$AG$3&amp;B242,ssH!A:A,ssH!D:D,0)</f>
        <v>0</v>
      </c>
      <c r="E242" s="42">
        <f>_xlfn.XLOOKUP(ssH!$AG$5&amp;B242,ssH!A:A,ssH!D:D,0)</f>
        <v>0</v>
      </c>
      <c r="F242" s="42">
        <f>_xlfn.XLOOKUP(ssH!$AG$6&amp;B242,ssH!A:A,ssH!D:D,0)</f>
        <v>0</v>
      </c>
      <c r="G242" s="48">
        <f>_xlfn.XLOOKUP(A242&amp;B242,ssH!A:A,ssH!F:F,-100%)</f>
        <v>-1</v>
      </c>
      <c r="H242" s="46">
        <f>_xlfn.XLOOKUP(ssH!$AG$3&amp;B242,ssH!A:A,ssH!F:F,0)</f>
        <v>0</v>
      </c>
      <c r="I242" s="46">
        <f>_xlfn.XLOOKUP(ssH!$AG$5&amp;B242,ssH!A:A,ssH!F:F,0)</f>
        <v>0</v>
      </c>
      <c r="J242" s="46">
        <f>_xlfn.XLOOKUP(ssH!$AG$6&amp;B242,ssH!A:A,ssH!F:F,0)</f>
        <v>0</v>
      </c>
      <c r="K242" s="46">
        <f>_xlfn.XLOOKUP(B242,ssL!C:C,ssL!G:G,"Removed")</f>
        <v>0</v>
      </c>
      <c r="L242" s="27">
        <f>_xlfn.XLOOKUP(A242&amp;B242,ssH!A:A,ssH!D:D,0)</f>
        <v>0</v>
      </c>
      <c r="M242" s="42" t="str">
        <f>_xlfn.XLOOKUP(A242&amp;B242,ssH!A:A,ssH!I:I,"")</f>
        <v/>
      </c>
      <c r="N242" s="51" t="str">
        <f t="shared" si="33"/>
        <v/>
      </c>
      <c r="O242" s="51" t="str">
        <f t="shared" si="34"/>
        <v/>
      </c>
      <c r="P242" s="51" t="str">
        <f t="shared" si="35"/>
        <v/>
      </c>
      <c r="Q242" s="52">
        <f t="shared" si="36"/>
        <v>0</v>
      </c>
      <c r="R242" s="51">
        <f t="shared" si="37"/>
        <v>2</v>
      </c>
      <c r="S242" s="51">
        <f t="shared" si="38"/>
        <v>0</v>
      </c>
      <c r="T242" s="51">
        <f t="shared" si="39"/>
        <v>0</v>
      </c>
      <c r="U242" s="52">
        <f t="shared" si="40"/>
        <v>2</v>
      </c>
      <c r="V242" s="52">
        <f t="shared" si="43"/>
        <v>0</v>
      </c>
      <c r="W242" s="52" t="str" cm="1">
        <f t="array" ref="W242">_xlfn.IFS(B242="","",AND(G242&gt;=0,L242&gt;0),"BuySome",AND(G242&gt;=0,K242="KMSignal"),"BuySome",AND(G242&lt;0,L242&gt;0),"BuyWatch",AND(Q242&lt;0,L242&gt;0),"BuyWatch",AND(G242&gt;=0,L242=0),"BuyWatch",L242&gt;0,"BuySome",TRUE,"")</f>
        <v/>
      </c>
      <c r="X242" s="47" t="str">
        <f>_xlfn.XLOOKUP(W242,Parm!$AN$2:$AN$25,Parm!$AO$2:$AO$25,"")</f>
        <v/>
      </c>
      <c r="Y242" s="52" t="str" cm="1">
        <f t="array" ref="Y242">_xlfn.IFS(B242="","",OR(Q242=-100,U242=-100),"SellAll",OR(Q242&lt;0,U242&lt;0),"SellSome",AND(Q242&gt;0,U242&gt;0),"BuySome",OR(Q242&gt;0,U242&gt;0),"BuyWatch",TRUE,"")</f>
        <v/>
      </c>
      <c r="Z242" s="47" t="str">
        <f>_xlfn.XLOOKUP(Y242,Parm!$AN$2:$AN$25,Parm!$AO$2:$AO$25,"")</f>
        <v/>
      </c>
      <c r="AA242" s="286">
        <f>IF(C242&lt;&gt;-100,A242,_xlfn.XLOOKUP(B242,ssH!L:L,ssH!M:M))</f>
        <v>46140</v>
      </c>
      <c r="AB242" s="49" t="str">
        <f t="shared" si="41"/>
        <v/>
      </c>
      <c r="AC242" s="52">
        <f>_xlfn.XLOOKUP(B242,TL!C:C,TL!C:C)</f>
        <v>0</v>
      </c>
      <c r="AD242" s="52">
        <f>_xlfn.XLOOKUP(B242,Y!C:C,Y!C:C)</f>
        <v>0</v>
      </c>
      <c r="AE242" s="52">
        <f>_xlfn.XLOOKUP(B242,MA!C:C,MA!C:C)</f>
        <v>0</v>
      </c>
    </row>
    <row r="243" spans="1:31" x14ac:dyDescent="0.25">
      <c r="A243" s="29">
        <f>ssH!$AG$1</f>
        <v>46140</v>
      </c>
      <c r="C243" s="47">
        <f t="shared" si="42"/>
        <v>0</v>
      </c>
      <c r="D243" s="42">
        <f>_xlfn.XLOOKUP(ssH!$AG$3&amp;B243,ssH!A:A,ssH!D:D,0)</f>
        <v>0</v>
      </c>
      <c r="E243" s="42">
        <f>_xlfn.XLOOKUP(ssH!$AG$5&amp;B243,ssH!A:A,ssH!D:D,0)</f>
        <v>0</v>
      </c>
      <c r="F243" s="42">
        <f>_xlfn.XLOOKUP(ssH!$AG$6&amp;B243,ssH!A:A,ssH!D:D,0)</f>
        <v>0</v>
      </c>
      <c r="G243" s="48">
        <f>_xlfn.XLOOKUP(A243&amp;B243,ssH!A:A,ssH!F:F,-100%)</f>
        <v>-1</v>
      </c>
      <c r="H243" s="46">
        <f>_xlfn.XLOOKUP(ssH!$AG$3&amp;B243,ssH!A:A,ssH!F:F,0)</f>
        <v>0</v>
      </c>
      <c r="I243" s="46">
        <f>_xlfn.XLOOKUP(ssH!$AG$5&amp;B243,ssH!A:A,ssH!F:F,0)</f>
        <v>0</v>
      </c>
      <c r="J243" s="46">
        <f>_xlfn.XLOOKUP(ssH!$AG$6&amp;B243,ssH!A:A,ssH!F:F,0)</f>
        <v>0</v>
      </c>
      <c r="K243" s="46">
        <f>_xlfn.XLOOKUP(B243,ssL!C:C,ssL!G:G,"Removed")</f>
        <v>0</v>
      </c>
      <c r="L243" s="27">
        <f>_xlfn.XLOOKUP(A243&amp;B243,ssH!A:A,ssH!D:D,0)</f>
        <v>0</v>
      </c>
      <c r="M243" s="42" t="str">
        <f>_xlfn.XLOOKUP(A243&amp;B243,ssH!A:A,ssH!I:I,"")</f>
        <v/>
      </c>
      <c r="N243" s="51" t="str">
        <f t="shared" si="33"/>
        <v/>
      </c>
      <c r="O243" s="51" t="str">
        <f t="shared" si="34"/>
        <v/>
      </c>
      <c r="P243" s="51" t="str">
        <f t="shared" si="35"/>
        <v/>
      </c>
      <c r="Q243" s="52">
        <f t="shared" si="36"/>
        <v>0</v>
      </c>
      <c r="R243" s="51">
        <f t="shared" si="37"/>
        <v>2</v>
      </c>
      <c r="S243" s="51">
        <f t="shared" si="38"/>
        <v>0</v>
      </c>
      <c r="T243" s="51">
        <f t="shared" si="39"/>
        <v>0</v>
      </c>
      <c r="U243" s="52">
        <f t="shared" si="40"/>
        <v>2</v>
      </c>
      <c r="V243" s="52">
        <f t="shared" si="43"/>
        <v>0</v>
      </c>
      <c r="W243" s="52" t="str" cm="1">
        <f t="array" ref="W243">_xlfn.IFS(B243="","",AND(G243&gt;=0,L243&gt;0),"BuySome",AND(G243&gt;=0,K243="KMSignal"),"BuySome",AND(G243&lt;0,L243&gt;0),"BuyWatch",AND(Q243&lt;0,L243&gt;0),"BuyWatch",AND(G243&gt;=0,L243=0),"BuyWatch",L243&gt;0,"BuySome",TRUE,"")</f>
        <v/>
      </c>
      <c r="X243" s="47" t="str">
        <f>_xlfn.XLOOKUP(W243,Parm!$AN$2:$AN$25,Parm!$AO$2:$AO$25,"")</f>
        <v/>
      </c>
      <c r="Y243" s="52" t="str" cm="1">
        <f t="array" ref="Y243">_xlfn.IFS(B243="","",OR(Q243=-100,U243=-100),"SellAll",OR(Q243&lt;0,U243&lt;0),"SellSome",AND(Q243&gt;0,U243&gt;0),"BuySome",OR(Q243&gt;0,U243&gt;0),"BuyWatch",TRUE,"")</f>
        <v/>
      </c>
      <c r="Z243" s="47" t="str">
        <f>_xlfn.XLOOKUP(Y243,Parm!$AN$2:$AN$25,Parm!$AO$2:$AO$25,"")</f>
        <v/>
      </c>
      <c r="AA243" s="286">
        <f>IF(C243&lt;&gt;-100,A243,_xlfn.XLOOKUP(B243,ssH!L:L,ssH!M:M))</f>
        <v>46140</v>
      </c>
      <c r="AB243" s="49" t="str">
        <f t="shared" si="41"/>
        <v/>
      </c>
      <c r="AC243" s="52">
        <f>_xlfn.XLOOKUP(B243,TL!C:C,TL!C:C)</f>
        <v>0</v>
      </c>
      <c r="AD243" s="52">
        <f>_xlfn.XLOOKUP(B243,Y!C:C,Y!C:C)</f>
        <v>0</v>
      </c>
      <c r="AE243" s="52">
        <f>_xlfn.XLOOKUP(B243,MA!C:C,MA!C:C)</f>
        <v>0</v>
      </c>
    </row>
    <row r="244" spans="1:31" x14ac:dyDescent="0.25">
      <c r="A244" s="29">
        <f>ssH!$AG$1</f>
        <v>46140</v>
      </c>
      <c r="C244" s="47">
        <f t="shared" si="42"/>
        <v>0</v>
      </c>
      <c r="D244" s="42">
        <f>_xlfn.XLOOKUP(ssH!$AG$3&amp;B244,ssH!A:A,ssH!D:D,0)</f>
        <v>0</v>
      </c>
      <c r="E244" s="42">
        <f>_xlfn.XLOOKUP(ssH!$AG$5&amp;B244,ssH!A:A,ssH!D:D,0)</f>
        <v>0</v>
      </c>
      <c r="F244" s="42">
        <f>_xlfn.XLOOKUP(ssH!$AG$6&amp;B244,ssH!A:A,ssH!D:D,0)</f>
        <v>0</v>
      </c>
      <c r="G244" s="48">
        <f>_xlfn.XLOOKUP(A244&amp;B244,ssH!A:A,ssH!F:F,-100%)</f>
        <v>-1</v>
      </c>
      <c r="H244" s="46">
        <f>_xlfn.XLOOKUP(ssH!$AG$3&amp;B244,ssH!A:A,ssH!F:F,0)</f>
        <v>0</v>
      </c>
      <c r="I244" s="46">
        <f>_xlfn.XLOOKUP(ssH!$AG$5&amp;B244,ssH!A:A,ssH!F:F,0)</f>
        <v>0</v>
      </c>
      <c r="J244" s="46">
        <f>_xlfn.XLOOKUP(ssH!$AG$6&amp;B244,ssH!A:A,ssH!F:F,0)</f>
        <v>0</v>
      </c>
      <c r="K244" s="46">
        <f>_xlfn.XLOOKUP(B244,ssL!C:C,ssL!G:G,"Removed")</f>
        <v>0</v>
      </c>
      <c r="L244" s="27">
        <f>_xlfn.XLOOKUP(A244&amp;B244,ssH!A:A,ssH!D:D,0)</f>
        <v>0</v>
      </c>
      <c r="M244" s="42" t="str">
        <f>_xlfn.XLOOKUP(A244&amp;B244,ssH!A:A,ssH!I:I,"")</f>
        <v/>
      </c>
      <c r="N244" s="51" t="str">
        <f t="shared" si="33"/>
        <v/>
      </c>
      <c r="O244" s="51" t="str">
        <f t="shared" si="34"/>
        <v/>
      </c>
      <c r="P244" s="51" t="str">
        <f t="shared" si="35"/>
        <v/>
      </c>
      <c r="Q244" s="52">
        <f t="shared" si="36"/>
        <v>0</v>
      </c>
      <c r="R244" s="51">
        <f t="shared" si="37"/>
        <v>2</v>
      </c>
      <c r="S244" s="51">
        <f t="shared" si="38"/>
        <v>0</v>
      </c>
      <c r="T244" s="51">
        <f t="shared" si="39"/>
        <v>0</v>
      </c>
      <c r="U244" s="52">
        <f t="shared" si="40"/>
        <v>2</v>
      </c>
      <c r="V244" s="52">
        <f t="shared" si="43"/>
        <v>0</v>
      </c>
      <c r="W244" s="52" t="str" cm="1">
        <f t="array" ref="W244">_xlfn.IFS(B244="","",AND(G244&gt;=0,L244&gt;0),"BuySome",AND(G244&gt;=0,K244="KMSignal"),"BuySome",AND(G244&lt;0,L244&gt;0),"BuyWatch",AND(Q244&lt;0,L244&gt;0),"BuyWatch",AND(G244&gt;=0,L244=0),"BuyWatch",L244&gt;0,"BuySome",TRUE,"")</f>
        <v/>
      </c>
      <c r="X244" s="47" t="str">
        <f>_xlfn.XLOOKUP(W244,Parm!$AN$2:$AN$25,Parm!$AO$2:$AO$25,"")</f>
        <v/>
      </c>
      <c r="Y244" s="52" t="str" cm="1">
        <f t="array" ref="Y244">_xlfn.IFS(B244="","",OR(Q244=-100,U244=-100),"SellAll",OR(Q244&lt;0,U244&lt;0),"SellSome",AND(Q244&gt;0,U244&gt;0),"BuySome",OR(Q244&gt;0,U244&gt;0),"BuyWatch",TRUE,"")</f>
        <v/>
      </c>
      <c r="Z244" s="47" t="str">
        <f>_xlfn.XLOOKUP(Y244,Parm!$AN$2:$AN$25,Parm!$AO$2:$AO$25,"")</f>
        <v/>
      </c>
      <c r="AA244" s="286">
        <f>IF(C244&lt;&gt;-100,A244,_xlfn.XLOOKUP(B244,ssH!L:L,ssH!M:M))</f>
        <v>46140</v>
      </c>
      <c r="AB244" s="49" t="str">
        <f t="shared" si="41"/>
        <v/>
      </c>
      <c r="AC244" s="52">
        <f>_xlfn.XLOOKUP(B244,TL!C:C,TL!C:C)</f>
        <v>0</v>
      </c>
      <c r="AD244" s="52">
        <f>_xlfn.XLOOKUP(B244,Y!C:C,Y!C:C)</f>
        <v>0</v>
      </c>
      <c r="AE244" s="52">
        <f>_xlfn.XLOOKUP(B244,MA!C:C,MA!C:C)</f>
        <v>0</v>
      </c>
    </row>
    <row r="245" spans="1:31" x14ac:dyDescent="0.25">
      <c r="A245" s="29">
        <f>ssH!$AG$1</f>
        <v>46140</v>
      </c>
      <c r="C245" s="47">
        <f t="shared" si="42"/>
        <v>0</v>
      </c>
      <c r="D245" s="42">
        <f>_xlfn.XLOOKUP(ssH!$AG$3&amp;B245,ssH!A:A,ssH!D:D,0)</f>
        <v>0</v>
      </c>
      <c r="E245" s="42">
        <f>_xlfn.XLOOKUP(ssH!$AG$5&amp;B245,ssH!A:A,ssH!D:D,0)</f>
        <v>0</v>
      </c>
      <c r="F245" s="42">
        <f>_xlfn.XLOOKUP(ssH!$AG$6&amp;B245,ssH!A:A,ssH!D:D,0)</f>
        <v>0</v>
      </c>
      <c r="G245" s="48">
        <f>_xlfn.XLOOKUP(A245&amp;B245,ssH!A:A,ssH!F:F,-100%)</f>
        <v>-1</v>
      </c>
      <c r="H245" s="46">
        <f>_xlfn.XLOOKUP(ssH!$AG$3&amp;B245,ssH!A:A,ssH!F:F,0)</f>
        <v>0</v>
      </c>
      <c r="I245" s="46">
        <f>_xlfn.XLOOKUP(ssH!$AG$5&amp;B245,ssH!A:A,ssH!F:F,0)</f>
        <v>0</v>
      </c>
      <c r="J245" s="46">
        <f>_xlfn.XLOOKUP(ssH!$AG$6&amp;B245,ssH!A:A,ssH!F:F,0)</f>
        <v>0</v>
      </c>
      <c r="K245" s="46">
        <f>_xlfn.XLOOKUP(B245,ssL!C:C,ssL!G:G,"Removed")</f>
        <v>0</v>
      </c>
      <c r="L245" s="27">
        <f>_xlfn.XLOOKUP(A245&amp;B245,ssH!A:A,ssH!D:D,0)</f>
        <v>0</v>
      </c>
      <c r="M245" s="42" t="str">
        <f>_xlfn.XLOOKUP(A245&amp;B245,ssH!A:A,ssH!I:I,"")</f>
        <v/>
      </c>
      <c r="N245" s="51" t="str">
        <f t="shared" si="33"/>
        <v/>
      </c>
      <c r="O245" s="51" t="str">
        <f t="shared" si="34"/>
        <v/>
      </c>
      <c r="P245" s="51" t="str">
        <f t="shared" si="35"/>
        <v/>
      </c>
      <c r="Q245" s="52">
        <f t="shared" si="36"/>
        <v>0</v>
      </c>
      <c r="R245" s="51">
        <f t="shared" si="37"/>
        <v>2</v>
      </c>
      <c r="S245" s="51">
        <f t="shared" si="38"/>
        <v>0</v>
      </c>
      <c r="T245" s="51">
        <f t="shared" si="39"/>
        <v>0</v>
      </c>
      <c r="U245" s="52">
        <f t="shared" si="40"/>
        <v>2</v>
      </c>
      <c r="V245" s="52">
        <f t="shared" si="43"/>
        <v>0</v>
      </c>
      <c r="W245" s="52" t="str" cm="1">
        <f t="array" ref="W245">_xlfn.IFS(B245="","",AND(G245&gt;=0,L245&gt;0),"BuySome",AND(G245&gt;=0,K245="KMSignal"),"BuySome",AND(G245&lt;0,L245&gt;0),"BuyWatch",AND(Q245&lt;0,L245&gt;0),"BuyWatch",AND(G245&gt;=0,L245=0),"BuyWatch",L245&gt;0,"BuySome",TRUE,"")</f>
        <v/>
      </c>
      <c r="X245" s="47" t="str">
        <f>_xlfn.XLOOKUP(W245,Parm!$AN$2:$AN$25,Parm!$AO$2:$AO$25,"")</f>
        <v/>
      </c>
      <c r="Y245" s="52" t="str" cm="1">
        <f t="array" ref="Y245">_xlfn.IFS(B245="","",OR(Q245=-100,U245=-100),"SellAll",OR(Q245&lt;0,U245&lt;0),"SellSome",AND(Q245&gt;0,U245&gt;0),"BuySome",OR(Q245&gt;0,U245&gt;0),"BuyWatch",TRUE,"")</f>
        <v/>
      </c>
      <c r="Z245" s="47" t="str">
        <f>_xlfn.XLOOKUP(Y245,Parm!$AN$2:$AN$25,Parm!$AO$2:$AO$25,"")</f>
        <v/>
      </c>
      <c r="AA245" s="286">
        <f>IF(C245&lt;&gt;-100,A245,_xlfn.XLOOKUP(B245,ssH!L:L,ssH!M:M))</f>
        <v>46140</v>
      </c>
      <c r="AB245" s="49" t="str">
        <f t="shared" si="41"/>
        <v/>
      </c>
      <c r="AC245" s="52">
        <f>_xlfn.XLOOKUP(B245,TL!C:C,TL!C:C)</f>
        <v>0</v>
      </c>
      <c r="AD245" s="52">
        <f>_xlfn.XLOOKUP(B245,Y!C:C,Y!C:C)</f>
        <v>0</v>
      </c>
      <c r="AE245" s="52">
        <f>_xlfn.XLOOKUP(B245,MA!C:C,MA!C:C)</f>
        <v>0</v>
      </c>
    </row>
    <row r="246" spans="1:31" x14ac:dyDescent="0.25">
      <c r="A246" s="29">
        <f>ssH!$AG$1</f>
        <v>46140</v>
      </c>
      <c r="C246" s="47">
        <f t="shared" si="42"/>
        <v>0</v>
      </c>
      <c r="D246" s="42">
        <f>_xlfn.XLOOKUP(ssH!$AG$3&amp;B246,ssH!A:A,ssH!D:D,0)</f>
        <v>0</v>
      </c>
      <c r="E246" s="42">
        <f>_xlfn.XLOOKUP(ssH!$AG$5&amp;B246,ssH!A:A,ssH!D:D,0)</f>
        <v>0</v>
      </c>
      <c r="F246" s="42">
        <f>_xlfn.XLOOKUP(ssH!$AG$6&amp;B246,ssH!A:A,ssH!D:D,0)</f>
        <v>0</v>
      </c>
      <c r="G246" s="48">
        <f>_xlfn.XLOOKUP(A246&amp;B246,ssH!A:A,ssH!F:F,-100%)</f>
        <v>-1</v>
      </c>
      <c r="H246" s="46">
        <f>_xlfn.XLOOKUP(ssH!$AG$3&amp;B246,ssH!A:A,ssH!F:F,0)</f>
        <v>0</v>
      </c>
      <c r="I246" s="46">
        <f>_xlfn.XLOOKUP(ssH!$AG$5&amp;B246,ssH!A:A,ssH!F:F,0)</f>
        <v>0</v>
      </c>
      <c r="J246" s="46">
        <f>_xlfn.XLOOKUP(ssH!$AG$6&amp;B246,ssH!A:A,ssH!F:F,0)</f>
        <v>0</v>
      </c>
      <c r="K246" s="46">
        <f>_xlfn.XLOOKUP(B246,ssL!C:C,ssL!G:G,"Removed")</f>
        <v>0</v>
      </c>
      <c r="L246" s="27">
        <f>_xlfn.XLOOKUP(A246&amp;B246,ssH!A:A,ssH!D:D,0)</f>
        <v>0</v>
      </c>
      <c r="M246" s="42" t="str">
        <f>_xlfn.XLOOKUP(A246&amp;B246,ssH!A:A,ssH!I:I,"")</f>
        <v/>
      </c>
      <c r="N246" s="51" t="str">
        <f t="shared" si="33"/>
        <v/>
      </c>
      <c r="O246" s="51" t="str">
        <f t="shared" si="34"/>
        <v/>
      </c>
      <c r="P246" s="51" t="str">
        <f t="shared" si="35"/>
        <v/>
      </c>
      <c r="Q246" s="52">
        <f t="shared" si="36"/>
        <v>0</v>
      </c>
      <c r="R246" s="51">
        <f t="shared" si="37"/>
        <v>2</v>
      </c>
      <c r="S246" s="51">
        <f t="shared" si="38"/>
        <v>0</v>
      </c>
      <c r="T246" s="51">
        <f t="shared" si="39"/>
        <v>0</v>
      </c>
      <c r="U246" s="52">
        <f t="shared" si="40"/>
        <v>2</v>
      </c>
      <c r="V246" s="52">
        <f t="shared" si="43"/>
        <v>0</v>
      </c>
      <c r="W246" s="52" t="str" cm="1">
        <f t="array" ref="W246">_xlfn.IFS(B246="","",AND(G246&gt;=0,L246&gt;0),"BuySome",AND(G246&gt;=0,K246="KMSignal"),"BuySome",AND(G246&lt;0,L246&gt;0),"BuyWatch",AND(Q246&lt;0,L246&gt;0),"BuyWatch",AND(G246&gt;=0,L246=0),"BuyWatch",L246&gt;0,"BuySome",TRUE,"")</f>
        <v/>
      </c>
      <c r="X246" s="47" t="str">
        <f>_xlfn.XLOOKUP(W246,Parm!$AN$2:$AN$25,Parm!$AO$2:$AO$25,"")</f>
        <v/>
      </c>
      <c r="Y246" s="52" t="str" cm="1">
        <f t="array" ref="Y246">_xlfn.IFS(B246="","",OR(Q246=-100,U246=-100),"SellAll",OR(Q246&lt;0,U246&lt;0),"SellSome",AND(Q246&gt;0,U246&gt;0),"BuySome",OR(Q246&gt;0,U246&gt;0),"BuyWatch",TRUE,"")</f>
        <v/>
      </c>
      <c r="Z246" s="47" t="str">
        <f>_xlfn.XLOOKUP(Y246,Parm!$AN$2:$AN$25,Parm!$AO$2:$AO$25,"")</f>
        <v/>
      </c>
      <c r="AA246" s="286">
        <f>IF(C246&lt;&gt;-100,A246,_xlfn.XLOOKUP(B246,ssH!L:L,ssH!M:M))</f>
        <v>46140</v>
      </c>
      <c r="AB246" s="49" t="str">
        <f t="shared" si="41"/>
        <v/>
      </c>
      <c r="AC246" s="52">
        <f>_xlfn.XLOOKUP(B246,TL!C:C,TL!C:C)</f>
        <v>0</v>
      </c>
      <c r="AD246" s="52">
        <f>_xlfn.XLOOKUP(B246,Y!C:C,Y!C:C)</f>
        <v>0</v>
      </c>
      <c r="AE246" s="52">
        <f>_xlfn.XLOOKUP(B246,MA!C:C,MA!C:C)</f>
        <v>0</v>
      </c>
    </row>
    <row r="247" spans="1:31" x14ac:dyDescent="0.25">
      <c r="A247" s="29">
        <f>ssH!$AG$1</f>
        <v>46140</v>
      </c>
      <c r="C247" s="47">
        <f t="shared" si="42"/>
        <v>0</v>
      </c>
      <c r="D247" s="42">
        <f>_xlfn.XLOOKUP(ssH!$AG$3&amp;B247,ssH!A:A,ssH!D:D,0)</f>
        <v>0</v>
      </c>
      <c r="E247" s="42">
        <f>_xlfn.XLOOKUP(ssH!$AG$5&amp;B247,ssH!A:A,ssH!D:D,0)</f>
        <v>0</v>
      </c>
      <c r="F247" s="42">
        <f>_xlfn.XLOOKUP(ssH!$AG$6&amp;B247,ssH!A:A,ssH!D:D,0)</f>
        <v>0</v>
      </c>
      <c r="G247" s="48">
        <f>_xlfn.XLOOKUP(A247&amp;B247,ssH!A:A,ssH!F:F,-100%)</f>
        <v>-1</v>
      </c>
      <c r="H247" s="46">
        <f>_xlfn.XLOOKUP(ssH!$AG$3&amp;B247,ssH!A:A,ssH!F:F,0)</f>
        <v>0</v>
      </c>
      <c r="I247" s="46">
        <f>_xlfn.XLOOKUP(ssH!$AG$5&amp;B247,ssH!A:A,ssH!F:F,0)</f>
        <v>0</v>
      </c>
      <c r="J247" s="46">
        <f>_xlfn.XLOOKUP(ssH!$AG$6&amp;B247,ssH!A:A,ssH!F:F,0)</f>
        <v>0</v>
      </c>
      <c r="K247" s="46">
        <f>_xlfn.XLOOKUP(B247,ssL!C:C,ssL!G:G,"Removed")</f>
        <v>0</v>
      </c>
      <c r="L247" s="27">
        <f>_xlfn.XLOOKUP(A247&amp;B247,ssH!A:A,ssH!D:D,0)</f>
        <v>0</v>
      </c>
      <c r="M247" s="42" t="str">
        <f>_xlfn.XLOOKUP(A247&amp;B247,ssH!A:A,ssH!I:I,"")</f>
        <v/>
      </c>
      <c r="N247" s="51" t="str">
        <f t="shared" si="33"/>
        <v/>
      </c>
      <c r="O247" s="51" t="str">
        <f t="shared" si="34"/>
        <v/>
      </c>
      <c r="P247" s="51" t="str">
        <f t="shared" si="35"/>
        <v/>
      </c>
      <c r="Q247" s="52">
        <f t="shared" si="36"/>
        <v>0</v>
      </c>
      <c r="R247" s="51">
        <f t="shared" si="37"/>
        <v>2</v>
      </c>
      <c r="S247" s="51">
        <f t="shared" si="38"/>
        <v>0</v>
      </c>
      <c r="T247" s="51">
        <f t="shared" si="39"/>
        <v>0</v>
      </c>
      <c r="U247" s="52">
        <f t="shared" si="40"/>
        <v>2</v>
      </c>
      <c r="V247" s="52">
        <f t="shared" si="43"/>
        <v>0</v>
      </c>
      <c r="W247" s="52" t="str" cm="1">
        <f t="array" ref="W247">_xlfn.IFS(B247="","",AND(G247&gt;=0,L247&gt;0),"BuySome",AND(G247&gt;=0,K247="KMSignal"),"BuySome",AND(G247&lt;0,L247&gt;0),"BuyWatch",AND(Q247&lt;0,L247&gt;0),"BuyWatch",AND(G247&gt;=0,L247=0),"BuyWatch",L247&gt;0,"BuySome",TRUE,"")</f>
        <v/>
      </c>
      <c r="X247" s="47" t="str">
        <f>_xlfn.XLOOKUP(W247,Parm!$AN$2:$AN$25,Parm!$AO$2:$AO$25,"")</f>
        <v/>
      </c>
      <c r="Y247" s="52" t="str" cm="1">
        <f t="array" ref="Y247">_xlfn.IFS(B247="","",OR(Q247=-100,U247=-100),"SellAll",OR(Q247&lt;0,U247&lt;0),"SellSome",AND(Q247&gt;0,U247&gt;0),"BuySome",OR(Q247&gt;0,U247&gt;0),"BuyWatch",TRUE,"")</f>
        <v/>
      </c>
      <c r="Z247" s="47" t="str">
        <f>_xlfn.XLOOKUP(Y247,Parm!$AN$2:$AN$25,Parm!$AO$2:$AO$25,"")</f>
        <v/>
      </c>
      <c r="AA247" s="286">
        <f>IF(C247&lt;&gt;-100,A247,_xlfn.XLOOKUP(B247,ssH!L:L,ssH!M:M))</f>
        <v>46140</v>
      </c>
      <c r="AB247" s="49" t="str">
        <f t="shared" si="41"/>
        <v/>
      </c>
      <c r="AC247" s="52">
        <f>_xlfn.XLOOKUP(B247,TL!C:C,TL!C:C)</f>
        <v>0</v>
      </c>
      <c r="AD247" s="52">
        <f>_xlfn.XLOOKUP(B247,Y!C:C,Y!C:C)</f>
        <v>0</v>
      </c>
      <c r="AE247" s="52">
        <f>_xlfn.XLOOKUP(B247,MA!C:C,MA!C:C)</f>
        <v>0</v>
      </c>
    </row>
    <row r="248" spans="1:31" x14ac:dyDescent="0.25">
      <c r="A248" s="29">
        <f>ssH!$AG$1</f>
        <v>46140</v>
      </c>
      <c r="C248" s="47">
        <f t="shared" si="42"/>
        <v>0</v>
      </c>
      <c r="D248" s="42">
        <f>_xlfn.XLOOKUP(ssH!$AG$3&amp;B248,ssH!A:A,ssH!D:D,0)</f>
        <v>0</v>
      </c>
      <c r="E248" s="42">
        <f>_xlfn.XLOOKUP(ssH!$AG$5&amp;B248,ssH!A:A,ssH!D:D,0)</f>
        <v>0</v>
      </c>
      <c r="F248" s="42">
        <f>_xlfn.XLOOKUP(ssH!$AG$6&amp;B248,ssH!A:A,ssH!D:D,0)</f>
        <v>0</v>
      </c>
      <c r="G248" s="48">
        <f>_xlfn.XLOOKUP(A248&amp;B248,ssH!A:A,ssH!F:F,-100%)</f>
        <v>-1</v>
      </c>
      <c r="H248" s="46">
        <f>_xlfn.XLOOKUP(ssH!$AG$3&amp;B248,ssH!A:A,ssH!F:F,0)</f>
        <v>0</v>
      </c>
      <c r="I248" s="46">
        <f>_xlfn.XLOOKUP(ssH!$AG$5&amp;B248,ssH!A:A,ssH!F:F,0)</f>
        <v>0</v>
      </c>
      <c r="J248" s="46">
        <f>_xlfn.XLOOKUP(ssH!$AG$6&amp;B248,ssH!A:A,ssH!F:F,0)</f>
        <v>0</v>
      </c>
      <c r="K248" s="46">
        <f>_xlfn.XLOOKUP(B248,ssL!C:C,ssL!G:G,"Removed")</f>
        <v>0</v>
      </c>
      <c r="L248" s="27">
        <f>_xlfn.XLOOKUP(A248&amp;B248,ssH!A:A,ssH!D:D,0)</f>
        <v>0</v>
      </c>
      <c r="M248" s="42" t="str">
        <f>_xlfn.XLOOKUP(A248&amp;B248,ssH!A:A,ssH!I:I,"")</f>
        <v/>
      </c>
      <c r="N248" s="51" t="str">
        <f t="shared" si="33"/>
        <v/>
      </c>
      <c r="O248" s="51" t="str">
        <f t="shared" si="34"/>
        <v/>
      </c>
      <c r="P248" s="51" t="str">
        <f t="shared" si="35"/>
        <v/>
      </c>
      <c r="Q248" s="52">
        <f t="shared" si="36"/>
        <v>0</v>
      </c>
      <c r="R248" s="51">
        <f t="shared" si="37"/>
        <v>2</v>
      </c>
      <c r="S248" s="51">
        <f t="shared" si="38"/>
        <v>0</v>
      </c>
      <c r="T248" s="51">
        <f t="shared" si="39"/>
        <v>0</v>
      </c>
      <c r="U248" s="52">
        <f t="shared" si="40"/>
        <v>2</v>
      </c>
      <c r="V248" s="52">
        <f t="shared" si="43"/>
        <v>0</v>
      </c>
      <c r="W248" s="52" t="str" cm="1">
        <f t="array" ref="W248">_xlfn.IFS(B248="","",AND(G248&gt;=0,L248&gt;0),"BuySome",AND(G248&gt;=0,K248="KMSignal"),"BuySome",AND(G248&lt;0,L248&gt;0),"BuyWatch",AND(Q248&lt;0,L248&gt;0),"BuyWatch",AND(G248&gt;=0,L248=0),"BuyWatch",L248&gt;0,"BuySome",TRUE,"")</f>
        <v/>
      </c>
      <c r="X248" s="47" t="str">
        <f>_xlfn.XLOOKUP(W248,Parm!$AN$2:$AN$25,Parm!$AO$2:$AO$25,"")</f>
        <v/>
      </c>
      <c r="Y248" s="52" t="str" cm="1">
        <f t="array" ref="Y248">_xlfn.IFS(B248="","",OR(Q248=-100,U248=-100),"SellAll",OR(Q248&lt;0,U248&lt;0),"SellSome",AND(Q248&gt;0,U248&gt;0),"BuySome",OR(Q248&gt;0,U248&gt;0),"BuyWatch",TRUE,"")</f>
        <v/>
      </c>
      <c r="Z248" s="47" t="str">
        <f>_xlfn.XLOOKUP(Y248,Parm!$AN$2:$AN$25,Parm!$AO$2:$AO$25,"")</f>
        <v/>
      </c>
      <c r="AA248" s="286">
        <f>IF(C248&lt;&gt;-100,A248,_xlfn.XLOOKUP(B248,ssH!L:L,ssH!M:M))</f>
        <v>46140</v>
      </c>
      <c r="AB248" s="49" t="str">
        <f t="shared" si="41"/>
        <v/>
      </c>
      <c r="AC248" s="52">
        <f>_xlfn.XLOOKUP(B248,TL!C:C,TL!C:C)</f>
        <v>0</v>
      </c>
      <c r="AD248" s="52">
        <f>_xlfn.XLOOKUP(B248,Y!C:C,Y!C:C)</f>
        <v>0</v>
      </c>
      <c r="AE248" s="52">
        <f>_xlfn.XLOOKUP(B248,MA!C:C,MA!C:C)</f>
        <v>0</v>
      </c>
    </row>
    <row r="249" spans="1:31" x14ac:dyDescent="0.25">
      <c r="A249" s="29">
        <f>ssH!$AG$1</f>
        <v>46140</v>
      </c>
      <c r="C249" s="47">
        <f t="shared" si="42"/>
        <v>0</v>
      </c>
      <c r="D249" s="42">
        <f>_xlfn.XLOOKUP(ssH!$AG$3&amp;B249,ssH!A:A,ssH!D:D,0)</f>
        <v>0</v>
      </c>
      <c r="E249" s="42">
        <f>_xlfn.XLOOKUP(ssH!$AG$5&amp;B249,ssH!A:A,ssH!D:D,0)</f>
        <v>0</v>
      </c>
      <c r="F249" s="42">
        <f>_xlfn.XLOOKUP(ssH!$AG$6&amp;B249,ssH!A:A,ssH!D:D,0)</f>
        <v>0</v>
      </c>
      <c r="G249" s="48">
        <f>_xlfn.XLOOKUP(A249&amp;B249,ssH!A:A,ssH!F:F,-100%)</f>
        <v>-1</v>
      </c>
      <c r="H249" s="46">
        <f>_xlfn.XLOOKUP(ssH!$AG$3&amp;B249,ssH!A:A,ssH!F:F,0)</f>
        <v>0</v>
      </c>
      <c r="I249" s="46">
        <f>_xlfn.XLOOKUP(ssH!$AG$5&amp;B249,ssH!A:A,ssH!F:F,0)</f>
        <v>0</v>
      </c>
      <c r="J249" s="46">
        <f>_xlfn.XLOOKUP(ssH!$AG$6&amp;B249,ssH!A:A,ssH!F:F,0)</f>
        <v>0</v>
      </c>
      <c r="K249" s="46">
        <f>_xlfn.XLOOKUP(B249,ssL!C:C,ssL!G:G,"Removed")</f>
        <v>0</v>
      </c>
      <c r="L249" s="27">
        <f>_xlfn.XLOOKUP(A249&amp;B249,ssH!A:A,ssH!D:D,0)</f>
        <v>0</v>
      </c>
      <c r="M249" s="42" t="str">
        <f>_xlfn.XLOOKUP(A249&amp;B249,ssH!A:A,ssH!I:I,"")</f>
        <v/>
      </c>
      <c r="N249" s="51" t="str">
        <f t="shared" si="33"/>
        <v/>
      </c>
      <c r="O249" s="51" t="str">
        <f t="shared" si="34"/>
        <v/>
      </c>
      <c r="P249" s="51" t="str">
        <f t="shared" si="35"/>
        <v/>
      </c>
      <c r="Q249" s="52">
        <f t="shared" si="36"/>
        <v>0</v>
      </c>
      <c r="R249" s="51">
        <f t="shared" si="37"/>
        <v>2</v>
      </c>
      <c r="S249" s="51">
        <f t="shared" si="38"/>
        <v>0</v>
      </c>
      <c r="T249" s="51">
        <f t="shared" si="39"/>
        <v>0</v>
      </c>
      <c r="U249" s="52">
        <f t="shared" si="40"/>
        <v>2</v>
      </c>
      <c r="V249" s="52">
        <f t="shared" si="43"/>
        <v>0</v>
      </c>
      <c r="W249" s="52" t="str" cm="1">
        <f t="array" ref="W249">_xlfn.IFS(B249="","",AND(G249&gt;=0,L249&gt;0),"BuySome",AND(G249&gt;=0,K249="KMSignal"),"BuySome",AND(G249&lt;0,L249&gt;0),"BuyWatch",AND(Q249&lt;0,L249&gt;0),"BuyWatch",AND(G249&gt;=0,L249=0),"BuyWatch",L249&gt;0,"BuySome",TRUE,"")</f>
        <v/>
      </c>
      <c r="X249" s="47" t="str">
        <f>_xlfn.XLOOKUP(W249,Parm!$AN$2:$AN$25,Parm!$AO$2:$AO$25,"")</f>
        <v/>
      </c>
      <c r="Y249" s="52" t="str" cm="1">
        <f t="array" ref="Y249">_xlfn.IFS(B249="","",OR(Q249=-100,U249=-100),"SellAll",OR(Q249&lt;0,U249&lt;0),"SellSome",AND(Q249&gt;0,U249&gt;0),"BuySome",OR(Q249&gt;0,U249&gt;0),"BuyWatch",TRUE,"")</f>
        <v/>
      </c>
      <c r="Z249" s="47" t="str">
        <f>_xlfn.XLOOKUP(Y249,Parm!$AN$2:$AN$25,Parm!$AO$2:$AO$25,"")</f>
        <v/>
      </c>
      <c r="AA249" s="286">
        <f>IF(C249&lt;&gt;-100,A249,_xlfn.XLOOKUP(B249,ssH!L:L,ssH!M:M))</f>
        <v>46140</v>
      </c>
      <c r="AB249" s="49" t="str">
        <f t="shared" si="41"/>
        <v/>
      </c>
      <c r="AC249" s="52">
        <f>_xlfn.XLOOKUP(B249,TL!C:C,TL!C:C)</f>
        <v>0</v>
      </c>
      <c r="AD249" s="52">
        <f>_xlfn.XLOOKUP(B249,Y!C:C,Y!C:C)</f>
        <v>0</v>
      </c>
      <c r="AE249" s="52">
        <f>_xlfn.XLOOKUP(B249,MA!C:C,MA!C:C)</f>
        <v>0</v>
      </c>
    </row>
    <row r="250" spans="1:31" x14ac:dyDescent="0.25">
      <c r="A250" s="29">
        <f>ssH!$AG$1</f>
        <v>46140</v>
      </c>
      <c r="C250" s="47">
        <f t="shared" si="42"/>
        <v>0</v>
      </c>
      <c r="D250" s="42">
        <f>_xlfn.XLOOKUP(ssH!$AG$3&amp;B250,ssH!A:A,ssH!D:D,0)</f>
        <v>0</v>
      </c>
      <c r="E250" s="42">
        <f>_xlfn.XLOOKUP(ssH!$AG$5&amp;B250,ssH!A:A,ssH!D:D,0)</f>
        <v>0</v>
      </c>
      <c r="F250" s="42">
        <f>_xlfn.XLOOKUP(ssH!$AG$6&amp;B250,ssH!A:A,ssH!D:D,0)</f>
        <v>0</v>
      </c>
      <c r="G250" s="48">
        <f>_xlfn.XLOOKUP(A250&amp;B250,ssH!A:A,ssH!F:F,-100%)</f>
        <v>-1</v>
      </c>
      <c r="H250" s="46">
        <f>_xlfn.XLOOKUP(ssH!$AG$3&amp;B250,ssH!A:A,ssH!F:F,0)</f>
        <v>0</v>
      </c>
      <c r="I250" s="46">
        <f>_xlfn.XLOOKUP(ssH!$AG$5&amp;B250,ssH!A:A,ssH!F:F,0)</f>
        <v>0</v>
      </c>
      <c r="J250" s="46">
        <f>_xlfn.XLOOKUP(ssH!$AG$6&amp;B250,ssH!A:A,ssH!F:F,0)</f>
        <v>0</v>
      </c>
      <c r="K250" s="46">
        <f>_xlfn.XLOOKUP(B250,ssL!C:C,ssL!G:G,"Removed")</f>
        <v>0</v>
      </c>
      <c r="L250" s="27">
        <f>_xlfn.XLOOKUP(A250&amp;B250,ssH!A:A,ssH!D:D,0)</f>
        <v>0</v>
      </c>
      <c r="M250" s="42" t="str">
        <f>_xlfn.XLOOKUP(A250&amp;B250,ssH!A:A,ssH!I:I,"")</f>
        <v/>
      </c>
      <c r="N250" s="51" t="str">
        <f t="shared" si="33"/>
        <v/>
      </c>
      <c r="O250" s="51" t="str">
        <f t="shared" si="34"/>
        <v/>
      </c>
      <c r="P250" s="51" t="str">
        <f t="shared" si="35"/>
        <v/>
      </c>
      <c r="Q250" s="52">
        <f t="shared" si="36"/>
        <v>0</v>
      </c>
      <c r="R250" s="51">
        <f t="shared" si="37"/>
        <v>2</v>
      </c>
      <c r="S250" s="51">
        <f t="shared" si="38"/>
        <v>0</v>
      </c>
      <c r="T250" s="51">
        <f t="shared" si="39"/>
        <v>0</v>
      </c>
      <c r="U250" s="52">
        <f t="shared" si="40"/>
        <v>2</v>
      </c>
      <c r="V250" s="52">
        <f t="shared" si="43"/>
        <v>0</v>
      </c>
      <c r="W250" s="52" t="str" cm="1">
        <f t="array" ref="W250">_xlfn.IFS(B250="","",AND(G250&gt;=0,L250&gt;0),"BuySome",AND(G250&gt;=0,K250="KMSignal"),"BuySome",AND(G250&lt;0,L250&gt;0),"BuyWatch",AND(Q250&lt;0,L250&gt;0),"BuyWatch",AND(G250&gt;=0,L250=0),"BuyWatch",L250&gt;0,"BuySome",TRUE,"")</f>
        <v/>
      </c>
      <c r="X250" s="47" t="str">
        <f>_xlfn.XLOOKUP(W250,Parm!$AN$2:$AN$25,Parm!$AO$2:$AO$25,"")</f>
        <v/>
      </c>
      <c r="Y250" s="52" t="str" cm="1">
        <f t="array" ref="Y250">_xlfn.IFS(B250="","",OR(Q250=-100,U250=-100),"SellAll",OR(Q250&lt;0,U250&lt;0),"SellSome",AND(Q250&gt;0,U250&gt;0),"BuySome",OR(Q250&gt;0,U250&gt;0),"BuyWatch",TRUE,"")</f>
        <v/>
      </c>
      <c r="Z250" s="47" t="str">
        <f>_xlfn.XLOOKUP(Y250,Parm!$AN$2:$AN$25,Parm!$AO$2:$AO$25,"")</f>
        <v/>
      </c>
      <c r="AA250" s="286">
        <f>IF(C250&lt;&gt;-100,A250,_xlfn.XLOOKUP(B250,ssH!L:L,ssH!M:M))</f>
        <v>46140</v>
      </c>
      <c r="AB250" s="49" t="str">
        <f t="shared" si="41"/>
        <v/>
      </c>
      <c r="AC250" s="52">
        <f>_xlfn.XLOOKUP(B250,TL!C:C,TL!C:C)</f>
        <v>0</v>
      </c>
      <c r="AD250" s="52">
        <f>_xlfn.XLOOKUP(B250,Y!C:C,Y!C:C)</f>
        <v>0</v>
      </c>
      <c r="AE250" s="52">
        <f>_xlfn.XLOOKUP(B250,MA!C:C,MA!C:C)</f>
        <v>0</v>
      </c>
    </row>
    <row r="251" spans="1:31" x14ac:dyDescent="0.25">
      <c r="A251" s="29">
        <f>ssH!$AG$1</f>
        <v>46140</v>
      </c>
      <c r="C251" s="47">
        <f t="shared" si="42"/>
        <v>0</v>
      </c>
      <c r="D251" s="42">
        <f>_xlfn.XLOOKUP(ssH!$AG$3&amp;B251,ssH!A:A,ssH!D:D,0)</f>
        <v>0</v>
      </c>
      <c r="E251" s="42">
        <f>_xlfn.XLOOKUP(ssH!$AG$5&amp;B251,ssH!A:A,ssH!D:D,0)</f>
        <v>0</v>
      </c>
      <c r="F251" s="42">
        <f>_xlfn.XLOOKUP(ssH!$AG$6&amp;B251,ssH!A:A,ssH!D:D,0)</f>
        <v>0</v>
      </c>
      <c r="G251" s="48">
        <f>_xlfn.XLOOKUP(A251&amp;B251,ssH!A:A,ssH!F:F,-100%)</f>
        <v>-1</v>
      </c>
      <c r="H251" s="46">
        <f>_xlfn.XLOOKUP(ssH!$AG$3&amp;B251,ssH!A:A,ssH!F:F,0)</f>
        <v>0</v>
      </c>
      <c r="I251" s="46">
        <f>_xlfn.XLOOKUP(ssH!$AG$5&amp;B251,ssH!A:A,ssH!F:F,0)</f>
        <v>0</v>
      </c>
      <c r="J251" s="46">
        <f>_xlfn.XLOOKUP(ssH!$AG$6&amp;B251,ssH!A:A,ssH!F:F,0)</f>
        <v>0</v>
      </c>
      <c r="K251" s="46">
        <f>_xlfn.XLOOKUP(B251,ssL!C:C,ssL!G:G,"Removed")</f>
        <v>0</v>
      </c>
      <c r="L251" s="27">
        <f>_xlfn.XLOOKUP(A251&amp;B251,ssH!A:A,ssH!D:D,0)</f>
        <v>0</v>
      </c>
      <c r="M251" s="42" t="str">
        <f>_xlfn.XLOOKUP(A251&amp;B251,ssH!A:A,ssH!I:I,"")</f>
        <v/>
      </c>
      <c r="N251" s="51" t="str">
        <f t="shared" si="33"/>
        <v/>
      </c>
      <c r="O251" s="51" t="str">
        <f t="shared" si="34"/>
        <v/>
      </c>
      <c r="P251" s="51" t="str">
        <f t="shared" si="35"/>
        <v/>
      </c>
      <c r="Q251" s="52">
        <f t="shared" si="36"/>
        <v>0</v>
      </c>
      <c r="R251" s="51">
        <f t="shared" si="37"/>
        <v>2</v>
      </c>
      <c r="S251" s="51">
        <f t="shared" si="38"/>
        <v>0</v>
      </c>
      <c r="T251" s="51">
        <f t="shared" si="39"/>
        <v>0</v>
      </c>
      <c r="U251" s="52">
        <f t="shared" si="40"/>
        <v>2</v>
      </c>
      <c r="V251" s="52">
        <f t="shared" si="43"/>
        <v>0</v>
      </c>
      <c r="W251" s="52" t="str" cm="1">
        <f t="array" ref="W251">_xlfn.IFS(B251="","",AND(G251&gt;=0,L251&gt;0),"BuySome",AND(G251&gt;=0,K251="KMSignal"),"BuySome",AND(G251&lt;0,L251&gt;0),"BuyWatch",AND(Q251&lt;0,L251&gt;0),"BuyWatch",AND(G251&gt;=0,L251=0),"BuyWatch",L251&gt;0,"BuySome",TRUE,"")</f>
        <v/>
      </c>
      <c r="X251" s="47" t="str">
        <f>_xlfn.XLOOKUP(W251,Parm!$AN$2:$AN$25,Parm!$AO$2:$AO$25,"")</f>
        <v/>
      </c>
      <c r="Y251" s="52" t="str" cm="1">
        <f t="array" ref="Y251">_xlfn.IFS(B251="","",OR(Q251=-100,U251=-100),"SellAll",OR(Q251&lt;0,U251&lt;0),"SellSome",AND(Q251&gt;0,U251&gt;0),"BuySome",OR(Q251&gt;0,U251&gt;0),"BuyWatch",TRUE,"")</f>
        <v/>
      </c>
      <c r="Z251" s="47" t="str">
        <f>_xlfn.XLOOKUP(Y251,Parm!$AN$2:$AN$25,Parm!$AO$2:$AO$25,"")</f>
        <v/>
      </c>
      <c r="AA251" s="286">
        <f>IF(C251&lt;&gt;-100,A251,_xlfn.XLOOKUP(B251,ssH!L:L,ssH!M:M))</f>
        <v>46140</v>
      </c>
      <c r="AB251" s="49" t="str">
        <f t="shared" si="41"/>
        <v/>
      </c>
      <c r="AC251" s="52">
        <f>_xlfn.XLOOKUP(B251,TL!C:C,TL!C:C)</f>
        <v>0</v>
      </c>
      <c r="AD251" s="52">
        <f>_xlfn.XLOOKUP(B251,Y!C:C,Y!C:C)</f>
        <v>0</v>
      </c>
      <c r="AE251" s="52">
        <f>_xlfn.XLOOKUP(B251,MA!C:C,MA!C:C)</f>
        <v>0</v>
      </c>
    </row>
    <row r="252" spans="1:31" x14ac:dyDescent="0.25">
      <c r="A252" s="29">
        <f>ssH!$AG$1</f>
        <v>46140</v>
      </c>
      <c r="C252" s="47">
        <f t="shared" si="42"/>
        <v>0</v>
      </c>
      <c r="D252" s="42">
        <f>_xlfn.XLOOKUP(ssH!$AG$3&amp;B252,ssH!A:A,ssH!D:D,0)</f>
        <v>0</v>
      </c>
      <c r="E252" s="42">
        <f>_xlfn.XLOOKUP(ssH!$AG$5&amp;B252,ssH!A:A,ssH!D:D,0)</f>
        <v>0</v>
      </c>
      <c r="F252" s="42">
        <f>_xlfn.XLOOKUP(ssH!$AG$6&amp;B252,ssH!A:A,ssH!D:D,0)</f>
        <v>0</v>
      </c>
      <c r="G252" s="48">
        <f>_xlfn.XLOOKUP(A252&amp;B252,ssH!A:A,ssH!F:F,-100%)</f>
        <v>-1</v>
      </c>
      <c r="H252" s="46">
        <f>_xlfn.XLOOKUP(ssH!$AG$3&amp;B252,ssH!A:A,ssH!F:F,0)</f>
        <v>0</v>
      </c>
      <c r="I252" s="46">
        <f>_xlfn.XLOOKUP(ssH!$AG$5&amp;B252,ssH!A:A,ssH!F:F,0)</f>
        <v>0</v>
      </c>
      <c r="J252" s="46">
        <f>_xlfn.XLOOKUP(ssH!$AG$6&amp;B252,ssH!A:A,ssH!F:F,0)</f>
        <v>0</v>
      </c>
      <c r="K252" s="46">
        <f>_xlfn.XLOOKUP(B252,ssL!C:C,ssL!G:G,"Removed")</f>
        <v>0</v>
      </c>
      <c r="L252" s="27">
        <f>_xlfn.XLOOKUP(A252&amp;B252,ssH!A:A,ssH!D:D,0)</f>
        <v>0</v>
      </c>
      <c r="M252" s="42" t="str">
        <f>_xlfn.XLOOKUP(A252&amp;B252,ssH!A:A,ssH!I:I,"")</f>
        <v/>
      </c>
      <c r="N252" s="51" t="str">
        <f t="shared" si="33"/>
        <v/>
      </c>
      <c r="O252" s="51" t="str">
        <f t="shared" si="34"/>
        <v/>
      </c>
      <c r="P252" s="51" t="str">
        <f t="shared" si="35"/>
        <v/>
      </c>
      <c r="Q252" s="52">
        <f t="shared" si="36"/>
        <v>0</v>
      </c>
      <c r="R252" s="51">
        <f t="shared" si="37"/>
        <v>2</v>
      </c>
      <c r="S252" s="51">
        <f t="shared" si="38"/>
        <v>0</v>
      </c>
      <c r="T252" s="51">
        <f t="shared" si="39"/>
        <v>0</v>
      </c>
      <c r="U252" s="52">
        <f t="shared" si="40"/>
        <v>2</v>
      </c>
      <c r="V252" s="52">
        <f t="shared" si="43"/>
        <v>0</v>
      </c>
      <c r="W252" s="52" t="str" cm="1">
        <f t="array" ref="W252">_xlfn.IFS(B252="","",AND(G252&gt;=0,L252&gt;0),"BuySome",AND(G252&gt;=0,K252="KMSignal"),"BuySome",AND(G252&lt;0,L252&gt;0),"BuyWatch",AND(Q252&lt;0,L252&gt;0),"BuyWatch",AND(G252&gt;=0,L252=0),"BuyWatch",L252&gt;0,"BuySome",TRUE,"")</f>
        <v/>
      </c>
      <c r="X252" s="47" t="str">
        <f>_xlfn.XLOOKUP(W252,Parm!$AN$2:$AN$25,Parm!$AO$2:$AO$25,"")</f>
        <v/>
      </c>
      <c r="Y252" s="52" t="str" cm="1">
        <f t="array" ref="Y252">_xlfn.IFS(B252="","",OR(Q252=-100,U252=-100),"SellAll",OR(Q252&lt;0,U252&lt;0),"SellSome",AND(Q252&gt;0,U252&gt;0),"BuySome",OR(Q252&gt;0,U252&gt;0),"BuyWatch",TRUE,"")</f>
        <v/>
      </c>
      <c r="Z252" s="47" t="str">
        <f>_xlfn.XLOOKUP(Y252,Parm!$AN$2:$AN$25,Parm!$AO$2:$AO$25,"")</f>
        <v/>
      </c>
      <c r="AA252" s="286">
        <f>IF(C252&lt;&gt;-100,A252,_xlfn.XLOOKUP(B252,ssH!L:L,ssH!M:M))</f>
        <v>46140</v>
      </c>
      <c r="AB252" s="49" t="str">
        <f t="shared" si="41"/>
        <v/>
      </c>
      <c r="AC252" s="52">
        <f>_xlfn.XLOOKUP(B252,TL!C:C,TL!C:C)</f>
        <v>0</v>
      </c>
      <c r="AD252" s="52">
        <f>_xlfn.XLOOKUP(B252,Y!C:C,Y!C:C)</f>
        <v>0</v>
      </c>
      <c r="AE252" s="52">
        <f>_xlfn.XLOOKUP(B252,MA!C:C,MA!C:C)</f>
        <v>0</v>
      </c>
    </row>
    <row r="253" spans="1:31" x14ac:dyDescent="0.25">
      <c r="A253" s="29">
        <f>ssH!$AG$1</f>
        <v>46140</v>
      </c>
      <c r="C253" s="47">
        <f t="shared" si="42"/>
        <v>0</v>
      </c>
      <c r="D253" s="42">
        <f>_xlfn.XLOOKUP(ssH!$AG$3&amp;B253,ssH!A:A,ssH!D:D,0)</f>
        <v>0</v>
      </c>
      <c r="E253" s="42">
        <f>_xlfn.XLOOKUP(ssH!$AG$5&amp;B253,ssH!A:A,ssH!D:D,0)</f>
        <v>0</v>
      </c>
      <c r="F253" s="42">
        <f>_xlfn.XLOOKUP(ssH!$AG$6&amp;B253,ssH!A:A,ssH!D:D,0)</f>
        <v>0</v>
      </c>
      <c r="G253" s="48">
        <f>_xlfn.XLOOKUP(A253&amp;B253,ssH!A:A,ssH!F:F,-100%)</f>
        <v>-1</v>
      </c>
      <c r="H253" s="46">
        <f>_xlfn.XLOOKUP(ssH!$AG$3&amp;B253,ssH!A:A,ssH!F:F,0)</f>
        <v>0</v>
      </c>
      <c r="I253" s="46">
        <f>_xlfn.XLOOKUP(ssH!$AG$5&amp;B253,ssH!A:A,ssH!F:F,0)</f>
        <v>0</v>
      </c>
      <c r="J253" s="46">
        <f>_xlfn.XLOOKUP(ssH!$AG$6&amp;B253,ssH!A:A,ssH!F:F,0)</f>
        <v>0</v>
      </c>
      <c r="K253" s="46">
        <f>_xlfn.XLOOKUP(B253,ssL!C:C,ssL!G:G,"Removed")</f>
        <v>0</v>
      </c>
      <c r="L253" s="27">
        <f>_xlfn.XLOOKUP(A253&amp;B253,ssH!A:A,ssH!D:D,0)</f>
        <v>0</v>
      </c>
      <c r="M253" s="42" t="str">
        <f>_xlfn.XLOOKUP(A253&amp;B253,ssH!A:A,ssH!I:I,"")</f>
        <v/>
      </c>
      <c r="N253" s="51" t="str">
        <f t="shared" si="33"/>
        <v/>
      </c>
      <c r="O253" s="51" t="str">
        <f t="shared" si="34"/>
        <v/>
      </c>
      <c r="P253" s="51" t="str">
        <f t="shared" si="35"/>
        <v/>
      </c>
      <c r="Q253" s="52">
        <f t="shared" si="36"/>
        <v>0</v>
      </c>
      <c r="R253" s="51">
        <f t="shared" si="37"/>
        <v>2</v>
      </c>
      <c r="S253" s="51">
        <f t="shared" si="38"/>
        <v>0</v>
      </c>
      <c r="T253" s="51">
        <f t="shared" si="39"/>
        <v>0</v>
      </c>
      <c r="U253" s="52">
        <f t="shared" si="40"/>
        <v>2</v>
      </c>
      <c r="V253" s="52">
        <f t="shared" si="43"/>
        <v>0</v>
      </c>
      <c r="W253" s="52" t="str" cm="1">
        <f t="array" ref="W253">_xlfn.IFS(B253="","",AND(G253&gt;=0,L253&gt;0),"BuySome",AND(G253&gt;=0,K253="KMSignal"),"BuySome",AND(G253&lt;0,L253&gt;0),"BuyWatch",AND(Q253&lt;0,L253&gt;0),"BuyWatch",AND(G253&gt;=0,L253=0),"BuyWatch",L253&gt;0,"BuySome",TRUE,"")</f>
        <v/>
      </c>
      <c r="X253" s="47" t="str">
        <f>_xlfn.XLOOKUP(W253,Parm!$AN$2:$AN$25,Parm!$AO$2:$AO$25,"")</f>
        <v/>
      </c>
      <c r="Y253" s="52" t="str" cm="1">
        <f t="array" ref="Y253">_xlfn.IFS(B253="","",OR(Q253=-100,U253=-100),"SellAll",OR(Q253&lt;0,U253&lt;0),"SellSome",AND(Q253&gt;0,U253&gt;0),"BuySome",OR(Q253&gt;0,U253&gt;0),"BuyWatch",TRUE,"")</f>
        <v/>
      </c>
      <c r="Z253" s="47" t="str">
        <f>_xlfn.XLOOKUP(Y253,Parm!$AN$2:$AN$25,Parm!$AO$2:$AO$25,"")</f>
        <v/>
      </c>
      <c r="AA253" s="286">
        <f>IF(C253&lt;&gt;-100,A253,_xlfn.XLOOKUP(B253,ssH!L:L,ssH!M:M))</f>
        <v>46140</v>
      </c>
      <c r="AB253" s="49" t="str">
        <f t="shared" si="41"/>
        <v/>
      </c>
      <c r="AC253" s="52">
        <f>_xlfn.XLOOKUP(B253,TL!C:C,TL!C:C)</f>
        <v>0</v>
      </c>
      <c r="AD253" s="52">
        <f>_xlfn.XLOOKUP(B253,Y!C:C,Y!C:C)</f>
        <v>0</v>
      </c>
      <c r="AE253" s="52">
        <f>_xlfn.XLOOKUP(B253,MA!C:C,MA!C:C)</f>
        <v>0</v>
      </c>
    </row>
    <row r="254" spans="1:31" x14ac:dyDescent="0.25">
      <c r="A254" s="29">
        <f>ssH!$AG$1</f>
        <v>46140</v>
      </c>
      <c r="C254" s="47">
        <f t="shared" si="42"/>
        <v>0</v>
      </c>
      <c r="D254" s="42">
        <f>_xlfn.XLOOKUP(ssH!$AG$3&amp;B254,ssH!A:A,ssH!D:D,0)</f>
        <v>0</v>
      </c>
      <c r="E254" s="42">
        <f>_xlfn.XLOOKUP(ssH!$AG$5&amp;B254,ssH!A:A,ssH!D:D,0)</f>
        <v>0</v>
      </c>
      <c r="F254" s="42">
        <f>_xlfn.XLOOKUP(ssH!$AG$6&amp;B254,ssH!A:A,ssH!D:D,0)</f>
        <v>0</v>
      </c>
      <c r="G254" s="48">
        <f>_xlfn.XLOOKUP(A254&amp;B254,ssH!A:A,ssH!F:F,-100%)</f>
        <v>-1</v>
      </c>
      <c r="H254" s="46">
        <f>_xlfn.XLOOKUP(ssH!$AG$3&amp;B254,ssH!A:A,ssH!F:F,0)</f>
        <v>0</v>
      </c>
      <c r="I254" s="46">
        <f>_xlfn.XLOOKUP(ssH!$AG$5&amp;B254,ssH!A:A,ssH!F:F,0)</f>
        <v>0</v>
      </c>
      <c r="J254" s="46">
        <f>_xlfn.XLOOKUP(ssH!$AG$6&amp;B254,ssH!A:A,ssH!F:F,0)</f>
        <v>0</v>
      </c>
      <c r="K254" s="46">
        <f>_xlfn.XLOOKUP(B254,ssL!C:C,ssL!G:G,"Removed")</f>
        <v>0</v>
      </c>
      <c r="L254" s="27">
        <f>_xlfn.XLOOKUP(A254&amp;B254,ssH!A:A,ssH!D:D,0)</f>
        <v>0</v>
      </c>
      <c r="M254" s="42" t="str">
        <f>_xlfn.XLOOKUP(A254&amp;B254,ssH!A:A,ssH!I:I,"")</f>
        <v/>
      </c>
      <c r="N254" s="51" t="str">
        <f t="shared" si="33"/>
        <v/>
      </c>
      <c r="O254" s="51" t="str">
        <f t="shared" si="34"/>
        <v/>
      </c>
      <c r="P254" s="51" t="str">
        <f t="shared" si="35"/>
        <v/>
      </c>
      <c r="Q254" s="52">
        <f t="shared" si="36"/>
        <v>0</v>
      </c>
      <c r="R254" s="51">
        <f t="shared" si="37"/>
        <v>2</v>
      </c>
      <c r="S254" s="51">
        <f t="shared" si="38"/>
        <v>0</v>
      </c>
      <c r="T254" s="51">
        <f t="shared" si="39"/>
        <v>0</v>
      </c>
      <c r="U254" s="52">
        <f t="shared" si="40"/>
        <v>2</v>
      </c>
      <c r="V254" s="52">
        <f t="shared" si="43"/>
        <v>0</v>
      </c>
      <c r="W254" s="52" t="str" cm="1">
        <f t="array" ref="W254">_xlfn.IFS(B254="","",AND(G254&gt;=0,L254&gt;0),"BuySome",AND(G254&gt;=0,K254="KMSignal"),"BuySome",AND(G254&lt;0,L254&gt;0),"BuyWatch",AND(Q254&lt;0,L254&gt;0),"BuyWatch",AND(G254&gt;=0,L254=0),"BuyWatch",L254&gt;0,"BuySome",TRUE,"")</f>
        <v/>
      </c>
      <c r="X254" s="47" t="str">
        <f>_xlfn.XLOOKUP(W254,Parm!$AN$2:$AN$25,Parm!$AO$2:$AO$25,"")</f>
        <v/>
      </c>
      <c r="Y254" s="52" t="str" cm="1">
        <f t="array" ref="Y254">_xlfn.IFS(B254="","",OR(Q254=-100,U254=-100),"SellAll",OR(Q254&lt;0,U254&lt;0),"SellSome",AND(Q254&gt;0,U254&gt;0),"BuySome",OR(Q254&gt;0,U254&gt;0),"BuyWatch",TRUE,"")</f>
        <v/>
      </c>
      <c r="Z254" s="47" t="str">
        <f>_xlfn.XLOOKUP(Y254,Parm!$AN$2:$AN$25,Parm!$AO$2:$AO$25,"")</f>
        <v/>
      </c>
      <c r="AA254" s="286">
        <f>IF(C254&lt;&gt;-100,A254,_xlfn.XLOOKUP(B254,ssH!L:L,ssH!M:M))</f>
        <v>46140</v>
      </c>
      <c r="AB254" s="49" t="str">
        <f t="shared" si="41"/>
        <v/>
      </c>
      <c r="AC254" s="52">
        <f>_xlfn.XLOOKUP(B254,TL!C:C,TL!C:C)</f>
        <v>0</v>
      </c>
      <c r="AD254" s="52">
        <f>_xlfn.XLOOKUP(B254,Y!C:C,Y!C:C)</f>
        <v>0</v>
      </c>
      <c r="AE254" s="52">
        <f>_xlfn.XLOOKUP(B254,MA!C:C,MA!C:C)</f>
        <v>0</v>
      </c>
    </row>
    <row r="255" spans="1:31" x14ac:dyDescent="0.25">
      <c r="A255" s="29">
        <f>ssH!$AG$1</f>
        <v>46140</v>
      </c>
      <c r="C255" s="47">
        <f t="shared" si="42"/>
        <v>0</v>
      </c>
      <c r="D255" s="42">
        <f>_xlfn.XLOOKUP(ssH!$AG$3&amp;B255,ssH!A:A,ssH!D:D,0)</f>
        <v>0</v>
      </c>
      <c r="E255" s="42">
        <f>_xlfn.XLOOKUP(ssH!$AG$5&amp;B255,ssH!A:A,ssH!D:D,0)</f>
        <v>0</v>
      </c>
      <c r="F255" s="42">
        <f>_xlfn.XLOOKUP(ssH!$AG$6&amp;B255,ssH!A:A,ssH!D:D,0)</f>
        <v>0</v>
      </c>
      <c r="G255" s="48">
        <f>_xlfn.XLOOKUP(A255&amp;B255,ssH!A:A,ssH!F:F,-100%)</f>
        <v>-1</v>
      </c>
      <c r="H255" s="46">
        <f>_xlfn.XLOOKUP(ssH!$AG$3&amp;B255,ssH!A:A,ssH!F:F,0)</f>
        <v>0</v>
      </c>
      <c r="I255" s="46">
        <f>_xlfn.XLOOKUP(ssH!$AG$5&amp;B255,ssH!A:A,ssH!F:F,0)</f>
        <v>0</v>
      </c>
      <c r="J255" s="46">
        <f>_xlfn.XLOOKUP(ssH!$AG$6&amp;B255,ssH!A:A,ssH!F:F,0)</f>
        <v>0</v>
      </c>
      <c r="K255" s="46">
        <f>_xlfn.XLOOKUP(B255,ssL!C:C,ssL!G:G,"Removed")</f>
        <v>0</v>
      </c>
      <c r="L255" s="27">
        <f>_xlfn.XLOOKUP(A255&amp;B255,ssH!A:A,ssH!D:D,0)</f>
        <v>0</v>
      </c>
      <c r="M255" s="42" t="str">
        <f>_xlfn.XLOOKUP(A255&amp;B255,ssH!A:A,ssH!I:I,"")</f>
        <v/>
      </c>
      <c r="N255" s="51" t="str">
        <f t="shared" si="33"/>
        <v/>
      </c>
      <c r="O255" s="51" t="str">
        <f t="shared" si="34"/>
        <v/>
      </c>
      <c r="P255" s="51" t="str">
        <f t="shared" si="35"/>
        <v/>
      </c>
      <c r="Q255" s="52">
        <f t="shared" si="36"/>
        <v>0</v>
      </c>
      <c r="R255" s="51">
        <f t="shared" si="37"/>
        <v>2</v>
      </c>
      <c r="S255" s="51">
        <f t="shared" si="38"/>
        <v>0</v>
      </c>
      <c r="T255" s="51">
        <f t="shared" si="39"/>
        <v>0</v>
      </c>
      <c r="U255" s="52">
        <f t="shared" si="40"/>
        <v>2</v>
      </c>
      <c r="V255" s="52">
        <f t="shared" si="43"/>
        <v>0</v>
      </c>
      <c r="W255" s="52" t="str" cm="1">
        <f t="array" ref="W255">_xlfn.IFS(B255="","",AND(G255&gt;=0,L255&gt;0),"BuySome",AND(G255&gt;=0,K255="KMSignal"),"BuySome",AND(G255&lt;0,L255&gt;0),"BuyWatch",AND(Q255&lt;0,L255&gt;0),"BuyWatch",AND(G255&gt;=0,L255=0),"BuyWatch",L255&gt;0,"BuySome",TRUE,"")</f>
        <v/>
      </c>
      <c r="X255" s="47" t="str">
        <f>_xlfn.XLOOKUP(W255,Parm!$AN$2:$AN$25,Parm!$AO$2:$AO$25,"")</f>
        <v/>
      </c>
      <c r="Y255" s="52" t="str" cm="1">
        <f t="array" ref="Y255">_xlfn.IFS(B255="","",OR(Q255=-100,U255=-100),"SellAll",OR(Q255&lt;0,U255&lt;0),"SellSome",AND(Q255&gt;0,U255&gt;0),"BuySome",OR(Q255&gt;0,U255&gt;0),"BuyWatch",TRUE,"")</f>
        <v/>
      </c>
      <c r="Z255" s="47" t="str">
        <f>_xlfn.XLOOKUP(Y255,Parm!$AN$2:$AN$25,Parm!$AO$2:$AO$25,"")</f>
        <v/>
      </c>
      <c r="AA255" s="286">
        <f>IF(C255&lt;&gt;-100,A255,_xlfn.XLOOKUP(B255,ssH!L:L,ssH!M:M))</f>
        <v>46140</v>
      </c>
      <c r="AB255" s="49" t="str">
        <f t="shared" si="41"/>
        <v/>
      </c>
      <c r="AC255" s="52">
        <f>_xlfn.XLOOKUP(B255,TL!C:C,TL!C:C)</f>
        <v>0</v>
      </c>
      <c r="AD255" s="52">
        <f>_xlfn.XLOOKUP(B255,Y!C:C,Y!C:C)</f>
        <v>0</v>
      </c>
      <c r="AE255" s="52">
        <f>_xlfn.XLOOKUP(B255,MA!C:C,MA!C:C)</f>
        <v>0</v>
      </c>
    </row>
    <row r="256" spans="1:31" x14ac:dyDescent="0.25">
      <c r="A256" s="29">
        <f>ssH!$AG$1</f>
        <v>46140</v>
      </c>
      <c r="C256" s="47">
        <f t="shared" si="42"/>
        <v>0</v>
      </c>
      <c r="D256" s="42">
        <f>_xlfn.XLOOKUP(ssH!$AG$3&amp;B256,ssH!A:A,ssH!D:D,0)</f>
        <v>0</v>
      </c>
      <c r="E256" s="42">
        <f>_xlfn.XLOOKUP(ssH!$AG$5&amp;B256,ssH!A:A,ssH!D:D,0)</f>
        <v>0</v>
      </c>
      <c r="F256" s="42">
        <f>_xlfn.XLOOKUP(ssH!$AG$6&amp;B256,ssH!A:A,ssH!D:D,0)</f>
        <v>0</v>
      </c>
      <c r="G256" s="48">
        <f>_xlfn.XLOOKUP(A256&amp;B256,ssH!A:A,ssH!F:F,-100%)</f>
        <v>-1</v>
      </c>
      <c r="H256" s="46">
        <f>_xlfn.XLOOKUP(ssH!$AG$3&amp;B256,ssH!A:A,ssH!F:F,0)</f>
        <v>0</v>
      </c>
      <c r="I256" s="46">
        <f>_xlfn.XLOOKUP(ssH!$AG$5&amp;B256,ssH!A:A,ssH!F:F,0)</f>
        <v>0</v>
      </c>
      <c r="J256" s="46">
        <f>_xlfn.XLOOKUP(ssH!$AG$6&amp;B256,ssH!A:A,ssH!F:F,0)</f>
        <v>0</v>
      </c>
      <c r="K256" s="46">
        <f>_xlfn.XLOOKUP(B256,ssL!C:C,ssL!G:G,"Removed")</f>
        <v>0</v>
      </c>
      <c r="L256" s="27">
        <f>_xlfn.XLOOKUP(A256&amp;B256,ssH!A:A,ssH!D:D,0)</f>
        <v>0</v>
      </c>
      <c r="M256" s="42" t="str">
        <f>_xlfn.XLOOKUP(A256&amp;B256,ssH!A:A,ssH!I:I,"")</f>
        <v/>
      </c>
      <c r="N256" s="51" t="str">
        <f t="shared" si="33"/>
        <v/>
      </c>
      <c r="O256" s="51" t="str">
        <f t="shared" si="34"/>
        <v/>
      </c>
      <c r="P256" s="51" t="str">
        <f t="shared" si="35"/>
        <v/>
      </c>
      <c r="Q256" s="52">
        <f t="shared" si="36"/>
        <v>0</v>
      </c>
      <c r="R256" s="51">
        <f t="shared" si="37"/>
        <v>2</v>
      </c>
      <c r="S256" s="51">
        <f t="shared" si="38"/>
        <v>0</v>
      </c>
      <c r="T256" s="51">
        <f t="shared" si="39"/>
        <v>0</v>
      </c>
      <c r="U256" s="52">
        <f t="shared" si="40"/>
        <v>2</v>
      </c>
      <c r="V256" s="52">
        <f t="shared" si="43"/>
        <v>0</v>
      </c>
      <c r="W256" s="52" t="str" cm="1">
        <f t="array" ref="W256">_xlfn.IFS(B256="","",AND(G256&gt;=0,L256&gt;0),"BuySome",AND(G256&gt;=0,K256="KMSignal"),"BuySome",AND(G256&lt;0,L256&gt;0),"BuyWatch",AND(Q256&lt;0,L256&gt;0),"BuyWatch",AND(G256&gt;=0,L256=0),"BuyWatch",L256&gt;0,"BuySome",TRUE,"")</f>
        <v/>
      </c>
      <c r="X256" s="47" t="str">
        <f>_xlfn.XLOOKUP(W256,Parm!$AN$2:$AN$25,Parm!$AO$2:$AO$25,"")</f>
        <v/>
      </c>
      <c r="Y256" s="52" t="str" cm="1">
        <f t="array" ref="Y256">_xlfn.IFS(B256="","",OR(Q256=-100,U256=-100),"SellAll",OR(Q256&lt;0,U256&lt;0),"SellSome",AND(Q256&gt;0,U256&gt;0),"BuySome",OR(Q256&gt;0,U256&gt;0),"BuyWatch",TRUE,"")</f>
        <v/>
      </c>
      <c r="Z256" s="47" t="str">
        <f>_xlfn.XLOOKUP(Y256,Parm!$AN$2:$AN$25,Parm!$AO$2:$AO$25,"")</f>
        <v/>
      </c>
      <c r="AA256" s="286">
        <f>IF(C256&lt;&gt;-100,A256,_xlfn.XLOOKUP(B256,ssH!L:L,ssH!M:M))</f>
        <v>46140</v>
      </c>
      <c r="AB256" s="49" t="str">
        <f t="shared" si="41"/>
        <v/>
      </c>
      <c r="AC256" s="52">
        <f>_xlfn.XLOOKUP(B256,TL!C:C,TL!C:C)</f>
        <v>0</v>
      </c>
      <c r="AD256" s="52">
        <f>_xlfn.XLOOKUP(B256,Y!C:C,Y!C:C)</f>
        <v>0</v>
      </c>
      <c r="AE256" s="52">
        <f>_xlfn.XLOOKUP(B256,MA!C:C,MA!C:C)</f>
        <v>0</v>
      </c>
    </row>
    <row r="257" spans="1:31" x14ac:dyDescent="0.25">
      <c r="A257" s="29">
        <f>ssH!$AG$1</f>
        <v>46140</v>
      </c>
      <c r="C257" s="47">
        <f t="shared" si="42"/>
        <v>0</v>
      </c>
      <c r="D257" s="42">
        <f>_xlfn.XLOOKUP(ssH!$AG$3&amp;B257,ssH!A:A,ssH!D:D,0)</f>
        <v>0</v>
      </c>
      <c r="E257" s="42">
        <f>_xlfn.XLOOKUP(ssH!$AG$5&amp;B257,ssH!A:A,ssH!D:D,0)</f>
        <v>0</v>
      </c>
      <c r="F257" s="42">
        <f>_xlfn.XLOOKUP(ssH!$AG$6&amp;B257,ssH!A:A,ssH!D:D,0)</f>
        <v>0</v>
      </c>
      <c r="G257" s="48">
        <f>_xlfn.XLOOKUP(A257&amp;B257,ssH!A:A,ssH!F:F,-100%)</f>
        <v>-1</v>
      </c>
      <c r="H257" s="46">
        <f>_xlfn.XLOOKUP(ssH!$AG$3&amp;B257,ssH!A:A,ssH!F:F,0)</f>
        <v>0</v>
      </c>
      <c r="I257" s="46">
        <f>_xlfn.XLOOKUP(ssH!$AG$5&amp;B257,ssH!A:A,ssH!F:F,0)</f>
        <v>0</v>
      </c>
      <c r="J257" s="46">
        <f>_xlfn.XLOOKUP(ssH!$AG$6&amp;B257,ssH!A:A,ssH!F:F,0)</f>
        <v>0</v>
      </c>
      <c r="K257" s="46">
        <f>_xlfn.XLOOKUP(B257,ssL!C:C,ssL!G:G,"Removed")</f>
        <v>0</v>
      </c>
      <c r="L257" s="27">
        <f>_xlfn.XLOOKUP(A257&amp;B257,ssH!A:A,ssH!D:D,0)</f>
        <v>0</v>
      </c>
      <c r="M257" s="42" t="str">
        <f>_xlfn.XLOOKUP(A257&amp;B257,ssH!A:A,ssH!I:I,"")</f>
        <v/>
      </c>
      <c r="N257" s="51" t="str">
        <f t="shared" si="33"/>
        <v/>
      </c>
      <c r="O257" s="51" t="str">
        <f t="shared" si="34"/>
        <v/>
      </c>
      <c r="P257" s="51" t="str">
        <f t="shared" si="35"/>
        <v/>
      </c>
      <c r="Q257" s="52">
        <f t="shared" si="36"/>
        <v>0</v>
      </c>
      <c r="R257" s="51">
        <f t="shared" si="37"/>
        <v>2</v>
      </c>
      <c r="S257" s="51">
        <f t="shared" si="38"/>
        <v>0</v>
      </c>
      <c r="T257" s="51">
        <f t="shared" si="39"/>
        <v>0</v>
      </c>
      <c r="U257" s="52">
        <f t="shared" si="40"/>
        <v>2</v>
      </c>
      <c r="V257" s="52">
        <f t="shared" si="43"/>
        <v>0</v>
      </c>
      <c r="W257" s="52" t="str" cm="1">
        <f t="array" ref="W257">_xlfn.IFS(B257="","",AND(G257&gt;=0,L257&gt;0),"BuySome",AND(G257&gt;=0,K257="KMSignal"),"BuySome",AND(G257&lt;0,L257&gt;0),"BuyWatch",AND(Q257&lt;0,L257&gt;0),"BuyWatch",AND(G257&gt;=0,L257=0),"BuyWatch",L257&gt;0,"BuySome",TRUE,"")</f>
        <v/>
      </c>
      <c r="X257" s="47" t="str">
        <f>_xlfn.XLOOKUP(W257,Parm!$AN$2:$AN$25,Parm!$AO$2:$AO$25,"")</f>
        <v/>
      </c>
      <c r="Y257" s="52" t="str" cm="1">
        <f t="array" ref="Y257">_xlfn.IFS(B257="","",OR(Q257=-100,U257=-100),"SellAll",OR(Q257&lt;0,U257&lt;0),"SellSome",AND(Q257&gt;0,U257&gt;0),"BuySome",OR(Q257&gt;0,U257&gt;0),"BuyWatch",TRUE,"")</f>
        <v/>
      </c>
      <c r="Z257" s="47" t="str">
        <f>_xlfn.XLOOKUP(Y257,Parm!$AN$2:$AN$25,Parm!$AO$2:$AO$25,"")</f>
        <v/>
      </c>
      <c r="AA257" s="286">
        <f>IF(C257&lt;&gt;-100,A257,_xlfn.XLOOKUP(B257,ssH!L:L,ssH!M:M))</f>
        <v>46140</v>
      </c>
      <c r="AB257" s="49" t="str">
        <f t="shared" si="41"/>
        <v/>
      </c>
      <c r="AC257" s="52">
        <f>_xlfn.XLOOKUP(B257,TL!C:C,TL!C:C)</f>
        <v>0</v>
      </c>
      <c r="AD257" s="52">
        <f>_xlfn.XLOOKUP(B257,Y!C:C,Y!C:C)</f>
        <v>0</v>
      </c>
      <c r="AE257" s="52">
        <f>_xlfn.XLOOKUP(B257,MA!C:C,MA!C:C)</f>
        <v>0</v>
      </c>
    </row>
    <row r="258" spans="1:31" x14ac:dyDescent="0.25">
      <c r="A258" s="29">
        <f>ssH!$AG$1</f>
        <v>46140</v>
      </c>
      <c r="C258" s="47">
        <f t="shared" si="42"/>
        <v>0</v>
      </c>
      <c r="D258" s="42">
        <f>_xlfn.XLOOKUP(ssH!$AG$3&amp;B258,ssH!A:A,ssH!D:D,0)</f>
        <v>0</v>
      </c>
      <c r="E258" s="42">
        <f>_xlfn.XLOOKUP(ssH!$AG$5&amp;B258,ssH!A:A,ssH!D:D,0)</f>
        <v>0</v>
      </c>
      <c r="F258" s="42">
        <f>_xlfn.XLOOKUP(ssH!$AG$6&amp;B258,ssH!A:A,ssH!D:D,0)</f>
        <v>0</v>
      </c>
      <c r="G258" s="48">
        <f>_xlfn.XLOOKUP(A258&amp;B258,ssH!A:A,ssH!F:F,-100%)</f>
        <v>-1</v>
      </c>
      <c r="H258" s="46">
        <f>_xlfn.XLOOKUP(ssH!$AG$3&amp;B258,ssH!A:A,ssH!F:F,0)</f>
        <v>0</v>
      </c>
      <c r="I258" s="46">
        <f>_xlfn.XLOOKUP(ssH!$AG$5&amp;B258,ssH!A:A,ssH!F:F,0)</f>
        <v>0</v>
      </c>
      <c r="J258" s="46">
        <f>_xlfn.XLOOKUP(ssH!$AG$6&amp;B258,ssH!A:A,ssH!F:F,0)</f>
        <v>0</v>
      </c>
      <c r="K258" s="46">
        <f>_xlfn.XLOOKUP(B258,ssL!C:C,ssL!G:G,"Removed")</f>
        <v>0</v>
      </c>
      <c r="L258" s="27">
        <f>_xlfn.XLOOKUP(A258&amp;B258,ssH!A:A,ssH!D:D,0)</f>
        <v>0</v>
      </c>
      <c r="M258" s="42" t="str">
        <f>_xlfn.XLOOKUP(A258&amp;B258,ssH!A:A,ssH!I:I,"")</f>
        <v/>
      </c>
      <c r="N258" s="51" t="str">
        <f t="shared" ref="N258:N300" si="44">IF(AND(C258&lt;&gt;"",C258&gt;0),IF(AND(C258&gt;0,D258&gt;0),D258-$C258,MAX(C:C)+1-C258)*$AH$2,"")</f>
        <v/>
      </c>
      <c r="O258" s="51" t="str">
        <f t="shared" ref="O258:O300" si="45">IF(AND(D258&lt;&gt;"",D258&gt;0),IF(AND(D258&gt;0,E258&gt;0),E258-$D258,MAX(D:D)+1-D258)*$AH$4,"")</f>
        <v/>
      </c>
      <c r="P258" s="51" t="str">
        <f t="shared" ref="P258:P300" si="46">IF(AND(E258&lt;&gt;"",E258&gt;0),IF(AND(E258&gt;0,F258&gt;0),F258-$E258,MAX(E:E)+1-E258)*$AH$5,"")</f>
        <v/>
      </c>
      <c r="Q258" s="52">
        <f t="shared" ref="Q258:Q300" si="47">IF(K258="Removed",-100,SUM(N258:P258))</f>
        <v>0</v>
      </c>
      <c r="R258" s="51">
        <f t="shared" ref="R258:R300" si="48">IF(G258=H258,0,IF(AND(G258&lt;&gt;""),IF(AND(G258&lt;&gt;0,H258&lt;&gt;0),G258-H258,MAX(G:G)+1-G258)*$AH$2,""))</f>
        <v>2</v>
      </c>
      <c r="S258" s="51">
        <f t="shared" ref="S258:S300" si="49">IF(H258=I258,0,IF(AND(H258&lt;&gt;""),IF(AND(H258&lt;&gt;0,I258&lt;&gt;0),H258-I258,MAX(H:H)+1-H258)*$AH$4,""))</f>
        <v>0</v>
      </c>
      <c r="T258" s="51">
        <f t="shared" ref="T258:T300" si="50">IF(I258=J258,0,IF(AND(I258&lt;&gt;""),IF(AND(I258&lt;&gt;0,J258&lt;&gt;0),I258-J258,MAX(I:I)+1-I258)*$AH$5,""))</f>
        <v>0</v>
      </c>
      <c r="U258" s="52">
        <f t="shared" ref="U258:U300" si="51">IF(K258="Removed",-100,SUM(R258:T258))</f>
        <v>2</v>
      </c>
      <c r="V258" s="52">
        <f t="shared" si="43"/>
        <v>0</v>
      </c>
      <c r="W258" s="52" t="str" cm="1">
        <f t="array" ref="W258">_xlfn.IFS(B258="","",AND(G258&gt;=0,L258&gt;0),"BuySome",AND(G258&gt;=0,K258="KMSignal"),"BuySome",AND(G258&lt;0,L258&gt;0),"BuyWatch",AND(Q258&lt;0,L258&gt;0),"BuyWatch",AND(G258&gt;=0,L258=0),"BuyWatch",L258&gt;0,"BuySome",TRUE,"")</f>
        <v/>
      </c>
      <c r="X258" s="47" t="str">
        <f>_xlfn.XLOOKUP(W258,Parm!$AN$2:$AN$25,Parm!$AO$2:$AO$25,"")</f>
        <v/>
      </c>
      <c r="Y258" s="52" t="str" cm="1">
        <f t="array" ref="Y258">_xlfn.IFS(B258="","",OR(Q258=-100,U258=-100),"SellAll",OR(Q258&lt;0,U258&lt;0),"SellSome",AND(Q258&gt;0,U258&gt;0),"BuySome",OR(Q258&gt;0,U258&gt;0),"BuyWatch",TRUE,"")</f>
        <v/>
      </c>
      <c r="Z258" s="47" t="str">
        <f>_xlfn.XLOOKUP(Y258,Parm!$AN$2:$AN$25,Parm!$AO$2:$AO$25,"")</f>
        <v/>
      </c>
      <c r="AA258" s="286">
        <f>IF(C258&lt;&gt;-100,A258,_xlfn.XLOOKUP(B258,ssH!L:L,ssH!M:M))</f>
        <v>46140</v>
      </c>
      <c r="AB258" s="49" t="str">
        <f t="shared" ref="AB258:AB300" si="52">IF(ISNA(AC258),B258,"")</f>
        <v/>
      </c>
      <c r="AC258" s="52">
        <f>_xlfn.XLOOKUP(B258,TL!C:C,TL!C:C)</f>
        <v>0</v>
      </c>
      <c r="AD258" s="52">
        <f>_xlfn.XLOOKUP(B258,Y!C:C,Y!C:C)</f>
        <v>0</v>
      </c>
      <c r="AE258" s="52">
        <f>_xlfn.XLOOKUP(B258,MA!C:C,MA!C:C)</f>
        <v>0</v>
      </c>
    </row>
    <row r="259" spans="1:31" x14ac:dyDescent="0.25">
      <c r="A259" s="29">
        <f>ssH!$AG$1</f>
        <v>46140</v>
      </c>
      <c r="C259" s="47">
        <f t="shared" ref="C259:C300" si="53">IF(K259="Removed",-100, L259)</f>
        <v>0</v>
      </c>
      <c r="D259" s="42">
        <f>_xlfn.XLOOKUP(ssH!$AG$3&amp;B259,ssH!A:A,ssH!D:D,0)</f>
        <v>0</v>
      </c>
      <c r="E259" s="42">
        <f>_xlfn.XLOOKUP(ssH!$AG$5&amp;B259,ssH!A:A,ssH!D:D,0)</f>
        <v>0</v>
      </c>
      <c r="F259" s="42">
        <f>_xlfn.XLOOKUP(ssH!$AG$6&amp;B259,ssH!A:A,ssH!D:D,0)</f>
        <v>0</v>
      </c>
      <c r="G259" s="48">
        <f>_xlfn.XLOOKUP(A259&amp;B259,ssH!A:A,ssH!F:F,-100%)</f>
        <v>-1</v>
      </c>
      <c r="H259" s="46">
        <f>_xlfn.XLOOKUP(ssH!$AG$3&amp;B259,ssH!A:A,ssH!F:F,0)</f>
        <v>0</v>
      </c>
      <c r="I259" s="46">
        <f>_xlfn.XLOOKUP(ssH!$AG$5&amp;B259,ssH!A:A,ssH!F:F,0)</f>
        <v>0</v>
      </c>
      <c r="J259" s="46">
        <f>_xlfn.XLOOKUP(ssH!$AG$6&amp;B259,ssH!A:A,ssH!F:F,0)</f>
        <v>0</v>
      </c>
      <c r="K259" s="46">
        <f>_xlfn.XLOOKUP(B259,ssL!C:C,ssL!G:G,"Removed")</f>
        <v>0</v>
      </c>
      <c r="L259" s="27">
        <f>_xlfn.XLOOKUP(A259&amp;B259,ssH!A:A,ssH!D:D,0)</f>
        <v>0</v>
      </c>
      <c r="M259" s="42" t="str">
        <f>_xlfn.XLOOKUP(A259&amp;B259,ssH!A:A,ssH!I:I,"")</f>
        <v/>
      </c>
      <c r="N259" s="51" t="str">
        <f t="shared" si="44"/>
        <v/>
      </c>
      <c r="O259" s="51" t="str">
        <f t="shared" si="45"/>
        <v/>
      </c>
      <c r="P259" s="51" t="str">
        <f t="shared" si="46"/>
        <v/>
      </c>
      <c r="Q259" s="52">
        <f t="shared" si="47"/>
        <v>0</v>
      </c>
      <c r="R259" s="51">
        <f t="shared" si="48"/>
        <v>2</v>
      </c>
      <c r="S259" s="51">
        <f t="shared" si="49"/>
        <v>0</v>
      </c>
      <c r="T259" s="51">
        <f t="shared" si="50"/>
        <v>0</v>
      </c>
      <c r="U259" s="52">
        <f t="shared" si="51"/>
        <v>2</v>
      </c>
      <c r="V259" s="52">
        <f t="shared" ref="V259:V300" si="54">B259</f>
        <v>0</v>
      </c>
      <c r="W259" s="52" t="str" cm="1">
        <f t="array" ref="W259">_xlfn.IFS(B259="","",AND(G259&gt;=0,L259&gt;0),"BuySome",AND(G259&gt;=0,K259="KMSignal"),"BuySome",AND(G259&lt;0,L259&gt;0),"BuyWatch",AND(Q259&lt;0,L259&gt;0),"BuyWatch",AND(G259&gt;=0,L259=0),"BuyWatch",L259&gt;0,"BuySome",TRUE,"")</f>
        <v/>
      </c>
      <c r="X259" s="47" t="str">
        <f>_xlfn.XLOOKUP(W259,Parm!$AN$2:$AN$25,Parm!$AO$2:$AO$25,"")</f>
        <v/>
      </c>
      <c r="Y259" s="52" t="str" cm="1">
        <f t="array" ref="Y259">_xlfn.IFS(B259="","",OR(Q259=-100,U259=-100),"SellAll",OR(Q259&lt;0,U259&lt;0),"SellSome",AND(Q259&gt;0,U259&gt;0),"BuySome",OR(Q259&gt;0,U259&gt;0),"BuyWatch",TRUE,"")</f>
        <v/>
      </c>
      <c r="Z259" s="47" t="str">
        <f>_xlfn.XLOOKUP(Y259,Parm!$AN$2:$AN$25,Parm!$AO$2:$AO$25,"")</f>
        <v/>
      </c>
      <c r="AA259" s="286">
        <f>IF(C259&lt;&gt;-100,A259,_xlfn.XLOOKUP(B259,ssH!L:L,ssH!M:M))</f>
        <v>46140</v>
      </c>
      <c r="AB259" s="49" t="str">
        <f t="shared" si="52"/>
        <v/>
      </c>
      <c r="AC259" s="52">
        <f>_xlfn.XLOOKUP(B259,TL!C:C,TL!C:C)</f>
        <v>0</v>
      </c>
      <c r="AD259" s="52">
        <f>_xlfn.XLOOKUP(B259,Y!C:C,Y!C:C)</f>
        <v>0</v>
      </c>
      <c r="AE259" s="52">
        <f>_xlfn.XLOOKUP(B259,MA!C:C,MA!C:C)</f>
        <v>0</v>
      </c>
    </row>
    <row r="260" spans="1:31" x14ac:dyDescent="0.25">
      <c r="A260" s="29">
        <f>ssH!$AG$1</f>
        <v>46140</v>
      </c>
      <c r="C260" s="47">
        <f t="shared" si="53"/>
        <v>0</v>
      </c>
      <c r="D260" s="42">
        <f>_xlfn.XLOOKUP(ssH!$AG$3&amp;B260,ssH!A:A,ssH!D:D,0)</f>
        <v>0</v>
      </c>
      <c r="E260" s="42">
        <f>_xlfn.XLOOKUP(ssH!$AG$5&amp;B260,ssH!A:A,ssH!D:D,0)</f>
        <v>0</v>
      </c>
      <c r="F260" s="42">
        <f>_xlfn.XLOOKUP(ssH!$AG$6&amp;B260,ssH!A:A,ssH!D:D,0)</f>
        <v>0</v>
      </c>
      <c r="G260" s="48">
        <f>_xlfn.XLOOKUP(A260&amp;B260,ssH!A:A,ssH!F:F,-100%)</f>
        <v>-1</v>
      </c>
      <c r="H260" s="46">
        <f>_xlfn.XLOOKUP(ssH!$AG$3&amp;B260,ssH!A:A,ssH!F:F,0)</f>
        <v>0</v>
      </c>
      <c r="I260" s="46">
        <f>_xlfn.XLOOKUP(ssH!$AG$5&amp;B260,ssH!A:A,ssH!F:F,0)</f>
        <v>0</v>
      </c>
      <c r="J260" s="46">
        <f>_xlfn.XLOOKUP(ssH!$AG$6&amp;B260,ssH!A:A,ssH!F:F,0)</f>
        <v>0</v>
      </c>
      <c r="K260" s="46">
        <f>_xlfn.XLOOKUP(B260,ssL!C:C,ssL!G:G,"Removed")</f>
        <v>0</v>
      </c>
      <c r="L260" s="27">
        <f>_xlfn.XLOOKUP(A260&amp;B260,ssH!A:A,ssH!D:D,0)</f>
        <v>0</v>
      </c>
      <c r="M260" s="42" t="str">
        <f>_xlfn.XLOOKUP(A260&amp;B260,ssH!A:A,ssH!I:I,"")</f>
        <v/>
      </c>
      <c r="N260" s="51" t="str">
        <f t="shared" si="44"/>
        <v/>
      </c>
      <c r="O260" s="51" t="str">
        <f t="shared" si="45"/>
        <v/>
      </c>
      <c r="P260" s="51" t="str">
        <f t="shared" si="46"/>
        <v/>
      </c>
      <c r="Q260" s="52">
        <f t="shared" si="47"/>
        <v>0</v>
      </c>
      <c r="R260" s="51">
        <f t="shared" si="48"/>
        <v>2</v>
      </c>
      <c r="S260" s="51">
        <f t="shared" si="49"/>
        <v>0</v>
      </c>
      <c r="T260" s="51">
        <f t="shared" si="50"/>
        <v>0</v>
      </c>
      <c r="U260" s="52">
        <f t="shared" si="51"/>
        <v>2</v>
      </c>
      <c r="V260" s="52">
        <f t="shared" si="54"/>
        <v>0</v>
      </c>
      <c r="W260" s="52" t="str" cm="1">
        <f t="array" ref="W260">_xlfn.IFS(B260="","",AND(G260&gt;=0,L260&gt;0),"BuySome",AND(G260&gt;=0,K260="KMSignal"),"BuySome",AND(G260&lt;0,L260&gt;0),"BuyWatch",AND(Q260&lt;0,L260&gt;0),"BuyWatch",AND(G260&gt;=0,L260=0),"BuyWatch",L260&gt;0,"BuySome",TRUE,"")</f>
        <v/>
      </c>
      <c r="X260" s="47" t="str">
        <f>_xlfn.XLOOKUP(W260,Parm!$AN$2:$AN$25,Parm!$AO$2:$AO$25,"")</f>
        <v/>
      </c>
      <c r="Y260" s="52" t="str" cm="1">
        <f t="array" ref="Y260">_xlfn.IFS(B260="","",OR(Q260=-100,U260=-100),"SellAll",OR(Q260&lt;0,U260&lt;0),"SellSome",AND(Q260&gt;0,U260&gt;0),"BuySome",OR(Q260&gt;0,U260&gt;0),"BuyWatch",TRUE,"")</f>
        <v/>
      </c>
      <c r="Z260" s="47" t="str">
        <f>_xlfn.XLOOKUP(Y260,Parm!$AN$2:$AN$25,Parm!$AO$2:$AO$25,"")</f>
        <v/>
      </c>
      <c r="AA260" s="286">
        <f>IF(C260&lt;&gt;-100,A260,_xlfn.XLOOKUP(B260,ssH!L:L,ssH!M:M))</f>
        <v>46140</v>
      </c>
      <c r="AB260" s="49" t="str">
        <f t="shared" si="52"/>
        <v/>
      </c>
      <c r="AC260" s="52">
        <f>_xlfn.XLOOKUP(B260,TL!C:C,TL!C:C)</f>
        <v>0</v>
      </c>
      <c r="AD260" s="52">
        <f>_xlfn.XLOOKUP(B260,Y!C:C,Y!C:C)</f>
        <v>0</v>
      </c>
      <c r="AE260" s="52">
        <f>_xlfn.XLOOKUP(B260,MA!C:C,MA!C:C)</f>
        <v>0</v>
      </c>
    </row>
    <row r="261" spans="1:31" x14ac:dyDescent="0.25">
      <c r="A261" s="29">
        <f>ssH!$AG$1</f>
        <v>46140</v>
      </c>
      <c r="C261" s="47">
        <f t="shared" si="53"/>
        <v>0</v>
      </c>
      <c r="D261" s="42">
        <f>_xlfn.XLOOKUP(ssH!$AG$3&amp;B261,ssH!A:A,ssH!D:D,0)</f>
        <v>0</v>
      </c>
      <c r="E261" s="42">
        <f>_xlfn.XLOOKUP(ssH!$AG$5&amp;B261,ssH!A:A,ssH!D:D,0)</f>
        <v>0</v>
      </c>
      <c r="F261" s="42">
        <f>_xlfn.XLOOKUP(ssH!$AG$6&amp;B261,ssH!A:A,ssH!D:D,0)</f>
        <v>0</v>
      </c>
      <c r="G261" s="48">
        <f>_xlfn.XLOOKUP(A261&amp;B261,ssH!A:A,ssH!F:F,-100%)</f>
        <v>-1</v>
      </c>
      <c r="H261" s="46">
        <f>_xlfn.XLOOKUP(ssH!$AG$3&amp;B261,ssH!A:A,ssH!F:F,0)</f>
        <v>0</v>
      </c>
      <c r="I261" s="46">
        <f>_xlfn.XLOOKUP(ssH!$AG$5&amp;B261,ssH!A:A,ssH!F:F,0)</f>
        <v>0</v>
      </c>
      <c r="J261" s="46">
        <f>_xlfn.XLOOKUP(ssH!$AG$6&amp;B261,ssH!A:A,ssH!F:F,0)</f>
        <v>0</v>
      </c>
      <c r="K261" s="46">
        <f>_xlfn.XLOOKUP(B261,ssL!C:C,ssL!G:G,"Removed")</f>
        <v>0</v>
      </c>
      <c r="L261" s="27">
        <f>_xlfn.XLOOKUP(A261&amp;B261,ssH!A:A,ssH!D:D,0)</f>
        <v>0</v>
      </c>
      <c r="M261" s="42" t="str">
        <f>_xlfn.XLOOKUP(A261&amp;B261,ssH!A:A,ssH!I:I,"")</f>
        <v/>
      </c>
      <c r="N261" s="51" t="str">
        <f t="shared" si="44"/>
        <v/>
      </c>
      <c r="O261" s="51" t="str">
        <f t="shared" si="45"/>
        <v/>
      </c>
      <c r="P261" s="51" t="str">
        <f t="shared" si="46"/>
        <v/>
      </c>
      <c r="Q261" s="52">
        <f t="shared" si="47"/>
        <v>0</v>
      </c>
      <c r="R261" s="51">
        <f t="shared" si="48"/>
        <v>2</v>
      </c>
      <c r="S261" s="51">
        <f t="shared" si="49"/>
        <v>0</v>
      </c>
      <c r="T261" s="51">
        <f t="shared" si="50"/>
        <v>0</v>
      </c>
      <c r="U261" s="52">
        <f t="shared" si="51"/>
        <v>2</v>
      </c>
      <c r="V261" s="52">
        <f t="shared" si="54"/>
        <v>0</v>
      </c>
      <c r="W261" s="52" t="str" cm="1">
        <f t="array" ref="W261">_xlfn.IFS(B261="","",AND(G261&gt;=0,L261&gt;0),"BuySome",AND(G261&gt;=0,K261="KMSignal"),"BuySome",AND(G261&lt;0,L261&gt;0),"BuyWatch",AND(Q261&lt;0,L261&gt;0),"BuyWatch",AND(G261&gt;=0,L261=0),"BuyWatch",L261&gt;0,"BuySome",TRUE,"")</f>
        <v/>
      </c>
      <c r="X261" s="47" t="str">
        <f>_xlfn.XLOOKUP(W261,Parm!$AN$2:$AN$25,Parm!$AO$2:$AO$25,"")</f>
        <v/>
      </c>
      <c r="Y261" s="52" t="str" cm="1">
        <f t="array" ref="Y261">_xlfn.IFS(B261="","",OR(Q261=-100,U261=-100),"SellAll",OR(Q261&lt;0,U261&lt;0),"SellSome",AND(Q261&gt;0,U261&gt;0),"BuySome",OR(Q261&gt;0,U261&gt;0),"BuyWatch",TRUE,"")</f>
        <v/>
      </c>
      <c r="Z261" s="47" t="str">
        <f>_xlfn.XLOOKUP(Y261,Parm!$AN$2:$AN$25,Parm!$AO$2:$AO$25,"")</f>
        <v/>
      </c>
      <c r="AA261" s="286">
        <f>IF(C261&lt;&gt;-100,A261,_xlfn.XLOOKUP(B261,ssH!L:L,ssH!M:M))</f>
        <v>46140</v>
      </c>
      <c r="AB261" s="49" t="str">
        <f t="shared" si="52"/>
        <v/>
      </c>
      <c r="AC261" s="52">
        <f>_xlfn.XLOOKUP(B261,TL!C:C,TL!C:C)</f>
        <v>0</v>
      </c>
      <c r="AD261" s="52">
        <f>_xlfn.XLOOKUP(B261,Y!C:C,Y!C:C)</f>
        <v>0</v>
      </c>
      <c r="AE261" s="52">
        <f>_xlfn.XLOOKUP(B261,MA!C:C,MA!C:C)</f>
        <v>0</v>
      </c>
    </row>
    <row r="262" spans="1:31" x14ac:dyDescent="0.25">
      <c r="A262" s="29">
        <f>ssH!$AG$1</f>
        <v>46140</v>
      </c>
      <c r="C262" s="47">
        <f t="shared" si="53"/>
        <v>0</v>
      </c>
      <c r="D262" s="42">
        <f>_xlfn.XLOOKUP(ssH!$AG$3&amp;B262,ssH!A:A,ssH!D:D,0)</f>
        <v>0</v>
      </c>
      <c r="E262" s="42">
        <f>_xlfn.XLOOKUP(ssH!$AG$5&amp;B262,ssH!A:A,ssH!D:D,0)</f>
        <v>0</v>
      </c>
      <c r="F262" s="42">
        <f>_xlfn.XLOOKUP(ssH!$AG$6&amp;B262,ssH!A:A,ssH!D:D,0)</f>
        <v>0</v>
      </c>
      <c r="G262" s="48">
        <f>_xlfn.XLOOKUP(A262&amp;B262,ssH!A:A,ssH!F:F,-100%)</f>
        <v>-1</v>
      </c>
      <c r="H262" s="46">
        <f>_xlfn.XLOOKUP(ssH!$AG$3&amp;B262,ssH!A:A,ssH!F:F,0)</f>
        <v>0</v>
      </c>
      <c r="I262" s="46">
        <f>_xlfn.XLOOKUP(ssH!$AG$5&amp;B262,ssH!A:A,ssH!F:F,0)</f>
        <v>0</v>
      </c>
      <c r="J262" s="46">
        <f>_xlfn.XLOOKUP(ssH!$AG$6&amp;B262,ssH!A:A,ssH!F:F,0)</f>
        <v>0</v>
      </c>
      <c r="K262" s="46">
        <f>_xlfn.XLOOKUP(B262,ssL!C:C,ssL!G:G,"Removed")</f>
        <v>0</v>
      </c>
      <c r="L262" s="27">
        <f>_xlfn.XLOOKUP(A262&amp;B262,ssH!A:A,ssH!D:D,0)</f>
        <v>0</v>
      </c>
      <c r="M262" s="42" t="str">
        <f>_xlfn.XLOOKUP(A262&amp;B262,ssH!A:A,ssH!I:I,"")</f>
        <v/>
      </c>
      <c r="N262" s="51" t="str">
        <f t="shared" si="44"/>
        <v/>
      </c>
      <c r="O262" s="51" t="str">
        <f t="shared" si="45"/>
        <v/>
      </c>
      <c r="P262" s="51" t="str">
        <f t="shared" si="46"/>
        <v/>
      </c>
      <c r="Q262" s="52">
        <f t="shared" si="47"/>
        <v>0</v>
      </c>
      <c r="R262" s="51">
        <f t="shared" si="48"/>
        <v>2</v>
      </c>
      <c r="S262" s="51">
        <f t="shared" si="49"/>
        <v>0</v>
      </c>
      <c r="T262" s="51">
        <f t="shared" si="50"/>
        <v>0</v>
      </c>
      <c r="U262" s="52">
        <f t="shared" si="51"/>
        <v>2</v>
      </c>
      <c r="V262" s="52">
        <f t="shared" si="54"/>
        <v>0</v>
      </c>
      <c r="W262" s="52" t="str" cm="1">
        <f t="array" ref="W262">_xlfn.IFS(B262="","",AND(G262&gt;=0,L262&gt;0),"BuySome",AND(G262&gt;=0,K262="KMSignal"),"BuySome",AND(G262&lt;0,L262&gt;0),"BuyWatch",AND(Q262&lt;0,L262&gt;0),"BuyWatch",AND(G262&gt;=0,L262=0),"BuyWatch",L262&gt;0,"BuySome",TRUE,"")</f>
        <v/>
      </c>
      <c r="X262" s="47" t="str">
        <f>_xlfn.XLOOKUP(W262,Parm!$AN$2:$AN$25,Parm!$AO$2:$AO$25,"")</f>
        <v/>
      </c>
      <c r="Y262" s="52" t="str" cm="1">
        <f t="array" ref="Y262">_xlfn.IFS(B262="","",OR(Q262=-100,U262=-100),"SellAll",OR(Q262&lt;0,U262&lt;0),"SellSome",AND(Q262&gt;0,U262&gt;0),"BuySome",OR(Q262&gt;0,U262&gt;0),"BuyWatch",TRUE,"")</f>
        <v/>
      </c>
      <c r="Z262" s="47" t="str">
        <f>_xlfn.XLOOKUP(Y262,Parm!$AN$2:$AN$25,Parm!$AO$2:$AO$25,"")</f>
        <v/>
      </c>
      <c r="AA262" s="286">
        <f>IF(C262&lt;&gt;-100,A262,_xlfn.XLOOKUP(B262,ssH!L:L,ssH!M:M))</f>
        <v>46140</v>
      </c>
      <c r="AB262" s="49" t="str">
        <f t="shared" si="52"/>
        <v/>
      </c>
      <c r="AC262" s="52">
        <f>_xlfn.XLOOKUP(B262,TL!C:C,TL!C:C)</f>
        <v>0</v>
      </c>
      <c r="AD262" s="52">
        <f>_xlfn.XLOOKUP(B262,Y!C:C,Y!C:C)</f>
        <v>0</v>
      </c>
      <c r="AE262" s="52">
        <f>_xlfn.XLOOKUP(B262,MA!C:C,MA!C:C)</f>
        <v>0</v>
      </c>
    </row>
    <row r="263" spans="1:31" x14ac:dyDescent="0.25">
      <c r="A263" s="29">
        <f>ssH!$AG$1</f>
        <v>46140</v>
      </c>
      <c r="C263" s="47">
        <f t="shared" si="53"/>
        <v>0</v>
      </c>
      <c r="D263" s="42">
        <f>_xlfn.XLOOKUP(ssH!$AG$3&amp;B263,ssH!A:A,ssH!D:D,0)</f>
        <v>0</v>
      </c>
      <c r="E263" s="42">
        <f>_xlfn.XLOOKUP(ssH!$AG$5&amp;B263,ssH!A:A,ssH!D:D,0)</f>
        <v>0</v>
      </c>
      <c r="F263" s="42">
        <f>_xlfn.XLOOKUP(ssH!$AG$6&amp;B263,ssH!A:A,ssH!D:D,0)</f>
        <v>0</v>
      </c>
      <c r="G263" s="48">
        <f>_xlfn.XLOOKUP(A263&amp;B263,ssH!A:A,ssH!F:F,-100%)</f>
        <v>-1</v>
      </c>
      <c r="H263" s="46">
        <f>_xlfn.XLOOKUP(ssH!$AG$3&amp;B263,ssH!A:A,ssH!F:F,0)</f>
        <v>0</v>
      </c>
      <c r="I263" s="46">
        <f>_xlfn.XLOOKUP(ssH!$AG$5&amp;B263,ssH!A:A,ssH!F:F,0)</f>
        <v>0</v>
      </c>
      <c r="J263" s="46">
        <f>_xlfn.XLOOKUP(ssH!$AG$6&amp;B263,ssH!A:A,ssH!F:F,0)</f>
        <v>0</v>
      </c>
      <c r="K263" s="46">
        <f>_xlfn.XLOOKUP(B263,ssL!C:C,ssL!G:G,"Removed")</f>
        <v>0</v>
      </c>
      <c r="L263" s="27">
        <f>_xlfn.XLOOKUP(A263&amp;B263,ssH!A:A,ssH!D:D,0)</f>
        <v>0</v>
      </c>
      <c r="M263" s="42" t="str">
        <f>_xlfn.XLOOKUP(A263&amp;B263,ssH!A:A,ssH!I:I,"")</f>
        <v/>
      </c>
      <c r="N263" s="51" t="str">
        <f t="shared" si="44"/>
        <v/>
      </c>
      <c r="O263" s="51" t="str">
        <f t="shared" si="45"/>
        <v/>
      </c>
      <c r="P263" s="51" t="str">
        <f t="shared" si="46"/>
        <v/>
      </c>
      <c r="Q263" s="52">
        <f t="shared" si="47"/>
        <v>0</v>
      </c>
      <c r="R263" s="51">
        <f t="shared" si="48"/>
        <v>2</v>
      </c>
      <c r="S263" s="51">
        <f t="shared" si="49"/>
        <v>0</v>
      </c>
      <c r="T263" s="51">
        <f t="shared" si="50"/>
        <v>0</v>
      </c>
      <c r="U263" s="52">
        <f t="shared" si="51"/>
        <v>2</v>
      </c>
      <c r="V263" s="52">
        <f t="shared" si="54"/>
        <v>0</v>
      </c>
      <c r="W263" s="52" t="str" cm="1">
        <f t="array" ref="W263">_xlfn.IFS(B263="","",AND(G263&gt;=0,L263&gt;0),"BuySome",AND(G263&gt;=0,K263="KMSignal"),"BuySome",AND(G263&lt;0,L263&gt;0),"BuyWatch",AND(Q263&lt;0,L263&gt;0),"BuyWatch",AND(G263&gt;=0,L263=0),"BuyWatch",L263&gt;0,"BuySome",TRUE,"")</f>
        <v/>
      </c>
      <c r="X263" s="47" t="str">
        <f>_xlfn.XLOOKUP(W263,Parm!$AN$2:$AN$25,Parm!$AO$2:$AO$25,"")</f>
        <v/>
      </c>
      <c r="Y263" s="52" t="str" cm="1">
        <f t="array" ref="Y263">_xlfn.IFS(B263="","",OR(Q263=-100,U263=-100),"SellAll",OR(Q263&lt;0,U263&lt;0),"SellSome",AND(Q263&gt;0,U263&gt;0),"BuySome",OR(Q263&gt;0,U263&gt;0),"BuyWatch",TRUE,"")</f>
        <v/>
      </c>
      <c r="Z263" s="47" t="str">
        <f>_xlfn.XLOOKUP(Y263,Parm!$AN$2:$AN$25,Parm!$AO$2:$AO$25,"")</f>
        <v/>
      </c>
      <c r="AA263" s="286">
        <f>IF(C263&lt;&gt;-100,A263,_xlfn.XLOOKUP(B263,ssH!L:L,ssH!M:M))</f>
        <v>46140</v>
      </c>
      <c r="AB263" s="49" t="str">
        <f t="shared" si="52"/>
        <v/>
      </c>
      <c r="AC263" s="52">
        <f>_xlfn.XLOOKUP(B263,TL!C:C,TL!C:C)</f>
        <v>0</v>
      </c>
      <c r="AD263" s="52">
        <f>_xlfn.XLOOKUP(B263,Y!C:C,Y!C:C)</f>
        <v>0</v>
      </c>
      <c r="AE263" s="52">
        <f>_xlfn.XLOOKUP(B263,MA!C:C,MA!C:C)</f>
        <v>0</v>
      </c>
    </row>
    <row r="264" spans="1:31" x14ac:dyDescent="0.25">
      <c r="A264" s="29">
        <f>ssH!$AG$1</f>
        <v>46140</v>
      </c>
      <c r="C264" s="47">
        <f t="shared" si="53"/>
        <v>0</v>
      </c>
      <c r="D264" s="42">
        <f>_xlfn.XLOOKUP(ssH!$AG$3&amp;B264,ssH!A:A,ssH!D:D,0)</f>
        <v>0</v>
      </c>
      <c r="E264" s="42">
        <f>_xlfn.XLOOKUP(ssH!$AG$5&amp;B264,ssH!A:A,ssH!D:D,0)</f>
        <v>0</v>
      </c>
      <c r="F264" s="42">
        <f>_xlfn.XLOOKUP(ssH!$AG$6&amp;B264,ssH!A:A,ssH!D:D,0)</f>
        <v>0</v>
      </c>
      <c r="G264" s="48">
        <f>_xlfn.XLOOKUP(A264&amp;B264,ssH!A:A,ssH!F:F,-100%)</f>
        <v>-1</v>
      </c>
      <c r="H264" s="46">
        <f>_xlfn.XLOOKUP(ssH!$AG$3&amp;B264,ssH!A:A,ssH!F:F,0)</f>
        <v>0</v>
      </c>
      <c r="I264" s="46">
        <f>_xlfn.XLOOKUP(ssH!$AG$5&amp;B264,ssH!A:A,ssH!F:F,0)</f>
        <v>0</v>
      </c>
      <c r="J264" s="46">
        <f>_xlfn.XLOOKUP(ssH!$AG$6&amp;B264,ssH!A:A,ssH!F:F,0)</f>
        <v>0</v>
      </c>
      <c r="K264" s="46">
        <f>_xlfn.XLOOKUP(B264,ssL!C:C,ssL!G:G,"Removed")</f>
        <v>0</v>
      </c>
      <c r="L264" s="27">
        <f>_xlfn.XLOOKUP(A264&amp;B264,ssH!A:A,ssH!D:D,0)</f>
        <v>0</v>
      </c>
      <c r="M264" s="42" t="str">
        <f>_xlfn.XLOOKUP(A264&amp;B264,ssH!A:A,ssH!I:I,"")</f>
        <v/>
      </c>
      <c r="N264" s="51" t="str">
        <f t="shared" si="44"/>
        <v/>
      </c>
      <c r="O264" s="51" t="str">
        <f t="shared" si="45"/>
        <v/>
      </c>
      <c r="P264" s="51" t="str">
        <f t="shared" si="46"/>
        <v/>
      </c>
      <c r="Q264" s="52">
        <f t="shared" si="47"/>
        <v>0</v>
      </c>
      <c r="R264" s="51">
        <f t="shared" si="48"/>
        <v>2</v>
      </c>
      <c r="S264" s="51">
        <f t="shared" si="49"/>
        <v>0</v>
      </c>
      <c r="T264" s="51">
        <f t="shared" si="50"/>
        <v>0</v>
      </c>
      <c r="U264" s="52">
        <f t="shared" si="51"/>
        <v>2</v>
      </c>
      <c r="V264" s="52">
        <f t="shared" si="54"/>
        <v>0</v>
      </c>
      <c r="W264" s="52" t="str" cm="1">
        <f t="array" ref="W264">_xlfn.IFS(B264="","",AND(G264&gt;=0,L264&gt;0),"BuySome",AND(G264&gt;=0,K264="KMSignal"),"BuySome",AND(G264&lt;0,L264&gt;0),"BuyWatch",AND(Q264&lt;0,L264&gt;0),"BuyWatch",AND(G264&gt;=0,L264=0),"BuyWatch",L264&gt;0,"BuySome",TRUE,"")</f>
        <v/>
      </c>
      <c r="X264" s="47" t="str">
        <f>_xlfn.XLOOKUP(W264,Parm!$AN$2:$AN$25,Parm!$AO$2:$AO$25,"")</f>
        <v/>
      </c>
      <c r="Y264" s="52" t="str" cm="1">
        <f t="array" ref="Y264">_xlfn.IFS(B264="","",OR(Q264=-100,U264=-100),"SellAll",OR(Q264&lt;0,U264&lt;0),"SellSome",AND(Q264&gt;0,U264&gt;0),"BuySome",OR(Q264&gt;0,U264&gt;0),"BuyWatch",TRUE,"")</f>
        <v/>
      </c>
      <c r="Z264" s="47" t="str">
        <f>_xlfn.XLOOKUP(Y264,Parm!$AN$2:$AN$25,Parm!$AO$2:$AO$25,"")</f>
        <v/>
      </c>
      <c r="AA264" s="286">
        <f>IF(C264&lt;&gt;-100,A264,_xlfn.XLOOKUP(B264,ssH!L:L,ssH!M:M))</f>
        <v>46140</v>
      </c>
      <c r="AB264" s="49" t="str">
        <f t="shared" si="52"/>
        <v/>
      </c>
      <c r="AC264" s="52">
        <f>_xlfn.XLOOKUP(B264,TL!C:C,TL!C:C)</f>
        <v>0</v>
      </c>
      <c r="AD264" s="52">
        <f>_xlfn.XLOOKUP(B264,Y!C:C,Y!C:C)</f>
        <v>0</v>
      </c>
      <c r="AE264" s="52">
        <f>_xlfn.XLOOKUP(B264,MA!C:C,MA!C:C)</f>
        <v>0</v>
      </c>
    </row>
    <row r="265" spans="1:31" x14ac:dyDescent="0.25">
      <c r="A265" s="29">
        <f>ssH!$AG$1</f>
        <v>46140</v>
      </c>
      <c r="C265" s="47">
        <f t="shared" si="53"/>
        <v>0</v>
      </c>
      <c r="D265" s="42">
        <f>_xlfn.XLOOKUP(ssH!$AG$3&amp;B265,ssH!A:A,ssH!D:D,0)</f>
        <v>0</v>
      </c>
      <c r="E265" s="42">
        <f>_xlfn.XLOOKUP(ssH!$AG$5&amp;B265,ssH!A:A,ssH!D:D,0)</f>
        <v>0</v>
      </c>
      <c r="F265" s="42">
        <f>_xlfn.XLOOKUP(ssH!$AG$6&amp;B265,ssH!A:A,ssH!D:D,0)</f>
        <v>0</v>
      </c>
      <c r="G265" s="48">
        <f>_xlfn.XLOOKUP(A265&amp;B265,ssH!A:A,ssH!F:F,-100%)</f>
        <v>-1</v>
      </c>
      <c r="H265" s="46">
        <f>_xlfn.XLOOKUP(ssH!$AG$3&amp;B265,ssH!A:A,ssH!F:F,0)</f>
        <v>0</v>
      </c>
      <c r="I265" s="46">
        <f>_xlfn.XLOOKUP(ssH!$AG$5&amp;B265,ssH!A:A,ssH!F:F,0)</f>
        <v>0</v>
      </c>
      <c r="J265" s="46">
        <f>_xlfn.XLOOKUP(ssH!$AG$6&amp;B265,ssH!A:A,ssH!F:F,0)</f>
        <v>0</v>
      </c>
      <c r="K265" s="46">
        <f>_xlfn.XLOOKUP(B265,ssL!C:C,ssL!G:G,"Removed")</f>
        <v>0</v>
      </c>
      <c r="L265" s="27">
        <f>_xlfn.XLOOKUP(A265&amp;B265,ssH!A:A,ssH!D:D,0)</f>
        <v>0</v>
      </c>
      <c r="M265" s="42" t="str">
        <f>_xlfn.XLOOKUP(A265&amp;B265,ssH!A:A,ssH!I:I,"")</f>
        <v/>
      </c>
      <c r="N265" s="51" t="str">
        <f t="shared" si="44"/>
        <v/>
      </c>
      <c r="O265" s="51" t="str">
        <f t="shared" si="45"/>
        <v/>
      </c>
      <c r="P265" s="51" t="str">
        <f t="shared" si="46"/>
        <v/>
      </c>
      <c r="Q265" s="52">
        <f t="shared" si="47"/>
        <v>0</v>
      </c>
      <c r="R265" s="51">
        <f t="shared" si="48"/>
        <v>2</v>
      </c>
      <c r="S265" s="51">
        <f t="shared" si="49"/>
        <v>0</v>
      </c>
      <c r="T265" s="51">
        <f t="shared" si="50"/>
        <v>0</v>
      </c>
      <c r="U265" s="52">
        <f t="shared" si="51"/>
        <v>2</v>
      </c>
      <c r="V265" s="52">
        <f t="shared" si="54"/>
        <v>0</v>
      </c>
      <c r="W265" s="52" t="str" cm="1">
        <f t="array" ref="W265">_xlfn.IFS(B265="","",AND(G265&gt;=0,L265&gt;0),"BuySome",AND(G265&gt;=0,K265="KMSignal"),"BuySome",AND(G265&lt;0,L265&gt;0),"BuyWatch",AND(Q265&lt;0,L265&gt;0),"BuyWatch",AND(G265&gt;=0,L265=0),"BuyWatch",L265&gt;0,"BuySome",TRUE,"")</f>
        <v/>
      </c>
      <c r="X265" s="47" t="str">
        <f>_xlfn.XLOOKUP(W265,Parm!$AN$2:$AN$25,Parm!$AO$2:$AO$25,"")</f>
        <v/>
      </c>
      <c r="Y265" s="52" t="str" cm="1">
        <f t="array" ref="Y265">_xlfn.IFS(B265="","",OR(Q265=-100,U265=-100),"SellAll",OR(Q265&lt;0,U265&lt;0),"SellSome",AND(Q265&gt;0,U265&gt;0),"BuySome",OR(Q265&gt;0,U265&gt;0),"BuyWatch",TRUE,"")</f>
        <v/>
      </c>
      <c r="Z265" s="47" t="str">
        <f>_xlfn.XLOOKUP(Y265,Parm!$AN$2:$AN$25,Parm!$AO$2:$AO$25,"")</f>
        <v/>
      </c>
      <c r="AA265" s="286">
        <f>IF(C265&lt;&gt;-100,A265,_xlfn.XLOOKUP(B265,ssH!L:L,ssH!M:M))</f>
        <v>46140</v>
      </c>
      <c r="AB265" s="49" t="str">
        <f t="shared" si="52"/>
        <v/>
      </c>
      <c r="AC265" s="52">
        <f>_xlfn.XLOOKUP(B265,TL!C:C,TL!C:C)</f>
        <v>0</v>
      </c>
      <c r="AD265" s="52">
        <f>_xlfn.XLOOKUP(B265,Y!C:C,Y!C:C)</f>
        <v>0</v>
      </c>
      <c r="AE265" s="52">
        <f>_xlfn.XLOOKUP(B265,MA!C:C,MA!C:C)</f>
        <v>0</v>
      </c>
    </row>
    <row r="266" spans="1:31" x14ac:dyDescent="0.25">
      <c r="A266" s="29">
        <f>ssH!$AG$1</f>
        <v>46140</v>
      </c>
      <c r="C266" s="47">
        <f t="shared" si="53"/>
        <v>0</v>
      </c>
      <c r="D266" s="42">
        <f>_xlfn.XLOOKUP(ssH!$AG$3&amp;B266,ssH!A:A,ssH!D:D,0)</f>
        <v>0</v>
      </c>
      <c r="E266" s="42">
        <f>_xlfn.XLOOKUP(ssH!$AG$5&amp;B266,ssH!A:A,ssH!D:D,0)</f>
        <v>0</v>
      </c>
      <c r="F266" s="42">
        <f>_xlfn.XLOOKUP(ssH!$AG$6&amp;B266,ssH!A:A,ssH!D:D,0)</f>
        <v>0</v>
      </c>
      <c r="G266" s="48">
        <f>_xlfn.XLOOKUP(A266&amp;B266,ssH!A:A,ssH!F:F,-100%)</f>
        <v>-1</v>
      </c>
      <c r="H266" s="46">
        <f>_xlfn.XLOOKUP(ssH!$AG$3&amp;B266,ssH!A:A,ssH!F:F,0)</f>
        <v>0</v>
      </c>
      <c r="I266" s="46">
        <f>_xlfn.XLOOKUP(ssH!$AG$5&amp;B266,ssH!A:A,ssH!F:F,0)</f>
        <v>0</v>
      </c>
      <c r="J266" s="46">
        <f>_xlfn.XLOOKUP(ssH!$AG$6&amp;B266,ssH!A:A,ssH!F:F,0)</f>
        <v>0</v>
      </c>
      <c r="K266" s="46">
        <f>_xlfn.XLOOKUP(B266,ssL!C:C,ssL!G:G,"Removed")</f>
        <v>0</v>
      </c>
      <c r="L266" s="27">
        <f>_xlfn.XLOOKUP(A266&amp;B266,ssH!A:A,ssH!D:D,0)</f>
        <v>0</v>
      </c>
      <c r="M266" s="42" t="str">
        <f>_xlfn.XLOOKUP(A266&amp;B266,ssH!A:A,ssH!I:I,"")</f>
        <v/>
      </c>
      <c r="N266" s="51" t="str">
        <f t="shared" si="44"/>
        <v/>
      </c>
      <c r="O266" s="51" t="str">
        <f t="shared" si="45"/>
        <v/>
      </c>
      <c r="P266" s="51" t="str">
        <f t="shared" si="46"/>
        <v/>
      </c>
      <c r="Q266" s="52">
        <f t="shared" si="47"/>
        <v>0</v>
      </c>
      <c r="R266" s="51">
        <f t="shared" si="48"/>
        <v>2</v>
      </c>
      <c r="S266" s="51">
        <f t="shared" si="49"/>
        <v>0</v>
      </c>
      <c r="T266" s="51">
        <f t="shared" si="50"/>
        <v>0</v>
      </c>
      <c r="U266" s="52">
        <f t="shared" si="51"/>
        <v>2</v>
      </c>
      <c r="V266" s="52">
        <f t="shared" si="54"/>
        <v>0</v>
      </c>
      <c r="W266" s="52" t="str" cm="1">
        <f t="array" ref="W266">_xlfn.IFS(B266="","",AND(G266&gt;=0,L266&gt;0),"BuySome",AND(G266&gt;=0,K266="KMSignal"),"BuySome",AND(G266&lt;0,L266&gt;0),"BuyWatch",AND(Q266&lt;0,L266&gt;0),"BuyWatch",AND(G266&gt;=0,L266=0),"BuyWatch",L266&gt;0,"BuySome",TRUE,"")</f>
        <v/>
      </c>
      <c r="X266" s="47" t="str">
        <f>_xlfn.XLOOKUP(W266,Parm!$AN$2:$AN$25,Parm!$AO$2:$AO$25,"")</f>
        <v/>
      </c>
      <c r="Y266" s="52" t="str" cm="1">
        <f t="array" ref="Y266">_xlfn.IFS(B266="","",OR(Q266=-100,U266=-100),"SellAll",OR(Q266&lt;0,U266&lt;0),"SellSome",AND(Q266&gt;0,U266&gt;0),"BuySome",OR(Q266&gt;0,U266&gt;0),"BuyWatch",TRUE,"")</f>
        <v/>
      </c>
      <c r="Z266" s="47" t="str">
        <f>_xlfn.XLOOKUP(Y266,Parm!$AN$2:$AN$25,Parm!$AO$2:$AO$25,"")</f>
        <v/>
      </c>
      <c r="AA266" s="286">
        <f>IF(C266&lt;&gt;-100,A266,_xlfn.XLOOKUP(B266,ssH!L:L,ssH!M:M))</f>
        <v>46140</v>
      </c>
      <c r="AB266" s="49" t="str">
        <f t="shared" si="52"/>
        <v/>
      </c>
      <c r="AC266" s="52">
        <f>_xlfn.XLOOKUP(B266,TL!C:C,TL!C:C)</f>
        <v>0</v>
      </c>
      <c r="AD266" s="52">
        <f>_xlfn.XLOOKUP(B266,Y!C:C,Y!C:C)</f>
        <v>0</v>
      </c>
      <c r="AE266" s="52">
        <f>_xlfn.XLOOKUP(B266,MA!C:C,MA!C:C)</f>
        <v>0</v>
      </c>
    </row>
    <row r="267" spans="1:31" x14ac:dyDescent="0.25">
      <c r="A267" s="29">
        <f>ssH!$AG$1</f>
        <v>46140</v>
      </c>
      <c r="C267" s="47">
        <f t="shared" si="53"/>
        <v>0</v>
      </c>
      <c r="D267" s="42">
        <f>_xlfn.XLOOKUP(ssH!$AG$3&amp;B267,ssH!A:A,ssH!D:D,0)</f>
        <v>0</v>
      </c>
      <c r="E267" s="42">
        <f>_xlfn.XLOOKUP(ssH!$AG$5&amp;B267,ssH!A:A,ssH!D:D,0)</f>
        <v>0</v>
      </c>
      <c r="F267" s="42">
        <f>_xlfn.XLOOKUP(ssH!$AG$6&amp;B267,ssH!A:A,ssH!D:D,0)</f>
        <v>0</v>
      </c>
      <c r="G267" s="48">
        <f>_xlfn.XLOOKUP(A267&amp;B267,ssH!A:A,ssH!F:F,-100%)</f>
        <v>-1</v>
      </c>
      <c r="H267" s="46">
        <f>_xlfn.XLOOKUP(ssH!$AG$3&amp;B267,ssH!A:A,ssH!F:F,0)</f>
        <v>0</v>
      </c>
      <c r="I267" s="46">
        <f>_xlfn.XLOOKUP(ssH!$AG$5&amp;B267,ssH!A:A,ssH!F:F,0)</f>
        <v>0</v>
      </c>
      <c r="J267" s="46">
        <f>_xlfn.XLOOKUP(ssH!$AG$6&amp;B267,ssH!A:A,ssH!F:F,0)</f>
        <v>0</v>
      </c>
      <c r="K267" s="46">
        <f>_xlfn.XLOOKUP(B267,ssL!C:C,ssL!G:G,"Removed")</f>
        <v>0</v>
      </c>
      <c r="L267" s="27">
        <f>_xlfn.XLOOKUP(A267&amp;B267,ssH!A:A,ssH!D:D,0)</f>
        <v>0</v>
      </c>
      <c r="M267" s="42" t="str">
        <f>_xlfn.XLOOKUP(A267&amp;B267,ssH!A:A,ssH!I:I,"")</f>
        <v/>
      </c>
      <c r="N267" s="51" t="str">
        <f t="shared" si="44"/>
        <v/>
      </c>
      <c r="O267" s="51" t="str">
        <f t="shared" si="45"/>
        <v/>
      </c>
      <c r="P267" s="51" t="str">
        <f t="shared" si="46"/>
        <v/>
      </c>
      <c r="Q267" s="52">
        <f t="shared" si="47"/>
        <v>0</v>
      </c>
      <c r="R267" s="51">
        <f t="shared" si="48"/>
        <v>2</v>
      </c>
      <c r="S267" s="51">
        <f t="shared" si="49"/>
        <v>0</v>
      </c>
      <c r="T267" s="51">
        <f t="shared" si="50"/>
        <v>0</v>
      </c>
      <c r="U267" s="52">
        <f t="shared" si="51"/>
        <v>2</v>
      </c>
      <c r="V267" s="52">
        <f t="shared" si="54"/>
        <v>0</v>
      </c>
      <c r="W267" s="52" t="str" cm="1">
        <f t="array" ref="W267">_xlfn.IFS(B267="","",AND(G267&gt;=0,L267&gt;0),"BuySome",AND(G267&gt;=0,K267="KMSignal"),"BuySome",AND(G267&lt;0,L267&gt;0),"BuyWatch",AND(Q267&lt;0,L267&gt;0),"BuyWatch",AND(G267&gt;=0,L267=0),"BuyWatch",L267&gt;0,"BuySome",TRUE,"")</f>
        <v/>
      </c>
      <c r="X267" s="47" t="str">
        <f>_xlfn.XLOOKUP(W267,Parm!$AN$2:$AN$25,Parm!$AO$2:$AO$25,"")</f>
        <v/>
      </c>
      <c r="Y267" s="52" t="str" cm="1">
        <f t="array" ref="Y267">_xlfn.IFS(B267="","",OR(Q267=-100,U267=-100),"SellAll",OR(Q267&lt;0,U267&lt;0),"SellSome",AND(Q267&gt;0,U267&gt;0),"BuySome",OR(Q267&gt;0,U267&gt;0),"BuyWatch",TRUE,"")</f>
        <v/>
      </c>
      <c r="Z267" s="47" t="str">
        <f>_xlfn.XLOOKUP(Y267,Parm!$AN$2:$AN$25,Parm!$AO$2:$AO$25,"")</f>
        <v/>
      </c>
      <c r="AA267" s="286">
        <f>IF(C267&lt;&gt;-100,A267,_xlfn.XLOOKUP(B267,ssH!L:L,ssH!M:M))</f>
        <v>46140</v>
      </c>
      <c r="AB267" s="49" t="str">
        <f t="shared" si="52"/>
        <v/>
      </c>
      <c r="AC267" s="52">
        <f>_xlfn.XLOOKUP(B267,TL!C:C,TL!C:C)</f>
        <v>0</v>
      </c>
      <c r="AD267" s="52">
        <f>_xlfn.XLOOKUP(B267,Y!C:C,Y!C:C)</f>
        <v>0</v>
      </c>
      <c r="AE267" s="52">
        <f>_xlfn.XLOOKUP(B267,MA!C:C,MA!C:C)</f>
        <v>0</v>
      </c>
    </row>
    <row r="268" spans="1:31" x14ac:dyDescent="0.25">
      <c r="A268" s="29">
        <f>ssH!$AG$1</f>
        <v>46140</v>
      </c>
      <c r="C268" s="47">
        <f t="shared" si="53"/>
        <v>0</v>
      </c>
      <c r="D268" s="42">
        <f>_xlfn.XLOOKUP(ssH!$AG$3&amp;B268,ssH!A:A,ssH!D:D,0)</f>
        <v>0</v>
      </c>
      <c r="E268" s="42">
        <f>_xlfn.XLOOKUP(ssH!$AG$5&amp;B268,ssH!A:A,ssH!D:D,0)</f>
        <v>0</v>
      </c>
      <c r="F268" s="42">
        <f>_xlfn.XLOOKUP(ssH!$AG$6&amp;B268,ssH!A:A,ssH!D:D,0)</f>
        <v>0</v>
      </c>
      <c r="G268" s="48">
        <f>_xlfn.XLOOKUP(A268&amp;B268,ssH!A:A,ssH!F:F,-100%)</f>
        <v>-1</v>
      </c>
      <c r="H268" s="46">
        <f>_xlfn.XLOOKUP(ssH!$AG$3&amp;B268,ssH!A:A,ssH!F:F,0)</f>
        <v>0</v>
      </c>
      <c r="I268" s="46">
        <f>_xlfn.XLOOKUP(ssH!$AG$5&amp;B268,ssH!A:A,ssH!F:F,0)</f>
        <v>0</v>
      </c>
      <c r="J268" s="46">
        <f>_xlfn.XLOOKUP(ssH!$AG$6&amp;B268,ssH!A:A,ssH!F:F,0)</f>
        <v>0</v>
      </c>
      <c r="K268" s="46">
        <f>_xlfn.XLOOKUP(B268,ssL!C:C,ssL!G:G,"Removed")</f>
        <v>0</v>
      </c>
      <c r="L268" s="27">
        <f>_xlfn.XLOOKUP(A268&amp;B268,ssH!A:A,ssH!D:D,0)</f>
        <v>0</v>
      </c>
      <c r="M268" s="42" t="str">
        <f>_xlfn.XLOOKUP(A268&amp;B268,ssH!A:A,ssH!I:I,"")</f>
        <v/>
      </c>
      <c r="N268" s="51" t="str">
        <f t="shared" si="44"/>
        <v/>
      </c>
      <c r="O268" s="51" t="str">
        <f t="shared" si="45"/>
        <v/>
      </c>
      <c r="P268" s="51" t="str">
        <f t="shared" si="46"/>
        <v/>
      </c>
      <c r="Q268" s="52">
        <f t="shared" si="47"/>
        <v>0</v>
      </c>
      <c r="R268" s="51">
        <f t="shared" si="48"/>
        <v>2</v>
      </c>
      <c r="S268" s="51">
        <f t="shared" si="49"/>
        <v>0</v>
      </c>
      <c r="T268" s="51">
        <f t="shared" si="50"/>
        <v>0</v>
      </c>
      <c r="U268" s="52">
        <f t="shared" si="51"/>
        <v>2</v>
      </c>
      <c r="V268" s="52">
        <f t="shared" si="54"/>
        <v>0</v>
      </c>
      <c r="W268" s="52" t="str" cm="1">
        <f t="array" ref="W268">_xlfn.IFS(B268="","",AND(G268&gt;=0,L268&gt;0),"BuySome",AND(G268&gt;=0,K268="KMSignal"),"BuySome",AND(G268&lt;0,L268&gt;0),"BuyWatch",AND(Q268&lt;0,L268&gt;0),"BuyWatch",AND(G268&gt;=0,L268=0),"BuyWatch",L268&gt;0,"BuySome",TRUE,"")</f>
        <v/>
      </c>
      <c r="X268" s="47" t="str">
        <f>_xlfn.XLOOKUP(W268,Parm!$AN$2:$AN$25,Parm!$AO$2:$AO$25,"")</f>
        <v/>
      </c>
      <c r="Y268" s="52" t="str" cm="1">
        <f t="array" ref="Y268">_xlfn.IFS(B268="","",OR(Q268=-100,U268=-100),"SellAll",OR(Q268&lt;0,U268&lt;0),"SellSome",AND(Q268&gt;0,U268&gt;0),"BuySome",OR(Q268&gt;0,U268&gt;0),"BuyWatch",TRUE,"")</f>
        <v/>
      </c>
      <c r="Z268" s="47" t="str">
        <f>_xlfn.XLOOKUP(Y268,Parm!$AN$2:$AN$25,Parm!$AO$2:$AO$25,"")</f>
        <v/>
      </c>
      <c r="AA268" s="286">
        <f>IF(C268&lt;&gt;-100,A268,_xlfn.XLOOKUP(B268,ssH!L:L,ssH!M:M))</f>
        <v>46140</v>
      </c>
      <c r="AB268" s="49" t="str">
        <f t="shared" si="52"/>
        <v/>
      </c>
      <c r="AC268" s="52">
        <f>_xlfn.XLOOKUP(B268,TL!C:C,TL!C:C)</f>
        <v>0</v>
      </c>
      <c r="AD268" s="52">
        <f>_xlfn.XLOOKUP(B268,Y!C:C,Y!C:C)</f>
        <v>0</v>
      </c>
      <c r="AE268" s="52">
        <f>_xlfn.XLOOKUP(B268,MA!C:C,MA!C:C)</f>
        <v>0</v>
      </c>
    </row>
    <row r="269" spans="1:31" x14ac:dyDescent="0.25">
      <c r="A269" s="29">
        <f>ssH!$AG$1</f>
        <v>46140</v>
      </c>
      <c r="C269" s="47">
        <f t="shared" si="53"/>
        <v>0</v>
      </c>
      <c r="D269" s="42">
        <f>_xlfn.XLOOKUP(ssH!$AG$3&amp;B269,ssH!A:A,ssH!D:D,0)</f>
        <v>0</v>
      </c>
      <c r="E269" s="42">
        <f>_xlfn.XLOOKUP(ssH!$AG$5&amp;B269,ssH!A:A,ssH!D:D,0)</f>
        <v>0</v>
      </c>
      <c r="F269" s="42">
        <f>_xlfn.XLOOKUP(ssH!$AG$6&amp;B269,ssH!A:A,ssH!D:D,0)</f>
        <v>0</v>
      </c>
      <c r="G269" s="48">
        <f>_xlfn.XLOOKUP(A269&amp;B269,ssH!A:A,ssH!F:F,-100%)</f>
        <v>-1</v>
      </c>
      <c r="H269" s="46">
        <f>_xlfn.XLOOKUP(ssH!$AG$3&amp;B269,ssH!A:A,ssH!F:F,0)</f>
        <v>0</v>
      </c>
      <c r="I269" s="46">
        <f>_xlfn.XLOOKUP(ssH!$AG$5&amp;B269,ssH!A:A,ssH!F:F,0)</f>
        <v>0</v>
      </c>
      <c r="J269" s="46">
        <f>_xlfn.XLOOKUP(ssH!$AG$6&amp;B269,ssH!A:A,ssH!F:F,0)</f>
        <v>0</v>
      </c>
      <c r="K269" s="46">
        <f>_xlfn.XLOOKUP(B269,ssL!C:C,ssL!G:G,"Removed")</f>
        <v>0</v>
      </c>
      <c r="L269" s="27">
        <f>_xlfn.XLOOKUP(A269&amp;B269,ssH!A:A,ssH!D:D,0)</f>
        <v>0</v>
      </c>
      <c r="M269" s="42" t="str">
        <f>_xlfn.XLOOKUP(A269&amp;B269,ssH!A:A,ssH!I:I,"")</f>
        <v/>
      </c>
      <c r="N269" s="51" t="str">
        <f t="shared" si="44"/>
        <v/>
      </c>
      <c r="O269" s="51" t="str">
        <f t="shared" si="45"/>
        <v/>
      </c>
      <c r="P269" s="51" t="str">
        <f t="shared" si="46"/>
        <v/>
      </c>
      <c r="Q269" s="52">
        <f t="shared" si="47"/>
        <v>0</v>
      </c>
      <c r="R269" s="51">
        <f t="shared" si="48"/>
        <v>2</v>
      </c>
      <c r="S269" s="51">
        <f t="shared" si="49"/>
        <v>0</v>
      </c>
      <c r="T269" s="51">
        <f t="shared" si="50"/>
        <v>0</v>
      </c>
      <c r="U269" s="52">
        <f t="shared" si="51"/>
        <v>2</v>
      </c>
      <c r="V269" s="52">
        <f t="shared" si="54"/>
        <v>0</v>
      </c>
      <c r="W269" s="52" t="str" cm="1">
        <f t="array" ref="W269">_xlfn.IFS(B269="","",AND(G269&gt;=0,L269&gt;0),"BuySome",AND(G269&gt;=0,K269="KMSignal"),"BuySome",AND(G269&lt;0,L269&gt;0),"BuyWatch",AND(Q269&lt;0,L269&gt;0),"BuyWatch",AND(G269&gt;=0,L269=0),"BuyWatch",L269&gt;0,"BuySome",TRUE,"")</f>
        <v/>
      </c>
      <c r="X269" s="47" t="str">
        <f>_xlfn.XLOOKUP(W269,Parm!$AN$2:$AN$25,Parm!$AO$2:$AO$25,"")</f>
        <v/>
      </c>
      <c r="Y269" s="52" t="str" cm="1">
        <f t="array" ref="Y269">_xlfn.IFS(B269="","",OR(Q269=-100,U269=-100),"SellAll",OR(Q269&lt;0,U269&lt;0),"SellSome",AND(Q269&gt;0,U269&gt;0),"BuySome",OR(Q269&gt;0,U269&gt;0),"BuyWatch",TRUE,"")</f>
        <v/>
      </c>
      <c r="Z269" s="47" t="str">
        <f>_xlfn.XLOOKUP(Y269,Parm!$AN$2:$AN$25,Parm!$AO$2:$AO$25,"")</f>
        <v/>
      </c>
      <c r="AA269" s="286">
        <f>IF(C269&lt;&gt;-100,A269,_xlfn.XLOOKUP(B269,ssH!L:L,ssH!M:M))</f>
        <v>46140</v>
      </c>
      <c r="AB269" s="49" t="str">
        <f t="shared" si="52"/>
        <v/>
      </c>
      <c r="AC269" s="52">
        <f>_xlfn.XLOOKUP(B269,TL!C:C,TL!C:C)</f>
        <v>0</v>
      </c>
      <c r="AD269" s="52">
        <f>_xlfn.XLOOKUP(B269,Y!C:C,Y!C:C)</f>
        <v>0</v>
      </c>
      <c r="AE269" s="52">
        <f>_xlfn.XLOOKUP(B269,MA!C:C,MA!C:C)</f>
        <v>0</v>
      </c>
    </row>
    <row r="270" spans="1:31" x14ac:dyDescent="0.25">
      <c r="A270" s="29">
        <f>ssH!$AG$1</f>
        <v>46140</v>
      </c>
      <c r="C270" s="47">
        <f t="shared" si="53"/>
        <v>0</v>
      </c>
      <c r="D270" s="42">
        <f>_xlfn.XLOOKUP(ssH!$AG$3&amp;B270,ssH!A:A,ssH!D:D,0)</f>
        <v>0</v>
      </c>
      <c r="E270" s="42">
        <f>_xlfn.XLOOKUP(ssH!$AG$5&amp;B270,ssH!A:A,ssH!D:D,0)</f>
        <v>0</v>
      </c>
      <c r="F270" s="42">
        <f>_xlfn.XLOOKUP(ssH!$AG$6&amp;B270,ssH!A:A,ssH!D:D,0)</f>
        <v>0</v>
      </c>
      <c r="G270" s="48">
        <f>_xlfn.XLOOKUP(A270&amp;B270,ssH!A:A,ssH!F:F,-100%)</f>
        <v>-1</v>
      </c>
      <c r="H270" s="46">
        <f>_xlfn.XLOOKUP(ssH!$AG$3&amp;B270,ssH!A:A,ssH!F:F,0)</f>
        <v>0</v>
      </c>
      <c r="I270" s="46">
        <f>_xlfn.XLOOKUP(ssH!$AG$5&amp;B270,ssH!A:A,ssH!F:F,0)</f>
        <v>0</v>
      </c>
      <c r="J270" s="46">
        <f>_xlfn.XLOOKUP(ssH!$AG$6&amp;B270,ssH!A:A,ssH!F:F,0)</f>
        <v>0</v>
      </c>
      <c r="K270" s="46">
        <f>_xlfn.XLOOKUP(B270,ssL!C:C,ssL!G:G,"Removed")</f>
        <v>0</v>
      </c>
      <c r="L270" s="27">
        <f>_xlfn.XLOOKUP(A270&amp;B270,ssH!A:A,ssH!D:D,0)</f>
        <v>0</v>
      </c>
      <c r="M270" s="42" t="str">
        <f>_xlfn.XLOOKUP(A270&amp;B270,ssH!A:A,ssH!I:I,"")</f>
        <v/>
      </c>
      <c r="N270" s="51" t="str">
        <f t="shared" si="44"/>
        <v/>
      </c>
      <c r="O270" s="51" t="str">
        <f t="shared" si="45"/>
        <v/>
      </c>
      <c r="P270" s="51" t="str">
        <f t="shared" si="46"/>
        <v/>
      </c>
      <c r="Q270" s="52">
        <f t="shared" si="47"/>
        <v>0</v>
      </c>
      <c r="R270" s="51">
        <f t="shared" si="48"/>
        <v>2</v>
      </c>
      <c r="S270" s="51">
        <f t="shared" si="49"/>
        <v>0</v>
      </c>
      <c r="T270" s="51">
        <f t="shared" si="50"/>
        <v>0</v>
      </c>
      <c r="U270" s="52">
        <f t="shared" si="51"/>
        <v>2</v>
      </c>
      <c r="V270" s="52">
        <f t="shared" si="54"/>
        <v>0</v>
      </c>
      <c r="W270" s="52" t="str" cm="1">
        <f t="array" ref="W270">_xlfn.IFS(B270="","",AND(G270&gt;=0,L270&gt;0),"BuySome",AND(G270&gt;=0,K270="KMSignal"),"BuySome",AND(G270&lt;0,L270&gt;0),"BuyWatch",AND(Q270&lt;0,L270&gt;0),"BuyWatch",AND(G270&gt;=0,L270=0),"BuyWatch",L270&gt;0,"BuySome",TRUE,"")</f>
        <v/>
      </c>
      <c r="X270" s="47" t="str">
        <f>_xlfn.XLOOKUP(W270,Parm!$AN$2:$AN$25,Parm!$AO$2:$AO$25,"")</f>
        <v/>
      </c>
      <c r="Y270" s="52" t="str" cm="1">
        <f t="array" ref="Y270">_xlfn.IFS(B270="","",OR(Q270=-100,U270=-100),"SellAll",OR(Q270&lt;0,U270&lt;0),"SellSome",AND(Q270&gt;0,U270&gt;0),"BuySome",OR(Q270&gt;0,U270&gt;0),"BuyWatch",TRUE,"")</f>
        <v/>
      </c>
      <c r="Z270" s="47" t="str">
        <f>_xlfn.XLOOKUP(Y270,Parm!$AN$2:$AN$25,Parm!$AO$2:$AO$25,"")</f>
        <v/>
      </c>
      <c r="AA270" s="286">
        <f>IF(C270&lt;&gt;-100,A270,_xlfn.XLOOKUP(B270,ssH!L:L,ssH!M:M))</f>
        <v>46140</v>
      </c>
      <c r="AB270" s="49" t="str">
        <f t="shared" si="52"/>
        <v/>
      </c>
      <c r="AC270" s="52">
        <f>_xlfn.XLOOKUP(B270,TL!C:C,TL!C:C)</f>
        <v>0</v>
      </c>
      <c r="AD270" s="52">
        <f>_xlfn.XLOOKUP(B270,Y!C:C,Y!C:C)</f>
        <v>0</v>
      </c>
      <c r="AE270" s="52">
        <f>_xlfn.XLOOKUP(B270,MA!C:C,MA!C:C)</f>
        <v>0</v>
      </c>
    </row>
    <row r="271" spans="1:31" x14ac:dyDescent="0.25">
      <c r="A271" s="29">
        <f>ssH!$AG$1</f>
        <v>46140</v>
      </c>
      <c r="C271" s="47">
        <f t="shared" si="53"/>
        <v>0</v>
      </c>
      <c r="D271" s="42">
        <f>_xlfn.XLOOKUP(ssH!$AG$3&amp;B271,ssH!A:A,ssH!D:D,0)</f>
        <v>0</v>
      </c>
      <c r="E271" s="42">
        <f>_xlfn.XLOOKUP(ssH!$AG$5&amp;B271,ssH!A:A,ssH!D:D,0)</f>
        <v>0</v>
      </c>
      <c r="F271" s="42">
        <f>_xlfn.XLOOKUP(ssH!$AG$6&amp;B271,ssH!A:A,ssH!D:D,0)</f>
        <v>0</v>
      </c>
      <c r="G271" s="48">
        <f>_xlfn.XLOOKUP(A271&amp;B271,ssH!A:A,ssH!F:F,-100%)</f>
        <v>-1</v>
      </c>
      <c r="H271" s="46">
        <f>_xlfn.XLOOKUP(ssH!$AG$3&amp;B271,ssH!A:A,ssH!F:F,0)</f>
        <v>0</v>
      </c>
      <c r="I271" s="46">
        <f>_xlfn.XLOOKUP(ssH!$AG$5&amp;B271,ssH!A:A,ssH!F:F,0)</f>
        <v>0</v>
      </c>
      <c r="J271" s="46">
        <f>_xlfn.XLOOKUP(ssH!$AG$6&amp;B271,ssH!A:A,ssH!F:F,0)</f>
        <v>0</v>
      </c>
      <c r="K271" s="46">
        <f>_xlfn.XLOOKUP(B271,ssL!C:C,ssL!G:G,"Removed")</f>
        <v>0</v>
      </c>
      <c r="L271" s="27">
        <f>_xlfn.XLOOKUP(A271&amp;B271,ssH!A:A,ssH!D:D,0)</f>
        <v>0</v>
      </c>
      <c r="M271" s="42" t="str">
        <f>_xlfn.XLOOKUP(A271&amp;B271,ssH!A:A,ssH!I:I,"")</f>
        <v/>
      </c>
      <c r="N271" s="51" t="str">
        <f t="shared" si="44"/>
        <v/>
      </c>
      <c r="O271" s="51" t="str">
        <f t="shared" si="45"/>
        <v/>
      </c>
      <c r="P271" s="51" t="str">
        <f t="shared" si="46"/>
        <v/>
      </c>
      <c r="Q271" s="52">
        <f t="shared" si="47"/>
        <v>0</v>
      </c>
      <c r="R271" s="51">
        <f t="shared" si="48"/>
        <v>2</v>
      </c>
      <c r="S271" s="51">
        <f t="shared" si="49"/>
        <v>0</v>
      </c>
      <c r="T271" s="51">
        <f t="shared" si="50"/>
        <v>0</v>
      </c>
      <c r="U271" s="52">
        <f t="shared" si="51"/>
        <v>2</v>
      </c>
      <c r="V271" s="52">
        <f t="shared" si="54"/>
        <v>0</v>
      </c>
      <c r="W271" s="52" t="str" cm="1">
        <f t="array" ref="W271">_xlfn.IFS(B271="","",AND(G271&gt;=0,L271&gt;0),"BuySome",AND(G271&gt;=0,K271="KMSignal"),"BuySome",AND(G271&lt;0,L271&gt;0),"BuyWatch",AND(Q271&lt;0,L271&gt;0),"BuyWatch",AND(G271&gt;=0,L271=0),"BuyWatch",L271&gt;0,"BuySome",TRUE,"")</f>
        <v/>
      </c>
      <c r="X271" s="47" t="str">
        <f>_xlfn.XLOOKUP(W271,Parm!$AN$2:$AN$25,Parm!$AO$2:$AO$25,"")</f>
        <v/>
      </c>
      <c r="Y271" s="52" t="str" cm="1">
        <f t="array" ref="Y271">_xlfn.IFS(B271="","",OR(Q271=-100,U271=-100),"SellAll",OR(Q271&lt;0,U271&lt;0),"SellSome",AND(Q271&gt;0,U271&gt;0),"BuySome",OR(Q271&gt;0,U271&gt;0),"BuyWatch",TRUE,"")</f>
        <v/>
      </c>
      <c r="Z271" s="47" t="str">
        <f>_xlfn.XLOOKUP(Y271,Parm!$AN$2:$AN$25,Parm!$AO$2:$AO$25,"")</f>
        <v/>
      </c>
      <c r="AA271" s="286">
        <f>IF(C271&lt;&gt;-100,A271,_xlfn.XLOOKUP(B271,ssH!L:L,ssH!M:M))</f>
        <v>46140</v>
      </c>
      <c r="AB271" s="49" t="str">
        <f t="shared" si="52"/>
        <v/>
      </c>
      <c r="AC271" s="52">
        <f>_xlfn.XLOOKUP(B271,TL!C:C,TL!C:C)</f>
        <v>0</v>
      </c>
      <c r="AD271" s="52">
        <f>_xlfn.XLOOKUP(B271,Y!C:C,Y!C:C)</f>
        <v>0</v>
      </c>
      <c r="AE271" s="52">
        <f>_xlfn.XLOOKUP(B271,MA!C:C,MA!C:C)</f>
        <v>0</v>
      </c>
    </row>
    <row r="272" spans="1:31" x14ac:dyDescent="0.25">
      <c r="A272" s="29">
        <f>ssH!$AG$1</f>
        <v>46140</v>
      </c>
      <c r="C272" s="47">
        <f t="shared" si="53"/>
        <v>0</v>
      </c>
      <c r="D272" s="42">
        <f>_xlfn.XLOOKUP(ssH!$AG$3&amp;B272,ssH!A:A,ssH!D:D,0)</f>
        <v>0</v>
      </c>
      <c r="E272" s="42">
        <f>_xlfn.XLOOKUP(ssH!$AG$5&amp;B272,ssH!A:A,ssH!D:D,0)</f>
        <v>0</v>
      </c>
      <c r="F272" s="42">
        <f>_xlfn.XLOOKUP(ssH!$AG$6&amp;B272,ssH!A:A,ssH!D:D,0)</f>
        <v>0</v>
      </c>
      <c r="G272" s="48">
        <f>_xlfn.XLOOKUP(A272&amp;B272,ssH!A:A,ssH!F:F,-100%)</f>
        <v>-1</v>
      </c>
      <c r="H272" s="46">
        <f>_xlfn.XLOOKUP(ssH!$AG$3&amp;B272,ssH!A:A,ssH!F:F,0)</f>
        <v>0</v>
      </c>
      <c r="I272" s="46">
        <f>_xlfn.XLOOKUP(ssH!$AG$5&amp;B272,ssH!A:A,ssH!F:F,0)</f>
        <v>0</v>
      </c>
      <c r="J272" s="46">
        <f>_xlfn.XLOOKUP(ssH!$AG$6&amp;B272,ssH!A:A,ssH!F:F,0)</f>
        <v>0</v>
      </c>
      <c r="K272" s="46">
        <f>_xlfn.XLOOKUP(B272,ssL!C:C,ssL!G:G,"Removed")</f>
        <v>0</v>
      </c>
      <c r="L272" s="27">
        <f>_xlfn.XLOOKUP(A272&amp;B272,ssH!A:A,ssH!D:D,0)</f>
        <v>0</v>
      </c>
      <c r="M272" s="42" t="str">
        <f>_xlfn.XLOOKUP(A272&amp;B272,ssH!A:A,ssH!I:I,"")</f>
        <v/>
      </c>
      <c r="N272" s="51" t="str">
        <f t="shared" si="44"/>
        <v/>
      </c>
      <c r="O272" s="51" t="str">
        <f t="shared" si="45"/>
        <v/>
      </c>
      <c r="P272" s="51" t="str">
        <f t="shared" si="46"/>
        <v/>
      </c>
      <c r="Q272" s="52">
        <f t="shared" si="47"/>
        <v>0</v>
      </c>
      <c r="R272" s="51">
        <f t="shared" si="48"/>
        <v>2</v>
      </c>
      <c r="S272" s="51">
        <f t="shared" si="49"/>
        <v>0</v>
      </c>
      <c r="T272" s="51">
        <f t="shared" si="50"/>
        <v>0</v>
      </c>
      <c r="U272" s="52">
        <f t="shared" si="51"/>
        <v>2</v>
      </c>
      <c r="V272" s="52">
        <f t="shared" si="54"/>
        <v>0</v>
      </c>
      <c r="W272" s="52" t="str" cm="1">
        <f t="array" ref="W272">_xlfn.IFS(B272="","",AND(G272&gt;=0,L272&gt;0),"BuySome",AND(G272&gt;=0,K272="KMSignal"),"BuySome",AND(G272&lt;0,L272&gt;0),"BuyWatch",AND(Q272&lt;0,L272&gt;0),"BuyWatch",AND(G272&gt;=0,L272=0),"BuyWatch",L272&gt;0,"BuySome",TRUE,"")</f>
        <v/>
      </c>
      <c r="X272" s="47" t="str">
        <f>_xlfn.XLOOKUP(W272,Parm!$AN$2:$AN$25,Parm!$AO$2:$AO$25,"")</f>
        <v/>
      </c>
      <c r="Y272" s="52" t="str" cm="1">
        <f t="array" ref="Y272">_xlfn.IFS(B272="","",OR(Q272=-100,U272=-100),"SellAll",OR(Q272&lt;0,U272&lt;0),"SellSome",AND(Q272&gt;0,U272&gt;0),"BuySome",OR(Q272&gt;0,U272&gt;0),"BuyWatch",TRUE,"")</f>
        <v/>
      </c>
      <c r="Z272" s="47" t="str">
        <f>_xlfn.XLOOKUP(Y272,Parm!$AN$2:$AN$25,Parm!$AO$2:$AO$25,"")</f>
        <v/>
      </c>
      <c r="AA272" s="286">
        <f>IF(C272&lt;&gt;-100,A272,_xlfn.XLOOKUP(B272,ssH!L:L,ssH!M:M))</f>
        <v>46140</v>
      </c>
      <c r="AB272" s="49" t="str">
        <f t="shared" si="52"/>
        <v/>
      </c>
      <c r="AC272" s="52">
        <f>_xlfn.XLOOKUP(B272,TL!C:C,TL!C:C)</f>
        <v>0</v>
      </c>
      <c r="AD272" s="52">
        <f>_xlfn.XLOOKUP(B272,Y!C:C,Y!C:C)</f>
        <v>0</v>
      </c>
      <c r="AE272" s="52">
        <f>_xlfn.XLOOKUP(B272,MA!C:C,MA!C:C)</f>
        <v>0</v>
      </c>
    </row>
    <row r="273" spans="1:31" x14ac:dyDescent="0.25">
      <c r="A273" s="29">
        <f>ssH!$AG$1</f>
        <v>46140</v>
      </c>
      <c r="C273" s="47">
        <f t="shared" si="53"/>
        <v>0</v>
      </c>
      <c r="D273" s="42">
        <f>_xlfn.XLOOKUP(ssH!$AG$3&amp;B273,ssH!A:A,ssH!D:D,0)</f>
        <v>0</v>
      </c>
      <c r="E273" s="42">
        <f>_xlfn.XLOOKUP(ssH!$AG$5&amp;B273,ssH!A:A,ssH!D:D,0)</f>
        <v>0</v>
      </c>
      <c r="F273" s="42">
        <f>_xlfn.XLOOKUP(ssH!$AG$6&amp;B273,ssH!A:A,ssH!D:D,0)</f>
        <v>0</v>
      </c>
      <c r="G273" s="48">
        <f>_xlfn.XLOOKUP(A273&amp;B273,ssH!A:A,ssH!F:F,-100%)</f>
        <v>-1</v>
      </c>
      <c r="H273" s="46">
        <f>_xlfn.XLOOKUP(ssH!$AG$3&amp;B273,ssH!A:A,ssH!F:F,0)</f>
        <v>0</v>
      </c>
      <c r="I273" s="46">
        <f>_xlfn.XLOOKUP(ssH!$AG$5&amp;B273,ssH!A:A,ssH!F:F,0)</f>
        <v>0</v>
      </c>
      <c r="J273" s="46">
        <f>_xlfn.XLOOKUP(ssH!$AG$6&amp;B273,ssH!A:A,ssH!F:F,0)</f>
        <v>0</v>
      </c>
      <c r="K273" s="46">
        <f>_xlfn.XLOOKUP(B273,ssL!C:C,ssL!G:G,"Removed")</f>
        <v>0</v>
      </c>
      <c r="L273" s="27">
        <f>_xlfn.XLOOKUP(A273&amp;B273,ssH!A:A,ssH!D:D,0)</f>
        <v>0</v>
      </c>
      <c r="M273" s="42" t="str">
        <f>_xlfn.XLOOKUP(A273&amp;B273,ssH!A:A,ssH!I:I,"")</f>
        <v/>
      </c>
      <c r="N273" s="51" t="str">
        <f t="shared" si="44"/>
        <v/>
      </c>
      <c r="O273" s="51" t="str">
        <f t="shared" si="45"/>
        <v/>
      </c>
      <c r="P273" s="51" t="str">
        <f t="shared" si="46"/>
        <v/>
      </c>
      <c r="Q273" s="52">
        <f t="shared" si="47"/>
        <v>0</v>
      </c>
      <c r="R273" s="51">
        <f t="shared" si="48"/>
        <v>2</v>
      </c>
      <c r="S273" s="51">
        <f t="shared" si="49"/>
        <v>0</v>
      </c>
      <c r="T273" s="51">
        <f t="shared" si="50"/>
        <v>0</v>
      </c>
      <c r="U273" s="52">
        <f t="shared" si="51"/>
        <v>2</v>
      </c>
      <c r="V273" s="52">
        <f t="shared" si="54"/>
        <v>0</v>
      </c>
      <c r="W273" s="52" t="str" cm="1">
        <f t="array" ref="W273">_xlfn.IFS(B273="","",AND(G273&gt;=0,L273&gt;0),"BuySome",AND(G273&gt;=0,K273="KMSignal"),"BuySome",AND(G273&lt;0,L273&gt;0),"BuyWatch",AND(Q273&lt;0,L273&gt;0),"BuyWatch",AND(G273&gt;=0,L273=0),"BuyWatch",L273&gt;0,"BuySome",TRUE,"")</f>
        <v/>
      </c>
      <c r="X273" s="47" t="str">
        <f>_xlfn.XLOOKUP(W273,Parm!$AN$2:$AN$25,Parm!$AO$2:$AO$25,"")</f>
        <v/>
      </c>
      <c r="Y273" s="52" t="str" cm="1">
        <f t="array" ref="Y273">_xlfn.IFS(B273="","",OR(Q273=-100,U273=-100),"SellAll",OR(Q273&lt;0,U273&lt;0),"SellSome",AND(Q273&gt;0,U273&gt;0),"BuySome",OR(Q273&gt;0,U273&gt;0),"BuyWatch",TRUE,"")</f>
        <v/>
      </c>
      <c r="Z273" s="47" t="str">
        <f>_xlfn.XLOOKUP(Y273,Parm!$AN$2:$AN$25,Parm!$AO$2:$AO$25,"")</f>
        <v/>
      </c>
      <c r="AA273" s="286">
        <f>IF(C273&lt;&gt;-100,A273,_xlfn.XLOOKUP(B273,ssH!L:L,ssH!M:M))</f>
        <v>46140</v>
      </c>
      <c r="AB273" s="49" t="str">
        <f t="shared" si="52"/>
        <v/>
      </c>
      <c r="AC273" s="52">
        <f>_xlfn.XLOOKUP(B273,TL!C:C,TL!C:C)</f>
        <v>0</v>
      </c>
      <c r="AD273" s="52">
        <f>_xlfn.XLOOKUP(B273,Y!C:C,Y!C:C)</f>
        <v>0</v>
      </c>
      <c r="AE273" s="52">
        <f>_xlfn.XLOOKUP(B273,MA!C:C,MA!C:C)</f>
        <v>0</v>
      </c>
    </row>
    <row r="274" spans="1:31" x14ac:dyDescent="0.25">
      <c r="A274" s="29">
        <f>ssH!$AG$1</f>
        <v>46140</v>
      </c>
      <c r="C274" s="47">
        <f t="shared" si="53"/>
        <v>0</v>
      </c>
      <c r="D274" s="42">
        <f>_xlfn.XLOOKUP(ssH!$AG$3&amp;B274,ssH!A:A,ssH!D:D,0)</f>
        <v>0</v>
      </c>
      <c r="E274" s="42">
        <f>_xlfn.XLOOKUP(ssH!$AG$5&amp;B274,ssH!A:A,ssH!D:D,0)</f>
        <v>0</v>
      </c>
      <c r="F274" s="42">
        <f>_xlfn.XLOOKUP(ssH!$AG$6&amp;B274,ssH!A:A,ssH!D:D,0)</f>
        <v>0</v>
      </c>
      <c r="G274" s="48">
        <f>_xlfn.XLOOKUP(A274&amp;B274,ssH!A:A,ssH!F:F,-100%)</f>
        <v>-1</v>
      </c>
      <c r="H274" s="46">
        <f>_xlfn.XLOOKUP(ssH!$AG$3&amp;B274,ssH!A:A,ssH!F:F,0)</f>
        <v>0</v>
      </c>
      <c r="I274" s="46">
        <f>_xlfn.XLOOKUP(ssH!$AG$5&amp;B274,ssH!A:A,ssH!F:F,0)</f>
        <v>0</v>
      </c>
      <c r="J274" s="46">
        <f>_xlfn.XLOOKUP(ssH!$AG$6&amp;B274,ssH!A:A,ssH!F:F,0)</f>
        <v>0</v>
      </c>
      <c r="K274" s="46">
        <f>_xlfn.XLOOKUP(B274,ssL!C:C,ssL!G:G,"Removed")</f>
        <v>0</v>
      </c>
      <c r="L274" s="27">
        <f>_xlfn.XLOOKUP(A274&amp;B274,ssH!A:A,ssH!D:D,0)</f>
        <v>0</v>
      </c>
      <c r="M274" s="42" t="str">
        <f>_xlfn.XLOOKUP(A274&amp;B274,ssH!A:A,ssH!I:I,"")</f>
        <v/>
      </c>
      <c r="N274" s="51" t="str">
        <f t="shared" si="44"/>
        <v/>
      </c>
      <c r="O274" s="51" t="str">
        <f t="shared" si="45"/>
        <v/>
      </c>
      <c r="P274" s="51" t="str">
        <f t="shared" si="46"/>
        <v/>
      </c>
      <c r="Q274" s="52">
        <f t="shared" si="47"/>
        <v>0</v>
      </c>
      <c r="R274" s="51">
        <f t="shared" si="48"/>
        <v>2</v>
      </c>
      <c r="S274" s="51">
        <f t="shared" si="49"/>
        <v>0</v>
      </c>
      <c r="T274" s="51">
        <f t="shared" si="50"/>
        <v>0</v>
      </c>
      <c r="U274" s="52">
        <f t="shared" si="51"/>
        <v>2</v>
      </c>
      <c r="V274" s="52">
        <f t="shared" si="54"/>
        <v>0</v>
      </c>
      <c r="W274" s="52" t="str" cm="1">
        <f t="array" ref="W274">_xlfn.IFS(B274="","",AND(G274&gt;=0,L274&gt;0),"BuySome",AND(G274&gt;=0,K274="KMSignal"),"BuySome",AND(G274&lt;0,L274&gt;0),"BuyWatch",AND(Q274&lt;0,L274&gt;0),"BuyWatch",AND(G274&gt;=0,L274=0),"BuyWatch",L274&gt;0,"BuySome",TRUE,"")</f>
        <v/>
      </c>
      <c r="X274" s="47" t="str">
        <f>_xlfn.XLOOKUP(W274,Parm!$AN$2:$AN$25,Parm!$AO$2:$AO$25,"")</f>
        <v/>
      </c>
      <c r="Y274" s="52" t="str" cm="1">
        <f t="array" ref="Y274">_xlfn.IFS(B274="","",OR(Q274=-100,U274=-100),"SellAll",OR(Q274&lt;0,U274&lt;0),"SellSome",AND(Q274&gt;0,U274&gt;0),"BuySome",OR(Q274&gt;0,U274&gt;0),"BuyWatch",TRUE,"")</f>
        <v/>
      </c>
      <c r="Z274" s="47" t="str">
        <f>_xlfn.XLOOKUP(Y274,Parm!$AN$2:$AN$25,Parm!$AO$2:$AO$25,"")</f>
        <v/>
      </c>
      <c r="AA274" s="286">
        <f>IF(C274&lt;&gt;-100,A274,_xlfn.XLOOKUP(B274,ssH!L:L,ssH!M:M))</f>
        <v>46140</v>
      </c>
      <c r="AB274" s="49" t="str">
        <f t="shared" si="52"/>
        <v/>
      </c>
      <c r="AC274" s="52">
        <f>_xlfn.XLOOKUP(B274,TL!C:C,TL!C:C)</f>
        <v>0</v>
      </c>
      <c r="AD274" s="52">
        <f>_xlfn.XLOOKUP(B274,Y!C:C,Y!C:C)</f>
        <v>0</v>
      </c>
      <c r="AE274" s="52">
        <f>_xlfn.XLOOKUP(B274,MA!C:C,MA!C:C)</f>
        <v>0</v>
      </c>
    </row>
    <row r="275" spans="1:31" x14ac:dyDescent="0.25">
      <c r="A275" s="29">
        <f>ssH!$AG$1</f>
        <v>46140</v>
      </c>
      <c r="C275" s="47">
        <f t="shared" si="53"/>
        <v>0</v>
      </c>
      <c r="D275" s="42">
        <f>_xlfn.XLOOKUP(ssH!$AG$3&amp;B275,ssH!A:A,ssH!D:D,0)</f>
        <v>0</v>
      </c>
      <c r="E275" s="42">
        <f>_xlfn.XLOOKUP(ssH!$AG$5&amp;B275,ssH!A:A,ssH!D:D,0)</f>
        <v>0</v>
      </c>
      <c r="F275" s="42">
        <f>_xlfn.XLOOKUP(ssH!$AG$6&amp;B275,ssH!A:A,ssH!D:D,0)</f>
        <v>0</v>
      </c>
      <c r="G275" s="48">
        <f>_xlfn.XLOOKUP(A275&amp;B275,ssH!A:A,ssH!F:F,-100%)</f>
        <v>-1</v>
      </c>
      <c r="H275" s="46">
        <f>_xlfn.XLOOKUP(ssH!$AG$3&amp;B275,ssH!A:A,ssH!F:F,0)</f>
        <v>0</v>
      </c>
      <c r="I275" s="46">
        <f>_xlfn.XLOOKUP(ssH!$AG$5&amp;B275,ssH!A:A,ssH!F:F,0)</f>
        <v>0</v>
      </c>
      <c r="J275" s="46">
        <f>_xlfn.XLOOKUP(ssH!$AG$6&amp;B275,ssH!A:A,ssH!F:F,0)</f>
        <v>0</v>
      </c>
      <c r="K275" s="46">
        <f>_xlfn.XLOOKUP(B275,ssL!C:C,ssL!G:G,"Removed")</f>
        <v>0</v>
      </c>
      <c r="L275" s="27">
        <f>_xlfn.XLOOKUP(A275&amp;B275,ssH!A:A,ssH!D:D,0)</f>
        <v>0</v>
      </c>
      <c r="M275" s="42" t="str">
        <f>_xlfn.XLOOKUP(A275&amp;B275,ssH!A:A,ssH!I:I,"")</f>
        <v/>
      </c>
      <c r="N275" s="51" t="str">
        <f t="shared" si="44"/>
        <v/>
      </c>
      <c r="O275" s="51" t="str">
        <f t="shared" si="45"/>
        <v/>
      </c>
      <c r="P275" s="51" t="str">
        <f t="shared" si="46"/>
        <v/>
      </c>
      <c r="Q275" s="52">
        <f t="shared" si="47"/>
        <v>0</v>
      </c>
      <c r="R275" s="51">
        <f t="shared" si="48"/>
        <v>2</v>
      </c>
      <c r="S275" s="51">
        <f t="shared" si="49"/>
        <v>0</v>
      </c>
      <c r="T275" s="51">
        <f t="shared" si="50"/>
        <v>0</v>
      </c>
      <c r="U275" s="52">
        <f t="shared" si="51"/>
        <v>2</v>
      </c>
      <c r="V275" s="52">
        <f t="shared" si="54"/>
        <v>0</v>
      </c>
      <c r="W275" s="52" t="str" cm="1">
        <f t="array" ref="W275">_xlfn.IFS(B275="","",AND(G275&gt;=0,L275&gt;0),"BuySome",AND(G275&gt;=0,K275="KMSignal"),"BuySome",AND(G275&lt;0,L275&gt;0),"BuyWatch",AND(Q275&lt;0,L275&gt;0),"BuyWatch",AND(G275&gt;=0,L275=0),"BuyWatch",L275&gt;0,"BuySome",TRUE,"")</f>
        <v/>
      </c>
      <c r="X275" s="47" t="str">
        <f>_xlfn.XLOOKUP(W275,Parm!$AN$2:$AN$25,Parm!$AO$2:$AO$25,"")</f>
        <v/>
      </c>
      <c r="Y275" s="52" t="str" cm="1">
        <f t="array" ref="Y275">_xlfn.IFS(B275="","",OR(Q275=-100,U275=-100),"SellAll",OR(Q275&lt;0,U275&lt;0),"SellSome",AND(Q275&gt;0,U275&gt;0),"BuySome",OR(Q275&gt;0,U275&gt;0),"BuyWatch",TRUE,"")</f>
        <v/>
      </c>
      <c r="Z275" s="47" t="str">
        <f>_xlfn.XLOOKUP(Y275,Parm!$AN$2:$AN$25,Parm!$AO$2:$AO$25,"")</f>
        <v/>
      </c>
      <c r="AA275" s="286">
        <f>IF(C275&lt;&gt;-100,A275,_xlfn.XLOOKUP(B275,ssH!L:L,ssH!M:M))</f>
        <v>46140</v>
      </c>
      <c r="AB275" s="49" t="str">
        <f t="shared" si="52"/>
        <v/>
      </c>
      <c r="AC275" s="52">
        <f>_xlfn.XLOOKUP(B275,TL!C:C,TL!C:C)</f>
        <v>0</v>
      </c>
      <c r="AD275" s="52">
        <f>_xlfn.XLOOKUP(B275,Y!C:C,Y!C:C)</f>
        <v>0</v>
      </c>
      <c r="AE275" s="52">
        <f>_xlfn.XLOOKUP(B275,MA!C:C,MA!C:C)</f>
        <v>0</v>
      </c>
    </row>
    <row r="276" spans="1:31" x14ac:dyDescent="0.25">
      <c r="A276" s="29">
        <f>ssH!$AG$1</f>
        <v>46140</v>
      </c>
      <c r="C276" s="47">
        <f t="shared" si="53"/>
        <v>0</v>
      </c>
      <c r="D276" s="42">
        <f>_xlfn.XLOOKUP(ssH!$AG$3&amp;B276,ssH!A:A,ssH!D:D,0)</f>
        <v>0</v>
      </c>
      <c r="E276" s="42">
        <f>_xlfn.XLOOKUP(ssH!$AG$5&amp;B276,ssH!A:A,ssH!D:D,0)</f>
        <v>0</v>
      </c>
      <c r="F276" s="42">
        <f>_xlfn.XLOOKUP(ssH!$AG$6&amp;B276,ssH!A:A,ssH!D:D,0)</f>
        <v>0</v>
      </c>
      <c r="G276" s="48">
        <f>_xlfn.XLOOKUP(A276&amp;B276,ssH!A:A,ssH!F:F,-100%)</f>
        <v>-1</v>
      </c>
      <c r="H276" s="46">
        <f>_xlfn.XLOOKUP(ssH!$AG$3&amp;B276,ssH!A:A,ssH!F:F,0)</f>
        <v>0</v>
      </c>
      <c r="I276" s="46">
        <f>_xlfn.XLOOKUP(ssH!$AG$5&amp;B276,ssH!A:A,ssH!F:F,0)</f>
        <v>0</v>
      </c>
      <c r="J276" s="46">
        <f>_xlfn.XLOOKUP(ssH!$AG$6&amp;B276,ssH!A:A,ssH!F:F,0)</f>
        <v>0</v>
      </c>
      <c r="K276" s="46">
        <f>_xlfn.XLOOKUP(B276,ssL!C:C,ssL!G:G,"Removed")</f>
        <v>0</v>
      </c>
      <c r="L276" s="27">
        <f>_xlfn.XLOOKUP(A276&amp;B276,ssH!A:A,ssH!D:D,0)</f>
        <v>0</v>
      </c>
      <c r="M276" s="42" t="str">
        <f>_xlfn.XLOOKUP(A276&amp;B276,ssH!A:A,ssH!I:I,"")</f>
        <v/>
      </c>
      <c r="N276" s="51" t="str">
        <f t="shared" si="44"/>
        <v/>
      </c>
      <c r="O276" s="51" t="str">
        <f t="shared" si="45"/>
        <v/>
      </c>
      <c r="P276" s="51" t="str">
        <f t="shared" si="46"/>
        <v/>
      </c>
      <c r="Q276" s="52">
        <f t="shared" si="47"/>
        <v>0</v>
      </c>
      <c r="R276" s="51">
        <f t="shared" si="48"/>
        <v>2</v>
      </c>
      <c r="S276" s="51">
        <f t="shared" si="49"/>
        <v>0</v>
      </c>
      <c r="T276" s="51">
        <f t="shared" si="50"/>
        <v>0</v>
      </c>
      <c r="U276" s="52">
        <f t="shared" si="51"/>
        <v>2</v>
      </c>
      <c r="V276" s="52">
        <f t="shared" si="54"/>
        <v>0</v>
      </c>
      <c r="W276" s="52" t="str" cm="1">
        <f t="array" ref="W276">_xlfn.IFS(B276="","",AND(G276&gt;=0,L276&gt;0),"BuySome",AND(G276&gt;=0,K276="KMSignal"),"BuySome",AND(G276&lt;0,L276&gt;0),"BuyWatch",AND(Q276&lt;0,L276&gt;0),"BuyWatch",AND(G276&gt;=0,L276=0),"BuyWatch",L276&gt;0,"BuySome",TRUE,"")</f>
        <v/>
      </c>
      <c r="X276" s="47" t="str">
        <f>_xlfn.XLOOKUP(W276,Parm!$AN$2:$AN$25,Parm!$AO$2:$AO$25,"")</f>
        <v/>
      </c>
      <c r="Y276" s="52" t="str" cm="1">
        <f t="array" ref="Y276">_xlfn.IFS(B276="","",OR(Q276=-100,U276=-100),"SellAll",OR(Q276&lt;0,U276&lt;0),"SellSome",AND(Q276&gt;0,U276&gt;0),"BuySome",OR(Q276&gt;0,U276&gt;0),"BuyWatch",TRUE,"")</f>
        <v/>
      </c>
      <c r="Z276" s="47" t="str">
        <f>_xlfn.XLOOKUP(Y276,Parm!$AN$2:$AN$25,Parm!$AO$2:$AO$25,"")</f>
        <v/>
      </c>
      <c r="AA276" s="286">
        <f>IF(C276&lt;&gt;-100,A276,_xlfn.XLOOKUP(B276,ssH!L:L,ssH!M:M))</f>
        <v>46140</v>
      </c>
      <c r="AB276" s="49" t="str">
        <f t="shared" si="52"/>
        <v/>
      </c>
      <c r="AC276" s="52">
        <f>_xlfn.XLOOKUP(B276,TL!C:C,TL!C:C)</f>
        <v>0</v>
      </c>
      <c r="AD276" s="52">
        <f>_xlfn.XLOOKUP(B276,Y!C:C,Y!C:C)</f>
        <v>0</v>
      </c>
      <c r="AE276" s="52">
        <f>_xlfn.XLOOKUP(B276,MA!C:C,MA!C:C)</f>
        <v>0</v>
      </c>
    </row>
    <row r="277" spans="1:31" x14ac:dyDescent="0.25">
      <c r="A277" s="29">
        <f>ssH!$AG$1</f>
        <v>46140</v>
      </c>
      <c r="C277" s="47">
        <f t="shared" si="53"/>
        <v>0</v>
      </c>
      <c r="D277" s="42">
        <f>_xlfn.XLOOKUP(ssH!$AG$3&amp;B277,ssH!A:A,ssH!D:D,0)</f>
        <v>0</v>
      </c>
      <c r="E277" s="42">
        <f>_xlfn.XLOOKUP(ssH!$AG$5&amp;B277,ssH!A:A,ssH!D:D,0)</f>
        <v>0</v>
      </c>
      <c r="F277" s="42">
        <f>_xlfn.XLOOKUP(ssH!$AG$6&amp;B277,ssH!A:A,ssH!D:D,0)</f>
        <v>0</v>
      </c>
      <c r="G277" s="48">
        <f>_xlfn.XLOOKUP(A277&amp;B277,ssH!A:A,ssH!F:F,-100%)</f>
        <v>-1</v>
      </c>
      <c r="H277" s="46">
        <f>_xlfn.XLOOKUP(ssH!$AG$3&amp;B277,ssH!A:A,ssH!F:F,0)</f>
        <v>0</v>
      </c>
      <c r="I277" s="46">
        <f>_xlfn.XLOOKUP(ssH!$AG$5&amp;B277,ssH!A:A,ssH!F:F,0)</f>
        <v>0</v>
      </c>
      <c r="J277" s="46">
        <f>_xlfn.XLOOKUP(ssH!$AG$6&amp;B277,ssH!A:A,ssH!F:F,0)</f>
        <v>0</v>
      </c>
      <c r="K277" s="46">
        <f>_xlfn.XLOOKUP(B277,ssL!C:C,ssL!G:G,"Removed")</f>
        <v>0</v>
      </c>
      <c r="L277" s="27">
        <f>_xlfn.XLOOKUP(A277&amp;B277,ssH!A:A,ssH!D:D,0)</f>
        <v>0</v>
      </c>
      <c r="M277" s="42" t="str">
        <f>_xlfn.XLOOKUP(A277&amp;B277,ssH!A:A,ssH!I:I,"")</f>
        <v/>
      </c>
      <c r="N277" s="51" t="str">
        <f t="shared" si="44"/>
        <v/>
      </c>
      <c r="O277" s="51" t="str">
        <f t="shared" si="45"/>
        <v/>
      </c>
      <c r="P277" s="51" t="str">
        <f t="shared" si="46"/>
        <v/>
      </c>
      <c r="Q277" s="52">
        <f t="shared" si="47"/>
        <v>0</v>
      </c>
      <c r="R277" s="51">
        <f t="shared" si="48"/>
        <v>2</v>
      </c>
      <c r="S277" s="51">
        <f t="shared" si="49"/>
        <v>0</v>
      </c>
      <c r="T277" s="51">
        <f t="shared" si="50"/>
        <v>0</v>
      </c>
      <c r="U277" s="52">
        <f t="shared" si="51"/>
        <v>2</v>
      </c>
      <c r="V277" s="52">
        <f t="shared" si="54"/>
        <v>0</v>
      </c>
      <c r="W277" s="52" t="str" cm="1">
        <f t="array" ref="W277">_xlfn.IFS(B277="","",AND(G277&gt;=0,L277&gt;0),"BuySome",AND(G277&gt;=0,K277="KMSignal"),"BuySome",AND(G277&lt;0,L277&gt;0),"BuyWatch",AND(Q277&lt;0,L277&gt;0),"BuyWatch",AND(G277&gt;=0,L277=0),"BuyWatch",L277&gt;0,"BuySome",TRUE,"")</f>
        <v/>
      </c>
      <c r="X277" s="47" t="str">
        <f>_xlfn.XLOOKUP(W277,Parm!$AN$2:$AN$25,Parm!$AO$2:$AO$25,"")</f>
        <v/>
      </c>
      <c r="Y277" s="52" t="str" cm="1">
        <f t="array" ref="Y277">_xlfn.IFS(B277="","",OR(Q277=-100,U277=-100),"SellAll",OR(Q277&lt;0,U277&lt;0),"SellSome",AND(Q277&gt;0,U277&gt;0),"BuySome",OR(Q277&gt;0,U277&gt;0),"BuyWatch",TRUE,"")</f>
        <v/>
      </c>
      <c r="Z277" s="47" t="str">
        <f>_xlfn.XLOOKUP(Y277,Parm!$AN$2:$AN$25,Parm!$AO$2:$AO$25,"")</f>
        <v/>
      </c>
      <c r="AA277" s="286">
        <f>IF(C277&lt;&gt;-100,A277,_xlfn.XLOOKUP(B277,ssH!L:L,ssH!M:M))</f>
        <v>46140</v>
      </c>
      <c r="AB277" s="49" t="str">
        <f t="shared" si="52"/>
        <v/>
      </c>
      <c r="AC277" s="52">
        <f>_xlfn.XLOOKUP(B277,TL!C:C,TL!C:C)</f>
        <v>0</v>
      </c>
      <c r="AD277" s="52">
        <f>_xlfn.XLOOKUP(B277,Y!C:C,Y!C:C)</f>
        <v>0</v>
      </c>
      <c r="AE277" s="52">
        <f>_xlfn.XLOOKUP(B277,MA!C:C,MA!C:C)</f>
        <v>0</v>
      </c>
    </row>
    <row r="278" spans="1:31" x14ac:dyDescent="0.25">
      <c r="A278" s="29">
        <f>ssH!$AG$1</f>
        <v>46140</v>
      </c>
      <c r="C278" s="47">
        <f t="shared" si="53"/>
        <v>0</v>
      </c>
      <c r="D278" s="42">
        <f>_xlfn.XLOOKUP(ssH!$AG$3&amp;B278,ssH!A:A,ssH!D:D,0)</f>
        <v>0</v>
      </c>
      <c r="E278" s="42">
        <f>_xlfn.XLOOKUP(ssH!$AG$5&amp;B278,ssH!A:A,ssH!D:D,0)</f>
        <v>0</v>
      </c>
      <c r="F278" s="42">
        <f>_xlfn.XLOOKUP(ssH!$AG$6&amp;B278,ssH!A:A,ssH!D:D,0)</f>
        <v>0</v>
      </c>
      <c r="G278" s="48">
        <f>_xlfn.XLOOKUP(A278&amp;B278,ssH!A:A,ssH!F:F,-100%)</f>
        <v>-1</v>
      </c>
      <c r="H278" s="46">
        <f>_xlfn.XLOOKUP(ssH!$AG$3&amp;B278,ssH!A:A,ssH!F:F,0)</f>
        <v>0</v>
      </c>
      <c r="I278" s="46">
        <f>_xlfn.XLOOKUP(ssH!$AG$5&amp;B278,ssH!A:A,ssH!F:F,0)</f>
        <v>0</v>
      </c>
      <c r="J278" s="46">
        <f>_xlfn.XLOOKUP(ssH!$AG$6&amp;B278,ssH!A:A,ssH!F:F,0)</f>
        <v>0</v>
      </c>
      <c r="K278" s="46">
        <f>_xlfn.XLOOKUP(B278,ssL!C:C,ssL!G:G,"Removed")</f>
        <v>0</v>
      </c>
      <c r="L278" s="27">
        <f>_xlfn.XLOOKUP(A278&amp;B278,ssH!A:A,ssH!D:D,0)</f>
        <v>0</v>
      </c>
      <c r="M278" s="42" t="str">
        <f>_xlfn.XLOOKUP(A278&amp;B278,ssH!A:A,ssH!I:I,"")</f>
        <v/>
      </c>
      <c r="N278" s="51" t="str">
        <f t="shared" si="44"/>
        <v/>
      </c>
      <c r="O278" s="51" t="str">
        <f t="shared" si="45"/>
        <v/>
      </c>
      <c r="P278" s="51" t="str">
        <f t="shared" si="46"/>
        <v/>
      </c>
      <c r="Q278" s="52">
        <f t="shared" si="47"/>
        <v>0</v>
      </c>
      <c r="R278" s="51">
        <f t="shared" si="48"/>
        <v>2</v>
      </c>
      <c r="S278" s="51">
        <f t="shared" si="49"/>
        <v>0</v>
      </c>
      <c r="T278" s="51">
        <f t="shared" si="50"/>
        <v>0</v>
      </c>
      <c r="U278" s="52">
        <f t="shared" si="51"/>
        <v>2</v>
      </c>
      <c r="V278" s="52">
        <f t="shared" si="54"/>
        <v>0</v>
      </c>
      <c r="W278" s="52" t="str" cm="1">
        <f t="array" ref="W278">_xlfn.IFS(B278="","",AND(G278&gt;=0,L278&gt;0),"BuySome",AND(G278&gt;=0,K278="KMSignal"),"BuySome",AND(G278&lt;0,L278&gt;0),"BuyWatch",AND(Q278&lt;0,L278&gt;0),"BuyWatch",AND(G278&gt;=0,L278=0),"BuyWatch",L278&gt;0,"BuySome",TRUE,"")</f>
        <v/>
      </c>
      <c r="X278" s="47" t="str">
        <f>_xlfn.XLOOKUP(W278,Parm!$AN$2:$AN$25,Parm!$AO$2:$AO$25,"")</f>
        <v/>
      </c>
      <c r="Y278" s="52" t="str" cm="1">
        <f t="array" ref="Y278">_xlfn.IFS(B278="","",OR(Q278=-100,U278=-100),"SellAll",OR(Q278&lt;0,U278&lt;0),"SellSome",AND(Q278&gt;0,U278&gt;0),"BuySome",OR(Q278&gt;0,U278&gt;0),"BuyWatch",TRUE,"")</f>
        <v/>
      </c>
      <c r="Z278" s="47" t="str">
        <f>_xlfn.XLOOKUP(Y278,Parm!$AN$2:$AN$25,Parm!$AO$2:$AO$25,"")</f>
        <v/>
      </c>
      <c r="AA278" s="286">
        <f>IF(C278&lt;&gt;-100,A278,_xlfn.XLOOKUP(B278,ssH!L:L,ssH!M:M))</f>
        <v>46140</v>
      </c>
      <c r="AB278" s="49" t="str">
        <f t="shared" si="52"/>
        <v/>
      </c>
      <c r="AC278" s="52">
        <f>_xlfn.XLOOKUP(B278,TL!C:C,TL!C:C)</f>
        <v>0</v>
      </c>
      <c r="AD278" s="52">
        <f>_xlfn.XLOOKUP(B278,Y!C:C,Y!C:C)</f>
        <v>0</v>
      </c>
      <c r="AE278" s="52">
        <f>_xlfn.XLOOKUP(B278,MA!C:C,MA!C:C)</f>
        <v>0</v>
      </c>
    </row>
    <row r="279" spans="1:31" x14ac:dyDescent="0.25">
      <c r="A279" s="29">
        <f>ssH!$AG$1</f>
        <v>46140</v>
      </c>
      <c r="C279" s="47">
        <f t="shared" si="53"/>
        <v>0</v>
      </c>
      <c r="D279" s="42">
        <f>_xlfn.XLOOKUP(ssH!$AG$3&amp;B279,ssH!A:A,ssH!D:D,0)</f>
        <v>0</v>
      </c>
      <c r="E279" s="42">
        <f>_xlfn.XLOOKUP(ssH!$AG$5&amp;B279,ssH!A:A,ssH!D:D,0)</f>
        <v>0</v>
      </c>
      <c r="F279" s="42">
        <f>_xlfn.XLOOKUP(ssH!$AG$6&amp;B279,ssH!A:A,ssH!D:D,0)</f>
        <v>0</v>
      </c>
      <c r="G279" s="48">
        <f>_xlfn.XLOOKUP(A279&amp;B279,ssH!A:A,ssH!F:F,-100%)</f>
        <v>-1</v>
      </c>
      <c r="H279" s="46">
        <f>_xlfn.XLOOKUP(ssH!$AG$3&amp;B279,ssH!A:A,ssH!F:F,0)</f>
        <v>0</v>
      </c>
      <c r="I279" s="46">
        <f>_xlfn.XLOOKUP(ssH!$AG$5&amp;B279,ssH!A:A,ssH!F:F,0)</f>
        <v>0</v>
      </c>
      <c r="J279" s="46">
        <f>_xlfn.XLOOKUP(ssH!$AG$6&amp;B279,ssH!A:A,ssH!F:F,0)</f>
        <v>0</v>
      </c>
      <c r="K279" s="46">
        <f>_xlfn.XLOOKUP(B279,ssL!C:C,ssL!G:G,"Removed")</f>
        <v>0</v>
      </c>
      <c r="L279" s="27">
        <f>_xlfn.XLOOKUP(A279&amp;B279,ssH!A:A,ssH!D:D,0)</f>
        <v>0</v>
      </c>
      <c r="M279" s="42" t="str">
        <f>_xlfn.XLOOKUP(A279&amp;B279,ssH!A:A,ssH!I:I,"")</f>
        <v/>
      </c>
      <c r="N279" s="51" t="str">
        <f t="shared" si="44"/>
        <v/>
      </c>
      <c r="O279" s="51" t="str">
        <f t="shared" si="45"/>
        <v/>
      </c>
      <c r="P279" s="51" t="str">
        <f t="shared" si="46"/>
        <v/>
      </c>
      <c r="Q279" s="52">
        <f t="shared" si="47"/>
        <v>0</v>
      </c>
      <c r="R279" s="51">
        <f t="shared" si="48"/>
        <v>2</v>
      </c>
      <c r="S279" s="51">
        <f t="shared" si="49"/>
        <v>0</v>
      </c>
      <c r="T279" s="51">
        <f t="shared" si="50"/>
        <v>0</v>
      </c>
      <c r="U279" s="52">
        <f t="shared" si="51"/>
        <v>2</v>
      </c>
      <c r="V279" s="52">
        <f t="shared" si="54"/>
        <v>0</v>
      </c>
      <c r="W279" s="52" t="str" cm="1">
        <f t="array" ref="W279">_xlfn.IFS(B279="","",AND(G279&gt;=0,L279&gt;0),"BuySome",AND(G279&gt;=0,K279="KMSignal"),"BuySome",AND(G279&lt;0,L279&gt;0),"BuyWatch",AND(Q279&lt;0,L279&gt;0),"BuyWatch",AND(G279&gt;=0,L279=0),"BuyWatch",L279&gt;0,"BuySome",TRUE,"")</f>
        <v/>
      </c>
      <c r="X279" s="47" t="str">
        <f>_xlfn.XLOOKUP(W279,Parm!$AN$2:$AN$25,Parm!$AO$2:$AO$25,"")</f>
        <v/>
      </c>
      <c r="Y279" s="52" t="str" cm="1">
        <f t="array" ref="Y279">_xlfn.IFS(B279="","",OR(Q279=-100,U279=-100),"SellAll",OR(Q279&lt;0,U279&lt;0),"SellSome",AND(Q279&gt;0,U279&gt;0),"BuySome",OR(Q279&gt;0,U279&gt;0),"BuyWatch",TRUE,"")</f>
        <v/>
      </c>
      <c r="Z279" s="47" t="str">
        <f>_xlfn.XLOOKUP(Y279,Parm!$AN$2:$AN$25,Parm!$AO$2:$AO$25,"")</f>
        <v/>
      </c>
      <c r="AA279" s="286">
        <f>IF(C279&lt;&gt;-100,A279,_xlfn.XLOOKUP(B279,ssH!L:L,ssH!M:M))</f>
        <v>46140</v>
      </c>
      <c r="AB279" s="49" t="str">
        <f t="shared" si="52"/>
        <v/>
      </c>
      <c r="AC279" s="52">
        <f>_xlfn.XLOOKUP(B279,TL!C:C,TL!C:C)</f>
        <v>0</v>
      </c>
      <c r="AD279" s="52">
        <f>_xlfn.XLOOKUP(B279,Y!C:C,Y!C:C)</f>
        <v>0</v>
      </c>
      <c r="AE279" s="52">
        <f>_xlfn.XLOOKUP(B279,MA!C:C,MA!C:C)</f>
        <v>0</v>
      </c>
    </row>
    <row r="280" spans="1:31" x14ac:dyDescent="0.25">
      <c r="A280" s="29">
        <f>ssH!$AG$1</f>
        <v>46140</v>
      </c>
      <c r="C280" s="47">
        <f t="shared" si="53"/>
        <v>0</v>
      </c>
      <c r="D280" s="42">
        <f>_xlfn.XLOOKUP(ssH!$AG$3&amp;B280,ssH!A:A,ssH!D:D,0)</f>
        <v>0</v>
      </c>
      <c r="E280" s="42">
        <f>_xlfn.XLOOKUP(ssH!$AG$5&amp;B280,ssH!A:A,ssH!D:D,0)</f>
        <v>0</v>
      </c>
      <c r="F280" s="42">
        <f>_xlfn.XLOOKUP(ssH!$AG$6&amp;B280,ssH!A:A,ssH!D:D,0)</f>
        <v>0</v>
      </c>
      <c r="G280" s="48">
        <f>_xlfn.XLOOKUP(A280&amp;B280,ssH!A:A,ssH!F:F,-100%)</f>
        <v>-1</v>
      </c>
      <c r="H280" s="46">
        <f>_xlfn.XLOOKUP(ssH!$AG$3&amp;B280,ssH!A:A,ssH!F:F,0)</f>
        <v>0</v>
      </c>
      <c r="I280" s="46">
        <f>_xlfn.XLOOKUP(ssH!$AG$5&amp;B280,ssH!A:A,ssH!F:F,0)</f>
        <v>0</v>
      </c>
      <c r="J280" s="46">
        <f>_xlfn.XLOOKUP(ssH!$AG$6&amp;B280,ssH!A:A,ssH!F:F,0)</f>
        <v>0</v>
      </c>
      <c r="K280" s="46">
        <f>_xlfn.XLOOKUP(B280,ssL!C:C,ssL!G:G,"Removed")</f>
        <v>0</v>
      </c>
      <c r="L280" s="27">
        <f>_xlfn.XLOOKUP(A280&amp;B280,ssH!A:A,ssH!D:D,0)</f>
        <v>0</v>
      </c>
      <c r="M280" s="42" t="str">
        <f>_xlfn.XLOOKUP(A280&amp;B280,ssH!A:A,ssH!I:I,"")</f>
        <v/>
      </c>
      <c r="N280" s="51" t="str">
        <f t="shared" si="44"/>
        <v/>
      </c>
      <c r="O280" s="51" t="str">
        <f t="shared" si="45"/>
        <v/>
      </c>
      <c r="P280" s="51" t="str">
        <f t="shared" si="46"/>
        <v/>
      </c>
      <c r="Q280" s="52">
        <f t="shared" si="47"/>
        <v>0</v>
      </c>
      <c r="R280" s="51">
        <f t="shared" si="48"/>
        <v>2</v>
      </c>
      <c r="S280" s="51">
        <f t="shared" si="49"/>
        <v>0</v>
      </c>
      <c r="T280" s="51">
        <f t="shared" si="50"/>
        <v>0</v>
      </c>
      <c r="U280" s="52">
        <f t="shared" si="51"/>
        <v>2</v>
      </c>
      <c r="V280" s="52">
        <f t="shared" si="54"/>
        <v>0</v>
      </c>
      <c r="W280" s="52" t="str" cm="1">
        <f t="array" ref="W280">_xlfn.IFS(B280="","",AND(G280&gt;=0,L280&gt;0),"BuySome",AND(G280&gt;=0,K280="KMSignal"),"BuySome",AND(G280&lt;0,L280&gt;0),"BuyWatch",AND(Q280&lt;0,L280&gt;0),"BuyWatch",AND(G280&gt;=0,L280=0),"BuyWatch",L280&gt;0,"BuySome",TRUE,"")</f>
        <v/>
      </c>
      <c r="X280" s="47" t="str">
        <f>_xlfn.XLOOKUP(W280,Parm!$AN$2:$AN$25,Parm!$AO$2:$AO$25,"")</f>
        <v/>
      </c>
      <c r="Y280" s="52" t="str" cm="1">
        <f t="array" ref="Y280">_xlfn.IFS(B280="","",OR(Q280=-100,U280=-100),"SellAll",OR(Q280&lt;0,U280&lt;0),"SellSome",AND(Q280&gt;0,U280&gt;0),"BuySome",OR(Q280&gt;0,U280&gt;0),"BuyWatch",TRUE,"")</f>
        <v/>
      </c>
      <c r="Z280" s="47" t="str">
        <f>_xlfn.XLOOKUP(Y280,Parm!$AN$2:$AN$25,Parm!$AO$2:$AO$25,"")</f>
        <v/>
      </c>
      <c r="AA280" s="286">
        <f>IF(C280&lt;&gt;-100,A280,_xlfn.XLOOKUP(B280,ssH!L:L,ssH!M:M))</f>
        <v>46140</v>
      </c>
      <c r="AB280" s="49" t="str">
        <f t="shared" si="52"/>
        <v/>
      </c>
      <c r="AC280" s="52">
        <f>_xlfn.XLOOKUP(B280,TL!C:C,TL!C:C)</f>
        <v>0</v>
      </c>
      <c r="AD280" s="52">
        <f>_xlfn.XLOOKUP(B280,Y!C:C,Y!C:C)</f>
        <v>0</v>
      </c>
      <c r="AE280" s="52">
        <f>_xlfn.XLOOKUP(B280,MA!C:C,MA!C:C)</f>
        <v>0</v>
      </c>
    </row>
    <row r="281" spans="1:31" x14ac:dyDescent="0.25">
      <c r="A281" s="29">
        <f>ssH!$AG$1</f>
        <v>46140</v>
      </c>
      <c r="C281" s="47">
        <f t="shared" si="53"/>
        <v>0</v>
      </c>
      <c r="D281" s="42">
        <f>_xlfn.XLOOKUP(ssH!$AG$3&amp;B281,ssH!A:A,ssH!D:D,0)</f>
        <v>0</v>
      </c>
      <c r="E281" s="42">
        <f>_xlfn.XLOOKUP(ssH!$AG$5&amp;B281,ssH!A:A,ssH!D:D,0)</f>
        <v>0</v>
      </c>
      <c r="F281" s="42">
        <f>_xlfn.XLOOKUP(ssH!$AG$6&amp;B281,ssH!A:A,ssH!D:D,0)</f>
        <v>0</v>
      </c>
      <c r="G281" s="48">
        <f>_xlfn.XLOOKUP(A281&amp;B281,ssH!A:A,ssH!F:F,-100%)</f>
        <v>-1</v>
      </c>
      <c r="H281" s="46">
        <f>_xlfn.XLOOKUP(ssH!$AG$3&amp;B281,ssH!A:A,ssH!F:F,0)</f>
        <v>0</v>
      </c>
      <c r="I281" s="46">
        <f>_xlfn.XLOOKUP(ssH!$AG$5&amp;B281,ssH!A:A,ssH!F:F,0)</f>
        <v>0</v>
      </c>
      <c r="J281" s="46">
        <f>_xlfn.XLOOKUP(ssH!$AG$6&amp;B281,ssH!A:A,ssH!F:F,0)</f>
        <v>0</v>
      </c>
      <c r="K281" s="46">
        <f>_xlfn.XLOOKUP(B281,ssL!C:C,ssL!G:G,"Removed")</f>
        <v>0</v>
      </c>
      <c r="L281" s="27">
        <f>_xlfn.XLOOKUP(A281&amp;B281,ssH!A:A,ssH!D:D,0)</f>
        <v>0</v>
      </c>
      <c r="M281" s="42" t="str">
        <f>_xlfn.XLOOKUP(A281&amp;B281,ssH!A:A,ssH!I:I,"")</f>
        <v/>
      </c>
      <c r="N281" s="51" t="str">
        <f t="shared" si="44"/>
        <v/>
      </c>
      <c r="O281" s="51" t="str">
        <f t="shared" si="45"/>
        <v/>
      </c>
      <c r="P281" s="51" t="str">
        <f t="shared" si="46"/>
        <v/>
      </c>
      <c r="Q281" s="52">
        <f t="shared" si="47"/>
        <v>0</v>
      </c>
      <c r="R281" s="51">
        <f t="shared" si="48"/>
        <v>2</v>
      </c>
      <c r="S281" s="51">
        <f t="shared" si="49"/>
        <v>0</v>
      </c>
      <c r="T281" s="51">
        <f t="shared" si="50"/>
        <v>0</v>
      </c>
      <c r="U281" s="52">
        <f t="shared" si="51"/>
        <v>2</v>
      </c>
      <c r="V281" s="52">
        <f t="shared" si="54"/>
        <v>0</v>
      </c>
      <c r="W281" s="52" t="str" cm="1">
        <f t="array" ref="W281">_xlfn.IFS(B281="","",AND(G281&gt;=0,L281&gt;0),"BuySome",AND(G281&gt;=0,K281="KMSignal"),"BuySome",AND(G281&lt;0,L281&gt;0),"BuyWatch",AND(Q281&lt;0,L281&gt;0),"BuyWatch",AND(G281&gt;=0,L281=0),"BuyWatch",L281&gt;0,"BuySome",TRUE,"")</f>
        <v/>
      </c>
      <c r="X281" s="47" t="str">
        <f>_xlfn.XLOOKUP(W281,Parm!$AN$2:$AN$25,Parm!$AO$2:$AO$25,"")</f>
        <v/>
      </c>
      <c r="Y281" s="52" t="str" cm="1">
        <f t="array" ref="Y281">_xlfn.IFS(B281="","",OR(Q281=-100,U281=-100),"SellAll",OR(Q281&lt;0,U281&lt;0),"SellSome",AND(Q281&gt;0,U281&gt;0),"BuySome",OR(Q281&gt;0,U281&gt;0),"BuyWatch",TRUE,"")</f>
        <v/>
      </c>
      <c r="Z281" s="47" t="str">
        <f>_xlfn.XLOOKUP(Y281,Parm!$AN$2:$AN$25,Parm!$AO$2:$AO$25,"")</f>
        <v/>
      </c>
      <c r="AA281" s="286">
        <f>IF(C281&lt;&gt;-100,A281,_xlfn.XLOOKUP(B281,ssH!L:L,ssH!M:M))</f>
        <v>46140</v>
      </c>
      <c r="AB281" s="49" t="str">
        <f t="shared" si="52"/>
        <v/>
      </c>
      <c r="AC281" s="52">
        <f>_xlfn.XLOOKUP(B281,TL!C:C,TL!C:C)</f>
        <v>0</v>
      </c>
      <c r="AD281" s="52">
        <f>_xlfn.XLOOKUP(B281,Y!C:C,Y!C:C)</f>
        <v>0</v>
      </c>
      <c r="AE281" s="52">
        <f>_xlfn.XLOOKUP(B281,MA!C:C,MA!C:C)</f>
        <v>0</v>
      </c>
    </row>
    <row r="282" spans="1:31" x14ac:dyDescent="0.25">
      <c r="A282" s="29">
        <f>ssH!$AG$1</f>
        <v>46140</v>
      </c>
      <c r="C282" s="47">
        <f t="shared" si="53"/>
        <v>0</v>
      </c>
      <c r="D282" s="42">
        <f>_xlfn.XLOOKUP(ssH!$AG$3&amp;B282,ssH!A:A,ssH!D:D,0)</f>
        <v>0</v>
      </c>
      <c r="E282" s="42">
        <f>_xlfn.XLOOKUP(ssH!$AG$5&amp;B282,ssH!A:A,ssH!D:D,0)</f>
        <v>0</v>
      </c>
      <c r="F282" s="42">
        <f>_xlfn.XLOOKUP(ssH!$AG$6&amp;B282,ssH!A:A,ssH!D:D,0)</f>
        <v>0</v>
      </c>
      <c r="G282" s="48">
        <f>_xlfn.XLOOKUP(A282&amp;B282,ssH!A:A,ssH!F:F,-100%)</f>
        <v>-1</v>
      </c>
      <c r="H282" s="46">
        <f>_xlfn.XLOOKUP(ssH!$AG$3&amp;B282,ssH!A:A,ssH!F:F,0)</f>
        <v>0</v>
      </c>
      <c r="I282" s="46">
        <f>_xlfn.XLOOKUP(ssH!$AG$5&amp;B282,ssH!A:A,ssH!F:F,0)</f>
        <v>0</v>
      </c>
      <c r="J282" s="46">
        <f>_xlfn.XLOOKUP(ssH!$AG$6&amp;B282,ssH!A:A,ssH!F:F,0)</f>
        <v>0</v>
      </c>
      <c r="K282" s="46">
        <f>_xlfn.XLOOKUP(B282,ssL!C:C,ssL!G:G,"Removed")</f>
        <v>0</v>
      </c>
      <c r="L282" s="27">
        <f>_xlfn.XLOOKUP(A282&amp;B282,ssH!A:A,ssH!D:D,0)</f>
        <v>0</v>
      </c>
      <c r="M282" s="42" t="str">
        <f>_xlfn.XLOOKUP(A282&amp;B282,ssH!A:A,ssH!I:I,"")</f>
        <v/>
      </c>
      <c r="N282" s="51" t="str">
        <f t="shared" si="44"/>
        <v/>
      </c>
      <c r="O282" s="51" t="str">
        <f t="shared" si="45"/>
        <v/>
      </c>
      <c r="P282" s="51" t="str">
        <f t="shared" si="46"/>
        <v/>
      </c>
      <c r="Q282" s="52">
        <f t="shared" si="47"/>
        <v>0</v>
      </c>
      <c r="R282" s="51">
        <f t="shared" si="48"/>
        <v>2</v>
      </c>
      <c r="S282" s="51">
        <f t="shared" si="49"/>
        <v>0</v>
      </c>
      <c r="T282" s="51">
        <f t="shared" si="50"/>
        <v>0</v>
      </c>
      <c r="U282" s="52">
        <f t="shared" si="51"/>
        <v>2</v>
      </c>
      <c r="V282" s="52">
        <f t="shared" si="54"/>
        <v>0</v>
      </c>
      <c r="W282" s="52" t="str" cm="1">
        <f t="array" ref="W282">_xlfn.IFS(B282="","",AND(G282&gt;=0,L282&gt;0),"BuySome",AND(G282&gt;=0,K282="KMSignal"),"BuySome",AND(G282&lt;0,L282&gt;0),"BuyWatch",AND(Q282&lt;0,L282&gt;0),"BuyWatch",AND(G282&gt;=0,L282=0),"BuyWatch",L282&gt;0,"BuySome",TRUE,"")</f>
        <v/>
      </c>
      <c r="X282" s="47" t="str">
        <f>_xlfn.XLOOKUP(W282,Parm!$AN$2:$AN$25,Parm!$AO$2:$AO$25,"")</f>
        <v/>
      </c>
      <c r="Y282" s="52" t="str" cm="1">
        <f t="array" ref="Y282">_xlfn.IFS(B282="","",OR(Q282=-100,U282=-100),"SellAll",OR(Q282&lt;0,U282&lt;0),"SellSome",AND(Q282&gt;0,U282&gt;0),"BuySome",OR(Q282&gt;0,U282&gt;0),"BuyWatch",TRUE,"")</f>
        <v/>
      </c>
      <c r="Z282" s="47" t="str">
        <f>_xlfn.XLOOKUP(Y282,Parm!$AN$2:$AN$25,Parm!$AO$2:$AO$25,"")</f>
        <v/>
      </c>
      <c r="AA282" s="286">
        <f>IF(C282&lt;&gt;-100,A282,_xlfn.XLOOKUP(B282,ssH!L:L,ssH!M:M))</f>
        <v>46140</v>
      </c>
      <c r="AB282" s="49" t="str">
        <f t="shared" si="52"/>
        <v/>
      </c>
      <c r="AC282" s="52">
        <f>_xlfn.XLOOKUP(B282,TL!C:C,TL!C:C)</f>
        <v>0</v>
      </c>
      <c r="AD282" s="52">
        <f>_xlfn.XLOOKUP(B282,Y!C:C,Y!C:C)</f>
        <v>0</v>
      </c>
      <c r="AE282" s="52">
        <f>_xlfn.XLOOKUP(B282,MA!C:C,MA!C:C)</f>
        <v>0</v>
      </c>
    </row>
    <row r="283" spans="1:31" x14ac:dyDescent="0.25">
      <c r="A283" s="29">
        <f>ssH!$AG$1</f>
        <v>46140</v>
      </c>
      <c r="C283" s="47">
        <f t="shared" si="53"/>
        <v>0</v>
      </c>
      <c r="D283" s="42">
        <f>_xlfn.XLOOKUP(ssH!$AG$3&amp;B283,ssH!A:A,ssH!D:D,0)</f>
        <v>0</v>
      </c>
      <c r="E283" s="42">
        <f>_xlfn.XLOOKUP(ssH!$AG$5&amp;B283,ssH!A:A,ssH!D:D,0)</f>
        <v>0</v>
      </c>
      <c r="F283" s="42">
        <f>_xlfn.XLOOKUP(ssH!$AG$6&amp;B283,ssH!A:A,ssH!D:D,0)</f>
        <v>0</v>
      </c>
      <c r="G283" s="48">
        <f>_xlfn.XLOOKUP(A283&amp;B283,ssH!A:A,ssH!F:F,-100%)</f>
        <v>-1</v>
      </c>
      <c r="H283" s="46">
        <f>_xlfn.XLOOKUP(ssH!$AG$3&amp;B283,ssH!A:A,ssH!F:F,0)</f>
        <v>0</v>
      </c>
      <c r="I283" s="46">
        <f>_xlfn.XLOOKUP(ssH!$AG$5&amp;B283,ssH!A:A,ssH!F:F,0)</f>
        <v>0</v>
      </c>
      <c r="J283" s="46">
        <f>_xlfn.XLOOKUP(ssH!$AG$6&amp;B283,ssH!A:A,ssH!F:F,0)</f>
        <v>0</v>
      </c>
      <c r="K283" s="46">
        <f>_xlfn.XLOOKUP(B283,ssL!C:C,ssL!G:G,"Removed")</f>
        <v>0</v>
      </c>
      <c r="L283" s="27">
        <f>_xlfn.XLOOKUP(A283&amp;B283,ssH!A:A,ssH!D:D,0)</f>
        <v>0</v>
      </c>
      <c r="M283" s="42" t="str">
        <f>_xlfn.XLOOKUP(A283&amp;B283,ssH!A:A,ssH!I:I,"")</f>
        <v/>
      </c>
      <c r="N283" s="51" t="str">
        <f t="shared" si="44"/>
        <v/>
      </c>
      <c r="O283" s="51" t="str">
        <f t="shared" si="45"/>
        <v/>
      </c>
      <c r="P283" s="51" t="str">
        <f t="shared" si="46"/>
        <v/>
      </c>
      <c r="Q283" s="52">
        <f t="shared" si="47"/>
        <v>0</v>
      </c>
      <c r="R283" s="51">
        <f t="shared" si="48"/>
        <v>2</v>
      </c>
      <c r="S283" s="51">
        <f t="shared" si="49"/>
        <v>0</v>
      </c>
      <c r="T283" s="51">
        <f t="shared" si="50"/>
        <v>0</v>
      </c>
      <c r="U283" s="52">
        <f t="shared" si="51"/>
        <v>2</v>
      </c>
      <c r="V283" s="52">
        <f t="shared" si="54"/>
        <v>0</v>
      </c>
      <c r="W283" s="52" t="str" cm="1">
        <f t="array" ref="W283">_xlfn.IFS(B283="","",AND(G283&gt;=0,L283&gt;0),"BuySome",AND(G283&gt;=0,K283="KMSignal"),"BuySome",AND(G283&lt;0,L283&gt;0),"BuyWatch",AND(Q283&lt;0,L283&gt;0),"BuyWatch",AND(G283&gt;=0,L283=0),"BuyWatch",L283&gt;0,"BuySome",TRUE,"")</f>
        <v/>
      </c>
      <c r="X283" s="47" t="str">
        <f>_xlfn.XLOOKUP(W283,Parm!$AN$2:$AN$25,Parm!$AO$2:$AO$25,"")</f>
        <v/>
      </c>
      <c r="Y283" s="52" t="str" cm="1">
        <f t="array" ref="Y283">_xlfn.IFS(B283="","",OR(Q283=-100,U283=-100),"SellAll",OR(Q283&lt;0,U283&lt;0),"SellSome",AND(Q283&gt;0,U283&gt;0),"BuySome",OR(Q283&gt;0,U283&gt;0),"BuyWatch",TRUE,"")</f>
        <v/>
      </c>
      <c r="Z283" s="47" t="str">
        <f>_xlfn.XLOOKUP(Y283,Parm!$AN$2:$AN$25,Parm!$AO$2:$AO$25,"")</f>
        <v/>
      </c>
      <c r="AA283" s="286">
        <f>IF(C283&lt;&gt;-100,A283,_xlfn.XLOOKUP(B283,ssH!L:L,ssH!M:M))</f>
        <v>46140</v>
      </c>
      <c r="AB283" s="49" t="str">
        <f t="shared" si="52"/>
        <v/>
      </c>
      <c r="AC283" s="52">
        <f>_xlfn.XLOOKUP(B283,TL!C:C,TL!C:C)</f>
        <v>0</v>
      </c>
      <c r="AD283" s="52">
        <f>_xlfn.XLOOKUP(B283,Y!C:C,Y!C:C)</f>
        <v>0</v>
      </c>
      <c r="AE283" s="52">
        <f>_xlfn.XLOOKUP(B283,MA!C:C,MA!C:C)</f>
        <v>0</v>
      </c>
    </row>
    <row r="284" spans="1:31" x14ac:dyDescent="0.25">
      <c r="A284" s="29">
        <f>ssH!$AG$1</f>
        <v>46140</v>
      </c>
      <c r="C284" s="47">
        <f t="shared" si="53"/>
        <v>0</v>
      </c>
      <c r="D284" s="42">
        <f>_xlfn.XLOOKUP(ssH!$AG$3&amp;B284,ssH!A:A,ssH!D:D,0)</f>
        <v>0</v>
      </c>
      <c r="E284" s="42">
        <f>_xlfn.XLOOKUP(ssH!$AG$5&amp;B284,ssH!A:A,ssH!D:D,0)</f>
        <v>0</v>
      </c>
      <c r="F284" s="42">
        <f>_xlfn.XLOOKUP(ssH!$AG$6&amp;B284,ssH!A:A,ssH!D:D,0)</f>
        <v>0</v>
      </c>
      <c r="G284" s="48">
        <f>_xlfn.XLOOKUP(A284&amp;B284,ssH!A:A,ssH!F:F,-100%)</f>
        <v>-1</v>
      </c>
      <c r="H284" s="46">
        <f>_xlfn.XLOOKUP(ssH!$AG$3&amp;B284,ssH!A:A,ssH!F:F,0)</f>
        <v>0</v>
      </c>
      <c r="I284" s="46">
        <f>_xlfn.XLOOKUP(ssH!$AG$5&amp;B284,ssH!A:A,ssH!F:F,0)</f>
        <v>0</v>
      </c>
      <c r="J284" s="46">
        <f>_xlfn.XLOOKUP(ssH!$AG$6&amp;B284,ssH!A:A,ssH!F:F,0)</f>
        <v>0</v>
      </c>
      <c r="K284" s="46">
        <f>_xlfn.XLOOKUP(B284,ssL!C:C,ssL!G:G,"Removed")</f>
        <v>0</v>
      </c>
      <c r="L284" s="27">
        <f>_xlfn.XLOOKUP(A284&amp;B284,ssH!A:A,ssH!D:D,0)</f>
        <v>0</v>
      </c>
      <c r="M284" s="42" t="str">
        <f>_xlfn.XLOOKUP(A284&amp;B284,ssH!A:A,ssH!I:I,"")</f>
        <v/>
      </c>
      <c r="N284" s="51" t="str">
        <f t="shared" si="44"/>
        <v/>
      </c>
      <c r="O284" s="51" t="str">
        <f t="shared" si="45"/>
        <v/>
      </c>
      <c r="P284" s="51" t="str">
        <f t="shared" si="46"/>
        <v/>
      </c>
      <c r="Q284" s="52">
        <f t="shared" si="47"/>
        <v>0</v>
      </c>
      <c r="R284" s="51">
        <f t="shared" si="48"/>
        <v>2</v>
      </c>
      <c r="S284" s="51">
        <f t="shared" si="49"/>
        <v>0</v>
      </c>
      <c r="T284" s="51">
        <f t="shared" si="50"/>
        <v>0</v>
      </c>
      <c r="U284" s="52">
        <f t="shared" si="51"/>
        <v>2</v>
      </c>
      <c r="V284" s="52">
        <f t="shared" si="54"/>
        <v>0</v>
      </c>
      <c r="W284" s="52" t="str" cm="1">
        <f t="array" ref="W284">_xlfn.IFS(B284="","",AND(G284&gt;=0,L284&gt;0),"BuySome",AND(G284&gt;=0,K284="KMSignal"),"BuySome",AND(G284&lt;0,L284&gt;0),"BuyWatch",AND(Q284&lt;0,L284&gt;0),"BuyWatch",AND(G284&gt;=0,L284=0),"BuyWatch",L284&gt;0,"BuySome",TRUE,"")</f>
        <v/>
      </c>
      <c r="X284" s="47" t="str">
        <f>_xlfn.XLOOKUP(W284,Parm!$AN$2:$AN$25,Parm!$AO$2:$AO$25,"")</f>
        <v/>
      </c>
      <c r="Y284" s="52" t="str" cm="1">
        <f t="array" ref="Y284">_xlfn.IFS(B284="","",OR(Q284=-100,U284=-100),"SellAll",OR(Q284&lt;0,U284&lt;0),"SellSome",AND(Q284&gt;0,U284&gt;0),"BuySome",OR(Q284&gt;0,U284&gt;0),"BuyWatch",TRUE,"")</f>
        <v/>
      </c>
      <c r="Z284" s="47" t="str">
        <f>_xlfn.XLOOKUP(Y284,Parm!$AN$2:$AN$25,Parm!$AO$2:$AO$25,"")</f>
        <v/>
      </c>
      <c r="AA284" s="286">
        <f>IF(C284&lt;&gt;-100,A284,_xlfn.XLOOKUP(B284,ssH!L:L,ssH!M:M))</f>
        <v>46140</v>
      </c>
      <c r="AB284" s="49" t="str">
        <f t="shared" si="52"/>
        <v/>
      </c>
      <c r="AC284" s="52">
        <f>_xlfn.XLOOKUP(B284,TL!C:C,TL!C:C)</f>
        <v>0</v>
      </c>
      <c r="AD284" s="52">
        <f>_xlfn.XLOOKUP(B284,Y!C:C,Y!C:C)</f>
        <v>0</v>
      </c>
      <c r="AE284" s="52">
        <f>_xlfn.XLOOKUP(B284,MA!C:C,MA!C:C)</f>
        <v>0</v>
      </c>
    </row>
    <row r="285" spans="1:31" x14ac:dyDescent="0.25">
      <c r="A285" s="29">
        <f>ssH!$AG$1</f>
        <v>46140</v>
      </c>
      <c r="C285" s="47">
        <f t="shared" si="53"/>
        <v>0</v>
      </c>
      <c r="D285" s="42">
        <f>_xlfn.XLOOKUP(ssH!$AG$3&amp;B285,ssH!A:A,ssH!D:D,0)</f>
        <v>0</v>
      </c>
      <c r="E285" s="42">
        <f>_xlfn.XLOOKUP(ssH!$AG$5&amp;B285,ssH!A:A,ssH!D:D,0)</f>
        <v>0</v>
      </c>
      <c r="F285" s="42">
        <f>_xlfn.XLOOKUP(ssH!$AG$6&amp;B285,ssH!A:A,ssH!D:D,0)</f>
        <v>0</v>
      </c>
      <c r="G285" s="48">
        <f>_xlfn.XLOOKUP(A285&amp;B285,ssH!A:A,ssH!F:F,-100%)</f>
        <v>-1</v>
      </c>
      <c r="H285" s="46">
        <f>_xlfn.XLOOKUP(ssH!$AG$3&amp;B285,ssH!A:A,ssH!F:F,0)</f>
        <v>0</v>
      </c>
      <c r="I285" s="46">
        <f>_xlfn.XLOOKUP(ssH!$AG$5&amp;B285,ssH!A:A,ssH!F:F,0)</f>
        <v>0</v>
      </c>
      <c r="J285" s="46">
        <f>_xlfn.XLOOKUP(ssH!$AG$6&amp;B285,ssH!A:A,ssH!F:F,0)</f>
        <v>0</v>
      </c>
      <c r="K285" s="46">
        <f>_xlfn.XLOOKUP(B285,ssL!C:C,ssL!G:G,"Removed")</f>
        <v>0</v>
      </c>
      <c r="L285" s="27">
        <f>_xlfn.XLOOKUP(A285&amp;B285,ssH!A:A,ssH!D:D,0)</f>
        <v>0</v>
      </c>
      <c r="M285" s="42" t="str">
        <f>_xlfn.XLOOKUP(A285&amp;B285,ssH!A:A,ssH!I:I,"")</f>
        <v/>
      </c>
      <c r="N285" s="51" t="str">
        <f t="shared" si="44"/>
        <v/>
      </c>
      <c r="O285" s="51" t="str">
        <f t="shared" si="45"/>
        <v/>
      </c>
      <c r="P285" s="51" t="str">
        <f t="shared" si="46"/>
        <v/>
      </c>
      <c r="Q285" s="52">
        <f t="shared" si="47"/>
        <v>0</v>
      </c>
      <c r="R285" s="51">
        <f t="shared" si="48"/>
        <v>2</v>
      </c>
      <c r="S285" s="51">
        <f t="shared" si="49"/>
        <v>0</v>
      </c>
      <c r="T285" s="51">
        <f t="shared" si="50"/>
        <v>0</v>
      </c>
      <c r="U285" s="52">
        <f t="shared" si="51"/>
        <v>2</v>
      </c>
      <c r="V285" s="52">
        <f t="shared" si="54"/>
        <v>0</v>
      </c>
      <c r="W285" s="52" t="str" cm="1">
        <f t="array" ref="W285">_xlfn.IFS(B285="","",AND(G285&gt;=0,L285&gt;0),"BuySome",AND(G285&gt;=0,K285="KMSignal"),"BuySome",AND(G285&lt;0,L285&gt;0),"BuyWatch",AND(Q285&lt;0,L285&gt;0),"BuyWatch",AND(G285&gt;=0,L285=0),"BuyWatch",L285&gt;0,"BuySome",TRUE,"")</f>
        <v/>
      </c>
      <c r="X285" s="47" t="str">
        <f>_xlfn.XLOOKUP(W285,Parm!$AN$2:$AN$25,Parm!$AO$2:$AO$25,"")</f>
        <v/>
      </c>
      <c r="Y285" s="52" t="str" cm="1">
        <f t="array" ref="Y285">_xlfn.IFS(B285="","",OR(Q285=-100,U285=-100),"SellAll",OR(Q285&lt;0,U285&lt;0),"SellSome",AND(Q285&gt;0,U285&gt;0),"BuySome",OR(Q285&gt;0,U285&gt;0),"BuyWatch",TRUE,"")</f>
        <v/>
      </c>
      <c r="Z285" s="47" t="str">
        <f>_xlfn.XLOOKUP(Y285,Parm!$AN$2:$AN$25,Parm!$AO$2:$AO$25,"")</f>
        <v/>
      </c>
      <c r="AA285" s="286">
        <f>IF(C285&lt;&gt;-100,A285,_xlfn.XLOOKUP(B285,ssH!L:L,ssH!M:M))</f>
        <v>46140</v>
      </c>
      <c r="AB285" s="49" t="str">
        <f t="shared" si="52"/>
        <v/>
      </c>
      <c r="AC285" s="52">
        <f>_xlfn.XLOOKUP(B285,TL!C:C,TL!C:C)</f>
        <v>0</v>
      </c>
      <c r="AD285" s="52">
        <f>_xlfn.XLOOKUP(B285,Y!C:C,Y!C:C)</f>
        <v>0</v>
      </c>
      <c r="AE285" s="52">
        <f>_xlfn.XLOOKUP(B285,MA!C:C,MA!C:C)</f>
        <v>0</v>
      </c>
    </row>
    <row r="286" spans="1:31" x14ac:dyDescent="0.25">
      <c r="A286" s="29">
        <f>ssH!$AG$1</f>
        <v>46140</v>
      </c>
      <c r="C286" s="47">
        <f t="shared" si="53"/>
        <v>0</v>
      </c>
      <c r="D286" s="42">
        <f>_xlfn.XLOOKUP(ssH!$AG$3&amp;B286,ssH!A:A,ssH!D:D,0)</f>
        <v>0</v>
      </c>
      <c r="E286" s="42">
        <f>_xlfn.XLOOKUP(ssH!$AG$5&amp;B286,ssH!A:A,ssH!D:D,0)</f>
        <v>0</v>
      </c>
      <c r="F286" s="42">
        <f>_xlfn.XLOOKUP(ssH!$AG$6&amp;B286,ssH!A:A,ssH!D:D,0)</f>
        <v>0</v>
      </c>
      <c r="G286" s="48">
        <f>_xlfn.XLOOKUP(A286&amp;B286,ssH!A:A,ssH!F:F,-100%)</f>
        <v>-1</v>
      </c>
      <c r="H286" s="46">
        <f>_xlfn.XLOOKUP(ssH!$AG$3&amp;B286,ssH!A:A,ssH!F:F,0)</f>
        <v>0</v>
      </c>
      <c r="I286" s="46">
        <f>_xlfn.XLOOKUP(ssH!$AG$5&amp;B286,ssH!A:A,ssH!F:F,0)</f>
        <v>0</v>
      </c>
      <c r="J286" s="46">
        <f>_xlfn.XLOOKUP(ssH!$AG$6&amp;B286,ssH!A:A,ssH!F:F,0)</f>
        <v>0</v>
      </c>
      <c r="K286" s="46">
        <f>_xlfn.XLOOKUP(B286,ssL!C:C,ssL!G:G,"Removed")</f>
        <v>0</v>
      </c>
      <c r="L286" s="27">
        <f>_xlfn.XLOOKUP(A286&amp;B286,ssH!A:A,ssH!D:D,0)</f>
        <v>0</v>
      </c>
      <c r="M286" s="42" t="str">
        <f>_xlfn.XLOOKUP(A286&amp;B286,ssH!A:A,ssH!I:I,"")</f>
        <v/>
      </c>
      <c r="N286" s="51" t="str">
        <f t="shared" si="44"/>
        <v/>
      </c>
      <c r="O286" s="51" t="str">
        <f t="shared" si="45"/>
        <v/>
      </c>
      <c r="P286" s="51" t="str">
        <f t="shared" si="46"/>
        <v/>
      </c>
      <c r="Q286" s="52">
        <f t="shared" si="47"/>
        <v>0</v>
      </c>
      <c r="R286" s="51">
        <f t="shared" si="48"/>
        <v>2</v>
      </c>
      <c r="S286" s="51">
        <f t="shared" si="49"/>
        <v>0</v>
      </c>
      <c r="T286" s="51">
        <f t="shared" si="50"/>
        <v>0</v>
      </c>
      <c r="U286" s="52">
        <f t="shared" si="51"/>
        <v>2</v>
      </c>
      <c r="V286" s="52">
        <f t="shared" si="54"/>
        <v>0</v>
      </c>
      <c r="W286" s="52" t="str" cm="1">
        <f t="array" ref="W286">_xlfn.IFS(B286="","",AND(G286&gt;=0,L286&gt;0),"BuySome",AND(G286&gt;=0,K286="KMSignal"),"BuySome",AND(G286&lt;0,L286&gt;0),"BuyWatch",AND(Q286&lt;0,L286&gt;0),"BuyWatch",AND(G286&gt;=0,L286=0),"BuyWatch",L286&gt;0,"BuySome",TRUE,"")</f>
        <v/>
      </c>
      <c r="X286" s="47" t="str">
        <f>_xlfn.XLOOKUP(W286,Parm!$AN$2:$AN$25,Parm!$AO$2:$AO$25,"")</f>
        <v/>
      </c>
      <c r="Y286" s="52" t="str" cm="1">
        <f t="array" ref="Y286">_xlfn.IFS(B286="","",OR(Q286=-100,U286=-100),"SellAll",OR(Q286&lt;0,U286&lt;0),"SellSome",AND(Q286&gt;0,U286&gt;0),"BuySome",OR(Q286&gt;0,U286&gt;0),"BuyWatch",TRUE,"")</f>
        <v/>
      </c>
      <c r="Z286" s="47" t="str">
        <f>_xlfn.XLOOKUP(Y286,Parm!$AN$2:$AN$25,Parm!$AO$2:$AO$25,"")</f>
        <v/>
      </c>
      <c r="AA286" s="286">
        <f>IF(C286&lt;&gt;-100,A286,_xlfn.XLOOKUP(B286,ssH!L:L,ssH!M:M))</f>
        <v>46140</v>
      </c>
      <c r="AB286" s="49" t="str">
        <f t="shared" si="52"/>
        <v/>
      </c>
      <c r="AC286" s="52">
        <f>_xlfn.XLOOKUP(B286,TL!C:C,TL!C:C)</f>
        <v>0</v>
      </c>
      <c r="AD286" s="52">
        <f>_xlfn.XLOOKUP(B286,Y!C:C,Y!C:C)</f>
        <v>0</v>
      </c>
      <c r="AE286" s="52">
        <f>_xlfn.XLOOKUP(B286,MA!C:C,MA!C:C)</f>
        <v>0</v>
      </c>
    </row>
    <row r="287" spans="1:31" x14ac:dyDescent="0.25">
      <c r="A287" s="29">
        <f>ssH!$AG$1</f>
        <v>46140</v>
      </c>
      <c r="C287" s="47">
        <f t="shared" si="53"/>
        <v>0</v>
      </c>
      <c r="D287" s="42">
        <f>_xlfn.XLOOKUP(ssH!$AG$3&amp;B287,ssH!A:A,ssH!D:D,0)</f>
        <v>0</v>
      </c>
      <c r="E287" s="42">
        <f>_xlfn.XLOOKUP(ssH!$AG$5&amp;B287,ssH!A:A,ssH!D:D,0)</f>
        <v>0</v>
      </c>
      <c r="F287" s="42">
        <f>_xlfn.XLOOKUP(ssH!$AG$6&amp;B287,ssH!A:A,ssH!D:D,0)</f>
        <v>0</v>
      </c>
      <c r="G287" s="48">
        <f>_xlfn.XLOOKUP(A287&amp;B287,ssH!A:A,ssH!F:F,-100%)</f>
        <v>-1</v>
      </c>
      <c r="H287" s="46">
        <f>_xlfn.XLOOKUP(ssH!$AG$3&amp;B287,ssH!A:A,ssH!F:F,0)</f>
        <v>0</v>
      </c>
      <c r="I287" s="46">
        <f>_xlfn.XLOOKUP(ssH!$AG$5&amp;B287,ssH!A:A,ssH!F:F,0)</f>
        <v>0</v>
      </c>
      <c r="J287" s="46">
        <f>_xlfn.XLOOKUP(ssH!$AG$6&amp;B287,ssH!A:A,ssH!F:F,0)</f>
        <v>0</v>
      </c>
      <c r="K287" s="46">
        <f>_xlfn.XLOOKUP(B287,ssL!C:C,ssL!G:G,"Removed")</f>
        <v>0</v>
      </c>
      <c r="L287" s="27">
        <f>_xlfn.XLOOKUP(A287&amp;B287,ssH!A:A,ssH!D:D,0)</f>
        <v>0</v>
      </c>
      <c r="M287" s="42" t="str">
        <f>_xlfn.XLOOKUP(A287&amp;B287,ssH!A:A,ssH!I:I,"")</f>
        <v/>
      </c>
      <c r="N287" s="51" t="str">
        <f t="shared" si="44"/>
        <v/>
      </c>
      <c r="O287" s="51" t="str">
        <f t="shared" si="45"/>
        <v/>
      </c>
      <c r="P287" s="51" t="str">
        <f t="shared" si="46"/>
        <v/>
      </c>
      <c r="Q287" s="52">
        <f t="shared" si="47"/>
        <v>0</v>
      </c>
      <c r="R287" s="51">
        <f t="shared" si="48"/>
        <v>2</v>
      </c>
      <c r="S287" s="51">
        <f t="shared" si="49"/>
        <v>0</v>
      </c>
      <c r="T287" s="51">
        <f t="shared" si="50"/>
        <v>0</v>
      </c>
      <c r="U287" s="52">
        <f t="shared" si="51"/>
        <v>2</v>
      </c>
      <c r="V287" s="52">
        <f t="shared" si="54"/>
        <v>0</v>
      </c>
      <c r="W287" s="52" t="str" cm="1">
        <f t="array" ref="W287">_xlfn.IFS(B287="","",AND(G287&gt;=0,L287&gt;0),"BuySome",AND(G287&gt;=0,K287="KMSignal"),"BuySome",AND(G287&lt;0,L287&gt;0),"BuyWatch",AND(Q287&lt;0,L287&gt;0),"BuyWatch",AND(G287&gt;=0,L287=0),"BuyWatch",L287&gt;0,"BuySome",TRUE,"")</f>
        <v/>
      </c>
      <c r="X287" s="47" t="str">
        <f>_xlfn.XLOOKUP(W287,Parm!$AN$2:$AN$25,Parm!$AO$2:$AO$25,"")</f>
        <v/>
      </c>
      <c r="Y287" s="52" t="str" cm="1">
        <f t="array" ref="Y287">_xlfn.IFS(B287="","",OR(Q287=-100,U287=-100),"SellAll",OR(Q287&lt;0,U287&lt;0),"SellSome",AND(Q287&gt;0,U287&gt;0),"BuySome",OR(Q287&gt;0,U287&gt;0),"BuyWatch",TRUE,"")</f>
        <v/>
      </c>
      <c r="Z287" s="47" t="str">
        <f>_xlfn.XLOOKUP(Y287,Parm!$AN$2:$AN$25,Parm!$AO$2:$AO$25,"")</f>
        <v/>
      </c>
      <c r="AA287" s="286">
        <f>IF(C287&lt;&gt;-100,A287,_xlfn.XLOOKUP(B287,ssH!L:L,ssH!M:M))</f>
        <v>46140</v>
      </c>
      <c r="AB287" s="49" t="str">
        <f t="shared" si="52"/>
        <v/>
      </c>
      <c r="AC287" s="52">
        <f>_xlfn.XLOOKUP(B287,TL!C:C,TL!C:C)</f>
        <v>0</v>
      </c>
      <c r="AD287" s="52">
        <f>_xlfn.XLOOKUP(B287,Y!C:C,Y!C:C)</f>
        <v>0</v>
      </c>
      <c r="AE287" s="52">
        <f>_xlfn.XLOOKUP(B287,MA!C:C,MA!C:C)</f>
        <v>0</v>
      </c>
    </row>
    <row r="288" spans="1:31" x14ac:dyDescent="0.25">
      <c r="A288" s="29">
        <f>ssH!$AG$1</f>
        <v>46140</v>
      </c>
      <c r="C288" s="47">
        <f t="shared" si="53"/>
        <v>0</v>
      </c>
      <c r="D288" s="42">
        <f>_xlfn.XLOOKUP(ssH!$AG$3&amp;B288,ssH!A:A,ssH!D:D,0)</f>
        <v>0</v>
      </c>
      <c r="E288" s="42">
        <f>_xlfn.XLOOKUP(ssH!$AG$5&amp;B288,ssH!A:A,ssH!D:D,0)</f>
        <v>0</v>
      </c>
      <c r="F288" s="42">
        <f>_xlfn.XLOOKUP(ssH!$AG$6&amp;B288,ssH!A:A,ssH!D:D,0)</f>
        <v>0</v>
      </c>
      <c r="G288" s="48">
        <f>_xlfn.XLOOKUP(A288&amp;B288,ssH!A:A,ssH!F:F,-100%)</f>
        <v>-1</v>
      </c>
      <c r="H288" s="46">
        <f>_xlfn.XLOOKUP(ssH!$AG$3&amp;B288,ssH!A:A,ssH!F:F,0)</f>
        <v>0</v>
      </c>
      <c r="I288" s="46">
        <f>_xlfn.XLOOKUP(ssH!$AG$5&amp;B288,ssH!A:A,ssH!F:F,0)</f>
        <v>0</v>
      </c>
      <c r="J288" s="46">
        <f>_xlfn.XLOOKUP(ssH!$AG$6&amp;B288,ssH!A:A,ssH!F:F,0)</f>
        <v>0</v>
      </c>
      <c r="K288" s="46">
        <f>_xlfn.XLOOKUP(B288,ssL!C:C,ssL!G:G,"Removed")</f>
        <v>0</v>
      </c>
      <c r="L288" s="27">
        <f>_xlfn.XLOOKUP(A288&amp;B288,ssH!A:A,ssH!D:D,0)</f>
        <v>0</v>
      </c>
      <c r="M288" s="42" t="str">
        <f>_xlfn.XLOOKUP(A288&amp;B288,ssH!A:A,ssH!I:I,"")</f>
        <v/>
      </c>
      <c r="N288" s="51" t="str">
        <f t="shared" si="44"/>
        <v/>
      </c>
      <c r="O288" s="51" t="str">
        <f t="shared" si="45"/>
        <v/>
      </c>
      <c r="P288" s="51" t="str">
        <f t="shared" si="46"/>
        <v/>
      </c>
      <c r="Q288" s="52">
        <f t="shared" si="47"/>
        <v>0</v>
      </c>
      <c r="R288" s="51">
        <f t="shared" si="48"/>
        <v>2</v>
      </c>
      <c r="S288" s="51">
        <f t="shared" si="49"/>
        <v>0</v>
      </c>
      <c r="T288" s="51">
        <f t="shared" si="50"/>
        <v>0</v>
      </c>
      <c r="U288" s="52">
        <f t="shared" si="51"/>
        <v>2</v>
      </c>
      <c r="V288" s="52">
        <f t="shared" si="54"/>
        <v>0</v>
      </c>
      <c r="W288" s="52" t="str" cm="1">
        <f t="array" ref="W288">_xlfn.IFS(B288="","",AND(G288&gt;=0,L288&gt;0),"BuySome",AND(G288&gt;=0,K288="KMSignal"),"BuySome",AND(G288&lt;0,L288&gt;0),"BuyWatch",AND(Q288&lt;0,L288&gt;0),"BuyWatch",AND(G288&gt;=0,L288=0),"BuyWatch",L288&gt;0,"BuySome",TRUE,"")</f>
        <v/>
      </c>
      <c r="X288" s="47" t="str">
        <f>_xlfn.XLOOKUP(W288,Parm!$AN$2:$AN$25,Parm!$AO$2:$AO$25,"")</f>
        <v/>
      </c>
      <c r="Y288" s="52" t="str" cm="1">
        <f t="array" ref="Y288">_xlfn.IFS(B288="","",OR(Q288=-100,U288=-100),"SellAll",OR(Q288&lt;0,U288&lt;0),"SellSome",AND(Q288&gt;0,U288&gt;0),"BuySome",OR(Q288&gt;0,U288&gt;0),"BuyWatch",TRUE,"")</f>
        <v/>
      </c>
      <c r="Z288" s="47" t="str">
        <f>_xlfn.XLOOKUP(Y288,Parm!$AN$2:$AN$25,Parm!$AO$2:$AO$25,"")</f>
        <v/>
      </c>
      <c r="AA288" s="286">
        <f>IF(C288&lt;&gt;-100,A288,_xlfn.XLOOKUP(B288,ssH!L:L,ssH!M:M))</f>
        <v>46140</v>
      </c>
      <c r="AB288" s="49" t="str">
        <f t="shared" si="52"/>
        <v/>
      </c>
      <c r="AC288" s="52">
        <f>_xlfn.XLOOKUP(B288,TL!C:C,TL!C:C)</f>
        <v>0</v>
      </c>
      <c r="AD288" s="52">
        <f>_xlfn.XLOOKUP(B288,Y!C:C,Y!C:C)</f>
        <v>0</v>
      </c>
      <c r="AE288" s="52">
        <f>_xlfn.XLOOKUP(B288,MA!C:C,MA!C:C)</f>
        <v>0</v>
      </c>
    </row>
    <row r="289" spans="1:31" x14ac:dyDescent="0.25">
      <c r="A289" s="29">
        <f>ssH!$AG$1</f>
        <v>46140</v>
      </c>
      <c r="C289" s="47">
        <f t="shared" si="53"/>
        <v>0</v>
      </c>
      <c r="D289" s="42">
        <f>_xlfn.XLOOKUP(ssH!$AG$3&amp;B289,ssH!A:A,ssH!D:D,0)</f>
        <v>0</v>
      </c>
      <c r="E289" s="42">
        <f>_xlfn.XLOOKUP(ssH!$AG$5&amp;B289,ssH!A:A,ssH!D:D,0)</f>
        <v>0</v>
      </c>
      <c r="F289" s="42">
        <f>_xlfn.XLOOKUP(ssH!$AG$6&amp;B289,ssH!A:A,ssH!D:D,0)</f>
        <v>0</v>
      </c>
      <c r="G289" s="48">
        <f>_xlfn.XLOOKUP(A289&amp;B289,ssH!A:A,ssH!F:F,-100%)</f>
        <v>-1</v>
      </c>
      <c r="H289" s="46">
        <f>_xlfn.XLOOKUP(ssH!$AG$3&amp;B289,ssH!A:A,ssH!F:F,0)</f>
        <v>0</v>
      </c>
      <c r="I289" s="46">
        <f>_xlfn.XLOOKUP(ssH!$AG$5&amp;B289,ssH!A:A,ssH!F:F,0)</f>
        <v>0</v>
      </c>
      <c r="J289" s="46">
        <f>_xlfn.XLOOKUP(ssH!$AG$6&amp;B289,ssH!A:A,ssH!F:F,0)</f>
        <v>0</v>
      </c>
      <c r="K289" s="46">
        <f>_xlfn.XLOOKUP(B289,ssL!C:C,ssL!G:G,"Removed")</f>
        <v>0</v>
      </c>
      <c r="L289" s="27">
        <f>_xlfn.XLOOKUP(A289&amp;B289,ssH!A:A,ssH!D:D,0)</f>
        <v>0</v>
      </c>
      <c r="M289" s="42" t="str">
        <f>_xlfn.XLOOKUP(A289&amp;B289,ssH!A:A,ssH!I:I,"")</f>
        <v/>
      </c>
      <c r="N289" s="51" t="str">
        <f t="shared" si="44"/>
        <v/>
      </c>
      <c r="O289" s="51" t="str">
        <f t="shared" si="45"/>
        <v/>
      </c>
      <c r="P289" s="51" t="str">
        <f t="shared" si="46"/>
        <v/>
      </c>
      <c r="Q289" s="52">
        <f t="shared" si="47"/>
        <v>0</v>
      </c>
      <c r="R289" s="51">
        <f t="shared" si="48"/>
        <v>2</v>
      </c>
      <c r="S289" s="51">
        <f t="shared" si="49"/>
        <v>0</v>
      </c>
      <c r="T289" s="51">
        <f t="shared" si="50"/>
        <v>0</v>
      </c>
      <c r="U289" s="52">
        <f t="shared" si="51"/>
        <v>2</v>
      </c>
      <c r="V289" s="52">
        <f t="shared" si="54"/>
        <v>0</v>
      </c>
      <c r="W289" s="52" t="str" cm="1">
        <f t="array" ref="W289">_xlfn.IFS(B289="","",AND(G289&gt;=0,L289&gt;0),"BuySome",AND(G289&gt;=0,K289="KMSignal"),"BuySome",AND(G289&lt;0,L289&gt;0),"BuyWatch",AND(Q289&lt;0,L289&gt;0),"BuyWatch",AND(G289&gt;=0,L289=0),"BuyWatch",L289&gt;0,"BuySome",TRUE,"")</f>
        <v/>
      </c>
      <c r="X289" s="47" t="str">
        <f>_xlfn.XLOOKUP(W289,Parm!$AN$2:$AN$25,Parm!$AO$2:$AO$25,"")</f>
        <v/>
      </c>
      <c r="Y289" s="52" t="str" cm="1">
        <f t="array" ref="Y289">_xlfn.IFS(B289="","",OR(Q289=-100,U289=-100),"SellAll",OR(Q289&lt;0,U289&lt;0),"SellSome",AND(Q289&gt;0,U289&gt;0),"BuySome",OR(Q289&gt;0,U289&gt;0),"BuyWatch",TRUE,"")</f>
        <v/>
      </c>
      <c r="Z289" s="47" t="str">
        <f>_xlfn.XLOOKUP(Y289,Parm!$AN$2:$AN$25,Parm!$AO$2:$AO$25,"")</f>
        <v/>
      </c>
      <c r="AA289" s="286">
        <f>IF(C289&lt;&gt;-100,A289,_xlfn.XLOOKUP(B289,ssH!L:L,ssH!M:M))</f>
        <v>46140</v>
      </c>
      <c r="AB289" s="49" t="str">
        <f t="shared" si="52"/>
        <v/>
      </c>
      <c r="AC289" s="52">
        <f>_xlfn.XLOOKUP(B289,TL!C:C,TL!C:C)</f>
        <v>0</v>
      </c>
      <c r="AD289" s="52">
        <f>_xlfn.XLOOKUP(B289,Y!C:C,Y!C:C)</f>
        <v>0</v>
      </c>
      <c r="AE289" s="52">
        <f>_xlfn.XLOOKUP(B289,MA!C:C,MA!C:C)</f>
        <v>0</v>
      </c>
    </row>
    <row r="290" spans="1:31" x14ac:dyDescent="0.25">
      <c r="A290" s="29">
        <f>ssH!$AG$1</f>
        <v>46140</v>
      </c>
      <c r="C290" s="47">
        <f t="shared" si="53"/>
        <v>0</v>
      </c>
      <c r="D290" s="42">
        <f>_xlfn.XLOOKUP(ssH!$AG$3&amp;B290,ssH!A:A,ssH!D:D,0)</f>
        <v>0</v>
      </c>
      <c r="E290" s="42">
        <f>_xlfn.XLOOKUP(ssH!$AG$5&amp;B290,ssH!A:A,ssH!D:D,0)</f>
        <v>0</v>
      </c>
      <c r="F290" s="42">
        <f>_xlfn.XLOOKUP(ssH!$AG$6&amp;B290,ssH!A:A,ssH!D:D,0)</f>
        <v>0</v>
      </c>
      <c r="G290" s="48">
        <f>_xlfn.XLOOKUP(A290&amp;B290,ssH!A:A,ssH!F:F,-100%)</f>
        <v>-1</v>
      </c>
      <c r="H290" s="46">
        <f>_xlfn.XLOOKUP(ssH!$AG$3&amp;B290,ssH!A:A,ssH!F:F,0)</f>
        <v>0</v>
      </c>
      <c r="I290" s="46">
        <f>_xlfn.XLOOKUP(ssH!$AG$5&amp;B290,ssH!A:A,ssH!F:F,0)</f>
        <v>0</v>
      </c>
      <c r="J290" s="46">
        <f>_xlfn.XLOOKUP(ssH!$AG$6&amp;B290,ssH!A:A,ssH!F:F,0)</f>
        <v>0</v>
      </c>
      <c r="K290" s="46">
        <f>_xlfn.XLOOKUP(B290,ssL!C:C,ssL!G:G,"Removed")</f>
        <v>0</v>
      </c>
      <c r="L290" s="27">
        <f>_xlfn.XLOOKUP(A290&amp;B290,ssH!A:A,ssH!D:D,0)</f>
        <v>0</v>
      </c>
      <c r="M290" s="42" t="str">
        <f>_xlfn.XLOOKUP(A290&amp;B290,ssH!A:A,ssH!I:I,"")</f>
        <v/>
      </c>
      <c r="N290" s="51" t="str">
        <f t="shared" si="44"/>
        <v/>
      </c>
      <c r="O290" s="51" t="str">
        <f t="shared" si="45"/>
        <v/>
      </c>
      <c r="P290" s="51" t="str">
        <f t="shared" si="46"/>
        <v/>
      </c>
      <c r="Q290" s="52">
        <f t="shared" si="47"/>
        <v>0</v>
      </c>
      <c r="R290" s="51">
        <f t="shared" si="48"/>
        <v>2</v>
      </c>
      <c r="S290" s="51">
        <f t="shared" si="49"/>
        <v>0</v>
      </c>
      <c r="T290" s="51">
        <f t="shared" si="50"/>
        <v>0</v>
      </c>
      <c r="U290" s="52">
        <f t="shared" si="51"/>
        <v>2</v>
      </c>
      <c r="V290" s="52">
        <f t="shared" si="54"/>
        <v>0</v>
      </c>
      <c r="W290" s="52" t="str" cm="1">
        <f t="array" ref="W290">_xlfn.IFS(B290="","",AND(G290&gt;=0,L290&gt;0),"BuySome",AND(G290&gt;=0,K290="KMSignal"),"BuySome",AND(G290&lt;0,L290&gt;0),"BuyWatch",AND(Q290&lt;0,L290&gt;0),"BuyWatch",AND(G290&gt;=0,L290=0),"BuyWatch",L290&gt;0,"BuySome",TRUE,"")</f>
        <v/>
      </c>
      <c r="X290" s="47" t="str">
        <f>_xlfn.XLOOKUP(W290,Parm!$AN$2:$AN$25,Parm!$AO$2:$AO$25,"")</f>
        <v/>
      </c>
      <c r="Y290" s="52" t="str" cm="1">
        <f t="array" ref="Y290">_xlfn.IFS(B290="","",OR(Q290=-100,U290=-100),"SellAll",OR(Q290&lt;0,U290&lt;0),"SellSome",AND(Q290&gt;0,U290&gt;0),"BuySome",OR(Q290&gt;0,U290&gt;0),"BuyWatch",TRUE,"")</f>
        <v/>
      </c>
      <c r="Z290" s="47" t="str">
        <f>_xlfn.XLOOKUP(Y290,Parm!$AN$2:$AN$25,Parm!$AO$2:$AO$25,"")</f>
        <v/>
      </c>
      <c r="AA290" s="286">
        <f>IF(C290&lt;&gt;-100,A290,_xlfn.XLOOKUP(B290,ssH!L:L,ssH!M:M))</f>
        <v>46140</v>
      </c>
      <c r="AB290" s="49" t="str">
        <f t="shared" si="52"/>
        <v/>
      </c>
      <c r="AC290" s="52">
        <f>_xlfn.XLOOKUP(B290,TL!C:C,TL!C:C)</f>
        <v>0</v>
      </c>
      <c r="AD290" s="52">
        <f>_xlfn.XLOOKUP(B290,Y!C:C,Y!C:C)</f>
        <v>0</v>
      </c>
      <c r="AE290" s="52">
        <f>_xlfn.XLOOKUP(B290,MA!C:C,MA!C:C)</f>
        <v>0</v>
      </c>
    </row>
    <row r="291" spans="1:31" x14ac:dyDescent="0.25">
      <c r="A291" s="29">
        <f>ssH!$AG$1</f>
        <v>46140</v>
      </c>
      <c r="C291" s="47">
        <f t="shared" si="53"/>
        <v>0</v>
      </c>
      <c r="D291" s="42">
        <f>_xlfn.XLOOKUP(ssH!$AG$3&amp;B291,ssH!A:A,ssH!D:D,0)</f>
        <v>0</v>
      </c>
      <c r="E291" s="42">
        <f>_xlfn.XLOOKUP(ssH!$AG$5&amp;B291,ssH!A:A,ssH!D:D,0)</f>
        <v>0</v>
      </c>
      <c r="F291" s="42">
        <f>_xlfn.XLOOKUP(ssH!$AG$6&amp;B291,ssH!A:A,ssH!D:D,0)</f>
        <v>0</v>
      </c>
      <c r="G291" s="48">
        <f>_xlfn.XLOOKUP(A291&amp;B291,ssH!A:A,ssH!F:F,-100%)</f>
        <v>-1</v>
      </c>
      <c r="H291" s="46">
        <f>_xlfn.XLOOKUP(ssH!$AG$3&amp;B291,ssH!A:A,ssH!F:F,0)</f>
        <v>0</v>
      </c>
      <c r="I291" s="46">
        <f>_xlfn.XLOOKUP(ssH!$AG$5&amp;B291,ssH!A:A,ssH!F:F,0)</f>
        <v>0</v>
      </c>
      <c r="J291" s="46">
        <f>_xlfn.XLOOKUP(ssH!$AG$6&amp;B291,ssH!A:A,ssH!F:F,0)</f>
        <v>0</v>
      </c>
      <c r="K291" s="46">
        <f>_xlfn.XLOOKUP(B291,ssL!C:C,ssL!G:G,"Removed")</f>
        <v>0</v>
      </c>
      <c r="L291" s="27">
        <f>_xlfn.XLOOKUP(A291&amp;B291,ssH!A:A,ssH!D:D,0)</f>
        <v>0</v>
      </c>
      <c r="M291" s="42" t="str">
        <f>_xlfn.XLOOKUP(A291&amp;B291,ssH!A:A,ssH!I:I,"")</f>
        <v/>
      </c>
      <c r="N291" s="51" t="str">
        <f t="shared" si="44"/>
        <v/>
      </c>
      <c r="O291" s="51" t="str">
        <f t="shared" si="45"/>
        <v/>
      </c>
      <c r="P291" s="51" t="str">
        <f t="shared" si="46"/>
        <v/>
      </c>
      <c r="Q291" s="52">
        <f t="shared" si="47"/>
        <v>0</v>
      </c>
      <c r="R291" s="51">
        <f t="shared" si="48"/>
        <v>2</v>
      </c>
      <c r="S291" s="51">
        <f t="shared" si="49"/>
        <v>0</v>
      </c>
      <c r="T291" s="51">
        <f t="shared" si="50"/>
        <v>0</v>
      </c>
      <c r="U291" s="52">
        <f t="shared" si="51"/>
        <v>2</v>
      </c>
      <c r="V291" s="52">
        <f t="shared" si="54"/>
        <v>0</v>
      </c>
      <c r="W291" s="52" t="str" cm="1">
        <f t="array" ref="W291">_xlfn.IFS(B291="","",AND(G291&gt;=0,L291&gt;0),"BuySome",AND(G291&gt;=0,K291="KMSignal"),"BuySome",AND(G291&lt;0,L291&gt;0),"BuyWatch",AND(Q291&lt;0,L291&gt;0),"BuyWatch",AND(G291&gt;=0,L291=0),"BuyWatch",L291&gt;0,"BuySome",TRUE,"")</f>
        <v/>
      </c>
      <c r="X291" s="47" t="str">
        <f>_xlfn.XLOOKUP(W291,Parm!$AN$2:$AN$25,Parm!$AO$2:$AO$25,"")</f>
        <v/>
      </c>
      <c r="Y291" s="52" t="str" cm="1">
        <f t="array" ref="Y291">_xlfn.IFS(B291="","",OR(Q291=-100,U291=-100),"SellAll",OR(Q291&lt;0,U291&lt;0),"SellSome",AND(Q291&gt;0,U291&gt;0),"BuySome",OR(Q291&gt;0,U291&gt;0),"BuyWatch",TRUE,"")</f>
        <v/>
      </c>
      <c r="Z291" s="47" t="str">
        <f>_xlfn.XLOOKUP(Y291,Parm!$AN$2:$AN$25,Parm!$AO$2:$AO$25,"")</f>
        <v/>
      </c>
      <c r="AA291" s="286">
        <f>IF(C291&lt;&gt;-100,A291,_xlfn.XLOOKUP(B291,ssH!L:L,ssH!M:M))</f>
        <v>46140</v>
      </c>
      <c r="AB291" s="49" t="str">
        <f t="shared" si="52"/>
        <v/>
      </c>
      <c r="AC291" s="52">
        <f>_xlfn.XLOOKUP(B291,TL!C:C,TL!C:C)</f>
        <v>0</v>
      </c>
      <c r="AD291" s="52">
        <f>_xlfn.XLOOKUP(B291,Y!C:C,Y!C:C)</f>
        <v>0</v>
      </c>
      <c r="AE291" s="52">
        <f>_xlfn.XLOOKUP(B291,MA!C:C,MA!C:C)</f>
        <v>0</v>
      </c>
    </row>
    <row r="292" spans="1:31" x14ac:dyDescent="0.25">
      <c r="A292" s="29">
        <f>ssH!$AG$1</f>
        <v>46140</v>
      </c>
      <c r="C292" s="47">
        <f t="shared" si="53"/>
        <v>0</v>
      </c>
      <c r="D292" s="42">
        <f>_xlfn.XLOOKUP(ssH!$AG$3&amp;B292,ssH!A:A,ssH!D:D,0)</f>
        <v>0</v>
      </c>
      <c r="E292" s="42">
        <f>_xlfn.XLOOKUP(ssH!$AG$5&amp;B292,ssH!A:A,ssH!D:D,0)</f>
        <v>0</v>
      </c>
      <c r="F292" s="42">
        <f>_xlfn.XLOOKUP(ssH!$AG$6&amp;B292,ssH!A:A,ssH!D:D,0)</f>
        <v>0</v>
      </c>
      <c r="G292" s="48">
        <f>_xlfn.XLOOKUP(A292&amp;B292,ssH!A:A,ssH!F:F,-100%)</f>
        <v>-1</v>
      </c>
      <c r="H292" s="46">
        <f>_xlfn.XLOOKUP(ssH!$AG$3&amp;B292,ssH!A:A,ssH!F:F,0)</f>
        <v>0</v>
      </c>
      <c r="I292" s="46">
        <f>_xlfn.XLOOKUP(ssH!$AG$5&amp;B292,ssH!A:A,ssH!F:F,0)</f>
        <v>0</v>
      </c>
      <c r="J292" s="46">
        <f>_xlfn.XLOOKUP(ssH!$AG$6&amp;B292,ssH!A:A,ssH!F:F,0)</f>
        <v>0</v>
      </c>
      <c r="K292" s="46">
        <f>_xlfn.XLOOKUP(B292,ssL!C:C,ssL!G:G,"Removed")</f>
        <v>0</v>
      </c>
      <c r="L292" s="27">
        <f>_xlfn.XLOOKUP(A292&amp;B292,ssH!A:A,ssH!D:D,0)</f>
        <v>0</v>
      </c>
      <c r="M292" s="42" t="str">
        <f>_xlfn.XLOOKUP(A292&amp;B292,ssH!A:A,ssH!I:I,"")</f>
        <v/>
      </c>
      <c r="N292" s="51" t="str">
        <f t="shared" si="44"/>
        <v/>
      </c>
      <c r="O292" s="51" t="str">
        <f t="shared" si="45"/>
        <v/>
      </c>
      <c r="P292" s="51" t="str">
        <f t="shared" si="46"/>
        <v/>
      </c>
      <c r="Q292" s="52">
        <f t="shared" si="47"/>
        <v>0</v>
      </c>
      <c r="R292" s="51">
        <f t="shared" si="48"/>
        <v>2</v>
      </c>
      <c r="S292" s="51">
        <f t="shared" si="49"/>
        <v>0</v>
      </c>
      <c r="T292" s="51">
        <f t="shared" si="50"/>
        <v>0</v>
      </c>
      <c r="U292" s="52">
        <f t="shared" si="51"/>
        <v>2</v>
      </c>
      <c r="V292" s="52">
        <f t="shared" si="54"/>
        <v>0</v>
      </c>
      <c r="W292" s="52" t="str" cm="1">
        <f t="array" ref="W292">_xlfn.IFS(B292="","",AND(G292&gt;=0,L292&gt;0),"BuySome",AND(G292&gt;=0,K292="KMSignal"),"BuySome",AND(G292&lt;0,L292&gt;0),"BuyWatch",AND(Q292&lt;0,L292&gt;0),"BuyWatch",AND(G292&gt;=0,L292=0),"BuyWatch",L292&gt;0,"BuySome",TRUE,"")</f>
        <v/>
      </c>
      <c r="X292" s="47" t="str">
        <f>_xlfn.XLOOKUP(W292,Parm!$AN$2:$AN$25,Parm!$AO$2:$AO$25,"")</f>
        <v/>
      </c>
      <c r="Y292" s="52" t="str" cm="1">
        <f t="array" ref="Y292">_xlfn.IFS(B292="","",OR(Q292=-100,U292=-100),"SellAll",OR(Q292&lt;0,U292&lt;0),"SellSome",AND(Q292&gt;0,U292&gt;0),"BuySome",OR(Q292&gt;0,U292&gt;0),"BuyWatch",TRUE,"")</f>
        <v/>
      </c>
      <c r="Z292" s="47" t="str">
        <f>_xlfn.XLOOKUP(Y292,Parm!$AN$2:$AN$25,Parm!$AO$2:$AO$25,"")</f>
        <v/>
      </c>
      <c r="AA292" s="286">
        <f>IF(C292&lt;&gt;-100,A292,_xlfn.XLOOKUP(B292,ssH!L:L,ssH!M:M))</f>
        <v>46140</v>
      </c>
      <c r="AB292" s="49" t="str">
        <f t="shared" si="52"/>
        <v/>
      </c>
      <c r="AC292" s="52">
        <f>_xlfn.XLOOKUP(B292,TL!C:C,TL!C:C)</f>
        <v>0</v>
      </c>
      <c r="AD292" s="52">
        <f>_xlfn.XLOOKUP(B292,Y!C:C,Y!C:C)</f>
        <v>0</v>
      </c>
      <c r="AE292" s="52">
        <f>_xlfn.XLOOKUP(B292,MA!C:C,MA!C:C)</f>
        <v>0</v>
      </c>
    </row>
    <row r="293" spans="1:31" x14ac:dyDescent="0.25">
      <c r="A293" s="29">
        <f>ssH!$AG$1</f>
        <v>46140</v>
      </c>
      <c r="C293" s="47">
        <f t="shared" si="53"/>
        <v>0</v>
      </c>
      <c r="D293" s="42">
        <f>_xlfn.XLOOKUP(ssH!$AG$3&amp;B293,ssH!A:A,ssH!D:D,0)</f>
        <v>0</v>
      </c>
      <c r="E293" s="42">
        <f>_xlfn.XLOOKUP(ssH!$AG$5&amp;B293,ssH!A:A,ssH!D:D,0)</f>
        <v>0</v>
      </c>
      <c r="F293" s="42">
        <f>_xlfn.XLOOKUP(ssH!$AG$6&amp;B293,ssH!A:A,ssH!D:D,0)</f>
        <v>0</v>
      </c>
      <c r="G293" s="48">
        <f>_xlfn.XLOOKUP(A293&amp;B293,ssH!A:A,ssH!F:F,-100%)</f>
        <v>-1</v>
      </c>
      <c r="H293" s="46">
        <f>_xlfn.XLOOKUP(ssH!$AG$3&amp;B293,ssH!A:A,ssH!F:F,0)</f>
        <v>0</v>
      </c>
      <c r="I293" s="46">
        <f>_xlfn.XLOOKUP(ssH!$AG$5&amp;B293,ssH!A:A,ssH!F:F,0)</f>
        <v>0</v>
      </c>
      <c r="J293" s="46">
        <f>_xlfn.XLOOKUP(ssH!$AG$6&amp;B293,ssH!A:A,ssH!F:F,0)</f>
        <v>0</v>
      </c>
      <c r="K293" s="46">
        <f>_xlfn.XLOOKUP(B293,ssL!C:C,ssL!G:G,"Removed")</f>
        <v>0</v>
      </c>
      <c r="L293" s="27">
        <f>_xlfn.XLOOKUP(A293&amp;B293,ssH!A:A,ssH!D:D,0)</f>
        <v>0</v>
      </c>
      <c r="M293" s="42" t="str">
        <f>_xlfn.XLOOKUP(A293&amp;B293,ssH!A:A,ssH!I:I,"")</f>
        <v/>
      </c>
      <c r="N293" s="51" t="str">
        <f t="shared" si="44"/>
        <v/>
      </c>
      <c r="O293" s="51" t="str">
        <f t="shared" si="45"/>
        <v/>
      </c>
      <c r="P293" s="51" t="str">
        <f t="shared" si="46"/>
        <v/>
      </c>
      <c r="Q293" s="52">
        <f t="shared" si="47"/>
        <v>0</v>
      </c>
      <c r="R293" s="51">
        <f t="shared" si="48"/>
        <v>2</v>
      </c>
      <c r="S293" s="51">
        <f t="shared" si="49"/>
        <v>0</v>
      </c>
      <c r="T293" s="51">
        <f t="shared" si="50"/>
        <v>0</v>
      </c>
      <c r="U293" s="52">
        <f t="shared" si="51"/>
        <v>2</v>
      </c>
      <c r="V293" s="52">
        <f t="shared" si="54"/>
        <v>0</v>
      </c>
      <c r="W293" s="52" t="str" cm="1">
        <f t="array" ref="W293">_xlfn.IFS(B293="","",AND(G293&gt;=0,L293&gt;0),"BuySome",AND(G293&gt;=0,K293="KMSignal"),"BuySome",AND(G293&lt;0,L293&gt;0),"BuyWatch",AND(Q293&lt;0,L293&gt;0),"BuyWatch",AND(G293&gt;=0,L293=0),"BuyWatch",L293&gt;0,"BuySome",TRUE,"")</f>
        <v/>
      </c>
      <c r="X293" s="47" t="str">
        <f>_xlfn.XLOOKUP(W293,Parm!$AN$2:$AN$25,Parm!$AO$2:$AO$25,"")</f>
        <v/>
      </c>
      <c r="Y293" s="52" t="str" cm="1">
        <f t="array" ref="Y293">_xlfn.IFS(B293="","",OR(Q293=-100,U293=-100),"SellAll",OR(Q293&lt;0,U293&lt;0),"SellSome",AND(Q293&gt;0,U293&gt;0),"BuySome",OR(Q293&gt;0,U293&gt;0),"BuyWatch",TRUE,"")</f>
        <v/>
      </c>
      <c r="Z293" s="47" t="str">
        <f>_xlfn.XLOOKUP(Y293,Parm!$AN$2:$AN$25,Parm!$AO$2:$AO$25,"")</f>
        <v/>
      </c>
      <c r="AA293" s="286">
        <f>IF(C293&lt;&gt;-100,A293,_xlfn.XLOOKUP(B293,ssH!L:L,ssH!M:M))</f>
        <v>46140</v>
      </c>
      <c r="AB293" s="49" t="str">
        <f t="shared" si="52"/>
        <v/>
      </c>
      <c r="AC293" s="52">
        <f>_xlfn.XLOOKUP(B293,TL!C:C,TL!C:C)</f>
        <v>0</v>
      </c>
      <c r="AD293" s="52">
        <f>_xlfn.XLOOKUP(B293,Y!C:C,Y!C:C)</f>
        <v>0</v>
      </c>
      <c r="AE293" s="52">
        <f>_xlfn.XLOOKUP(B293,MA!C:C,MA!C:C)</f>
        <v>0</v>
      </c>
    </row>
    <row r="294" spans="1:31" x14ac:dyDescent="0.25">
      <c r="A294" s="29">
        <f>ssH!$AG$1</f>
        <v>46140</v>
      </c>
      <c r="C294" s="47">
        <f t="shared" si="53"/>
        <v>0</v>
      </c>
      <c r="D294" s="42">
        <f>_xlfn.XLOOKUP(ssH!$AG$3&amp;B294,ssH!A:A,ssH!D:D,0)</f>
        <v>0</v>
      </c>
      <c r="E294" s="42">
        <f>_xlfn.XLOOKUP(ssH!$AG$5&amp;B294,ssH!A:A,ssH!D:D,0)</f>
        <v>0</v>
      </c>
      <c r="F294" s="42">
        <f>_xlfn.XLOOKUP(ssH!$AG$6&amp;B294,ssH!A:A,ssH!D:D,0)</f>
        <v>0</v>
      </c>
      <c r="G294" s="48">
        <f>_xlfn.XLOOKUP(A294&amp;B294,ssH!A:A,ssH!F:F,-100%)</f>
        <v>-1</v>
      </c>
      <c r="H294" s="46">
        <f>_xlfn.XLOOKUP(ssH!$AG$3&amp;B294,ssH!A:A,ssH!F:F,0)</f>
        <v>0</v>
      </c>
      <c r="I294" s="46">
        <f>_xlfn.XLOOKUP(ssH!$AG$5&amp;B294,ssH!A:A,ssH!F:F,0)</f>
        <v>0</v>
      </c>
      <c r="J294" s="46">
        <f>_xlfn.XLOOKUP(ssH!$AG$6&amp;B294,ssH!A:A,ssH!F:F,0)</f>
        <v>0</v>
      </c>
      <c r="K294" s="46">
        <f>_xlfn.XLOOKUP(B294,ssL!C:C,ssL!G:G,"Removed")</f>
        <v>0</v>
      </c>
      <c r="L294" s="27">
        <f>_xlfn.XLOOKUP(A294&amp;B294,ssH!A:A,ssH!D:D,0)</f>
        <v>0</v>
      </c>
      <c r="M294" s="42" t="str">
        <f>_xlfn.XLOOKUP(A294&amp;B294,ssH!A:A,ssH!I:I,"")</f>
        <v/>
      </c>
      <c r="N294" s="51" t="str">
        <f t="shared" si="44"/>
        <v/>
      </c>
      <c r="O294" s="51" t="str">
        <f t="shared" si="45"/>
        <v/>
      </c>
      <c r="P294" s="51" t="str">
        <f t="shared" si="46"/>
        <v/>
      </c>
      <c r="Q294" s="52">
        <f t="shared" si="47"/>
        <v>0</v>
      </c>
      <c r="R294" s="51">
        <f t="shared" si="48"/>
        <v>2</v>
      </c>
      <c r="S294" s="51">
        <f t="shared" si="49"/>
        <v>0</v>
      </c>
      <c r="T294" s="51">
        <f t="shared" si="50"/>
        <v>0</v>
      </c>
      <c r="U294" s="52">
        <f t="shared" si="51"/>
        <v>2</v>
      </c>
      <c r="V294" s="52">
        <f t="shared" si="54"/>
        <v>0</v>
      </c>
      <c r="W294" s="52" t="str" cm="1">
        <f t="array" ref="W294">_xlfn.IFS(B294="","",AND(G294&gt;=0,L294&gt;0),"BuySome",AND(G294&gt;=0,K294="KMSignal"),"BuySome",AND(G294&lt;0,L294&gt;0),"BuyWatch",AND(Q294&lt;0,L294&gt;0),"BuyWatch",AND(G294&gt;=0,L294=0),"BuyWatch",L294&gt;0,"BuySome",TRUE,"")</f>
        <v/>
      </c>
      <c r="X294" s="47" t="str">
        <f>_xlfn.XLOOKUP(W294,Parm!$AN$2:$AN$25,Parm!$AO$2:$AO$25,"")</f>
        <v/>
      </c>
      <c r="Y294" s="52" t="str" cm="1">
        <f t="array" ref="Y294">_xlfn.IFS(B294="","",OR(Q294=-100,U294=-100),"SellAll",OR(Q294&lt;0,U294&lt;0),"SellSome",AND(Q294&gt;0,U294&gt;0),"BuySome",OR(Q294&gt;0,U294&gt;0),"BuyWatch",TRUE,"")</f>
        <v/>
      </c>
      <c r="Z294" s="47" t="str">
        <f>_xlfn.XLOOKUP(Y294,Parm!$AN$2:$AN$25,Parm!$AO$2:$AO$25,"")</f>
        <v/>
      </c>
      <c r="AA294" s="286">
        <f>IF(C294&lt;&gt;-100,A294,_xlfn.XLOOKUP(B294,ssH!L:L,ssH!M:M))</f>
        <v>46140</v>
      </c>
      <c r="AB294" s="49" t="str">
        <f t="shared" si="52"/>
        <v/>
      </c>
      <c r="AC294" s="52">
        <f>_xlfn.XLOOKUP(B294,TL!C:C,TL!C:C)</f>
        <v>0</v>
      </c>
      <c r="AD294" s="52">
        <f>_xlfn.XLOOKUP(B294,Y!C:C,Y!C:C)</f>
        <v>0</v>
      </c>
      <c r="AE294" s="52">
        <f>_xlfn.XLOOKUP(B294,MA!C:C,MA!C:C)</f>
        <v>0</v>
      </c>
    </row>
    <row r="295" spans="1:31" x14ac:dyDescent="0.25">
      <c r="A295" s="29">
        <f>ssH!$AG$1</f>
        <v>46140</v>
      </c>
      <c r="C295" s="47">
        <f t="shared" si="53"/>
        <v>0</v>
      </c>
      <c r="D295" s="42">
        <f>_xlfn.XLOOKUP(ssH!$AG$3&amp;B295,ssH!A:A,ssH!D:D,0)</f>
        <v>0</v>
      </c>
      <c r="E295" s="42">
        <f>_xlfn.XLOOKUP(ssH!$AG$5&amp;B295,ssH!A:A,ssH!D:D,0)</f>
        <v>0</v>
      </c>
      <c r="F295" s="42">
        <f>_xlfn.XLOOKUP(ssH!$AG$6&amp;B295,ssH!A:A,ssH!D:D,0)</f>
        <v>0</v>
      </c>
      <c r="G295" s="48">
        <f>_xlfn.XLOOKUP(A295&amp;B295,ssH!A:A,ssH!F:F,-100%)</f>
        <v>-1</v>
      </c>
      <c r="H295" s="46">
        <f>_xlfn.XLOOKUP(ssH!$AG$3&amp;B295,ssH!A:A,ssH!F:F,0)</f>
        <v>0</v>
      </c>
      <c r="I295" s="46">
        <f>_xlfn.XLOOKUP(ssH!$AG$5&amp;B295,ssH!A:A,ssH!F:F,0)</f>
        <v>0</v>
      </c>
      <c r="J295" s="46">
        <f>_xlfn.XLOOKUP(ssH!$AG$6&amp;B295,ssH!A:A,ssH!F:F,0)</f>
        <v>0</v>
      </c>
      <c r="K295" s="46">
        <f>_xlfn.XLOOKUP(B295,ssL!C:C,ssL!G:G,"Removed")</f>
        <v>0</v>
      </c>
      <c r="L295" s="27">
        <f>_xlfn.XLOOKUP(A295&amp;B295,ssH!A:A,ssH!D:D,0)</f>
        <v>0</v>
      </c>
      <c r="M295" s="42" t="str">
        <f>_xlfn.XLOOKUP(A295&amp;B295,ssH!A:A,ssH!I:I,"")</f>
        <v/>
      </c>
      <c r="N295" s="51" t="str">
        <f t="shared" si="44"/>
        <v/>
      </c>
      <c r="O295" s="51" t="str">
        <f t="shared" si="45"/>
        <v/>
      </c>
      <c r="P295" s="51" t="str">
        <f t="shared" si="46"/>
        <v/>
      </c>
      <c r="Q295" s="52">
        <f t="shared" si="47"/>
        <v>0</v>
      </c>
      <c r="R295" s="51">
        <f t="shared" si="48"/>
        <v>2</v>
      </c>
      <c r="S295" s="51">
        <f t="shared" si="49"/>
        <v>0</v>
      </c>
      <c r="T295" s="51">
        <f t="shared" si="50"/>
        <v>0</v>
      </c>
      <c r="U295" s="52">
        <f t="shared" si="51"/>
        <v>2</v>
      </c>
      <c r="V295" s="52">
        <f t="shared" si="54"/>
        <v>0</v>
      </c>
      <c r="W295" s="52" t="str" cm="1">
        <f t="array" ref="W295">_xlfn.IFS(B295="","",AND(G295&gt;=0,L295&gt;0),"BuySome",AND(G295&gt;=0,K295="KMSignal"),"BuySome",AND(G295&lt;0,L295&gt;0),"BuyWatch",AND(Q295&lt;0,L295&gt;0),"BuyWatch",AND(G295&gt;=0,L295=0),"BuyWatch",L295&gt;0,"BuySome",TRUE,"")</f>
        <v/>
      </c>
      <c r="X295" s="47" t="str">
        <f>_xlfn.XLOOKUP(W295,Parm!$AN$2:$AN$25,Parm!$AO$2:$AO$25,"")</f>
        <v/>
      </c>
      <c r="Y295" s="52" t="str" cm="1">
        <f t="array" ref="Y295">_xlfn.IFS(B295="","",OR(Q295=-100,U295=-100),"SellAll",OR(Q295&lt;0,U295&lt;0),"SellSome",AND(Q295&gt;0,U295&gt;0),"BuySome",OR(Q295&gt;0,U295&gt;0),"BuyWatch",TRUE,"")</f>
        <v/>
      </c>
      <c r="Z295" s="47" t="str">
        <f>_xlfn.XLOOKUP(Y295,Parm!$AN$2:$AN$25,Parm!$AO$2:$AO$25,"")</f>
        <v/>
      </c>
      <c r="AA295" s="286">
        <f>IF(C295&lt;&gt;-100,A295,_xlfn.XLOOKUP(B295,ssH!L:L,ssH!M:M))</f>
        <v>46140</v>
      </c>
      <c r="AB295" s="49" t="str">
        <f t="shared" si="52"/>
        <v/>
      </c>
      <c r="AC295" s="52">
        <f>_xlfn.XLOOKUP(B295,TL!C:C,TL!C:C)</f>
        <v>0</v>
      </c>
      <c r="AD295" s="52">
        <f>_xlfn.XLOOKUP(B295,Y!C:C,Y!C:C)</f>
        <v>0</v>
      </c>
      <c r="AE295" s="52">
        <f>_xlfn.XLOOKUP(B295,MA!C:C,MA!C:C)</f>
        <v>0</v>
      </c>
    </row>
    <row r="296" spans="1:31" x14ac:dyDescent="0.25">
      <c r="A296" s="29">
        <f>ssH!$AG$1</f>
        <v>46140</v>
      </c>
      <c r="C296" s="47">
        <f t="shared" si="53"/>
        <v>0</v>
      </c>
      <c r="D296" s="42">
        <f>_xlfn.XLOOKUP(ssH!$AG$3&amp;B296,ssH!A:A,ssH!D:D,0)</f>
        <v>0</v>
      </c>
      <c r="E296" s="42">
        <f>_xlfn.XLOOKUP(ssH!$AG$5&amp;B296,ssH!A:A,ssH!D:D,0)</f>
        <v>0</v>
      </c>
      <c r="F296" s="42">
        <f>_xlfn.XLOOKUP(ssH!$AG$6&amp;B296,ssH!A:A,ssH!D:D,0)</f>
        <v>0</v>
      </c>
      <c r="G296" s="48">
        <f>_xlfn.XLOOKUP(A296&amp;B296,ssH!A:A,ssH!F:F,-100%)</f>
        <v>-1</v>
      </c>
      <c r="H296" s="46">
        <f>_xlfn.XLOOKUP(ssH!$AG$3&amp;B296,ssH!A:A,ssH!F:F,0)</f>
        <v>0</v>
      </c>
      <c r="I296" s="46">
        <f>_xlfn.XLOOKUP(ssH!$AG$5&amp;B296,ssH!A:A,ssH!F:F,0)</f>
        <v>0</v>
      </c>
      <c r="J296" s="46">
        <f>_xlfn.XLOOKUP(ssH!$AG$6&amp;B296,ssH!A:A,ssH!F:F,0)</f>
        <v>0</v>
      </c>
      <c r="K296" s="46">
        <f>_xlfn.XLOOKUP(B296,ssL!C:C,ssL!G:G,"Removed")</f>
        <v>0</v>
      </c>
      <c r="L296" s="27">
        <f>_xlfn.XLOOKUP(A296&amp;B296,ssH!A:A,ssH!D:D,0)</f>
        <v>0</v>
      </c>
      <c r="M296" s="42" t="str">
        <f>_xlfn.XLOOKUP(A296&amp;B296,ssH!A:A,ssH!I:I,"")</f>
        <v/>
      </c>
      <c r="N296" s="51" t="str">
        <f t="shared" si="44"/>
        <v/>
      </c>
      <c r="O296" s="51" t="str">
        <f t="shared" si="45"/>
        <v/>
      </c>
      <c r="P296" s="51" t="str">
        <f t="shared" si="46"/>
        <v/>
      </c>
      <c r="Q296" s="52">
        <f t="shared" si="47"/>
        <v>0</v>
      </c>
      <c r="R296" s="51">
        <f t="shared" si="48"/>
        <v>2</v>
      </c>
      <c r="S296" s="51">
        <f t="shared" si="49"/>
        <v>0</v>
      </c>
      <c r="T296" s="51">
        <f t="shared" si="50"/>
        <v>0</v>
      </c>
      <c r="U296" s="52">
        <f t="shared" si="51"/>
        <v>2</v>
      </c>
      <c r="V296" s="52">
        <f t="shared" si="54"/>
        <v>0</v>
      </c>
      <c r="W296" s="52" t="str" cm="1">
        <f t="array" ref="W296">_xlfn.IFS(B296="","",AND(G296&gt;=0,L296&gt;0),"BuySome",AND(G296&gt;=0,K296="KMSignal"),"BuySome",AND(G296&lt;0,L296&gt;0),"BuyWatch",AND(Q296&lt;0,L296&gt;0),"BuyWatch",AND(G296&gt;=0,L296=0),"BuyWatch",L296&gt;0,"BuySome",TRUE,"")</f>
        <v/>
      </c>
      <c r="X296" s="47" t="str">
        <f>_xlfn.XLOOKUP(W296,Parm!$AN$2:$AN$25,Parm!$AO$2:$AO$25,"")</f>
        <v/>
      </c>
      <c r="Y296" s="52" t="str" cm="1">
        <f t="array" ref="Y296">_xlfn.IFS(B296="","",OR(Q296=-100,U296=-100),"SellAll",OR(Q296&lt;0,U296&lt;0),"SellSome",AND(Q296&gt;0,U296&gt;0),"BuySome",OR(Q296&gt;0,U296&gt;0),"BuyWatch",TRUE,"")</f>
        <v/>
      </c>
      <c r="Z296" s="47" t="str">
        <f>_xlfn.XLOOKUP(Y296,Parm!$AN$2:$AN$25,Parm!$AO$2:$AO$25,"")</f>
        <v/>
      </c>
      <c r="AA296" s="286">
        <f>IF(C296&lt;&gt;-100,A296,_xlfn.XLOOKUP(B296,ssH!L:L,ssH!M:M))</f>
        <v>46140</v>
      </c>
      <c r="AB296" s="49" t="str">
        <f t="shared" si="52"/>
        <v/>
      </c>
      <c r="AC296" s="52">
        <f>_xlfn.XLOOKUP(B296,TL!C:C,TL!C:C)</f>
        <v>0</v>
      </c>
      <c r="AD296" s="52">
        <f>_xlfn.XLOOKUP(B296,Y!C:C,Y!C:C)</f>
        <v>0</v>
      </c>
      <c r="AE296" s="52">
        <f>_xlfn.XLOOKUP(B296,MA!C:C,MA!C:C)</f>
        <v>0</v>
      </c>
    </row>
    <row r="297" spans="1:31" x14ac:dyDescent="0.25">
      <c r="A297" s="29">
        <f>ssH!$AG$1</f>
        <v>46140</v>
      </c>
      <c r="C297" s="47">
        <f t="shared" si="53"/>
        <v>0</v>
      </c>
      <c r="D297" s="42">
        <f>_xlfn.XLOOKUP(ssH!$AG$3&amp;B297,ssH!A:A,ssH!D:D,0)</f>
        <v>0</v>
      </c>
      <c r="E297" s="42">
        <f>_xlfn.XLOOKUP(ssH!$AG$5&amp;B297,ssH!A:A,ssH!D:D,0)</f>
        <v>0</v>
      </c>
      <c r="F297" s="42">
        <f>_xlfn.XLOOKUP(ssH!$AG$6&amp;B297,ssH!A:A,ssH!D:D,0)</f>
        <v>0</v>
      </c>
      <c r="G297" s="48">
        <f>_xlfn.XLOOKUP(A297&amp;B297,ssH!A:A,ssH!F:F,-100%)</f>
        <v>-1</v>
      </c>
      <c r="H297" s="46">
        <f>_xlfn.XLOOKUP(ssH!$AG$3&amp;B297,ssH!A:A,ssH!F:F,0)</f>
        <v>0</v>
      </c>
      <c r="I297" s="46">
        <f>_xlfn.XLOOKUP(ssH!$AG$5&amp;B297,ssH!A:A,ssH!F:F,0)</f>
        <v>0</v>
      </c>
      <c r="J297" s="46">
        <f>_xlfn.XLOOKUP(ssH!$AG$6&amp;B297,ssH!A:A,ssH!F:F,0)</f>
        <v>0</v>
      </c>
      <c r="K297" s="46">
        <f>_xlfn.XLOOKUP(B297,ssL!C:C,ssL!G:G,"Removed")</f>
        <v>0</v>
      </c>
      <c r="L297" s="27">
        <f>_xlfn.XLOOKUP(A297&amp;B297,ssH!A:A,ssH!D:D,0)</f>
        <v>0</v>
      </c>
      <c r="M297" s="42" t="str">
        <f>_xlfn.XLOOKUP(A297&amp;B297,ssH!A:A,ssH!I:I,"")</f>
        <v/>
      </c>
      <c r="N297" s="51" t="str">
        <f t="shared" si="44"/>
        <v/>
      </c>
      <c r="O297" s="51" t="str">
        <f t="shared" si="45"/>
        <v/>
      </c>
      <c r="P297" s="51" t="str">
        <f t="shared" si="46"/>
        <v/>
      </c>
      <c r="Q297" s="52">
        <f t="shared" si="47"/>
        <v>0</v>
      </c>
      <c r="R297" s="51">
        <f t="shared" si="48"/>
        <v>2</v>
      </c>
      <c r="S297" s="51">
        <f t="shared" si="49"/>
        <v>0</v>
      </c>
      <c r="T297" s="51">
        <f t="shared" si="50"/>
        <v>0</v>
      </c>
      <c r="U297" s="52">
        <f t="shared" si="51"/>
        <v>2</v>
      </c>
      <c r="V297" s="52">
        <f t="shared" si="54"/>
        <v>0</v>
      </c>
      <c r="W297" s="52" t="str" cm="1">
        <f t="array" ref="W297">_xlfn.IFS(B297="","",AND(G297&gt;=0,L297&gt;0),"BuySome",AND(G297&gt;=0,K297="KMSignal"),"BuySome",AND(G297&lt;0,L297&gt;0),"BuyWatch",AND(Q297&lt;0,L297&gt;0),"BuyWatch",AND(G297&gt;=0,L297=0),"BuyWatch",L297&gt;0,"BuySome",TRUE,"")</f>
        <v/>
      </c>
      <c r="X297" s="47" t="str">
        <f>_xlfn.XLOOKUP(W297,Parm!$AN$2:$AN$25,Parm!$AO$2:$AO$25,"")</f>
        <v/>
      </c>
      <c r="Y297" s="52" t="str" cm="1">
        <f t="array" ref="Y297">_xlfn.IFS(B297="","",OR(Q297=-100,U297=-100),"SellAll",OR(Q297&lt;0,U297&lt;0),"SellSome",AND(Q297&gt;0,U297&gt;0),"BuySome",OR(Q297&gt;0,U297&gt;0),"BuyWatch",TRUE,"")</f>
        <v/>
      </c>
      <c r="Z297" s="47" t="str">
        <f>_xlfn.XLOOKUP(Y297,Parm!$AN$2:$AN$25,Parm!$AO$2:$AO$25,"")</f>
        <v/>
      </c>
      <c r="AA297" s="286">
        <f>IF(C297&lt;&gt;-100,A297,_xlfn.XLOOKUP(B297,ssH!L:L,ssH!M:M))</f>
        <v>46140</v>
      </c>
      <c r="AB297" s="49" t="str">
        <f t="shared" si="52"/>
        <v/>
      </c>
      <c r="AC297" s="52">
        <f>_xlfn.XLOOKUP(B297,TL!C:C,TL!C:C)</f>
        <v>0</v>
      </c>
      <c r="AD297" s="52">
        <f>_xlfn.XLOOKUP(B297,Y!C:C,Y!C:C)</f>
        <v>0</v>
      </c>
      <c r="AE297" s="52">
        <f>_xlfn.XLOOKUP(B297,MA!C:C,MA!C:C)</f>
        <v>0</v>
      </c>
    </row>
    <row r="298" spans="1:31" x14ac:dyDescent="0.25">
      <c r="A298" s="29">
        <f>ssH!$AG$1</f>
        <v>46140</v>
      </c>
      <c r="C298" s="47">
        <f t="shared" si="53"/>
        <v>0</v>
      </c>
      <c r="D298" s="42">
        <f>_xlfn.XLOOKUP(ssH!$AG$3&amp;B298,ssH!A:A,ssH!D:D,0)</f>
        <v>0</v>
      </c>
      <c r="E298" s="42">
        <f>_xlfn.XLOOKUP(ssH!$AG$5&amp;B298,ssH!A:A,ssH!D:D,0)</f>
        <v>0</v>
      </c>
      <c r="F298" s="42">
        <f>_xlfn.XLOOKUP(ssH!$AG$6&amp;B298,ssH!A:A,ssH!D:D,0)</f>
        <v>0</v>
      </c>
      <c r="G298" s="48">
        <f>_xlfn.XLOOKUP(A298&amp;B298,ssH!A:A,ssH!F:F,-100%)</f>
        <v>-1</v>
      </c>
      <c r="H298" s="46">
        <f>_xlfn.XLOOKUP(ssH!$AG$3&amp;B298,ssH!A:A,ssH!F:F,0)</f>
        <v>0</v>
      </c>
      <c r="I298" s="46">
        <f>_xlfn.XLOOKUP(ssH!$AG$5&amp;B298,ssH!A:A,ssH!F:F,0)</f>
        <v>0</v>
      </c>
      <c r="J298" s="46">
        <f>_xlfn.XLOOKUP(ssH!$AG$6&amp;B298,ssH!A:A,ssH!F:F,0)</f>
        <v>0</v>
      </c>
      <c r="K298" s="46">
        <f>_xlfn.XLOOKUP(B298,ssL!C:C,ssL!G:G,"Removed")</f>
        <v>0</v>
      </c>
      <c r="L298" s="27">
        <f>_xlfn.XLOOKUP(A298&amp;B298,ssH!A:A,ssH!D:D,0)</f>
        <v>0</v>
      </c>
      <c r="M298" s="42" t="str">
        <f>_xlfn.XLOOKUP(A298&amp;B298,ssH!A:A,ssH!I:I,"")</f>
        <v/>
      </c>
      <c r="N298" s="51" t="str">
        <f t="shared" si="44"/>
        <v/>
      </c>
      <c r="O298" s="51" t="str">
        <f t="shared" si="45"/>
        <v/>
      </c>
      <c r="P298" s="51" t="str">
        <f t="shared" si="46"/>
        <v/>
      </c>
      <c r="Q298" s="52">
        <f t="shared" si="47"/>
        <v>0</v>
      </c>
      <c r="R298" s="51">
        <f t="shared" si="48"/>
        <v>2</v>
      </c>
      <c r="S298" s="51">
        <f t="shared" si="49"/>
        <v>0</v>
      </c>
      <c r="T298" s="51">
        <f t="shared" si="50"/>
        <v>0</v>
      </c>
      <c r="U298" s="52">
        <f t="shared" si="51"/>
        <v>2</v>
      </c>
      <c r="V298" s="52">
        <f t="shared" si="54"/>
        <v>0</v>
      </c>
      <c r="W298" s="52" t="str" cm="1">
        <f t="array" ref="W298">_xlfn.IFS(B298="","",AND(G298&gt;=0,L298&gt;0),"BuySome",AND(G298&gt;=0,K298="KMSignal"),"BuySome",AND(G298&lt;0,L298&gt;0),"BuyWatch",AND(Q298&lt;0,L298&gt;0),"BuyWatch",AND(G298&gt;=0,L298=0),"BuyWatch",L298&gt;0,"BuySome",TRUE,"")</f>
        <v/>
      </c>
      <c r="X298" s="47" t="str">
        <f>_xlfn.XLOOKUP(W298,Parm!$AN$2:$AN$25,Parm!$AO$2:$AO$25,"")</f>
        <v/>
      </c>
      <c r="Y298" s="52" t="str" cm="1">
        <f t="array" ref="Y298">_xlfn.IFS(B298="","",OR(Q298=-100,U298=-100),"SellAll",OR(Q298&lt;0,U298&lt;0),"SellSome",AND(Q298&gt;0,U298&gt;0),"BuySome",OR(Q298&gt;0,U298&gt;0),"BuyWatch",TRUE,"")</f>
        <v/>
      </c>
      <c r="Z298" s="47" t="str">
        <f>_xlfn.XLOOKUP(Y298,Parm!$AN$2:$AN$25,Parm!$AO$2:$AO$25,"")</f>
        <v/>
      </c>
      <c r="AA298" s="286">
        <f>IF(C298&lt;&gt;-100,A298,_xlfn.XLOOKUP(B298,ssH!L:L,ssH!M:M))</f>
        <v>46140</v>
      </c>
      <c r="AB298" s="49" t="str">
        <f t="shared" si="52"/>
        <v/>
      </c>
      <c r="AC298" s="52">
        <f>_xlfn.XLOOKUP(B298,TL!C:C,TL!C:C)</f>
        <v>0</v>
      </c>
      <c r="AD298" s="52">
        <f>_xlfn.XLOOKUP(B298,Y!C:C,Y!C:C)</f>
        <v>0</v>
      </c>
      <c r="AE298" s="52">
        <f>_xlfn.XLOOKUP(B298,MA!C:C,MA!C:C)</f>
        <v>0</v>
      </c>
    </row>
    <row r="299" spans="1:31" x14ac:dyDescent="0.25">
      <c r="A299" s="29">
        <f>ssH!$AG$1</f>
        <v>46140</v>
      </c>
      <c r="C299" s="47">
        <f t="shared" si="53"/>
        <v>0</v>
      </c>
      <c r="D299" s="42">
        <f>_xlfn.XLOOKUP(ssH!$AG$3&amp;B299,ssH!A:A,ssH!D:D,0)</f>
        <v>0</v>
      </c>
      <c r="E299" s="42">
        <f>_xlfn.XLOOKUP(ssH!$AG$5&amp;B299,ssH!A:A,ssH!D:D,0)</f>
        <v>0</v>
      </c>
      <c r="F299" s="42">
        <f>_xlfn.XLOOKUP(ssH!$AG$6&amp;B299,ssH!A:A,ssH!D:D,0)</f>
        <v>0</v>
      </c>
      <c r="G299" s="48">
        <f>_xlfn.XLOOKUP(A299&amp;B299,ssH!A:A,ssH!F:F,-100%)</f>
        <v>-1</v>
      </c>
      <c r="H299" s="46">
        <f>_xlfn.XLOOKUP(ssH!$AG$3&amp;B299,ssH!A:A,ssH!F:F,0)</f>
        <v>0</v>
      </c>
      <c r="I299" s="46">
        <f>_xlfn.XLOOKUP(ssH!$AG$5&amp;B299,ssH!A:A,ssH!F:F,0)</f>
        <v>0</v>
      </c>
      <c r="J299" s="46">
        <f>_xlfn.XLOOKUP(ssH!$AG$6&amp;B299,ssH!A:A,ssH!F:F,0)</f>
        <v>0</v>
      </c>
      <c r="K299" s="46">
        <f>_xlfn.XLOOKUP(B299,ssL!C:C,ssL!G:G,"Removed")</f>
        <v>0</v>
      </c>
      <c r="L299" s="27">
        <f>_xlfn.XLOOKUP(A299&amp;B299,ssH!A:A,ssH!D:D,0)</f>
        <v>0</v>
      </c>
      <c r="M299" s="42" t="str">
        <f>_xlfn.XLOOKUP(A299&amp;B299,ssH!A:A,ssH!I:I,"")</f>
        <v/>
      </c>
      <c r="N299" s="51" t="str">
        <f t="shared" si="44"/>
        <v/>
      </c>
      <c r="O299" s="51" t="str">
        <f t="shared" si="45"/>
        <v/>
      </c>
      <c r="P299" s="51" t="str">
        <f t="shared" si="46"/>
        <v/>
      </c>
      <c r="Q299" s="52">
        <f t="shared" si="47"/>
        <v>0</v>
      </c>
      <c r="R299" s="51">
        <f t="shared" si="48"/>
        <v>2</v>
      </c>
      <c r="S299" s="51">
        <f t="shared" si="49"/>
        <v>0</v>
      </c>
      <c r="T299" s="51">
        <f t="shared" si="50"/>
        <v>0</v>
      </c>
      <c r="U299" s="52">
        <f t="shared" si="51"/>
        <v>2</v>
      </c>
      <c r="V299" s="52">
        <f t="shared" si="54"/>
        <v>0</v>
      </c>
      <c r="W299" s="52" t="str" cm="1">
        <f t="array" ref="W299">_xlfn.IFS(B299="","",AND(G299&gt;=0,L299&gt;0),"BuySome",AND(G299&gt;=0,K299="KMSignal"),"BuySome",AND(G299&lt;0,L299&gt;0),"BuyWatch",AND(Q299&lt;0,L299&gt;0),"BuyWatch",AND(G299&gt;=0,L299=0),"BuyWatch",L299&gt;0,"BuySome",TRUE,"")</f>
        <v/>
      </c>
      <c r="X299" s="47" t="str">
        <f>_xlfn.XLOOKUP(W299,Parm!$AN$2:$AN$25,Parm!$AO$2:$AO$25,"")</f>
        <v/>
      </c>
      <c r="Y299" s="52" t="str" cm="1">
        <f t="array" ref="Y299">_xlfn.IFS(B299="","",OR(Q299=-100,U299=-100),"SellAll",OR(Q299&lt;0,U299&lt;0),"SellSome",AND(Q299&gt;0,U299&gt;0),"BuySome",OR(Q299&gt;0,U299&gt;0),"BuyWatch",TRUE,"")</f>
        <v/>
      </c>
      <c r="Z299" s="47" t="str">
        <f>_xlfn.XLOOKUP(Y299,Parm!$AN$2:$AN$25,Parm!$AO$2:$AO$25,"")</f>
        <v/>
      </c>
      <c r="AA299" s="286">
        <f>IF(C299&lt;&gt;-100,A299,_xlfn.XLOOKUP(B299,ssH!L:L,ssH!M:M))</f>
        <v>46140</v>
      </c>
      <c r="AB299" s="49" t="str">
        <f t="shared" si="52"/>
        <v/>
      </c>
      <c r="AC299" s="52">
        <f>_xlfn.XLOOKUP(B299,TL!C:C,TL!C:C)</f>
        <v>0</v>
      </c>
      <c r="AD299" s="52">
        <f>_xlfn.XLOOKUP(B299,Y!C:C,Y!C:C)</f>
        <v>0</v>
      </c>
      <c r="AE299" s="52">
        <f>_xlfn.XLOOKUP(B299,MA!C:C,MA!C:C)</f>
        <v>0</v>
      </c>
    </row>
    <row r="300" spans="1:31" x14ac:dyDescent="0.25">
      <c r="A300" s="29">
        <f>ssH!$AG$1</f>
        <v>46140</v>
      </c>
      <c r="C300" s="47">
        <f t="shared" si="53"/>
        <v>0</v>
      </c>
      <c r="D300" s="42">
        <f>_xlfn.XLOOKUP(ssH!$AG$3&amp;B300,ssH!A:A,ssH!D:D,0)</f>
        <v>0</v>
      </c>
      <c r="E300" s="42">
        <f>_xlfn.XLOOKUP(ssH!$AG$5&amp;B300,ssH!A:A,ssH!D:D,0)</f>
        <v>0</v>
      </c>
      <c r="F300" s="42">
        <f>_xlfn.XLOOKUP(ssH!$AG$6&amp;B300,ssH!A:A,ssH!D:D,0)</f>
        <v>0</v>
      </c>
      <c r="G300" s="48">
        <f>_xlfn.XLOOKUP(A300&amp;B300,ssH!A:A,ssH!F:F,-100%)</f>
        <v>-1</v>
      </c>
      <c r="H300" s="46">
        <f>_xlfn.XLOOKUP(ssH!$AG$3&amp;B300,ssH!A:A,ssH!F:F,0)</f>
        <v>0</v>
      </c>
      <c r="I300" s="46">
        <f>_xlfn.XLOOKUP(ssH!$AG$5&amp;B300,ssH!A:A,ssH!F:F,0)</f>
        <v>0</v>
      </c>
      <c r="J300" s="46">
        <f>_xlfn.XLOOKUP(ssH!$AG$6&amp;B300,ssH!A:A,ssH!F:F,0)</f>
        <v>0</v>
      </c>
      <c r="K300" s="46">
        <f>_xlfn.XLOOKUP(B300,ssL!C:C,ssL!G:G,"Removed")</f>
        <v>0</v>
      </c>
      <c r="L300" s="27">
        <f>_xlfn.XLOOKUP(A300&amp;B300,ssH!A:A,ssH!D:D,0)</f>
        <v>0</v>
      </c>
      <c r="M300" s="42" t="str">
        <f>_xlfn.XLOOKUP(A300&amp;B300,ssH!A:A,ssH!I:I,"")</f>
        <v/>
      </c>
      <c r="N300" s="51" t="str">
        <f t="shared" si="44"/>
        <v/>
      </c>
      <c r="O300" s="51" t="str">
        <f t="shared" si="45"/>
        <v/>
      </c>
      <c r="P300" s="51" t="str">
        <f t="shared" si="46"/>
        <v/>
      </c>
      <c r="Q300" s="52">
        <f t="shared" si="47"/>
        <v>0</v>
      </c>
      <c r="R300" s="51">
        <f t="shared" si="48"/>
        <v>2</v>
      </c>
      <c r="S300" s="51">
        <f t="shared" si="49"/>
        <v>0</v>
      </c>
      <c r="T300" s="51">
        <f t="shared" si="50"/>
        <v>0</v>
      </c>
      <c r="U300" s="52">
        <f t="shared" si="51"/>
        <v>2</v>
      </c>
      <c r="V300" s="52">
        <f t="shared" si="54"/>
        <v>0</v>
      </c>
      <c r="W300" s="52" t="str" cm="1">
        <f t="array" ref="W300">_xlfn.IFS(B300="","",AND(G300&gt;=0,L300&gt;0),"BuySome",AND(G300&gt;=0,K300="KMSignal"),"BuySome",AND(G300&lt;0,L300&gt;0),"BuyWatch",AND(Q300&lt;0,L300&gt;0),"BuyWatch",AND(G300&gt;=0,L300=0),"BuyWatch",L300&gt;0,"BuySome",TRUE,"")</f>
        <v/>
      </c>
      <c r="X300" s="47" t="str">
        <f>_xlfn.XLOOKUP(W300,Parm!$AN$2:$AN$25,Parm!$AO$2:$AO$25,"")</f>
        <v/>
      </c>
      <c r="Y300" s="52" t="str" cm="1">
        <f t="array" ref="Y300">_xlfn.IFS(B300="","",OR(Q300=-100,U300=-100),"SellAll",OR(Q300&lt;0,U300&lt;0),"SellSome",AND(Q300&gt;0,U300&gt;0),"BuySome",OR(Q300&gt;0,U300&gt;0),"BuyWatch",TRUE,"")</f>
        <v/>
      </c>
      <c r="Z300" s="47" t="str">
        <f>_xlfn.XLOOKUP(Y300,Parm!$AN$2:$AN$25,Parm!$AO$2:$AO$25,"")</f>
        <v/>
      </c>
      <c r="AA300" s="286">
        <f>IF(C300&lt;&gt;-100,A300,_xlfn.XLOOKUP(B300,ssH!L:L,ssH!M:M))</f>
        <v>46140</v>
      </c>
      <c r="AB300" s="49" t="str">
        <f t="shared" si="52"/>
        <v/>
      </c>
      <c r="AC300" s="52">
        <f>_xlfn.XLOOKUP(B300,TL!C:C,TL!C:C)</f>
        <v>0</v>
      </c>
      <c r="AD300" s="52">
        <f>_xlfn.XLOOKUP(B300,Y!C:C,Y!C:C)</f>
        <v>0</v>
      </c>
      <c r="AE300" s="52">
        <f>_xlfn.XLOOKUP(B300,MA!C:C,MA!C:C)</f>
        <v>0</v>
      </c>
    </row>
  </sheetData>
  <autoFilter ref="A1:AE300" xr:uid="{44ECC7E9-10EA-4B89-B9A6-E9B41BE26B52}"/>
  <customSheetViews>
    <customSheetView guid="{52D1722A-E00E-455D-B18E-AA205BA79E79}" showAutoFilter="1">
      <selection activeCell="A2" sqref="A2:A56"/>
      <pageMargins left="0.7" right="0.7" top="0.75" bottom="0.75" header="0.3" footer="0.3"/>
      <pageSetup orientation="portrait" r:id="rId1"/>
      <autoFilter ref="A1:AB56" xr:uid="{28A22639-B83D-4990-B0D8-E759EAF24194}"/>
    </customSheetView>
  </customSheetViews>
  <pageMargins left="0.7" right="0.7" top="0.75" bottom="0.75" header="0.3" footer="0.3"/>
  <pageSetup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F635F-1854-49E5-BF05-93163122E16A}">
  <sheetPr codeName="Sheet23"/>
  <dimension ref="A1:CN84"/>
  <sheetViews>
    <sheetView topLeftCell="BE13" zoomScale="80" zoomScaleNormal="80" workbookViewId="0">
      <selection activeCell="BT28" sqref="BT28"/>
    </sheetView>
  </sheetViews>
  <sheetFormatPr defaultRowHeight="12.75" x14ac:dyDescent="0.2"/>
  <cols>
    <col min="1" max="1" width="5.7109375" style="79" customWidth="1"/>
    <col min="2" max="2" width="20.7109375" style="79" customWidth="1"/>
    <col min="3" max="3" width="5.85546875" style="79" customWidth="1"/>
    <col min="4" max="6" width="6.140625" style="79" customWidth="1"/>
    <col min="7" max="7" width="16.42578125" style="79" customWidth="1"/>
    <col min="8" max="9" width="6.140625" style="79" customWidth="1"/>
    <col min="10" max="10" width="9.140625" style="79"/>
    <col min="11" max="11" width="6.7109375" style="79" bestFit="1" customWidth="1"/>
    <col min="12" max="12" width="19" style="79" customWidth="1"/>
    <col min="13" max="14" width="5" style="79" bestFit="1" customWidth="1"/>
    <col min="15" max="15" width="9.140625" style="79"/>
    <col min="16" max="16" width="4.85546875" style="79" bestFit="1" customWidth="1"/>
    <col min="17" max="17" width="14.85546875" style="79" bestFit="1" customWidth="1"/>
    <col min="18" max="18" width="5" style="79" bestFit="1" customWidth="1"/>
    <col min="19" max="19" width="5.85546875" style="79" bestFit="1" customWidth="1"/>
    <col min="20" max="25" width="9.140625" style="79"/>
    <col min="26" max="26" width="4.85546875" style="79" bestFit="1" customWidth="1"/>
    <col min="27" max="27" width="19.28515625" style="79" bestFit="1" customWidth="1"/>
    <col min="28" max="28" width="9.140625" style="79"/>
    <col min="29" max="29" width="10" style="79" bestFit="1" customWidth="1"/>
    <col min="30" max="30" width="11.140625" style="79" bestFit="1" customWidth="1"/>
    <col min="31" max="31" width="9.140625" style="79"/>
    <col min="32" max="32" width="12.5703125" style="79" bestFit="1" customWidth="1"/>
    <col min="33" max="33" width="5.28515625" style="85" bestFit="1" customWidth="1"/>
    <col min="34" max="34" width="6.42578125" style="85" bestFit="1" customWidth="1"/>
    <col min="35" max="35" width="6.28515625" style="85" bestFit="1" customWidth="1"/>
    <col min="36" max="36" width="8.7109375" style="85" bestFit="1" customWidth="1"/>
    <col min="37" max="37" width="7.42578125" style="85" bestFit="1" customWidth="1"/>
    <col min="38" max="38" width="5.85546875" style="85" customWidth="1"/>
    <col min="39" max="39" width="6" style="79" customWidth="1"/>
    <col min="40" max="40" width="13.5703125" style="79" customWidth="1"/>
    <col min="41" max="41" width="4.7109375" style="79" customWidth="1"/>
    <col min="42" max="42" width="15.28515625" style="79" customWidth="1"/>
    <col min="43" max="45" width="6.42578125" style="79" customWidth="1"/>
    <col min="46" max="46" width="5.85546875" style="79" customWidth="1"/>
    <col min="47" max="47" width="12" style="79" customWidth="1"/>
    <col min="48" max="48" width="7.85546875" style="79" customWidth="1"/>
    <col min="49" max="49" width="9.140625" style="79"/>
    <col min="50" max="50" width="5.140625" style="79" customWidth="1"/>
    <col min="51" max="51" width="4.7109375" style="79" customWidth="1"/>
    <col min="52" max="52" width="5.85546875" style="79" customWidth="1"/>
    <col min="53" max="53" width="9.140625" style="79"/>
    <col min="54" max="54" width="12" style="79" customWidth="1"/>
    <col min="55" max="55" width="10.42578125" style="79" customWidth="1"/>
    <col min="56" max="56" width="9.140625" style="79"/>
    <col min="57" max="57" width="10.42578125" style="79" customWidth="1"/>
    <col min="58" max="58" width="6.140625" style="79" bestFit="1" customWidth="1"/>
    <col min="59" max="59" width="9.140625" style="79"/>
    <col min="60" max="60" width="10.42578125" style="79" customWidth="1"/>
    <col min="61" max="61" width="6.140625" style="79" bestFit="1" customWidth="1"/>
    <col min="62" max="64" width="9.140625" style="79"/>
    <col min="65" max="65" width="9.140625" style="94"/>
    <col min="66" max="66" width="9.140625" style="79"/>
    <col min="67" max="67" width="13.140625" style="79" customWidth="1"/>
    <col min="68" max="68" width="5.140625" style="79" customWidth="1"/>
    <col min="69" max="69" width="16.7109375" style="79" customWidth="1"/>
    <col min="70" max="71" width="9.140625" style="79"/>
    <col min="72" max="72" width="17.5703125" style="79" customWidth="1"/>
    <col min="73" max="73" width="6.85546875" style="79" customWidth="1"/>
    <col min="74" max="74" width="6.28515625" style="79" customWidth="1"/>
    <col min="75" max="76" width="18.85546875" style="79" customWidth="1"/>
    <col min="77" max="77" width="9.140625" style="79"/>
    <col min="78" max="78" width="30.5703125" style="79" customWidth="1"/>
    <col min="79" max="79" width="8.5703125" style="79" customWidth="1"/>
    <col min="80" max="80" width="14" style="79" customWidth="1"/>
    <col min="81" max="81" width="4.5703125" style="79" customWidth="1"/>
    <col min="82" max="82" width="4.85546875" style="79" customWidth="1"/>
    <col min="83" max="83" width="20.140625" style="79" customWidth="1"/>
    <col min="84" max="87" width="9.140625" style="79"/>
    <col min="88" max="88" width="24.5703125" style="79" customWidth="1"/>
    <col min="89" max="89" width="4.140625" style="79" customWidth="1"/>
    <col min="90" max="90" width="4.42578125" style="79" customWidth="1"/>
    <col min="91" max="91" width="5.7109375" style="79" customWidth="1"/>
    <col min="92" max="16384" width="9.140625" style="79"/>
  </cols>
  <sheetData>
    <row r="1" spans="1:92" x14ac:dyDescent="0.2">
      <c r="A1" s="95" t="s">
        <v>200</v>
      </c>
      <c r="B1" s="95" t="s">
        <v>1835</v>
      </c>
      <c r="C1" s="95" t="s">
        <v>41</v>
      </c>
      <c r="D1" s="95" t="s">
        <v>41</v>
      </c>
      <c r="F1" s="95" t="s">
        <v>200</v>
      </c>
      <c r="G1" s="95" t="s">
        <v>1835</v>
      </c>
      <c r="H1" s="95" t="s">
        <v>41</v>
      </c>
      <c r="I1" s="95" t="s">
        <v>41</v>
      </c>
      <c r="K1" s="78" t="s">
        <v>200</v>
      </c>
      <c r="L1" s="95" t="s">
        <v>1833</v>
      </c>
      <c r="M1" s="78" t="s">
        <v>41</v>
      </c>
      <c r="N1" s="78" t="s">
        <v>41</v>
      </c>
      <c r="P1" s="78" t="s">
        <v>200</v>
      </c>
      <c r="Q1" s="95" t="s">
        <v>1834</v>
      </c>
      <c r="R1" s="78" t="s">
        <v>41</v>
      </c>
      <c r="S1" s="78" t="s">
        <v>312</v>
      </c>
      <c r="U1" s="95" t="s">
        <v>200</v>
      </c>
      <c r="V1" s="95" t="s">
        <v>199</v>
      </c>
      <c r="W1" s="95" t="s">
        <v>41</v>
      </c>
      <c r="X1" s="95" t="s">
        <v>41</v>
      </c>
      <c r="Z1" s="78" t="s">
        <v>200</v>
      </c>
      <c r="AA1" s="78" t="s">
        <v>1048</v>
      </c>
      <c r="AC1" s="78" t="s">
        <v>1219</v>
      </c>
      <c r="AD1" s="78" t="s">
        <v>121</v>
      </c>
      <c r="AF1" s="80" t="s">
        <v>817</v>
      </c>
      <c r="AG1" s="81" t="s">
        <v>176</v>
      </c>
      <c r="AH1" s="81" t="s">
        <v>175</v>
      </c>
      <c r="AI1" s="81" t="s">
        <v>1217</v>
      </c>
      <c r="AJ1" s="81" t="s">
        <v>1218</v>
      </c>
      <c r="AK1" s="81" t="s">
        <v>1220</v>
      </c>
      <c r="AL1" s="121"/>
      <c r="AM1" s="95" t="s">
        <v>1871</v>
      </c>
      <c r="AN1" s="95" t="s">
        <v>1209</v>
      </c>
      <c r="AO1" s="95" t="s">
        <v>51</v>
      </c>
      <c r="AP1" s="95" t="s">
        <v>1209</v>
      </c>
      <c r="AQ1" s="95" t="s">
        <v>1891</v>
      </c>
      <c r="AR1" s="95" t="s">
        <v>3448</v>
      </c>
      <c r="AS1" s="95" t="s">
        <v>1447</v>
      </c>
      <c r="AU1" s="189" t="s">
        <v>1344</v>
      </c>
      <c r="AV1" s="82" t="s">
        <v>1345</v>
      </c>
      <c r="AX1" s="189" t="s">
        <v>1702</v>
      </c>
      <c r="AY1" s="255" t="s">
        <v>1701</v>
      </c>
      <c r="AZ1" s="255" t="s">
        <v>131</v>
      </c>
      <c r="BB1" s="189" t="s">
        <v>1683</v>
      </c>
      <c r="BC1" s="82" t="s">
        <v>1345</v>
      </c>
      <c r="BE1" s="78" t="s">
        <v>843</v>
      </c>
      <c r="BF1" s="78" t="s">
        <v>51</v>
      </c>
      <c r="BH1" s="95" t="s">
        <v>848</v>
      </c>
      <c r="BI1" s="78" t="s">
        <v>51</v>
      </c>
      <c r="BK1" s="95" t="s">
        <v>1285</v>
      </c>
      <c r="BL1" s="95" t="s">
        <v>1284</v>
      </c>
      <c r="BM1" s="96" t="s">
        <v>121</v>
      </c>
      <c r="BO1" s="95" t="s">
        <v>817</v>
      </c>
      <c r="BP1" s="95" t="s">
        <v>3215</v>
      </c>
      <c r="BQ1" s="95" t="s">
        <v>283</v>
      </c>
      <c r="BS1" s="95" t="s">
        <v>3420</v>
      </c>
      <c r="BT1" s="78" t="s">
        <v>3281</v>
      </c>
      <c r="BU1" s="78" t="s">
        <v>1811</v>
      </c>
      <c r="BV1" s="78"/>
      <c r="BW1" s="78"/>
      <c r="BX1" s="78"/>
      <c r="BZ1" s="95" t="s">
        <v>2002</v>
      </c>
      <c r="CA1" s="95" t="s">
        <v>121</v>
      </c>
      <c r="CC1" s="95" t="s">
        <v>2017</v>
      </c>
      <c r="CD1" s="95" t="s">
        <v>2018</v>
      </c>
      <c r="CE1" s="95" t="s">
        <v>2019</v>
      </c>
      <c r="CF1" s="95" t="s">
        <v>254</v>
      </c>
      <c r="CI1" s="78" t="s">
        <v>3243</v>
      </c>
      <c r="CJ1" s="78" t="s">
        <v>3244</v>
      </c>
      <c r="CK1" s="78" t="s">
        <v>3245</v>
      </c>
      <c r="CM1" s="78" t="s">
        <v>3215</v>
      </c>
      <c r="CN1" s="78" t="s">
        <v>3261</v>
      </c>
    </row>
    <row r="2" spans="1:92" x14ac:dyDescent="0.2">
      <c r="A2" s="90" t="s">
        <v>3327</v>
      </c>
      <c r="B2" s="79" t="s">
        <v>198</v>
      </c>
      <c r="C2" s="95"/>
      <c r="D2" s="79">
        <v>1</v>
      </c>
      <c r="F2" s="90" t="s">
        <v>3328</v>
      </c>
      <c r="G2" s="79" t="s">
        <v>198</v>
      </c>
      <c r="H2" s="95"/>
      <c r="I2" s="79">
        <v>1</v>
      </c>
      <c r="K2" s="90" t="s">
        <v>3329</v>
      </c>
      <c r="L2" s="79" t="s">
        <v>198</v>
      </c>
      <c r="M2" s="78"/>
      <c r="N2" s="79">
        <v>1</v>
      </c>
      <c r="P2" s="90" t="s">
        <v>3330</v>
      </c>
      <c r="Q2" s="79" t="s">
        <v>198</v>
      </c>
      <c r="R2" s="78"/>
      <c r="S2" s="79">
        <v>1</v>
      </c>
      <c r="U2" s="90" t="s">
        <v>299</v>
      </c>
      <c r="V2" s="79" t="s">
        <v>198</v>
      </c>
      <c r="X2" s="79">
        <v>1</v>
      </c>
      <c r="Z2" s="79" t="s">
        <v>608</v>
      </c>
      <c r="AA2" s="83" t="s">
        <v>1061</v>
      </c>
      <c r="AC2" s="90" t="s">
        <v>1790</v>
      </c>
      <c r="AD2" s="84">
        <v>400000</v>
      </c>
      <c r="AF2" s="90" t="s">
        <v>171</v>
      </c>
      <c r="AG2" s="85">
        <v>0.04</v>
      </c>
      <c r="AH2" s="85">
        <v>0.12</v>
      </c>
      <c r="AI2" s="86">
        <f t="shared" ref="AI2:AJ7" si="0">$AD$2*AG2</f>
        <v>16000</v>
      </c>
      <c r="AJ2" s="86">
        <f t="shared" si="0"/>
        <v>48000</v>
      </c>
      <c r="AK2" s="86">
        <f>(AI2)/2</f>
        <v>8000</v>
      </c>
      <c r="AL2" s="86"/>
      <c r="AM2" s="90" t="s">
        <v>1892</v>
      </c>
      <c r="AN2" s="90" t="s">
        <v>1232</v>
      </c>
      <c r="AO2" s="79">
        <v>-10</v>
      </c>
      <c r="AP2" s="79" t="s">
        <v>1232</v>
      </c>
      <c r="AQ2" s="90" t="s">
        <v>1892</v>
      </c>
      <c r="AR2" s="90">
        <v>21</v>
      </c>
      <c r="AS2" s="90" t="s">
        <v>450</v>
      </c>
      <c r="AU2" s="79" t="s">
        <v>1232</v>
      </c>
      <c r="AV2" s="90">
        <v>195</v>
      </c>
      <c r="AX2" s="90" t="s">
        <v>1704</v>
      </c>
      <c r="AY2" s="79">
        <v>9</v>
      </c>
      <c r="AZ2" s="90" t="s">
        <v>450</v>
      </c>
      <c r="BB2" s="79" t="s">
        <v>1686</v>
      </c>
      <c r="BC2" s="90">
        <v>195</v>
      </c>
      <c r="BE2" s="79" t="s">
        <v>173</v>
      </c>
      <c r="BF2" s="79">
        <v>3</v>
      </c>
      <c r="BH2" s="79" t="s">
        <v>43</v>
      </c>
      <c r="BI2" s="79">
        <v>3</v>
      </c>
      <c r="BK2" s="79">
        <v>0</v>
      </c>
      <c r="BL2" s="79">
        <v>0</v>
      </c>
      <c r="BO2" s="90" t="s">
        <v>3381</v>
      </c>
      <c r="BP2" s="79">
        <v>-2</v>
      </c>
      <c r="BQ2" s="90" t="s">
        <v>3419</v>
      </c>
      <c r="BS2" s="79">
        <v>1</v>
      </c>
      <c r="BT2" s="90" t="s">
        <v>3291</v>
      </c>
      <c r="BU2" s="90" t="s">
        <v>1899</v>
      </c>
      <c r="BV2" s="90"/>
      <c r="BW2" s="90" t="s">
        <v>3421</v>
      </c>
      <c r="BX2" s="90"/>
      <c r="BZ2" s="90" t="s">
        <v>2008</v>
      </c>
      <c r="CA2" s="79">
        <v>90</v>
      </c>
      <c r="CC2" s="79">
        <v>0</v>
      </c>
      <c r="CE2" s="90" t="s">
        <v>1817</v>
      </c>
      <c r="CF2" s="79" t="s">
        <v>2033</v>
      </c>
      <c r="CI2" s="79">
        <v>1</v>
      </c>
      <c r="CJ2" s="90" t="s">
        <v>3248</v>
      </c>
      <c r="CK2" s="79">
        <v>4</v>
      </c>
      <c r="CM2" s="79">
        <v>-10</v>
      </c>
      <c r="CN2" s="90" t="s">
        <v>1892</v>
      </c>
    </row>
    <row r="3" spans="1:92" x14ac:dyDescent="0.2">
      <c r="A3" s="90" t="s">
        <v>3327</v>
      </c>
      <c r="B3" s="79" t="s">
        <v>1589</v>
      </c>
      <c r="C3" s="95"/>
      <c r="D3" s="79">
        <v>2</v>
      </c>
      <c r="F3" s="90" t="s">
        <v>3328</v>
      </c>
      <c r="G3" s="79" t="s">
        <v>1589</v>
      </c>
      <c r="H3" s="95"/>
      <c r="I3" s="79">
        <v>2</v>
      </c>
      <c r="K3" s="90" t="s">
        <v>3329</v>
      </c>
      <c r="L3" s="79" t="s">
        <v>1589</v>
      </c>
      <c r="M3" s="78"/>
      <c r="N3" s="79">
        <v>2</v>
      </c>
      <c r="P3" s="90" t="s">
        <v>3330</v>
      </c>
      <c r="Q3" s="79" t="s">
        <v>1589</v>
      </c>
      <c r="R3" s="78"/>
      <c r="S3" s="79">
        <v>2</v>
      </c>
      <c r="U3" s="90" t="s">
        <v>299</v>
      </c>
      <c r="V3" s="79" t="s">
        <v>309</v>
      </c>
      <c r="W3" s="79">
        <v>1</v>
      </c>
      <c r="X3" s="79">
        <v>2</v>
      </c>
      <c r="Z3" s="79" t="s">
        <v>608</v>
      </c>
      <c r="AA3" s="79" t="s">
        <v>1059</v>
      </c>
      <c r="AF3" s="79" t="s">
        <v>168</v>
      </c>
      <c r="AG3" s="85">
        <v>0.03</v>
      </c>
      <c r="AH3" s="85">
        <v>0.1</v>
      </c>
      <c r="AI3" s="86">
        <f t="shared" si="0"/>
        <v>12000</v>
      </c>
      <c r="AJ3" s="86">
        <f t="shared" si="0"/>
        <v>40000</v>
      </c>
      <c r="AK3" s="86">
        <f t="shared" ref="AK3:AK21" si="1">(AI3)/2</f>
        <v>6000</v>
      </c>
      <c r="AL3" s="86"/>
      <c r="AM3" s="90" t="s">
        <v>450</v>
      </c>
      <c r="AN3" s="90" t="s">
        <v>1359</v>
      </c>
      <c r="AO3" s="79">
        <v>-10</v>
      </c>
      <c r="AP3" s="79" t="s">
        <v>1359</v>
      </c>
      <c r="AQ3" s="90" t="s">
        <v>450</v>
      </c>
      <c r="AR3" s="90">
        <v>19</v>
      </c>
      <c r="AS3" s="90" t="s">
        <v>450</v>
      </c>
      <c r="AU3" s="79" t="s">
        <v>1233</v>
      </c>
      <c r="AV3" s="90">
        <v>193</v>
      </c>
      <c r="AX3" s="90" t="s">
        <v>1708</v>
      </c>
      <c r="AY3" s="79">
        <v>8</v>
      </c>
      <c r="AZ3" s="90" t="s">
        <v>450</v>
      </c>
      <c r="BB3" s="79" t="s">
        <v>1687</v>
      </c>
      <c r="BC3" s="90">
        <v>193</v>
      </c>
      <c r="BE3" s="79" t="s">
        <v>820</v>
      </c>
      <c r="BF3" s="79">
        <v>1</v>
      </c>
      <c r="BH3" s="79" t="s">
        <v>42</v>
      </c>
      <c r="BI3" s="79">
        <v>-3</v>
      </c>
      <c r="BK3" s="79">
        <v>1</v>
      </c>
      <c r="BL3" s="79">
        <v>10</v>
      </c>
      <c r="BM3" s="93" t="s">
        <v>1286</v>
      </c>
      <c r="BO3" s="90" t="s">
        <v>3381</v>
      </c>
      <c r="BP3" s="79">
        <v>-1</v>
      </c>
      <c r="BQ3" s="90" t="s">
        <v>3417</v>
      </c>
      <c r="BS3" s="79">
        <v>2</v>
      </c>
      <c r="BT3" s="90" t="s">
        <v>3292</v>
      </c>
      <c r="BU3" s="90" t="s">
        <v>1899</v>
      </c>
      <c r="BV3" s="90"/>
      <c r="BW3" s="90" t="s">
        <v>3422</v>
      </c>
      <c r="BX3" s="90"/>
      <c r="BZ3" s="90" t="s">
        <v>2009</v>
      </c>
      <c r="CA3" s="79">
        <v>80</v>
      </c>
      <c r="CC3" s="79">
        <v>1</v>
      </c>
      <c r="CD3" s="79">
        <v>-9</v>
      </c>
      <c r="CE3" s="90" t="s">
        <v>2020</v>
      </c>
      <c r="CF3" s="79" t="s">
        <v>2036</v>
      </c>
      <c r="CI3" s="79">
        <v>2</v>
      </c>
      <c r="CJ3" s="79" t="s">
        <v>3249</v>
      </c>
      <c r="CK3" s="79">
        <v>9</v>
      </c>
      <c r="CM3" s="79">
        <v>-8</v>
      </c>
      <c r="CN3" s="90" t="s">
        <v>1899</v>
      </c>
    </row>
    <row r="4" spans="1:92" x14ac:dyDescent="0.2">
      <c r="A4" s="90" t="s">
        <v>3327</v>
      </c>
      <c r="B4" s="79" t="s">
        <v>1614</v>
      </c>
      <c r="C4" s="95"/>
      <c r="D4" s="79">
        <v>3</v>
      </c>
      <c r="F4" s="90" t="s">
        <v>3328</v>
      </c>
      <c r="G4" s="79" t="s">
        <v>1614</v>
      </c>
      <c r="H4" s="95"/>
      <c r="I4" s="79">
        <v>3</v>
      </c>
      <c r="K4" s="90" t="s">
        <v>3329</v>
      </c>
      <c r="L4" s="79" t="s">
        <v>1614</v>
      </c>
      <c r="M4" s="78"/>
      <c r="N4" s="79">
        <v>3</v>
      </c>
      <c r="P4" s="90" t="s">
        <v>3330</v>
      </c>
      <c r="Q4" s="79" t="s">
        <v>1614</v>
      </c>
      <c r="R4" s="78"/>
      <c r="S4" s="79">
        <v>3</v>
      </c>
      <c r="U4" s="90" t="s">
        <v>299</v>
      </c>
      <c r="V4" s="79" t="s">
        <v>7</v>
      </c>
      <c r="W4" s="79">
        <v>2</v>
      </c>
      <c r="X4" s="79">
        <v>3</v>
      </c>
      <c r="Z4" s="79" t="s">
        <v>608</v>
      </c>
      <c r="AA4" s="79" t="s">
        <v>9</v>
      </c>
      <c r="AF4" s="79" t="s">
        <v>1085</v>
      </c>
      <c r="AG4" s="85">
        <v>0.04</v>
      </c>
      <c r="AH4" s="85">
        <v>0.12</v>
      </c>
      <c r="AI4" s="86">
        <f t="shared" si="0"/>
        <v>16000</v>
      </c>
      <c r="AJ4" s="86">
        <f t="shared" si="0"/>
        <v>48000</v>
      </c>
      <c r="AK4" s="86">
        <f t="shared" si="1"/>
        <v>8000</v>
      </c>
      <c r="AL4" s="86"/>
      <c r="AM4" s="90" t="s">
        <v>1899</v>
      </c>
      <c r="AN4" s="90" t="s">
        <v>1327</v>
      </c>
      <c r="AO4" s="79">
        <v>-9</v>
      </c>
      <c r="AP4" s="79" t="s">
        <v>1327</v>
      </c>
      <c r="AQ4" s="90" t="s">
        <v>1899</v>
      </c>
      <c r="AR4" s="90">
        <v>20</v>
      </c>
      <c r="AS4" s="90" t="s">
        <v>450</v>
      </c>
      <c r="AU4" s="79" t="s">
        <v>1235</v>
      </c>
      <c r="AV4" s="90">
        <v>81</v>
      </c>
      <c r="AX4" s="90" t="s">
        <v>1707</v>
      </c>
      <c r="AY4" s="79">
        <v>7</v>
      </c>
      <c r="AZ4" s="90" t="s">
        <v>450</v>
      </c>
      <c r="BB4" s="79" t="s">
        <v>1684</v>
      </c>
      <c r="BC4" s="90">
        <v>82</v>
      </c>
      <c r="BE4" s="79" t="s">
        <v>174</v>
      </c>
      <c r="BF4" s="79">
        <v>-3</v>
      </c>
      <c r="BH4" s="79" t="s">
        <v>1654</v>
      </c>
      <c r="BI4" s="79">
        <v>0</v>
      </c>
      <c r="BK4" s="79">
        <v>11</v>
      </c>
      <c r="BL4" s="79">
        <v>100</v>
      </c>
      <c r="BM4" s="93" t="s">
        <v>1287</v>
      </c>
      <c r="BO4" s="90" t="s">
        <v>3381</v>
      </c>
      <c r="BP4" s="79">
        <v>0</v>
      </c>
      <c r="BQ4" s="90" t="s">
        <v>1654</v>
      </c>
      <c r="BS4" s="79">
        <v>3</v>
      </c>
      <c r="BT4" s="90" t="s">
        <v>3293</v>
      </c>
      <c r="BU4" s="90" t="s">
        <v>1892</v>
      </c>
      <c r="BV4" s="90"/>
      <c r="BW4" s="90" t="s">
        <v>3423</v>
      </c>
      <c r="BX4" s="90"/>
      <c r="BZ4" s="90" t="s">
        <v>2010</v>
      </c>
      <c r="CA4" s="79">
        <v>60</v>
      </c>
      <c r="CC4" s="79">
        <v>2</v>
      </c>
      <c r="CD4" s="79">
        <v>-8</v>
      </c>
      <c r="CE4" s="90" t="s">
        <v>2030</v>
      </c>
      <c r="CF4" s="79" t="s">
        <v>2038</v>
      </c>
      <c r="CI4" s="79">
        <v>3</v>
      </c>
      <c r="CJ4" s="79" t="s">
        <v>3250</v>
      </c>
      <c r="CK4" s="79">
        <v>-6</v>
      </c>
      <c r="CM4" s="79">
        <v>-6</v>
      </c>
      <c r="CN4" s="90" t="s">
        <v>1899</v>
      </c>
    </row>
    <row r="5" spans="1:92" x14ac:dyDescent="0.2">
      <c r="A5" s="90" t="s">
        <v>3327</v>
      </c>
      <c r="B5" s="79" t="s">
        <v>309</v>
      </c>
      <c r="C5" s="79">
        <v>1</v>
      </c>
      <c r="D5" s="79">
        <v>4</v>
      </c>
      <c r="F5" s="90" t="s">
        <v>3328</v>
      </c>
      <c r="G5" s="79" t="s">
        <v>309</v>
      </c>
      <c r="H5" s="79">
        <v>1</v>
      </c>
      <c r="I5" s="79">
        <v>4</v>
      </c>
      <c r="K5" s="90" t="s">
        <v>3329</v>
      </c>
      <c r="L5" s="79" t="s">
        <v>309</v>
      </c>
      <c r="M5" s="79">
        <v>1</v>
      </c>
      <c r="N5" s="79">
        <v>4</v>
      </c>
      <c r="P5" s="90" t="s">
        <v>3330</v>
      </c>
      <c r="Q5" s="79" t="s">
        <v>309</v>
      </c>
      <c r="R5" s="79">
        <v>1</v>
      </c>
      <c r="S5" s="79">
        <v>4</v>
      </c>
      <c r="U5" s="90" t="s">
        <v>299</v>
      </c>
      <c r="V5" s="79" t="s">
        <v>8</v>
      </c>
      <c r="W5" s="79">
        <v>3</v>
      </c>
      <c r="X5" s="79">
        <v>4</v>
      </c>
      <c r="Z5" s="79" t="s">
        <v>608</v>
      </c>
      <c r="AA5" s="79" t="s">
        <v>1051</v>
      </c>
      <c r="AF5" s="79" t="s">
        <v>153</v>
      </c>
      <c r="AG5" s="85">
        <v>0</v>
      </c>
      <c r="AH5" s="85">
        <v>1</v>
      </c>
      <c r="AI5" s="86">
        <f t="shared" si="0"/>
        <v>0</v>
      </c>
      <c r="AJ5" s="86">
        <f t="shared" si="0"/>
        <v>400000</v>
      </c>
      <c r="AK5" s="86">
        <f t="shared" si="1"/>
        <v>0</v>
      </c>
      <c r="AL5" s="86"/>
      <c r="AM5" s="90" t="s">
        <v>1704</v>
      </c>
      <c r="AN5" s="90" t="s">
        <v>1233</v>
      </c>
      <c r="AO5" s="79">
        <v>-8</v>
      </c>
      <c r="AP5" s="79" t="s">
        <v>1233</v>
      </c>
      <c r="AQ5" s="90" t="s">
        <v>1704</v>
      </c>
      <c r="AR5" s="90">
        <v>19</v>
      </c>
      <c r="AS5" s="90" t="s">
        <v>450</v>
      </c>
      <c r="AX5" s="79" t="s">
        <v>1706</v>
      </c>
      <c r="AY5" s="79">
        <v>6</v>
      </c>
      <c r="AZ5" s="90" t="s">
        <v>450</v>
      </c>
      <c r="BB5" s="79" t="s">
        <v>1685</v>
      </c>
      <c r="BC5" s="79">
        <v>81</v>
      </c>
      <c r="BE5" s="79" t="s">
        <v>821</v>
      </c>
      <c r="BF5" s="79">
        <v>-1</v>
      </c>
      <c r="BK5" s="79">
        <v>101</v>
      </c>
      <c r="BL5" s="79">
        <v>1000</v>
      </c>
      <c r="BM5" s="93" t="s">
        <v>1288</v>
      </c>
      <c r="BO5" s="90" t="s">
        <v>3381</v>
      </c>
      <c r="BP5" s="79">
        <v>1</v>
      </c>
      <c r="BQ5" s="90" t="s">
        <v>3416</v>
      </c>
      <c r="BS5" s="79">
        <v>4</v>
      </c>
      <c r="BT5" s="90" t="s">
        <v>3286</v>
      </c>
      <c r="BU5" s="90" t="s">
        <v>1892</v>
      </c>
      <c r="BV5" s="90"/>
      <c r="BW5" s="90" t="s">
        <v>3424</v>
      </c>
      <c r="BX5" s="90"/>
      <c r="BZ5" s="90" t="s">
        <v>2011</v>
      </c>
      <c r="CA5" s="79">
        <v>25</v>
      </c>
      <c r="CC5" s="79">
        <v>3</v>
      </c>
      <c r="CD5" s="79">
        <v>-10</v>
      </c>
      <c r="CE5" s="90" t="s">
        <v>2021</v>
      </c>
      <c r="CF5" s="79" t="s">
        <v>2035</v>
      </c>
      <c r="CI5" s="79">
        <v>4</v>
      </c>
      <c r="CJ5" s="79" t="s">
        <v>3251</v>
      </c>
      <c r="CK5" s="79">
        <v>0</v>
      </c>
      <c r="CM5" s="79">
        <v>-3</v>
      </c>
      <c r="CN5" s="90" t="s">
        <v>1704</v>
      </c>
    </row>
    <row r="6" spans="1:92" x14ac:dyDescent="0.2">
      <c r="A6" s="90" t="s">
        <v>3327</v>
      </c>
      <c r="B6" s="79" t="s">
        <v>7</v>
      </c>
      <c r="C6" s="79">
        <v>2</v>
      </c>
      <c r="D6" s="79">
        <v>5</v>
      </c>
      <c r="F6" s="90" t="s">
        <v>3328</v>
      </c>
      <c r="G6" s="79" t="s">
        <v>7</v>
      </c>
      <c r="H6" s="79">
        <v>2</v>
      </c>
      <c r="I6" s="79">
        <v>5</v>
      </c>
      <c r="K6" s="90" t="s">
        <v>3329</v>
      </c>
      <c r="L6" s="79" t="s">
        <v>7</v>
      </c>
      <c r="M6" s="79">
        <v>2</v>
      </c>
      <c r="N6" s="79">
        <v>5</v>
      </c>
      <c r="P6" s="90" t="s">
        <v>3330</v>
      </c>
      <c r="Q6" s="79" t="s">
        <v>7</v>
      </c>
      <c r="R6" s="79">
        <v>2</v>
      </c>
      <c r="S6" s="79">
        <v>5</v>
      </c>
      <c r="U6" s="90" t="s">
        <v>299</v>
      </c>
      <c r="V6" s="79" t="s">
        <v>1439</v>
      </c>
      <c r="W6" s="79">
        <v>4</v>
      </c>
      <c r="X6" s="79">
        <v>5</v>
      </c>
      <c r="Z6" s="79" t="s">
        <v>608</v>
      </c>
      <c r="AA6" s="79" t="s">
        <v>1058</v>
      </c>
      <c r="AF6" s="90" t="s">
        <v>1290</v>
      </c>
      <c r="AG6" s="85">
        <v>0.03</v>
      </c>
      <c r="AH6" s="85">
        <v>0.12</v>
      </c>
      <c r="AI6" s="86">
        <f>$AD$2*AG6</f>
        <v>12000</v>
      </c>
      <c r="AJ6" s="86">
        <f>$AD$2*AH6</f>
        <v>48000</v>
      </c>
      <c r="AK6" s="86">
        <f t="shared" si="1"/>
        <v>6000</v>
      </c>
      <c r="AL6" s="86"/>
      <c r="AM6" s="90" t="s">
        <v>620</v>
      </c>
      <c r="AN6" s="90" t="s">
        <v>1889</v>
      </c>
      <c r="AO6" s="79">
        <v>-7</v>
      </c>
      <c r="AP6" s="90" t="s">
        <v>1889</v>
      </c>
      <c r="AQ6" s="90" t="s">
        <v>620</v>
      </c>
      <c r="AR6" s="90">
        <v>12</v>
      </c>
      <c r="AS6" s="90" t="s">
        <v>450</v>
      </c>
      <c r="AX6" s="90" t="s">
        <v>1705</v>
      </c>
      <c r="AY6" s="79">
        <v>5</v>
      </c>
      <c r="AZ6" s="90" t="s">
        <v>1647</v>
      </c>
      <c r="BE6" s="79" t="s">
        <v>43</v>
      </c>
      <c r="BF6" s="79">
        <v>3</v>
      </c>
      <c r="BO6" s="90" t="s">
        <v>3381</v>
      </c>
      <c r="BP6" s="79">
        <v>2</v>
      </c>
      <c r="BQ6" s="90" t="s">
        <v>3418</v>
      </c>
      <c r="BS6" s="79">
        <v>5</v>
      </c>
      <c r="BT6" s="90" t="s">
        <v>3290</v>
      </c>
      <c r="BU6" s="79" t="s">
        <v>1894</v>
      </c>
      <c r="BW6" s="79" t="s">
        <v>3425</v>
      </c>
      <c r="BZ6" s="90" t="s">
        <v>2012</v>
      </c>
      <c r="CA6" s="79">
        <v>3</v>
      </c>
      <c r="CC6" s="79">
        <v>4</v>
      </c>
      <c r="CD6" s="79">
        <v>-8</v>
      </c>
      <c r="CE6" s="90" t="s">
        <v>2031</v>
      </c>
      <c r="CF6" s="79" t="s">
        <v>2039</v>
      </c>
      <c r="CI6" s="79">
        <v>5</v>
      </c>
      <c r="CJ6" s="79" t="s">
        <v>3252</v>
      </c>
      <c r="CK6" s="79">
        <v>-8</v>
      </c>
      <c r="CM6" s="79">
        <v>-1</v>
      </c>
      <c r="CN6" s="90" t="s">
        <v>1893</v>
      </c>
    </row>
    <row r="7" spans="1:92" x14ac:dyDescent="0.2">
      <c r="A7" s="90" t="s">
        <v>3327</v>
      </c>
      <c r="B7" s="79" t="s">
        <v>307</v>
      </c>
      <c r="C7" s="79">
        <v>3</v>
      </c>
      <c r="D7" s="79">
        <v>6</v>
      </c>
      <c r="F7" s="90" t="s">
        <v>3328</v>
      </c>
      <c r="G7" s="79" t="s">
        <v>307</v>
      </c>
      <c r="H7" s="79">
        <v>3</v>
      </c>
      <c r="I7" s="79">
        <v>6</v>
      </c>
      <c r="K7" s="90" t="s">
        <v>3329</v>
      </c>
      <c r="L7" s="79" t="s">
        <v>307</v>
      </c>
      <c r="M7" s="79">
        <v>3</v>
      </c>
      <c r="N7" s="79">
        <v>6</v>
      </c>
      <c r="P7" s="90" t="s">
        <v>3330</v>
      </c>
      <c r="Q7" s="79" t="s">
        <v>307</v>
      </c>
      <c r="R7" s="79">
        <v>3</v>
      </c>
      <c r="S7" s="79">
        <v>6</v>
      </c>
      <c r="U7" s="90" t="s">
        <v>299</v>
      </c>
      <c r="V7" s="79" t="s">
        <v>1440</v>
      </c>
      <c r="W7" s="79">
        <v>5</v>
      </c>
      <c r="X7" s="79">
        <v>6</v>
      </c>
      <c r="Z7" s="79" t="s">
        <v>608</v>
      </c>
      <c r="AA7" s="79" t="s">
        <v>10</v>
      </c>
      <c r="AF7" s="79" t="s">
        <v>981</v>
      </c>
      <c r="AG7" s="85">
        <v>0.03</v>
      </c>
      <c r="AH7" s="85">
        <v>0.12</v>
      </c>
      <c r="AI7" s="86">
        <f t="shared" si="0"/>
        <v>12000</v>
      </c>
      <c r="AJ7" s="86">
        <f t="shared" si="0"/>
        <v>48000</v>
      </c>
      <c r="AK7" s="86">
        <f t="shared" si="1"/>
        <v>6000</v>
      </c>
      <c r="AL7" s="86"/>
      <c r="AM7" s="90" t="s">
        <v>1893</v>
      </c>
      <c r="AN7" s="90" t="s">
        <v>1872</v>
      </c>
      <c r="AO7" s="79">
        <v>-6</v>
      </c>
      <c r="AP7" s="79" t="s">
        <v>1872</v>
      </c>
      <c r="AQ7" s="90" t="s">
        <v>1893</v>
      </c>
      <c r="AR7" s="90">
        <v>11</v>
      </c>
      <c r="AS7" s="90" t="s">
        <v>144</v>
      </c>
      <c r="AX7" s="79" t="s">
        <v>1703</v>
      </c>
      <c r="AY7" s="79">
        <v>4</v>
      </c>
      <c r="AZ7" s="90" t="s">
        <v>1647</v>
      </c>
      <c r="BE7" s="79" t="s">
        <v>42</v>
      </c>
      <c r="BF7" s="79">
        <v>-3</v>
      </c>
      <c r="BO7" s="90"/>
      <c r="BQ7" s="90" t="s">
        <v>3212</v>
      </c>
      <c r="BS7" s="79">
        <v>6</v>
      </c>
      <c r="BT7" s="90" t="s">
        <v>3288</v>
      </c>
      <c r="BU7" s="79" t="s">
        <v>1894</v>
      </c>
      <c r="BW7" s="79" t="s">
        <v>3426</v>
      </c>
      <c r="BZ7" s="90" t="s">
        <v>2013</v>
      </c>
      <c r="CA7" s="79">
        <v>1.25</v>
      </c>
      <c r="CC7" s="79">
        <v>5</v>
      </c>
      <c r="CD7" s="79">
        <v>-9</v>
      </c>
      <c r="CE7" s="90" t="s">
        <v>2022</v>
      </c>
      <c r="CF7" s="79" t="s">
        <v>2037</v>
      </c>
      <c r="CI7" s="79">
        <v>6</v>
      </c>
      <c r="CJ7" s="79" t="s">
        <v>3253</v>
      </c>
      <c r="CK7" s="79">
        <v>10</v>
      </c>
      <c r="CM7" s="79">
        <v>0</v>
      </c>
      <c r="CN7" s="90"/>
    </row>
    <row r="8" spans="1:92" x14ac:dyDescent="0.2">
      <c r="A8" s="90" t="s">
        <v>3327</v>
      </c>
      <c r="B8" s="79" t="s">
        <v>308</v>
      </c>
      <c r="C8" s="79">
        <v>4</v>
      </c>
      <c r="D8" s="79">
        <v>7</v>
      </c>
      <c r="F8" s="90" t="s">
        <v>3328</v>
      </c>
      <c r="G8" s="79" t="s">
        <v>308</v>
      </c>
      <c r="H8" s="79">
        <v>4</v>
      </c>
      <c r="I8" s="79">
        <v>7</v>
      </c>
      <c r="K8" s="90" t="s">
        <v>3329</v>
      </c>
      <c r="L8" s="90" t="s">
        <v>3279</v>
      </c>
      <c r="M8" s="79">
        <v>4</v>
      </c>
      <c r="N8" s="79">
        <v>7</v>
      </c>
      <c r="P8" s="90" t="s">
        <v>3330</v>
      </c>
      <c r="Q8" s="90" t="s">
        <v>3382</v>
      </c>
      <c r="R8" s="79">
        <v>4</v>
      </c>
      <c r="S8" s="79">
        <v>7</v>
      </c>
      <c r="U8" s="90" t="s">
        <v>299</v>
      </c>
      <c r="V8" s="79" t="s">
        <v>6</v>
      </c>
      <c r="W8" s="79">
        <v>6</v>
      </c>
      <c r="X8" s="79">
        <v>7</v>
      </c>
      <c r="Z8" s="79" t="s">
        <v>608</v>
      </c>
      <c r="AA8" s="79" t="s">
        <v>11</v>
      </c>
      <c r="AF8" s="90" t="s">
        <v>172</v>
      </c>
      <c r="AG8" s="85">
        <v>0.02</v>
      </c>
      <c r="AH8" s="85">
        <v>0.06</v>
      </c>
      <c r="AI8" s="86">
        <f t="shared" ref="AI8:AJ21" si="2">$AD$2*AG8</f>
        <v>8000</v>
      </c>
      <c r="AJ8" s="86">
        <f t="shared" si="2"/>
        <v>24000</v>
      </c>
      <c r="AK8" s="86">
        <f t="shared" si="1"/>
        <v>4000</v>
      </c>
      <c r="AL8" s="86"/>
      <c r="AM8" s="90" t="s">
        <v>703</v>
      </c>
      <c r="AN8" s="90" t="s">
        <v>1880</v>
      </c>
      <c r="AO8" s="79">
        <v>3</v>
      </c>
      <c r="AP8" s="90" t="s">
        <v>1880</v>
      </c>
      <c r="AQ8" s="90" t="s">
        <v>703</v>
      </c>
      <c r="AR8" s="90">
        <v>14</v>
      </c>
      <c r="AS8" s="90" t="s">
        <v>1647</v>
      </c>
      <c r="AX8" s="90" t="s">
        <v>1710</v>
      </c>
      <c r="AY8" s="79">
        <v>3</v>
      </c>
      <c r="AZ8" s="90" t="s">
        <v>1647</v>
      </c>
      <c r="BE8" s="79" t="s">
        <v>1654</v>
      </c>
      <c r="BF8" s="79">
        <v>0</v>
      </c>
      <c r="BO8" s="79" t="s">
        <v>3211</v>
      </c>
      <c r="BP8" s="79">
        <v>-3</v>
      </c>
      <c r="BQ8" s="90" t="s">
        <v>3229</v>
      </c>
      <c r="BS8" s="79">
        <v>7</v>
      </c>
      <c r="BT8" s="90" t="s">
        <v>3287</v>
      </c>
      <c r="BU8" s="90" t="s">
        <v>3283</v>
      </c>
      <c r="BV8" s="90"/>
      <c r="BW8" s="90" t="s">
        <v>3427</v>
      </c>
      <c r="BX8" s="90"/>
      <c r="BZ8" s="90" t="s">
        <v>2014</v>
      </c>
      <c r="CA8" s="79">
        <v>1.1000000000000001</v>
      </c>
      <c r="CC8" s="79">
        <v>6</v>
      </c>
      <c r="CD8" s="79">
        <v>-8</v>
      </c>
      <c r="CE8" s="90" t="s">
        <v>2032</v>
      </c>
      <c r="CF8" s="79" t="s">
        <v>2040</v>
      </c>
      <c r="CI8" s="79">
        <v>7</v>
      </c>
      <c r="CJ8" s="79" t="s">
        <v>3254</v>
      </c>
      <c r="CK8" s="79">
        <v>8</v>
      </c>
      <c r="CM8" s="79">
        <v>1</v>
      </c>
      <c r="CN8" s="90" t="s">
        <v>1894</v>
      </c>
    </row>
    <row r="9" spans="1:92" x14ac:dyDescent="0.2">
      <c r="A9" s="90" t="s">
        <v>3327</v>
      </c>
      <c r="B9" s="90" t="s">
        <v>1976</v>
      </c>
      <c r="C9" s="79">
        <v>5</v>
      </c>
      <c r="D9" s="79">
        <v>8</v>
      </c>
      <c r="F9" s="90" t="s">
        <v>3328</v>
      </c>
      <c r="G9" s="79" t="s">
        <v>1439</v>
      </c>
      <c r="H9" s="79">
        <v>5</v>
      </c>
      <c r="I9" s="79">
        <v>8</v>
      </c>
      <c r="K9" s="90" t="s">
        <v>3329</v>
      </c>
      <c r="L9" s="90" t="s">
        <v>3278</v>
      </c>
      <c r="M9" s="79">
        <v>5</v>
      </c>
      <c r="N9" s="79">
        <v>8</v>
      </c>
      <c r="P9" s="90" t="s">
        <v>3330</v>
      </c>
      <c r="Q9" s="90" t="s">
        <v>1857</v>
      </c>
      <c r="R9" s="79">
        <v>5</v>
      </c>
      <c r="S9" s="79">
        <v>8</v>
      </c>
      <c r="U9" s="90" t="s">
        <v>299</v>
      </c>
      <c r="V9" s="90" t="s">
        <v>294</v>
      </c>
      <c r="W9" s="79">
        <v>7</v>
      </c>
      <c r="X9" s="79">
        <v>8</v>
      </c>
      <c r="Z9" s="79" t="s">
        <v>608</v>
      </c>
      <c r="AA9" s="79" t="s">
        <v>12</v>
      </c>
      <c r="AF9" s="79" t="s">
        <v>100</v>
      </c>
      <c r="AG9" s="85">
        <v>0.01</v>
      </c>
      <c r="AH9" s="272">
        <v>0.02</v>
      </c>
      <c r="AI9" s="86">
        <f>$AD$2*AG9</f>
        <v>4000</v>
      </c>
      <c r="AJ9" s="86">
        <f>$AD$2*AH9</f>
        <v>8000</v>
      </c>
      <c r="AK9" s="86">
        <f t="shared" si="1"/>
        <v>2000</v>
      </c>
      <c r="AL9" s="86"/>
      <c r="AM9" s="90" t="s">
        <v>1896</v>
      </c>
      <c r="AN9" s="90" t="s">
        <v>1238</v>
      </c>
      <c r="AO9" s="79">
        <v>4</v>
      </c>
      <c r="AP9" s="90" t="s">
        <v>1238</v>
      </c>
      <c r="AQ9" s="90" t="s">
        <v>1896</v>
      </c>
      <c r="AR9" s="90">
        <v>5</v>
      </c>
      <c r="AS9" s="90" t="s">
        <v>144</v>
      </c>
      <c r="AX9" s="90" t="s">
        <v>1709</v>
      </c>
      <c r="AY9" s="79">
        <v>2</v>
      </c>
      <c r="AZ9" s="90" t="s">
        <v>1647</v>
      </c>
      <c r="BE9" s="79" t="s">
        <v>955</v>
      </c>
      <c r="BF9" s="79">
        <v>0</v>
      </c>
      <c r="BO9" s="79" t="s">
        <v>3211</v>
      </c>
      <c r="BP9" s="79">
        <v>-2</v>
      </c>
      <c r="BQ9" s="79" t="s">
        <v>3222</v>
      </c>
      <c r="BS9" s="79">
        <v>8</v>
      </c>
      <c r="BT9" s="90" t="s">
        <v>3284</v>
      </c>
      <c r="BU9" s="90" t="s">
        <v>1898</v>
      </c>
      <c r="BV9" s="90"/>
      <c r="BW9" s="90" t="s">
        <v>3428</v>
      </c>
      <c r="BX9" s="90"/>
      <c r="BZ9" s="90" t="s">
        <v>2014</v>
      </c>
      <c r="CA9" s="79">
        <v>1.25</v>
      </c>
      <c r="CC9" s="79">
        <v>7</v>
      </c>
      <c r="CD9" s="79">
        <v>-6</v>
      </c>
      <c r="CE9" s="90" t="s">
        <v>2029</v>
      </c>
      <c r="CF9" s="79" t="s">
        <v>2041</v>
      </c>
      <c r="CI9" s="79">
        <v>8</v>
      </c>
      <c r="CJ9" s="79" t="s">
        <v>3255</v>
      </c>
      <c r="CK9" s="79">
        <v>-8</v>
      </c>
      <c r="CM9" s="79">
        <v>3</v>
      </c>
      <c r="CN9" s="90" t="s">
        <v>674</v>
      </c>
    </row>
    <row r="10" spans="1:92" x14ac:dyDescent="0.2">
      <c r="A10" s="90" t="s">
        <v>3327</v>
      </c>
      <c r="B10" s="79" t="s">
        <v>934</v>
      </c>
      <c r="C10" s="79">
        <v>6</v>
      </c>
      <c r="D10" s="79">
        <v>9</v>
      </c>
      <c r="F10" s="90" t="s">
        <v>3328</v>
      </c>
      <c r="G10" s="79" t="s">
        <v>1440</v>
      </c>
      <c r="H10" s="79">
        <v>6</v>
      </c>
      <c r="I10" s="79">
        <v>9</v>
      </c>
      <c r="K10" s="90" t="s">
        <v>3329</v>
      </c>
      <c r="L10" s="90" t="s">
        <v>3274</v>
      </c>
      <c r="M10" s="79">
        <v>6</v>
      </c>
      <c r="N10" s="79">
        <v>9</v>
      </c>
      <c r="P10" s="90" t="s">
        <v>3330</v>
      </c>
      <c r="Q10" s="90" t="s">
        <v>1439</v>
      </c>
      <c r="R10" s="79">
        <v>6</v>
      </c>
      <c r="S10" s="79">
        <v>9</v>
      </c>
      <c r="U10" s="90" t="s">
        <v>299</v>
      </c>
      <c r="V10" s="90" t="s">
        <v>1861</v>
      </c>
      <c r="W10" s="79">
        <v>8</v>
      </c>
      <c r="X10" s="79">
        <v>9</v>
      </c>
      <c r="Z10" s="79" t="s">
        <v>608</v>
      </c>
      <c r="AA10" s="79" t="s">
        <v>1063</v>
      </c>
      <c r="AF10" s="90" t="s">
        <v>1771</v>
      </c>
      <c r="AG10" s="85">
        <v>0.01</v>
      </c>
      <c r="AH10" s="85">
        <v>0.04</v>
      </c>
      <c r="AI10" s="86">
        <f t="shared" si="2"/>
        <v>4000</v>
      </c>
      <c r="AJ10" s="86">
        <f t="shared" si="2"/>
        <v>16000</v>
      </c>
      <c r="AK10" s="86">
        <f t="shared" si="1"/>
        <v>2000</v>
      </c>
      <c r="AM10" s="90" t="s">
        <v>1897</v>
      </c>
      <c r="AN10" s="90" t="s">
        <v>1236</v>
      </c>
      <c r="AO10" s="79">
        <v>5</v>
      </c>
      <c r="AP10" s="90" t="s">
        <v>1236</v>
      </c>
      <c r="AQ10" s="90" t="s">
        <v>1897</v>
      </c>
      <c r="AR10" s="90">
        <v>9</v>
      </c>
      <c r="AS10" s="90" t="s">
        <v>144</v>
      </c>
      <c r="AX10" s="79" t="s">
        <v>1712</v>
      </c>
      <c r="AY10" s="79">
        <v>1</v>
      </c>
      <c r="AZ10" s="90" t="s">
        <v>1711</v>
      </c>
      <c r="BE10" s="90" t="s">
        <v>1430</v>
      </c>
      <c r="BF10" s="79">
        <v>3</v>
      </c>
      <c r="BO10" s="79" t="s">
        <v>3211</v>
      </c>
      <c r="BP10" s="79">
        <v>-1</v>
      </c>
      <c r="BQ10" s="79" t="s">
        <v>3216</v>
      </c>
      <c r="BS10" s="79">
        <v>9</v>
      </c>
      <c r="BT10" s="90" t="s">
        <v>3285</v>
      </c>
      <c r="BU10" s="79" t="s">
        <v>1705</v>
      </c>
      <c r="BW10" s="79" t="s">
        <v>3429</v>
      </c>
      <c r="BZ10" s="90" t="s">
        <v>2015</v>
      </c>
      <c r="CA10" s="79">
        <v>1.5</v>
      </c>
      <c r="CC10" s="79">
        <v>21</v>
      </c>
      <c r="CD10" s="79">
        <v>10</v>
      </c>
      <c r="CE10" s="90" t="s">
        <v>2023</v>
      </c>
      <c r="CF10" s="79" t="s">
        <v>2043</v>
      </c>
      <c r="CI10" s="79">
        <v>9</v>
      </c>
      <c r="CJ10" s="79" t="s">
        <v>3256</v>
      </c>
      <c r="CK10" s="79">
        <v>-6</v>
      </c>
      <c r="CM10" s="79">
        <v>5</v>
      </c>
      <c r="CN10" s="90" t="s">
        <v>1898</v>
      </c>
    </row>
    <row r="11" spans="1:92" x14ac:dyDescent="0.2">
      <c r="A11" s="90" t="s">
        <v>3327</v>
      </c>
      <c r="B11" s="79" t="s">
        <v>935</v>
      </c>
      <c r="C11" s="79">
        <v>7</v>
      </c>
      <c r="D11" s="79">
        <v>10</v>
      </c>
      <c r="F11" s="90" t="s">
        <v>3328</v>
      </c>
      <c r="G11" s="90" t="s">
        <v>6</v>
      </c>
      <c r="H11" s="79">
        <v>7</v>
      </c>
      <c r="I11" s="79">
        <v>10</v>
      </c>
      <c r="K11" s="90" t="s">
        <v>3329</v>
      </c>
      <c r="L11" s="90" t="s">
        <v>3194</v>
      </c>
      <c r="M11" s="79">
        <v>7</v>
      </c>
      <c r="N11" s="79">
        <v>10</v>
      </c>
      <c r="P11" s="90" t="s">
        <v>3330</v>
      </c>
      <c r="Q11" s="90" t="s">
        <v>1440</v>
      </c>
      <c r="R11" s="79">
        <v>7</v>
      </c>
      <c r="S11" s="79">
        <v>10</v>
      </c>
      <c r="U11" s="90" t="s">
        <v>299</v>
      </c>
      <c r="V11" s="90" t="s">
        <v>1862</v>
      </c>
      <c r="W11" s="79">
        <v>9</v>
      </c>
      <c r="X11" s="79">
        <v>10</v>
      </c>
      <c r="Z11" s="79" t="s">
        <v>608</v>
      </c>
      <c r="AA11" s="79" t="s">
        <v>1052</v>
      </c>
      <c r="AF11" s="90" t="s">
        <v>1772</v>
      </c>
      <c r="AG11" s="85">
        <v>0.01</v>
      </c>
      <c r="AH11" s="85">
        <v>0.02</v>
      </c>
      <c r="AI11" s="86">
        <f t="shared" si="2"/>
        <v>4000</v>
      </c>
      <c r="AJ11" s="86">
        <f t="shared" si="2"/>
        <v>8000</v>
      </c>
      <c r="AK11" s="86">
        <f t="shared" si="1"/>
        <v>2000</v>
      </c>
      <c r="AM11" s="90" t="s">
        <v>1894</v>
      </c>
      <c r="AN11" s="90" t="s">
        <v>1237</v>
      </c>
      <c r="AO11" s="79">
        <v>6</v>
      </c>
      <c r="AP11" s="79" t="s">
        <v>1237</v>
      </c>
      <c r="AQ11" s="90" t="s">
        <v>1894</v>
      </c>
      <c r="AR11" s="90">
        <v>10</v>
      </c>
      <c r="AS11" s="90" t="s">
        <v>144</v>
      </c>
      <c r="BE11" s="90" t="s">
        <v>1429</v>
      </c>
      <c r="BF11" s="79">
        <v>-3</v>
      </c>
      <c r="BO11" s="79" t="s">
        <v>3211</v>
      </c>
      <c r="BP11" s="79">
        <v>0</v>
      </c>
      <c r="BQ11" s="90" t="s">
        <v>3240</v>
      </c>
      <c r="BS11" s="79">
        <v>10</v>
      </c>
      <c r="BT11" s="90" t="s">
        <v>3294</v>
      </c>
      <c r="BU11" s="90" t="s">
        <v>1705</v>
      </c>
      <c r="BV11" s="90"/>
      <c r="BW11" s="90" t="s">
        <v>3430</v>
      </c>
      <c r="BX11" s="90"/>
      <c r="BZ11" s="90" t="s">
        <v>2003</v>
      </c>
      <c r="CA11" s="79">
        <v>0.25</v>
      </c>
      <c r="CC11" s="79">
        <v>22</v>
      </c>
      <c r="CD11" s="79">
        <v>10</v>
      </c>
      <c r="CE11" s="90" t="s">
        <v>2024</v>
      </c>
      <c r="CF11" s="79" t="s">
        <v>2044</v>
      </c>
      <c r="CI11" s="79">
        <v>10</v>
      </c>
      <c r="CJ11" s="79" t="s">
        <v>3257</v>
      </c>
      <c r="CK11" s="79">
        <v>8</v>
      </c>
      <c r="CM11" s="79">
        <v>7</v>
      </c>
      <c r="CN11" s="90" t="s">
        <v>1705</v>
      </c>
    </row>
    <row r="12" spans="1:92" x14ac:dyDescent="0.2">
      <c r="A12" s="90" t="s">
        <v>3327</v>
      </c>
      <c r="B12" s="79" t="s">
        <v>2050</v>
      </c>
      <c r="C12" s="79">
        <v>8</v>
      </c>
      <c r="D12" s="79">
        <v>11</v>
      </c>
      <c r="F12" s="90" t="s">
        <v>3328</v>
      </c>
      <c r="G12" s="90" t="s">
        <v>842</v>
      </c>
      <c r="H12" s="79">
        <v>8</v>
      </c>
      <c r="I12" s="79">
        <v>11</v>
      </c>
      <c r="K12" s="90" t="s">
        <v>3329</v>
      </c>
      <c r="L12" s="90" t="s">
        <v>3195</v>
      </c>
      <c r="M12" s="79">
        <v>8</v>
      </c>
      <c r="N12" s="79">
        <v>11</v>
      </c>
      <c r="P12" s="90" t="s">
        <v>3330</v>
      </c>
      <c r="Q12" s="79" t="s">
        <v>6</v>
      </c>
      <c r="R12" s="79">
        <v>8</v>
      </c>
      <c r="S12" s="79">
        <v>11</v>
      </c>
      <c r="U12" s="90" t="s">
        <v>299</v>
      </c>
      <c r="V12" s="90" t="s">
        <v>1863</v>
      </c>
      <c r="W12" s="79">
        <v>10</v>
      </c>
      <c r="X12" s="79">
        <v>11</v>
      </c>
      <c r="Z12" s="79" t="s">
        <v>608</v>
      </c>
      <c r="AA12" s="79" t="s">
        <v>1064</v>
      </c>
      <c r="AF12" s="90" t="s">
        <v>1338</v>
      </c>
      <c r="AG12" s="273">
        <v>0.02</v>
      </c>
      <c r="AH12" s="85">
        <v>0.06</v>
      </c>
      <c r="AI12" s="86">
        <f>$AD$2*AG12</f>
        <v>8000</v>
      </c>
      <c r="AJ12" s="86">
        <f>$AD$2*AH12</f>
        <v>24000</v>
      </c>
      <c r="AK12" s="86">
        <f>(AI12)/2</f>
        <v>4000</v>
      </c>
      <c r="AM12" s="90" t="s">
        <v>1951</v>
      </c>
      <c r="AN12" s="90" t="s">
        <v>1950</v>
      </c>
      <c r="AO12" s="90">
        <v>5</v>
      </c>
      <c r="AP12" s="90" t="s">
        <v>1950</v>
      </c>
      <c r="AQ12" s="90" t="s">
        <v>1951</v>
      </c>
      <c r="AR12" s="90">
        <v>5</v>
      </c>
      <c r="AS12" s="90" t="s">
        <v>144</v>
      </c>
      <c r="BO12" s="79" t="s">
        <v>3211</v>
      </c>
      <c r="BP12" s="79">
        <v>1</v>
      </c>
      <c r="BQ12" s="79" t="s">
        <v>3210</v>
      </c>
      <c r="BZ12" s="90" t="s">
        <v>2004</v>
      </c>
      <c r="CA12" s="79">
        <v>0.05</v>
      </c>
      <c r="CC12" s="79">
        <v>23</v>
      </c>
      <c r="CD12" s="79">
        <v>9</v>
      </c>
      <c r="CE12" s="90" t="s">
        <v>2025</v>
      </c>
      <c r="CF12" s="79" t="s">
        <v>2042</v>
      </c>
      <c r="CI12" s="79">
        <v>11</v>
      </c>
      <c r="CJ12" s="79" t="s">
        <v>3258</v>
      </c>
      <c r="CK12" s="79">
        <v>9</v>
      </c>
      <c r="CM12" s="79">
        <v>9</v>
      </c>
      <c r="CN12" s="90" t="s">
        <v>1647</v>
      </c>
    </row>
    <row r="13" spans="1:92" x14ac:dyDescent="0.2">
      <c r="A13" s="90" t="s">
        <v>3327</v>
      </c>
      <c r="B13" s="90" t="s">
        <v>2060</v>
      </c>
      <c r="C13" s="79">
        <v>9</v>
      </c>
      <c r="D13" s="79">
        <v>12</v>
      </c>
      <c r="F13" s="90" t="s">
        <v>3328</v>
      </c>
      <c r="G13" s="79" t="s">
        <v>1055</v>
      </c>
      <c r="H13" s="79">
        <v>9</v>
      </c>
      <c r="I13" s="79">
        <v>12</v>
      </c>
      <c r="K13" s="90" t="s">
        <v>3329</v>
      </c>
      <c r="L13" s="90" t="s">
        <v>3196</v>
      </c>
      <c r="M13" s="79">
        <v>9</v>
      </c>
      <c r="N13" s="79">
        <v>12</v>
      </c>
      <c r="P13" s="90" t="s">
        <v>3330</v>
      </c>
      <c r="Q13" s="90" t="s">
        <v>1850</v>
      </c>
      <c r="R13" s="79">
        <v>9</v>
      </c>
      <c r="S13" s="79">
        <v>12</v>
      </c>
      <c r="U13" s="90" t="s">
        <v>299</v>
      </c>
      <c r="V13" s="90" t="s">
        <v>1858</v>
      </c>
      <c r="W13" s="79">
        <v>11</v>
      </c>
      <c r="X13" s="79">
        <v>12</v>
      </c>
      <c r="Z13" s="79" t="s">
        <v>608</v>
      </c>
      <c r="AA13" s="79" t="s">
        <v>13</v>
      </c>
      <c r="AF13" s="90" t="s">
        <v>1408</v>
      </c>
      <c r="AG13" s="273">
        <v>0.02</v>
      </c>
      <c r="AH13" s="85">
        <v>0.06</v>
      </c>
      <c r="AI13" s="86">
        <f>$AD$2*AG13</f>
        <v>8000</v>
      </c>
      <c r="AJ13" s="86">
        <f>$AD$2*AH13</f>
        <v>24000</v>
      </c>
      <c r="AK13" s="86">
        <f>(AI13)/2</f>
        <v>4000</v>
      </c>
      <c r="AM13" s="90" t="s">
        <v>1949</v>
      </c>
      <c r="AN13" s="90" t="s">
        <v>1948</v>
      </c>
      <c r="AO13" s="90">
        <v>-5</v>
      </c>
      <c r="AP13" s="90" t="s">
        <v>1948</v>
      </c>
      <c r="AQ13" s="90" t="s">
        <v>1949</v>
      </c>
      <c r="AR13" s="90">
        <v>5</v>
      </c>
      <c r="AS13" s="90" t="s">
        <v>144</v>
      </c>
      <c r="BO13" s="79" t="s">
        <v>3211</v>
      </c>
      <c r="BP13" s="79">
        <v>2</v>
      </c>
      <c r="BQ13" s="79" t="s">
        <v>3223</v>
      </c>
      <c r="BS13" s="78" t="s">
        <v>3295</v>
      </c>
      <c r="BT13" s="78" t="s">
        <v>255</v>
      </c>
      <c r="BU13" s="78" t="s">
        <v>1811</v>
      </c>
      <c r="BV13" s="78"/>
      <c r="BW13" s="78" t="s">
        <v>283</v>
      </c>
      <c r="BX13" s="78"/>
      <c r="CI13" s="79">
        <v>12</v>
      </c>
      <c r="CJ13" s="79" t="s">
        <v>3259</v>
      </c>
      <c r="CK13" s="79">
        <v>5</v>
      </c>
      <c r="CM13" s="79">
        <v>10</v>
      </c>
      <c r="CN13" s="90" t="s">
        <v>3283</v>
      </c>
    </row>
    <row r="14" spans="1:92" x14ac:dyDescent="0.2">
      <c r="A14" s="90" t="s">
        <v>3327</v>
      </c>
      <c r="B14" s="90" t="s">
        <v>2061</v>
      </c>
      <c r="C14" s="79">
        <v>10</v>
      </c>
      <c r="D14" s="79">
        <v>13</v>
      </c>
      <c r="F14" s="90" t="s">
        <v>3328</v>
      </c>
      <c r="G14" s="79" t="s">
        <v>3320</v>
      </c>
      <c r="H14" s="79">
        <v>10</v>
      </c>
      <c r="I14" s="79">
        <v>13</v>
      </c>
      <c r="K14" s="90" t="s">
        <v>3329</v>
      </c>
      <c r="L14" s="90" t="s">
        <v>3202</v>
      </c>
      <c r="M14" s="79">
        <v>10</v>
      </c>
      <c r="N14" s="79">
        <v>13</v>
      </c>
      <c r="P14" s="90" t="s">
        <v>3330</v>
      </c>
      <c r="Q14" s="90" t="s">
        <v>1851</v>
      </c>
      <c r="R14" s="79">
        <v>10</v>
      </c>
      <c r="S14" s="79">
        <v>13</v>
      </c>
      <c r="U14" s="90" t="s">
        <v>299</v>
      </c>
      <c r="V14" s="90" t="s">
        <v>1859</v>
      </c>
      <c r="W14" s="79">
        <v>12</v>
      </c>
      <c r="X14" s="79">
        <v>13</v>
      </c>
      <c r="Z14" s="79" t="s">
        <v>608</v>
      </c>
      <c r="AA14" s="79" t="s">
        <v>1062</v>
      </c>
      <c r="AF14" s="90" t="s">
        <v>1938</v>
      </c>
      <c r="AG14" s="273">
        <v>0.02</v>
      </c>
      <c r="AH14" s="85">
        <v>0.06</v>
      </c>
      <c r="AI14" s="86">
        <f t="shared" si="2"/>
        <v>8000</v>
      </c>
      <c r="AJ14" s="86">
        <f t="shared" si="2"/>
        <v>24000</v>
      </c>
      <c r="AK14" s="86">
        <f t="shared" si="1"/>
        <v>4000</v>
      </c>
      <c r="AM14" s="90" t="s">
        <v>674</v>
      </c>
      <c r="AN14" s="90" t="s">
        <v>1234</v>
      </c>
      <c r="AO14" s="79">
        <v>7</v>
      </c>
      <c r="AP14" s="90" t="s">
        <v>1234</v>
      </c>
      <c r="AQ14" s="90" t="s">
        <v>674</v>
      </c>
      <c r="AR14" s="90">
        <v>13</v>
      </c>
      <c r="AS14" s="90" t="s">
        <v>1647</v>
      </c>
      <c r="BH14" s="83"/>
      <c r="BI14" s="83"/>
      <c r="BO14" s="79" t="s">
        <v>3211</v>
      </c>
      <c r="BP14" s="79">
        <v>3</v>
      </c>
      <c r="BQ14" s="79" t="s">
        <v>3221</v>
      </c>
      <c r="BS14" s="79">
        <v>1</v>
      </c>
      <c r="BT14" s="79" t="s">
        <v>3296</v>
      </c>
      <c r="BU14" s="79" t="s">
        <v>1899</v>
      </c>
      <c r="BW14" s="79" t="s">
        <v>3297</v>
      </c>
      <c r="CI14" s="79">
        <v>13</v>
      </c>
      <c r="CJ14" s="90" t="s">
        <v>1817</v>
      </c>
      <c r="CK14" s="79">
        <v>0</v>
      </c>
    </row>
    <row r="15" spans="1:92" x14ac:dyDescent="0.2">
      <c r="A15" s="90" t="s">
        <v>3327</v>
      </c>
      <c r="B15" s="90" t="s">
        <v>2062</v>
      </c>
      <c r="C15" s="79">
        <v>11</v>
      </c>
      <c r="D15" s="79">
        <v>14</v>
      </c>
      <c r="F15" s="90" t="s">
        <v>3328</v>
      </c>
      <c r="G15" s="79" t="s">
        <v>3321</v>
      </c>
      <c r="H15" s="79">
        <v>11</v>
      </c>
      <c r="I15" s="79">
        <v>14</v>
      </c>
      <c r="K15" s="90" t="s">
        <v>3329</v>
      </c>
      <c r="L15" s="90" t="s">
        <v>3203</v>
      </c>
      <c r="M15" s="79">
        <v>11</v>
      </c>
      <c r="N15" s="79">
        <v>14</v>
      </c>
      <c r="P15" s="90" t="s">
        <v>3330</v>
      </c>
      <c r="Q15" s="90" t="s">
        <v>1852</v>
      </c>
      <c r="R15" s="79">
        <v>11</v>
      </c>
      <c r="S15" s="79">
        <v>14</v>
      </c>
      <c r="U15" s="90" t="s">
        <v>299</v>
      </c>
      <c r="V15" s="90" t="s">
        <v>1860</v>
      </c>
      <c r="W15" s="79">
        <v>13</v>
      </c>
      <c r="X15" s="79">
        <v>14</v>
      </c>
      <c r="Z15" s="79" t="s">
        <v>608</v>
      </c>
      <c r="AA15" s="79" t="s">
        <v>1049</v>
      </c>
      <c r="AF15" s="274" t="s">
        <v>1939</v>
      </c>
      <c r="AG15" s="273">
        <v>0.02</v>
      </c>
      <c r="AH15" s="85">
        <v>0.05</v>
      </c>
      <c r="AI15" s="86">
        <f t="shared" si="2"/>
        <v>8000</v>
      </c>
      <c r="AJ15" s="86">
        <f t="shared" si="2"/>
        <v>20000</v>
      </c>
      <c r="AK15" s="86">
        <f t="shared" si="1"/>
        <v>4000</v>
      </c>
      <c r="AM15" s="90" t="s">
        <v>1898</v>
      </c>
      <c r="AN15" s="90" t="s">
        <v>1873</v>
      </c>
      <c r="AO15" s="79">
        <v>8</v>
      </c>
      <c r="AP15" s="79" t="s">
        <v>1873</v>
      </c>
      <c r="AQ15" s="90" t="s">
        <v>1898</v>
      </c>
      <c r="AR15" s="90">
        <v>15</v>
      </c>
      <c r="AS15" s="90" t="s">
        <v>1647</v>
      </c>
      <c r="BQ15" s="90" t="s">
        <v>3212</v>
      </c>
      <c r="BS15" s="79">
        <v>2</v>
      </c>
      <c r="BT15" s="79" t="s">
        <v>3298</v>
      </c>
      <c r="BU15" s="79" t="s">
        <v>1704</v>
      </c>
      <c r="BW15" s="79" t="s">
        <v>3299</v>
      </c>
      <c r="CI15" s="79">
        <v>14</v>
      </c>
      <c r="CJ15" s="90" t="s">
        <v>1817</v>
      </c>
      <c r="CK15" s="79">
        <v>0</v>
      </c>
    </row>
    <row r="16" spans="1:92" x14ac:dyDescent="0.2">
      <c r="A16" s="90" t="s">
        <v>3327</v>
      </c>
      <c r="B16" s="90" t="s">
        <v>2054</v>
      </c>
      <c r="C16" s="79">
        <v>12</v>
      </c>
      <c r="D16" s="79">
        <v>15</v>
      </c>
      <c r="F16" s="90" t="s">
        <v>3328</v>
      </c>
      <c r="G16" s="79" t="s">
        <v>3322</v>
      </c>
      <c r="H16" s="79">
        <v>12</v>
      </c>
      <c r="I16" s="79">
        <v>15</v>
      </c>
      <c r="K16" s="90" t="s">
        <v>3329</v>
      </c>
      <c r="L16" s="90" t="s">
        <v>3197</v>
      </c>
      <c r="M16" s="79">
        <v>12</v>
      </c>
      <c r="N16" s="79">
        <v>15</v>
      </c>
      <c r="P16" s="90" t="s">
        <v>3330</v>
      </c>
      <c r="Q16" s="274" t="s">
        <v>1853</v>
      </c>
      <c r="R16" s="79">
        <v>12</v>
      </c>
      <c r="S16" s="79">
        <v>15</v>
      </c>
      <c r="U16" s="90" t="s">
        <v>299</v>
      </c>
      <c r="V16" s="79" t="s">
        <v>297</v>
      </c>
      <c r="W16" s="79">
        <v>14</v>
      </c>
      <c r="X16" s="79">
        <v>15</v>
      </c>
      <c r="Z16" s="79" t="s">
        <v>608</v>
      </c>
      <c r="AA16" s="79" t="s">
        <v>1050</v>
      </c>
      <c r="AF16" s="90" t="s">
        <v>1940</v>
      </c>
      <c r="AG16" s="273">
        <v>1.4999999999999999E-2</v>
      </c>
      <c r="AH16" s="85">
        <v>0.04</v>
      </c>
      <c r="AI16" s="86">
        <f t="shared" si="2"/>
        <v>6000</v>
      </c>
      <c r="AJ16" s="86">
        <f t="shared" si="2"/>
        <v>16000</v>
      </c>
      <c r="AK16" s="86">
        <f t="shared" si="1"/>
        <v>3000</v>
      </c>
      <c r="AM16" s="90" t="s">
        <v>1705</v>
      </c>
      <c r="AN16" s="90" t="s">
        <v>1235</v>
      </c>
      <c r="AO16" s="79">
        <v>9</v>
      </c>
      <c r="AP16" s="79" t="s">
        <v>1235</v>
      </c>
      <c r="AQ16" s="90" t="s">
        <v>1705</v>
      </c>
      <c r="AR16" s="90">
        <v>16</v>
      </c>
      <c r="AS16" s="90" t="s">
        <v>1647</v>
      </c>
      <c r="BO16" s="79" t="s">
        <v>3213</v>
      </c>
      <c r="BP16" s="79">
        <v>-2</v>
      </c>
      <c r="BQ16" s="90" t="s">
        <v>3233</v>
      </c>
      <c r="BS16" s="79">
        <v>3</v>
      </c>
      <c r="BT16" s="79" t="s">
        <v>3300</v>
      </c>
      <c r="BU16" s="79" t="s">
        <v>1892</v>
      </c>
      <c r="BW16" s="79" t="s">
        <v>3301</v>
      </c>
    </row>
    <row r="17" spans="1:92" x14ac:dyDescent="0.2">
      <c r="A17" s="90" t="s">
        <v>3327</v>
      </c>
      <c r="B17" s="90" t="s">
        <v>2055</v>
      </c>
      <c r="C17" s="79">
        <v>13</v>
      </c>
      <c r="D17" s="79">
        <v>16</v>
      </c>
      <c r="F17" s="90" t="s">
        <v>3328</v>
      </c>
      <c r="G17" s="79" t="s">
        <v>3323</v>
      </c>
      <c r="H17" s="79">
        <v>13</v>
      </c>
      <c r="I17" s="79">
        <v>16</v>
      </c>
      <c r="K17" s="90" t="s">
        <v>3329</v>
      </c>
      <c r="L17" s="90" t="s">
        <v>3273</v>
      </c>
      <c r="M17" s="79">
        <v>13</v>
      </c>
      <c r="N17" s="79">
        <v>16</v>
      </c>
      <c r="P17" s="90" t="s">
        <v>3330</v>
      </c>
      <c r="Q17" s="90" t="s">
        <v>1854</v>
      </c>
      <c r="R17" s="79">
        <v>13</v>
      </c>
      <c r="S17" s="79">
        <v>16</v>
      </c>
      <c r="U17" s="90" t="s">
        <v>299</v>
      </c>
      <c r="V17" s="79" t="s">
        <v>1866</v>
      </c>
      <c r="W17" s="79">
        <v>15</v>
      </c>
      <c r="X17" s="79">
        <v>16</v>
      </c>
      <c r="Z17" s="79" t="s">
        <v>608</v>
      </c>
      <c r="AA17" s="79" t="s">
        <v>1056</v>
      </c>
      <c r="AF17" s="90" t="s">
        <v>1657</v>
      </c>
      <c r="AG17" s="273">
        <v>0.01</v>
      </c>
      <c r="AH17" s="85">
        <v>0.04</v>
      </c>
      <c r="AI17" s="86">
        <f>$AD$2*AG17</f>
        <v>4000</v>
      </c>
      <c r="AJ17" s="86">
        <f>$AD$2*AH17</f>
        <v>16000</v>
      </c>
      <c r="AK17" s="86">
        <f>(AI17)/2</f>
        <v>2000</v>
      </c>
      <c r="AM17" s="90" t="s">
        <v>3283</v>
      </c>
      <c r="AN17" s="90" t="s">
        <v>1874</v>
      </c>
      <c r="AO17" s="79">
        <v>10</v>
      </c>
      <c r="AP17" s="79" t="s">
        <v>1874</v>
      </c>
      <c r="AQ17" s="90" t="s">
        <v>3283</v>
      </c>
      <c r="AR17" s="90">
        <v>18</v>
      </c>
      <c r="AS17" s="90" t="s">
        <v>1647</v>
      </c>
      <c r="BO17" s="79" t="s">
        <v>3213</v>
      </c>
      <c r="BP17" s="79">
        <v>-1</v>
      </c>
      <c r="BQ17" s="90" t="s">
        <v>3231</v>
      </c>
      <c r="BS17" s="79">
        <v>4</v>
      </c>
      <c r="BT17" s="79" t="s">
        <v>3302</v>
      </c>
      <c r="BU17" s="79" t="s">
        <v>1704</v>
      </c>
      <c r="BW17" s="79" t="s">
        <v>3303</v>
      </c>
    </row>
    <row r="18" spans="1:92" ht="13.5" customHeight="1" x14ac:dyDescent="0.2">
      <c r="A18" s="90" t="s">
        <v>3327</v>
      </c>
      <c r="B18" s="90" t="s">
        <v>2048</v>
      </c>
      <c r="C18" s="79">
        <v>14</v>
      </c>
      <c r="D18" s="79">
        <v>17</v>
      </c>
      <c r="F18" s="90" t="s">
        <v>3328</v>
      </c>
      <c r="G18" s="79" t="s">
        <v>3324</v>
      </c>
      <c r="H18" s="79">
        <v>14</v>
      </c>
      <c r="I18" s="79">
        <v>17</v>
      </c>
      <c r="K18" s="90" t="s">
        <v>3329</v>
      </c>
      <c r="L18" s="90" t="s">
        <v>3191</v>
      </c>
      <c r="M18" s="79">
        <v>14</v>
      </c>
      <c r="N18" s="79">
        <v>17</v>
      </c>
      <c r="P18" s="90" t="s">
        <v>3330</v>
      </c>
      <c r="Q18" s="90" t="s">
        <v>1855</v>
      </c>
      <c r="R18" s="79">
        <v>14</v>
      </c>
      <c r="S18" s="79">
        <v>17</v>
      </c>
      <c r="U18" s="90" t="s">
        <v>299</v>
      </c>
      <c r="V18" s="83" t="s">
        <v>1867</v>
      </c>
      <c r="W18" s="79">
        <v>16</v>
      </c>
      <c r="X18" s="79">
        <v>17</v>
      </c>
      <c r="Z18" s="79" t="s">
        <v>608</v>
      </c>
      <c r="AA18" s="79" t="s">
        <v>1053</v>
      </c>
      <c r="AF18" s="90" t="s">
        <v>1929</v>
      </c>
      <c r="AG18" s="273">
        <v>0.01</v>
      </c>
      <c r="AH18" s="85">
        <v>0.04</v>
      </c>
      <c r="AI18" s="86">
        <f>$AD$2*AG18</f>
        <v>4000</v>
      </c>
      <c r="AJ18" s="86">
        <f>$AD$2*AH18</f>
        <v>16000</v>
      </c>
      <c r="AK18" s="86">
        <f>(AI18)/2</f>
        <v>2000</v>
      </c>
      <c r="AM18" s="90" t="s">
        <v>1647</v>
      </c>
      <c r="AN18" s="90" t="s">
        <v>494</v>
      </c>
      <c r="AO18" s="79">
        <v>10</v>
      </c>
      <c r="AP18" s="79" t="s">
        <v>494</v>
      </c>
      <c r="AQ18" s="90" t="s">
        <v>1647</v>
      </c>
      <c r="AR18" s="90">
        <v>17</v>
      </c>
      <c r="AS18" s="90" t="s">
        <v>1647</v>
      </c>
      <c r="BO18" s="79" t="s">
        <v>3213</v>
      </c>
      <c r="BP18" s="79">
        <v>0</v>
      </c>
      <c r="BQ18" s="79" t="s">
        <v>3217</v>
      </c>
      <c r="BS18" s="79">
        <v>5</v>
      </c>
      <c r="BT18" s="79" t="s">
        <v>3304</v>
      </c>
      <c r="BU18" s="79" t="s">
        <v>1899</v>
      </c>
      <c r="BW18" s="79" t="s">
        <v>3305</v>
      </c>
    </row>
    <row r="19" spans="1:92" x14ac:dyDescent="0.2">
      <c r="A19" s="90" t="s">
        <v>3327</v>
      </c>
      <c r="B19" s="90" t="s">
        <v>3189</v>
      </c>
      <c r="C19" s="79">
        <v>15</v>
      </c>
      <c r="D19" s="79">
        <v>18</v>
      </c>
      <c r="F19" s="90" t="s">
        <v>3328</v>
      </c>
      <c r="G19" s="79" t="s">
        <v>764</v>
      </c>
      <c r="H19" s="79">
        <v>15</v>
      </c>
      <c r="I19" s="79">
        <v>18</v>
      </c>
      <c r="K19" s="90" t="s">
        <v>3329</v>
      </c>
      <c r="L19" s="90" t="s">
        <v>3192</v>
      </c>
      <c r="M19" s="79">
        <v>15</v>
      </c>
      <c r="N19" s="79">
        <v>18</v>
      </c>
      <c r="P19" s="90" t="s">
        <v>3330</v>
      </c>
      <c r="Q19" s="90" t="s">
        <v>1848</v>
      </c>
      <c r="R19" s="79">
        <v>15</v>
      </c>
      <c r="S19" s="79">
        <v>18</v>
      </c>
      <c r="U19" s="90"/>
      <c r="Z19" s="79" t="s">
        <v>608</v>
      </c>
      <c r="AA19" s="79" t="s">
        <v>1054</v>
      </c>
      <c r="AF19" s="90" t="s">
        <v>1773</v>
      </c>
      <c r="AG19" s="273">
        <v>0.01</v>
      </c>
      <c r="AH19" s="85">
        <v>0.04</v>
      </c>
      <c r="AI19" s="86">
        <f t="shared" si="2"/>
        <v>4000</v>
      </c>
      <c r="AJ19" s="86">
        <f t="shared" si="2"/>
        <v>16000</v>
      </c>
      <c r="AK19" s="86">
        <f t="shared" si="1"/>
        <v>2000</v>
      </c>
      <c r="AM19" s="90" t="s">
        <v>889</v>
      </c>
      <c r="AN19" s="90" t="s">
        <v>1875</v>
      </c>
      <c r="AO19" s="79">
        <v>-1</v>
      </c>
      <c r="AP19" s="79" t="s">
        <v>1875</v>
      </c>
      <c r="AQ19" s="90" t="s">
        <v>889</v>
      </c>
      <c r="AR19" s="90">
        <v>3</v>
      </c>
      <c r="AS19" s="90" t="s">
        <v>285</v>
      </c>
      <c r="BO19" s="79" t="s">
        <v>3213</v>
      </c>
      <c r="BP19" s="79">
        <v>1</v>
      </c>
      <c r="BQ19" s="90" t="s">
        <v>3232</v>
      </c>
      <c r="BS19" s="79">
        <v>6</v>
      </c>
      <c r="BT19" s="79" t="s">
        <v>3306</v>
      </c>
      <c r="BU19" s="79" t="s">
        <v>1704</v>
      </c>
      <c r="BW19" s="79" t="s">
        <v>3307</v>
      </c>
    </row>
    <row r="20" spans="1:92" x14ac:dyDescent="0.2">
      <c r="A20" s="90" t="s">
        <v>3327</v>
      </c>
      <c r="B20" s="90" t="s">
        <v>2058</v>
      </c>
      <c r="C20" s="79">
        <v>16</v>
      </c>
      <c r="D20" s="79">
        <v>19</v>
      </c>
      <c r="F20" s="90" t="s">
        <v>3328</v>
      </c>
      <c r="G20" s="79" t="s">
        <v>3326</v>
      </c>
      <c r="H20" s="79">
        <v>16</v>
      </c>
      <c r="I20" s="79">
        <v>19</v>
      </c>
      <c r="K20" s="90" t="s">
        <v>3329</v>
      </c>
      <c r="L20" s="90" t="s">
        <v>3193</v>
      </c>
      <c r="M20" s="79">
        <v>16</v>
      </c>
      <c r="N20" s="79">
        <v>19</v>
      </c>
      <c r="P20" s="90" t="s">
        <v>3330</v>
      </c>
      <c r="Q20" s="90" t="s">
        <v>1856</v>
      </c>
      <c r="R20" s="79">
        <v>16</v>
      </c>
      <c r="S20" s="79">
        <v>19</v>
      </c>
      <c r="Z20" s="79" t="s">
        <v>608</v>
      </c>
      <c r="AA20" s="79" t="s">
        <v>842</v>
      </c>
      <c r="AF20" s="90" t="s">
        <v>926</v>
      </c>
      <c r="AG20" s="273">
        <v>0.01</v>
      </c>
      <c r="AH20" s="85">
        <v>0.03</v>
      </c>
      <c r="AI20" s="86">
        <f t="shared" si="2"/>
        <v>4000</v>
      </c>
      <c r="AJ20" s="86">
        <f t="shared" si="2"/>
        <v>12000</v>
      </c>
      <c r="AK20" s="86">
        <f t="shared" si="1"/>
        <v>2000</v>
      </c>
      <c r="AM20" s="90" t="s">
        <v>1895</v>
      </c>
      <c r="AN20" s="90" t="s">
        <v>1876</v>
      </c>
      <c r="AO20" s="79">
        <v>1</v>
      </c>
      <c r="AP20" s="79" t="s">
        <v>1876</v>
      </c>
      <c r="AQ20" s="90" t="s">
        <v>1895</v>
      </c>
      <c r="AR20" s="90">
        <v>3</v>
      </c>
      <c r="AS20" s="90" t="s">
        <v>285</v>
      </c>
      <c r="BO20" s="79" t="s">
        <v>3213</v>
      </c>
      <c r="BP20" s="79">
        <v>2</v>
      </c>
      <c r="BQ20" s="79" t="s">
        <v>3224</v>
      </c>
      <c r="BS20" s="79">
        <v>7</v>
      </c>
      <c r="BT20" s="79" t="s">
        <v>3308</v>
      </c>
      <c r="BU20" s="79" t="s">
        <v>1893</v>
      </c>
      <c r="BW20" s="79" t="s">
        <v>3309</v>
      </c>
    </row>
    <row r="21" spans="1:92" x14ac:dyDescent="0.2">
      <c r="A21" s="90" t="s">
        <v>3327</v>
      </c>
      <c r="B21" s="90" t="s">
        <v>2059</v>
      </c>
      <c r="C21" s="79">
        <v>17</v>
      </c>
      <c r="D21" s="79">
        <v>20</v>
      </c>
      <c r="F21" s="90" t="s">
        <v>3328</v>
      </c>
      <c r="H21" s="79">
        <v>17</v>
      </c>
      <c r="I21" s="79">
        <v>20</v>
      </c>
      <c r="J21" s="83"/>
      <c r="K21" s="90" t="s">
        <v>3329</v>
      </c>
      <c r="L21" s="90" t="s">
        <v>3200</v>
      </c>
      <c r="M21" s="79">
        <v>17</v>
      </c>
      <c r="N21" s="83">
        <v>20</v>
      </c>
      <c r="O21" s="83"/>
      <c r="P21" s="90" t="s">
        <v>3330</v>
      </c>
      <c r="Q21" s="90" t="s">
        <v>1849</v>
      </c>
      <c r="R21" s="79">
        <v>17</v>
      </c>
      <c r="S21" s="79">
        <v>20</v>
      </c>
      <c r="T21" s="83"/>
      <c r="U21" s="83"/>
      <c r="W21" s="83"/>
      <c r="X21" s="83"/>
      <c r="Y21" s="83"/>
      <c r="Z21" s="79" t="s">
        <v>608</v>
      </c>
      <c r="AA21" s="79" t="s">
        <v>1055</v>
      </c>
      <c r="AB21" s="83"/>
      <c r="AC21" s="83"/>
      <c r="AD21" s="83"/>
      <c r="AE21" s="83"/>
      <c r="AF21" s="90" t="s">
        <v>132</v>
      </c>
      <c r="AG21" s="273">
        <v>5.0000000000000001E-3</v>
      </c>
      <c r="AH21" s="85">
        <v>0.01</v>
      </c>
      <c r="AI21" s="86">
        <f t="shared" si="2"/>
        <v>2000</v>
      </c>
      <c r="AJ21" s="86">
        <f t="shared" si="2"/>
        <v>4000</v>
      </c>
      <c r="AK21" s="86">
        <f t="shared" si="1"/>
        <v>1000</v>
      </c>
      <c r="AL21" s="87"/>
      <c r="AM21" s="90" t="s">
        <v>285</v>
      </c>
      <c r="AN21" s="90" t="s">
        <v>1654</v>
      </c>
      <c r="AO21" s="79">
        <v>0</v>
      </c>
      <c r="AP21" s="79" t="s">
        <v>1654</v>
      </c>
      <c r="AQ21" s="90" t="s">
        <v>285</v>
      </c>
      <c r="AR21" s="90">
        <v>3</v>
      </c>
      <c r="AS21" s="90" t="s">
        <v>285</v>
      </c>
      <c r="AT21" s="83"/>
      <c r="AU21" s="83"/>
      <c r="AV21" s="83"/>
      <c r="AW21" s="83"/>
      <c r="AX21" s="83"/>
      <c r="BA21" s="83"/>
      <c r="BB21" s="83"/>
      <c r="BC21" s="83"/>
      <c r="BD21" s="83"/>
      <c r="BE21" s="83"/>
      <c r="BF21" s="83"/>
      <c r="BG21" s="83"/>
      <c r="BJ21" s="83"/>
      <c r="BQ21" s="90" t="s">
        <v>3212</v>
      </c>
      <c r="BS21" s="79">
        <v>8</v>
      </c>
      <c r="BT21" s="79" t="s">
        <v>3310</v>
      </c>
      <c r="BU21" s="79" t="s">
        <v>1647</v>
      </c>
      <c r="BW21" s="79" t="s">
        <v>3311</v>
      </c>
      <c r="CL21" s="83"/>
      <c r="CM21" s="83"/>
      <c r="CN21" s="83"/>
    </row>
    <row r="22" spans="1:92" x14ac:dyDescent="0.2">
      <c r="A22" s="90" t="s">
        <v>3327</v>
      </c>
      <c r="B22" s="90" t="s">
        <v>2056</v>
      </c>
      <c r="C22" s="79">
        <v>18</v>
      </c>
      <c r="D22" s="79">
        <v>21</v>
      </c>
      <c r="F22" s="90" t="s">
        <v>3328</v>
      </c>
      <c r="H22" s="79">
        <v>18</v>
      </c>
      <c r="I22" s="79">
        <v>21</v>
      </c>
      <c r="K22" s="90" t="s">
        <v>3329</v>
      </c>
      <c r="L22" s="90" t="s">
        <v>3201</v>
      </c>
      <c r="M22" s="79">
        <v>18</v>
      </c>
      <c r="N22" s="79">
        <v>21</v>
      </c>
      <c r="P22" s="90" t="s">
        <v>3330</v>
      </c>
      <c r="R22" s="79">
        <v>18</v>
      </c>
      <c r="S22" s="79">
        <v>21</v>
      </c>
      <c r="Z22" s="79" t="s">
        <v>608</v>
      </c>
      <c r="AA22" s="79" t="s">
        <v>1057</v>
      </c>
      <c r="AF22" s="90" t="s">
        <v>1886</v>
      </c>
      <c r="AG22" s="273">
        <v>0</v>
      </c>
      <c r="AH22" s="85">
        <v>0</v>
      </c>
      <c r="AI22" s="86">
        <v>0</v>
      </c>
      <c r="AJ22" s="86">
        <v>0</v>
      </c>
      <c r="AK22" s="86">
        <v>0</v>
      </c>
      <c r="AY22" s="83"/>
      <c r="AZ22" s="83"/>
      <c r="BO22" s="79" t="s">
        <v>789</v>
      </c>
      <c r="BP22" s="79">
        <v>-2</v>
      </c>
      <c r="BQ22" s="90" t="s">
        <v>3225</v>
      </c>
      <c r="BS22" s="79">
        <v>9</v>
      </c>
      <c r="BT22" s="79" t="s">
        <v>3312</v>
      </c>
      <c r="BU22" s="79" t="s">
        <v>1647</v>
      </c>
      <c r="BW22" s="79" t="s">
        <v>3313</v>
      </c>
    </row>
    <row r="23" spans="1:92" x14ac:dyDescent="0.2">
      <c r="A23" s="90" t="s">
        <v>3327</v>
      </c>
      <c r="B23" s="90" t="s">
        <v>923</v>
      </c>
      <c r="C23" s="79">
        <v>19</v>
      </c>
      <c r="D23" s="79">
        <v>22</v>
      </c>
      <c r="K23" s="90" t="s">
        <v>3329</v>
      </c>
      <c r="L23" s="90" t="s">
        <v>3190</v>
      </c>
      <c r="M23" s="83">
        <v>19</v>
      </c>
      <c r="N23" s="79">
        <v>22</v>
      </c>
      <c r="Z23" s="79" t="s">
        <v>608</v>
      </c>
      <c r="AA23" s="79" t="s">
        <v>1060</v>
      </c>
      <c r="AF23" s="90" t="s">
        <v>1654</v>
      </c>
      <c r="AG23" s="273">
        <v>0</v>
      </c>
      <c r="AH23" s="85">
        <v>0</v>
      </c>
      <c r="AI23" s="86">
        <v>500</v>
      </c>
      <c r="AJ23" s="86">
        <v>1000</v>
      </c>
      <c r="AK23" s="86">
        <f>AI23</f>
        <v>500</v>
      </c>
      <c r="BO23" s="79" t="s">
        <v>789</v>
      </c>
      <c r="BP23" s="79">
        <v>-1</v>
      </c>
      <c r="BQ23" s="90" t="s">
        <v>3230</v>
      </c>
      <c r="BS23" s="79">
        <v>10</v>
      </c>
      <c r="BT23" s="79" t="s">
        <v>3314</v>
      </c>
      <c r="BU23" s="79" t="s">
        <v>1705</v>
      </c>
      <c r="BW23" s="79" t="s">
        <v>3315</v>
      </c>
    </row>
    <row r="24" spans="1:92" x14ac:dyDescent="0.2">
      <c r="A24" s="90" t="s">
        <v>3327</v>
      </c>
      <c r="B24" s="90" t="s">
        <v>924</v>
      </c>
      <c r="C24" s="79">
        <v>20</v>
      </c>
      <c r="D24" s="79">
        <v>23</v>
      </c>
      <c r="K24" s="90" t="s">
        <v>3329</v>
      </c>
      <c r="L24" s="90" t="s">
        <v>1780</v>
      </c>
      <c r="M24" s="79">
        <v>20</v>
      </c>
      <c r="N24" s="79">
        <v>23</v>
      </c>
      <c r="AF24" s="90" t="s">
        <v>1774</v>
      </c>
      <c r="AG24" s="273">
        <v>0</v>
      </c>
      <c r="AH24" s="85">
        <v>0</v>
      </c>
      <c r="AI24" s="86">
        <v>500</v>
      </c>
      <c r="AJ24" s="86">
        <v>1000</v>
      </c>
      <c r="AK24" s="86">
        <f>AI24</f>
        <v>500</v>
      </c>
      <c r="BO24" s="79" t="s">
        <v>789</v>
      </c>
      <c r="BP24" s="79">
        <v>0</v>
      </c>
      <c r="BQ24" s="90" t="s">
        <v>3241</v>
      </c>
    </row>
    <row r="25" spans="1:92" x14ac:dyDescent="0.2">
      <c r="A25" s="90" t="s">
        <v>3327</v>
      </c>
      <c r="B25" s="90" t="s">
        <v>1865</v>
      </c>
      <c r="C25" s="79">
        <v>21</v>
      </c>
      <c r="D25" s="79">
        <v>24</v>
      </c>
      <c r="K25" s="90" t="s">
        <v>3329</v>
      </c>
      <c r="L25" s="90" t="s">
        <v>2026</v>
      </c>
      <c r="M25" s="79">
        <v>21</v>
      </c>
      <c r="N25" s="79">
        <v>24</v>
      </c>
      <c r="AF25" s="90"/>
      <c r="AI25" s="86"/>
      <c r="AJ25" s="86"/>
      <c r="AK25" s="86"/>
      <c r="AN25" s="83"/>
      <c r="AO25" s="83"/>
      <c r="BO25" s="79" t="s">
        <v>789</v>
      </c>
      <c r="BP25" s="79">
        <v>1</v>
      </c>
      <c r="BQ25" s="90" t="s">
        <v>3228</v>
      </c>
      <c r="BS25" s="95" t="s">
        <v>3412</v>
      </c>
      <c r="BT25" s="78" t="s">
        <v>283</v>
      </c>
      <c r="BU25" s="78" t="s">
        <v>1811</v>
      </c>
      <c r="BV25" s="95" t="s">
        <v>1701</v>
      </c>
      <c r="BW25" s="78" t="s">
        <v>283</v>
      </c>
      <c r="BX25" s="78"/>
    </row>
    <row r="26" spans="1:92" x14ac:dyDescent="0.2">
      <c r="A26" s="90" t="s">
        <v>3327</v>
      </c>
      <c r="B26" s="90" t="s">
        <v>3173</v>
      </c>
      <c r="C26" s="79">
        <v>22</v>
      </c>
      <c r="D26" s="79">
        <v>25</v>
      </c>
      <c r="K26" s="90" t="s">
        <v>3329</v>
      </c>
      <c r="L26" s="90" t="s">
        <v>2034</v>
      </c>
      <c r="M26" s="79">
        <v>22</v>
      </c>
      <c r="N26" s="79">
        <v>25</v>
      </c>
      <c r="AP26" s="83"/>
      <c r="AQ26" s="83"/>
      <c r="AR26" s="83"/>
      <c r="AS26" s="83"/>
      <c r="BO26" s="79" t="s">
        <v>789</v>
      </c>
      <c r="BP26" s="79">
        <v>2</v>
      </c>
      <c r="BQ26" s="90" t="s">
        <v>3226</v>
      </c>
      <c r="BS26" s="79">
        <v>4</v>
      </c>
      <c r="BT26" s="90" t="s">
        <v>3393</v>
      </c>
      <c r="BU26" s="90" t="s">
        <v>3283</v>
      </c>
      <c r="BV26" s="90">
        <f t="shared" ref="BV26:BV31" si="3">_xlfn.XLOOKUP(BU26,$AQ$2:$AQ$21,$AO$2:$AO$21)</f>
        <v>10</v>
      </c>
      <c r="BW26" s="90" t="s">
        <v>3415</v>
      </c>
    </row>
    <row r="27" spans="1:92" x14ac:dyDescent="0.2">
      <c r="A27" s="90" t="s">
        <v>3327</v>
      </c>
      <c r="B27" s="90" t="s">
        <v>3174</v>
      </c>
      <c r="C27" s="79">
        <v>23</v>
      </c>
      <c r="D27" s="79">
        <v>26</v>
      </c>
      <c r="K27" s="90" t="s">
        <v>3329</v>
      </c>
      <c r="L27" s="90" t="s">
        <v>1986</v>
      </c>
      <c r="M27" s="79">
        <v>23</v>
      </c>
      <c r="N27" s="79">
        <v>26</v>
      </c>
      <c r="AM27" s="83"/>
      <c r="BQ27" s="90" t="s">
        <v>3212</v>
      </c>
      <c r="BS27" s="79">
        <v>3</v>
      </c>
      <c r="BT27" s="90" t="s">
        <v>3431</v>
      </c>
      <c r="BU27" s="90" t="s">
        <v>1705</v>
      </c>
      <c r="BV27" s="90">
        <f t="shared" si="3"/>
        <v>9</v>
      </c>
      <c r="BW27" s="90" t="s">
        <v>3413</v>
      </c>
    </row>
    <row r="28" spans="1:92" x14ac:dyDescent="0.2">
      <c r="A28" s="90" t="s">
        <v>3327</v>
      </c>
      <c r="B28" s="79" t="s">
        <v>1439</v>
      </c>
      <c r="C28" s="79">
        <v>24</v>
      </c>
      <c r="D28" s="79">
        <v>27</v>
      </c>
      <c r="K28" s="90" t="s">
        <v>3329</v>
      </c>
      <c r="L28" s="90" t="s">
        <v>1987</v>
      </c>
      <c r="M28" s="79">
        <v>24</v>
      </c>
      <c r="N28" s="79">
        <v>27</v>
      </c>
      <c r="BO28" s="90" t="s">
        <v>3214</v>
      </c>
      <c r="BP28" s="79">
        <v>0</v>
      </c>
      <c r="BQ28" s="79" t="s">
        <v>3219</v>
      </c>
      <c r="BS28" s="79">
        <v>2</v>
      </c>
      <c r="BT28" s="90" t="s">
        <v>3435</v>
      </c>
      <c r="BU28" s="90" t="s">
        <v>285</v>
      </c>
      <c r="BV28" s="90">
        <f t="shared" si="3"/>
        <v>0</v>
      </c>
      <c r="BW28" s="90" t="s">
        <v>3438</v>
      </c>
    </row>
    <row r="29" spans="1:92" x14ac:dyDescent="0.2">
      <c r="A29" s="90" t="s">
        <v>3327</v>
      </c>
      <c r="B29" s="79" t="s">
        <v>1440</v>
      </c>
      <c r="C29" s="79">
        <v>25</v>
      </c>
      <c r="D29" s="79">
        <v>28</v>
      </c>
      <c r="K29" s="90" t="s">
        <v>3329</v>
      </c>
      <c r="L29" s="79" t="s">
        <v>1990</v>
      </c>
      <c r="M29" s="79">
        <v>25</v>
      </c>
      <c r="N29" s="79">
        <v>28</v>
      </c>
      <c r="BO29" s="79" t="s">
        <v>3214</v>
      </c>
      <c r="BP29" s="79">
        <v>1</v>
      </c>
      <c r="BQ29" s="90" t="s">
        <v>3227</v>
      </c>
      <c r="BS29" s="79">
        <v>1</v>
      </c>
      <c r="BT29" s="90" t="s">
        <v>3436</v>
      </c>
      <c r="BU29" s="90" t="s">
        <v>1899</v>
      </c>
      <c r="BV29" s="90">
        <f t="shared" si="3"/>
        <v>-9</v>
      </c>
      <c r="BW29" s="90" t="s">
        <v>3437</v>
      </c>
    </row>
    <row r="30" spans="1:92" x14ac:dyDescent="0.2">
      <c r="A30" s="90" t="s">
        <v>3327</v>
      </c>
      <c r="B30" s="79" t="s">
        <v>6</v>
      </c>
      <c r="C30" s="79">
        <v>26</v>
      </c>
      <c r="D30" s="79">
        <v>29</v>
      </c>
      <c r="K30" s="90" t="s">
        <v>3329</v>
      </c>
      <c r="L30" s="90" t="s">
        <v>1991</v>
      </c>
      <c r="M30" s="79">
        <v>26</v>
      </c>
      <c r="N30" s="79">
        <v>29</v>
      </c>
      <c r="BO30" s="79" t="s">
        <v>3214</v>
      </c>
      <c r="BP30" s="79">
        <v>2</v>
      </c>
      <c r="BQ30" s="79" t="s">
        <v>3218</v>
      </c>
      <c r="BS30" s="79">
        <v>-1</v>
      </c>
      <c r="BT30" s="90" t="s">
        <v>3471</v>
      </c>
      <c r="BU30" s="90" t="s">
        <v>1892</v>
      </c>
      <c r="BV30" s="90">
        <f t="shared" si="3"/>
        <v>-10</v>
      </c>
      <c r="BW30" s="90" t="s">
        <v>3472</v>
      </c>
    </row>
    <row r="31" spans="1:92" x14ac:dyDescent="0.2">
      <c r="A31" s="90" t="s">
        <v>3327</v>
      </c>
      <c r="B31" s="90" t="s">
        <v>2047</v>
      </c>
      <c r="C31" s="79">
        <v>27</v>
      </c>
      <c r="D31" s="79">
        <v>30</v>
      </c>
      <c r="K31" s="90" t="s">
        <v>3329</v>
      </c>
      <c r="L31" s="90" t="s">
        <v>2000</v>
      </c>
      <c r="M31" s="79">
        <v>27</v>
      </c>
      <c r="N31" s="79">
        <v>30</v>
      </c>
      <c r="P31" s="90"/>
      <c r="BO31" s="79" t="s">
        <v>3214</v>
      </c>
      <c r="BP31" s="79">
        <v>3</v>
      </c>
      <c r="BQ31" s="79" t="s">
        <v>3220</v>
      </c>
      <c r="BS31" s="79">
        <v>-2</v>
      </c>
      <c r="BT31" s="90" t="s">
        <v>3398</v>
      </c>
      <c r="BU31" s="90" t="s">
        <v>1892</v>
      </c>
      <c r="BV31" s="90">
        <f t="shared" si="3"/>
        <v>-10</v>
      </c>
      <c r="BW31" s="90" t="s">
        <v>3414</v>
      </c>
    </row>
    <row r="32" spans="1:92" x14ac:dyDescent="0.2">
      <c r="A32" s="90" t="s">
        <v>3327</v>
      </c>
      <c r="B32" s="90" t="s">
        <v>164</v>
      </c>
      <c r="C32" s="79">
        <v>28</v>
      </c>
      <c r="D32" s="79">
        <v>31</v>
      </c>
      <c r="K32" s="90" t="s">
        <v>3329</v>
      </c>
      <c r="L32" s="79" t="s">
        <v>1988</v>
      </c>
      <c r="M32" s="79">
        <v>28</v>
      </c>
      <c r="N32" s="79">
        <v>31</v>
      </c>
      <c r="BQ32" s="90" t="s">
        <v>3212</v>
      </c>
    </row>
    <row r="33" spans="1:76" x14ac:dyDescent="0.2">
      <c r="A33" s="90" t="s">
        <v>3327</v>
      </c>
      <c r="B33" s="79" t="s">
        <v>764</v>
      </c>
      <c r="C33" s="79">
        <v>29</v>
      </c>
      <c r="D33" s="79">
        <v>32</v>
      </c>
      <c r="K33" s="90" t="s">
        <v>3329</v>
      </c>
      <c r="L33" s="79" t="s">
        <v>1992</v>
      </c>
      <c r="M33" s="79">
        <v>29</v>
      </c>
      <c r="N33" s="79">
        <v>32</v>
      </c>
      <c r="BO33" s="90" t="s">
        <v>3236</v>
      </c>
      <c r="BP33" s="79">
        <v>2</v>
      </c>
      <c r="BQ33" s="90" t="s">
        <v>3234</v>
      </c>
      <c r="BS33" s="95" t="s">
        <v>3452</v>
      </c>
      <c r="BT33" s="78" t="s">
        <v>283</v>
      </c>
      <c r="BU33" s="95" t="s">
        <v>1811</v>
      </c>
      <c r="BV33" s="95" t="s">
        <v>1701</v>
      </c>
      <c r="BW33" s="78" t="s">
        <v>283</v>
      </c>
      <c r="BX33" s="78"/>
    </row>
    <row r="34" spans="1:76" x14ac:dyDescent="0.2">
      <c r="A34" s="90" t="s">
        <v>3327</v>
      </c>
      <c r="B34" s="89" t="s">
        <v>842</v>
      </c>
      <c r="C34" s="79">
        <v>30</v>
      </c>
      <c r="D34" s="79">
        <v>33</v>
      </c>
      <c r="K34" s="90" t="s">
        <v>3329</v>
      </c>
      <c r="L34" s="79" t="s">
        <v>1993</v>
      </c>
      <c r="M34" s="79">
        <v>30</v>
      </c>
      <c r="N34" s="79">
        <v>33</v>
      </c>
      <c r="BO34" s="90" t="s">
        <v>3236</v>
      </c>
      <c r="BP34" s="79">
        <v>1</v>
      </c>
      <c r="BQ34" s="90" t="s">
        <v>1116</v>
      </c>
      <c r="BS34" s="79">
        <v>6</v>
      </c>
      <c r="BT34" s="90" t="s">
        <v>3465</v>
      </c>
      <c r="BU34" s="90" t="s">
        <v>3283</v>
      </c>
      <c r="BV34" s="90">
        <f t="shared" ref="BV34:BV40" si="4">_xlfn.XLOOKUP(BU34,$AQ$2:$AQ$21,$AO$2:$AO$21)</f>
        <v>10</v>
      </c>
    </row>
    <row r="35" spans="1:76" x14ac:dyDescent="0.2">
      <c r="A35" s="90" t="s">
        <v>3327</v>
      </c>
      <c r="B35" s="79" t="s">
        <v>192</v>
      </c>
      <c r="C35" s="79">
        <v>31</v>
      </c>
      <c r="D35" s="79">
        <v>34</v>
      </c>
      <c r="K35" s="90" t="s">
        <v>3329</v>
      </c>
      <c r="L35" s="90" t="s">
        <v>2001</v>
      </c>
      <c r="M35" s="79">
        <v>31</v>
      </c>
      <c r="N35" s="79">
        <v>34</v>
      </c>
      <c r="BO35" s="90" t="s">
        <v>3236</v>
      </c>
      <c r="BP35" s="79">
        <v>0</v>
      </c>
      <c r="BQ35" s="79" t="s">
        <v>1654</v>
      </c>
      <c r="BS35" s="79">
        <v>5</v>
      </c>
      <c r="BT35" s="90" t="s">
        <v>3466</v>
      </c>
      <c r="BU35" s="90" t="s">
        <v>1705</v>
      </c>
      <c r="BV35" s="90">
        <f t="shared" si="4"/>
        <v>9</v>
      </c>
    </row>
    <row r="36" spans="1:76" x14ac:dyDescent="0.2">
      <c r="A36" s="90" t="s">
        <v>3327</v>
      </c>
      <c r="B36" s="79" t="s">
        <v>180</v>
      </c>
      <c r="C36" s="79">
        <v>32</v>
      </c>
      <c r="D36" s="79">
        <v>35</v>
      </c>
      <c r="K36" s="90" t="s">
        <v>3329</v>
      </c>
      <c r="L36" s="90" t="s">
        <v>1989</v>
      </c>
      <c r="M36" s="79">
        <v>32</v>
      </c>
      <c r="N36" s="79">
        <v>35</v>
      </c>
      <c r="BO36" s="90" t="s">
        <v>3236</v>
      </c>
      <c r="BP36" s="79">
        <v>-1</v>
      </c>
      <c r="BQ36" s="90" t="s">
        <v>1117</v>
      </c>
      <c r="BS36" s="79">
        <v>4</v>
      </c>
      <c r="BT36" s="90" t="s">
        <v>3461</v>
      </c>
      <c r="BU36" s="90" t="s">
        <v>1705</v>
      </c>
      <c r="BV36" s="90">
        <f t="shared" si="4"/>
        <v>9</v>
      </c>
    </row>
    <row r="37" spans="1:76" x14ac:dyDescent="0.2">
      <c r="A37" s="90" t="s">
        <v>3327</v>
      </c>
      <c r="B37" s="79" t="s">
        <v>1837</v>
      </c>
      <c r="C37" s="79">
        <v>33</v>
      </c>
      <c r="D37" s="79">
        <v>36</v>
      </c>
      <c r="K37" s="90" t="s">
        <v>3329</v>
      </c>
      <c r="L37" s="90" t="s">
        <v>1994</v>
      </c>
      <c r="M37" s="79">
        <v>33</v>
      </c>
      <c r="N37" s="79">
        <v>36</v>
      </c>
      <c r="BO37" s="90" t="s">
        <v>3236</v>
      </c>
      <c r="BP37" s="79">
        <v>-2</v>
      </c>
      <c r="BQ37" s="90" t="s">
        <v>3235</v>
      </c>
      <c r="BS37" s="79">
        <v>3</v>
      </c>
      <c r="BT37" s="90" t="s">
        <v>3467</v>
      </c>
      <c r="BU37" s="90" t="s">
        <v>1898</v>
      </c>
      <c r="BV37" s="90">
        <f t="shared" si="4"/>
        <v>8</v>
      </c>
    </row>
    <row r="38" spans="1:76" x14ac:dyDescent="0.2">
      <c r="A38" s="90" t="s">
        <v>3327</v>
      </c>
      <c r="B38" s="79" t="s">
        <v>1838</v>
      </c>
      <c r="C38" s="79">
        <v>34</v>
      </c>
      <c r="D38" s="79">
        <v>37</v>
      </c>
      <c r="K38" s="90" t="s">
        <v>3329</v>
      </c>
      <c r="L38" s="90" t="s">
        <v>1995</v>
      </c>
      <c r="M38" s="79">
        <v>34</v>
      </c>
      <c r="N38" s="79">
        <v>37</v>
      </c>
      <c r="BQ38" s="90" t="s">
        <v>3212</v>
      </c>
      <c r="BS38" s="79">
        <v>2</v>
      </c>
      <c r="BT38" s="90" t="s">
        <v>3457</v>
      </c>
      <c r="BU38" s="90" t="s">
        <v>1898</v>
      </c>
      <c r="BV38" s="90">
        <f t="shared" si="4"/>
        <v>8</v>
      </c>
    </row>
    <row r="39" spans="1:76" x14ac:dyDescent="0.2">
      <c r="A39" s="90" t="s">
        <v>3327</v>
      </c>
      <c r="B39" s="79" t="s">
        <v>1839</v>
      </c>
      <c r="C39" s="79">
        <v>35</v>
      </c>
      <c r="D39" s="79">
        <v>38</v>
      </c>
      <c r="K39" s="90" t="s">
        <v>3329</v>
      </c>
      <c r="L39" s="90" t="s">
        <v>1996</v>
      </c>
      <c r="M39" s="79">
        <v>35</v>
      </c>
      <c r="N39" s="79">
        <v>38</v>
      </c>
      <c r="BS39" s="79">
        <v>1</v>
      </c>
      <c r="BT39" s="90" t="s">
        <v>3458</v>
      </c>
      <c r="BU39" s="90" t="s">
        <v>1898</v>
      </c>
      <c r="BV39" s="90">
        <f t="shared" si="4"/>
        <v>8</v>
      </c>
    </row>
    <row r="40" spans="1:76" x14ac:dyDescent="0.2">
      <c r="A40" s="90" t="s">
        <v>3327</v>
      </c>
      <c r="B40" s="79" t="s">
        <v>1839</v>
      </c>
      <c r="C40" s="79">
        <v>36</v>
      </c>
      <c r="D40" s="79">
        <v>39</v>
      </c>
      <c r="K40" s="90" t="s">
        <v>3329</v>
      </c>
      <c r="L40" s="90" t="s">
        <v>1997</v>
      </c>
      <c r="M40" s="79">
        <v>36</v>
      </c>
      <c r="N40" s="79">
        <v>39</v>
      </c>
      <c r="BS40" s="79">
        <v>-1</v>
      </c>
      <c r="BT40" s="90" t="s">
        <v>3459</v>
      </c>
      <c r="BU40" s="90" t="s">
        <v>1899</v>
      </c>
      <c r="BV40" s="90">
        <f t="shared" si="4"/>
        <v>-9</v>
      </c>
    </row>
    <row r="41" spans="1:76" x14ac:dyDescent="0.2">
      <c r="A41" s="90" t="s">
        <v>3327</v>
      </c>
      <c r="B41" s="79" t="s">
        <v>1839</v>
      </c>
      <c r="C41" s="79">
        <v>37</v>
      </c>
      <c r="D41" s="79">
        <v>40</v>
      </c>
      <c r="K41" s="90" t="s">
        <v>3329</v>
      </c>
      <c r="L41" s="90" t="s">
        <v>1998</v>
      </c>
      <c r="M41" s="79">
        <v>37</v>
      </c>
      <c r="N41" s="79">
        <v>40</v>
      </c>
    </row>
    <row r="42" spans="1:76" x14ac:dyDescent="0.2">
      <c r="A42" s="90" t="s">
        <v>3327</v>
      </c>
      <c r="B42" s="90" t="s">
        <v>2007</v>
      </c>
      <c r="C42" s="79">
        <v>38</v>
      </c>
      <c r="D42" s="79">
        <v>41</v>
      </c>
      <c r="K42" s="90" t="s">
        <v>3329</v>
      </c>
      <c r="L42" s="90" t="s">
        <v>1999</v>
      </c>
      <c r="M42" s="79">
        <v>38</v>
      </c>
      <c r="N42" s="79">
        <v>41</v>
      </c>
      <c r="BS42" s="95" t="s">
        <v>3451</v>
      </c>
      <c r="BT42" s="78" t="s">
        <v>283</v>
      </c>
      <c r="BU42" s="95" t="s">
        <v>3393</v>
      </c>
      <c r="BV42" s="95" t="s">
        <v>1701</v>
      </c>
      <c r="BW42" s="78" t="s">
        <v>283</v>
      </c>
      <c r="BX42" s="78"/>
    </row>
    <row r="43" spans="1:76" x14ac:dyDescent="0.2">
      <c r="A43" s="90" t="s">
        <v>3327</v>
      </c>
      <c r="B43" s="79" t="s">
        <v>936</v>
      </c>
      <c r="C43" s="79">
        <v>39</v>
      </c>
      <c r="D43" s="79">
        <v>42</v>
      </c>
      <c r="K43" s="90" t="s">
        <v>3329</v>
      </c>
      <c r="L43" s="90" t="s">
        <v>2016</v>
      </c>
      <c r="M43" s="79">
        <v>39</v>
      </c>
      <c r="N43" s="79">
        <v>42</v>
      </c>
      <c r="BS43" s="79">
        <v>5</v>
      </c>
      <c r="BT43" s="90" t="s">
        <v>3460</v>
      </c>
      <c r="BU43" s="90" t="s">
        <v>3283</v>
      </c>
      <c r="BV43" s="90">
        <f t="shared" ref="BV43:BV48" si="5">_xlfn.XLOOKUP(BU43,$AQ$2:$AQ$21,$AO$2:$AO$21)</f>
        <v>10</v>
      </c>
    </row>
    <row r="44" spans="1:76" x14ac:dyDescent="0.2">
      <c r="A44" s="90" t="s">
        <v>3327</v>
      </c>
      <c r="B44" s="79" t="s">
        <v>937</v>
      </c>
      <c r="C44" s="79">
        <v>40</v>
      </c>
      <c r="D44" s="79">
        <v>43</v>
      </c>
      <c r="K44" s="90" t="s">
        <v>3329</v>
      </c>
      <c r="L44" s="90" t="s">
        <v>2067</v>
      </c>
      <c r="M44" s="79">
        <v>40</v>
      </c>
      <c r="N44" s="79">
        <v>43</v>
      </c>
      <c r="BS44" s="79">
        <v>4</v>
      </c>
      <c r="BT44" s="90" t="s">
        <v>3461</v>
      </c>
      <c r="BU44" s="90" t="s">
        <v>3283</v>
      </c>
      <c r="BV44" s="90">
        <f t="shared" si="5"/>
        <v>10</v>
      </c>
    </row>
    <row r="45" spans="1:76" x14ac:dyDescent="0.2">
      <c r="A45" s="90" t="s">
        <v>3327</v>
      </c>
      <c r="B45" s="79" t="s">
        <v>13</v>
      </c>
      <c r="C45" s="79">
        <v>41</v>
      </c>
      <c r="D45" s="79">
        <v>44</v>
      </c>
      <c r="K45" s="90" t="s">
        <v>3329</v>
      </c>
      <c r="L45" s="90" t="s">
        <v>2069</v>
      </c>
      <c r="M45" s="79">
        <v>41</v>
      </c>
      <c r="N45" s="79">
        <v>44</v>
      </c>
      <c r="BS45" s="79">
        <v>3</v>
      </c>
      <c r="BT45" s="90" t="s">
        <v>3462</v>
      </c>
      <c r="BU45" s="90" t="s">
        <v>1898</v>
      </c>
      <c r="BV45" s="90">
        <f t="shared" si="5"/>
        <v>8</v>
      </c>
    </row>
    <row r="46" spans="1:76" x14ac:dyDescent="0.2">
      <c r="A46" s="90" t="s">
        <v>3327</v>
      </c>
      <c r="B46" s="79" t="s">
        <v>1099</v>
      </c>
      <c r="C46" s="79">
        <v>42</v>
      </c>
      <c r="D46" s="79">
        <v>45</v>
      </c>
      <c r="K46" s="90" t="s">
        <v>3329</v>
      </c>
      <c r="L46" s="90" t="s">
        <v>1439</v>
      </c>
      <c r="M46" s="79">
        <v>42</v>
      </c>
      <c r="N46" s="79">
        <v>45</v>
      </c>
      <c r="BS46" s="79">
        <v>2</v>
      </c>
      <c r="BT46" s="90" t="s">
        <v>3470</v>
      </c>
      <c r="BU46" s="90" t="s">
        <v>1898</v>
      </c>
      <c r="BV46" s="90">
        <f t="shared" si="5"/>
        <v>8</v>
      </c>
    </row>
    <row r="47" spans="1:76" x14ac:dyDescent="0.2">
      <c r="A47" s="90" t="s">
        <v>3327</v>
      </c>
      <c r="B47" s="79" t="s">
        <v>1836</v>
      </c>
      <c r="C47" s="79">
        <v>43</v>
      </c>
      <c r="D47" s="79">
        <v>46</v>
      </c>
      <c r="K47" s="90" t="s">
        <v>3329</v>
      </c>
      <c r="L47" s="90" t="s">
        <v>1440</v>
      </c>
      <c r="M47" s="79">
        <v>43</v>
      </c>
      <c r="N47" s="79">
        <v>46</v>
      </c>
      <c r="BS47" s="79">
        <v>1</v>
      </c>
      <c r="BT47" s="90" t="s">
        <v>3463</v>
      </c>
      <c r="BU47" s="90" t="s">
        <v>285</v>
      </c>
      <c r="BV47" s="90">
        <f t="shared" si="5"/>
        <v>0</v>
      </c>
    </row>
    <row r="48" spans="1:76" x14ac:dyDescent="0.2">
      <c r="A48" s="90" t="s">
        <v>3327</v>
      </c>
      <c r="B48" s="79" t="s">
        <v>1836</v>
      </c>
      <c r="C48" s="79">
        <v>44</v>
      </c>
      <c r="D48" s="79">
        <v>47</v>
      </c>
      <c r="K48" s="90" t="s">
        <v>3329</v>
      </c>
      <c r="L48" s="90" t="s">
        <v>6</v>
      </c>
      <c r="M48" s="79">
        <v>44</v>
      </c>
      <c r="N48" s="79">
        <v>47</v>
      </c>
      <c r="BS48" s="79">
        <v>-1</v>
      </c>
      <c r="BT48" s="90" t="s">
        <v>3464</v>
      </c>
      <c r="BU48" s="90" t="s">
        <v>1704</v>
      </c>
      <c r="BV48" s="90">
        <f t="shared" si="5"/>
        <v>-8</v>
      </c>
    </row>
    <row r="49" spans="1:76" x14ac:dyDescent="0.2">
      <c r="A49" s="90" t="s">
        <v>3327</v>
      </c>
      <c r="B49" s="90" t="s">
        <v>187</v>
      </c>
      <c r="C49" s="79">
        <v>45</v>
      </c>
      <c r="D49" s="79">
        <v>48</v>
      </c>
      <c r="K49" s="90" t="s">
        <v>3329</v>
      </c>
      <c r="L49" s="90" t="s">
        <v>1980</v>
      </c>
      <c r="M49" s="79">
        <v>45</v>
      </c>
      <c r="N49" s="79">
        <v>48</v>
      </c>
    </row>
    <row r="50" spans="1:76" x14ac:dyDescent="0.2">
      <c r="A50" s="90" t="s">
        <v>3327</v>
      </c>
      <c r="B50" s="79" t="s">
        <v>1275</v>
      </c>
      <c r="C50" s="79">
        <v>46</v>
      </c>
      <c r="D50" s="79">
        <v>49</v>
      </c>
      <c r="K50" s="90" t="s">
        <v>3329</v>
      </c>
      <c r="L50" s="90" t="s">
        <v>1982</v>
      </c>
      <c r="M50" s="79">
        <v>46</v>
      </c>
      <c r="N50" s="79">
        <v>49</v>
      </c>
      <c r="BS50" s="95" t="s">
        <v>3399</v>
      </c>
      <c r="BT50" s="78" t="s">
        <v>283</v>
      </c>
      <c r="BU50" s="95" t="s">
        <v>1811</v>
      </c>
      <c r="BV50" s="95" t="s">
        <v>1701</v>
      </c>
      <c r="BW50" s="78"/>
      <c r="BX50" s="78"/>
    </row>
    <row r="51" spans="1:76" x14ac:dyDescent="0.2">
      <c r="A51" s="90" t="s">
        <v>3327</v>
      </c>
      <c r="B51" s="79" t="s">
        <v>856</v>
      </c>
      <c r="C51" s="79">
        <v>47</v>
      </c>
      <c r="D51" s="79">
        <v>50</v>
      </c>
      <c r="K51" s="90" t="s">
        <v>3329</v>
      </c>
      <c r="L51" s="90" t="s">
        <v>1981</v>
      </c>
      <c r="M51" s="79">
        <v>47</v>
      </c>
      <c r="N51" s="79">
        <v>50</v>
      </c>
      <c r="BS51" s="79">
        <v>4</v>
      </c>
      <c r="BT51" s="90" t="s">
        <v>3393</v>
      </c>
      <c r="BU51" s="90" t="s">
        <v>3283</v>
      </c>
      <c r="BV51" s="90">
        <f>_xlfn.XLOOKUP(BU51,$AQ$2:$AQ$21,$AO$2:$AO$21)</f>
        <v>10</v>
      </c>
      <c r="BW51" s="90" t="s">
        <v>3271</v>
      </c>
      <c r="BX51" s="90" t="s">
        <v>3276</v>
      </c>
    </row>
    <row r="52" spans="1:76" x14ac:dyDescent="0.2">
      <c r="A52" s="90" t="s">
        <v>3327</v>
      </c>
      <c r="B52" s="79" t="s">
        <v>186</v>
      </c>
      <c r="C52" s="79">
        <v>48</v>
      </c>
      <c r="D52" s="79">
        <v>51</v>
      </c>
      <c r="K52" s="90" t="s">
        <v>3329</v>
      </c>
      <c r="L52" s="90" t="s">
        <v>1983</v>
      </c>
      <c r="M52" s="79">
        <v>48</v>
      </c>
      <c r="N52" s="79">
        <v>51</v>
      </c>
      <c r="BS52" s="79">
        <v>3</v>
      </c>
      <c r="BT52" s="90" t="s">
        <v>3431</v>
      </c>
      <c r="BU52" s="90" t="s">
        <v>3283</v>
      </c>
      <c r="BV52" s="90">
        <f>_xlfn.XLOOKUP(BU52,$AQ$2:$AQ$21,$AO$2:$AO$21)</f>
        <v>10</v>
      </c>
      <c r="BW52" s="90" t="s">
        <v>3271</v>
      </c>
      <c r="BX52" s="90" t="s">
        <v>3410</v>
      </c>
    </row>
    <row r="53" spans="1:76" x14ac:dyDescent="0.2">
      <c r="A53" s="90" t="s">
        <v>3327</v>
      </c>
      <c r="B53" s="79" t="s">
        <v>861</v>
      </c>
      <c r="C53" s="79">
        <v>49</v>
      </c>
      <c r="D53" s="79">
        <v>52</v>
      </c>
      <c r="K53" s="90" t="s">
        <v>3329</v>
      </c>
      <c r="L53" s="90" t="s">
        <v>1984</v>
      </c>
      <c r="M53" s="79">
        <v>49</v>
      </c>
      <c r="N53" s="79">
        <v>52</v>
      </c>
      <c r="BS53" s="79">
        <v>2</v>
      </c>
      <c r="BT53" s="90" t="s">
        <v>3396</v>
      </c>
      <c r="BU53" s="90" t="s">
        <v>1898</v>
      </c>
      <c r="BV53" s="90">
        <f>_xlfn.XLOOKUP(BU53,$AQ$2:$AQ$21,$AO$2:$AO$21)</f>
        <v>8</v>
      </c>
      <c r="BW53" s="90" t="s">
        <v>3267</v>
      </c>
      <c r="BX53" s="90" t="s">
        <v>3400</v>
      </c>
    </row>
    <row r="54" spans="1:76" x14ac:dyDescent="0.2">
      <c r="A54" s="90" t="s">
        <v>3327</v>
      </c>
      <c r="B54" s="79" t="s">
        <v>860</v>
      </c>
      <c r="C54" s="79">
        <v>50</v>
      </c>
      <c r="D54" s="79">
        <v>53</v>
      </c>
      <c r="K54" s="90" t="s">
        <v>3329</v>
      </c>
      <c r="L54" s="90" t="s">
        <v>1985</v>
      </c>
      <c r="M54" s="79">
        <v>50</v>
      </c>
      <c r="N54" s="79">
        <v>53</v>
      </c>
      <c r="BS54" s="79">
        <v>1</v>
      </c>
      <c r="BT54" s="90" t="s">
        <v>3394</v>
      </c>
      <c r="BU54" s="90" t="s">
        <v>1705</v>
      </c>
      <c r="BV54" s="90">
        <f>_xlfn.XLOOKUP(BU54,$AQ$2:$AQ$21,$AO$2:$AO$21)</f>
        <v>9</v>
      </c>
      <c r="BW54" s="79" t="s">
        <v>3265</v>
      </c>
      <c r="BX54" s="79" t="s">
        <v>3264</v>
      </c>
    </row>
    <row r="55" spans="1:76" x14ac:dyDescent="0.2">
      <c r="A55" s="90" t="s">
        <v>3327</v>
      </c>
      <c r="B55" s="79" t="s">
        <v>584</v>
      </c>
      <c r="C55" s="79">
        <v>51</v>
      </c>
      <c r="D55" s="79">
        <v>54</v>
      </c>
      <c r="K55" s="90" t="s">
        <v>3329</v>
      </c>
      <c r="L55" s="90" t="s">
        <v>2005</v>
      </c>
      <c r="M55" s="79">
        <v>51</v>
      </c>
      <c r="N55" s="79">
        <v>54</v>
      </c>
      <c r="BS55" s="79">
        <v>0</v>
      </c>
      <c r="BT55" s="90" t="s">
        <v>1654</v>
      </c>
      <c r="BU55" s="90" t="s">
        <v>285</v>
      </c>
      <c r="BV55" s="90">
        <v>0</v>
      </c>
      <c r="BW55" s="90" t="s">
        <v>1654</v>
      </c>
      <c r="BX55" s="90" t="s">
        <v>1654</v>
      </c>
    </row>
    <row r="56" spans="1:76" x14ac:dyDescent="0.2">
      <c r="A56" s="90" t="s">
        <v>3327</v>
      </c>
      <c r="B56" s="79" t="s">
        <v>583</v>
      </c>
      <c r="C56" s="79">
        <v>52</v>
      </c>
      <c r="D56" s="79">
        <v>55</v>
      </c>
      <c r="K56" s="90" t="s">
        <v>3329</v>
      </c>
      <c r="L56" s="79" t="s">
        <v>2006</v>
      </c>
      <c r="M56" s="79">
        <v>52</v>
      </c>
      <c r="N56" s="79">
        <v>55</v>
      </c>
      <c r="BS56" s="79">
        <v>-1</v>
      </c>
      <c r="BT56" s="90" t="s">
        <v>3397</v>
      </c>
      <c r="BU56" s="90" t="s">
        <v>1899</v>
      </c>
      <c r="BV56" s="90">
        <f>_xlfn.XLOOKUP(BU56,$AQ$2:$AQ$21,$AO$2:$AO$21)</f>
        <v>-9</v>
      </c>
      <c r="BW56" s="90" t="s">
        <v>3269</v>
      </c>
      <c r="BX56" s="90" t="s">
        <v>3266</v>
      </c>
    </row>
    <row r="57" spans="1:76" x14ac:dyDescent="0.2">
      <c r="A57" s="90" t="s">
        <v>3327</v>
      </c>
      <c r="B57" s="79" t="s">
        <v>1840</v>
      </c>
      <c r="C57" s="79">
        <v>53</v>
      </c>
      <c r="D57" s="79">
        <v>56</v>
      </c>
      <c r="K57" s="90" t="s">
        <v>3329</v>
      </c>
      <c r="L57" s="90" t="s">
        <v>1849</v>
      </c>
      <c r="M57" s="79">
        <v>53</v>
      </c>
      <c r="N57" s="79">
        <v>56</v>
      </c>
      <c r="BS57" s="79">
        <v>-2</v>
      </c>
      <c r="BT57" s="90" t="s">
        <v>3395</v>
      </c>
      <c r="BU57" s="90" t="s">
        <v>1899</v>
      </c>
      <c r="BV57" s="90">
        <f>_xlfn.XLOOKUP(BU57,$AQ$2:$AQ$21,$AO$2:$AO$21)</f>
        <v>-9</v>
      </c>
      <c r="BW57" s="90" t="s">
        <v>3268</v>
      </c>
      <c r="BX57" s="90" t="s">
        <v>3401</v>
      </c>
    </row>
    <row r="58" spans="1:76" x14ac:dyDescent="0.2">
      <c r="A58" s="90" t="s">
        <v>3327</v>
      </c>
      <c r="B58" s="79" t="s">
        <v>1055</v>
      </c>
      <c r="C58" s="79">
        <v>54</v>
      </c>
      <c r="D58" s="79">
        <v>57</v>
      </c>
      <c r="K58" s="90" t="s">
        <v>3329</v>
      </c>
      <c r="L58" s="90" t="s">
        <v>182</v>
      </c>
      <c r="M58" s="79">
        <v>54</v>
      </c>
      <c r="N58" s="79">
        <v>57</v>
      </c>
      <c r="BS58" s="79">
        <v>-3</v>
      </c>
      <c r="BT58" s="90" t="s">
        <v>3408</v>
      </c>
      <c r="BU58" s="90" t="s">
        <v>1899</v>
      </c>
      <c r="BV58" s="90">
        <f>_xlfn.XLOOKUP(BU58,$AQ$2:$AQ$21,$AO$2:$AO$21)</f>
        <v>-9</v>
      </c>
      <c r="BW58" s="90" t="s">
        <v>3270</v>
      </c>
      <c r="BX58" s="90" t="s">
        <v>3409</v>
      </c>
    </row>
    <row r="59" spans="1:76" x14ac:dyDescent="0.2">
      <c r="A59" s="90" t="s">
        <v>3327</v>
      </c>
      <c r="C59" s="79">
        <v>55</v>
      </c>
      <c r="D59" s="79">
        <v>58</v>
      </c>
      <c r="K59" s="90" t="s">
        <v>3329</v>
      </c>
      <c r="L59" s="79" t="s">
        <v>183</v>
      </c>
      <c r="M59" s="79">
        <v>55</v>
      </c>
      <c r="N59" s="79">
        <v>58</v>
      </c>
      <c r="BS59" s="79">
        <v>-4</v>
      </c>
      <c r="BT59" s="90" t="s">
        <v>3398</v>
      </c>
      <c r="BU59" s="90" t="s">
        <v>1899</v>
      </c>
      <c r="BV59" s="90">
        <f>_xlfn.XLOOKUP(BU59,$AQ$2:$AQ$21,$AO$2:$AO$21)</f>
        <v>-9</v>
      </c>
      <c r="BW59" s="90" t="s">
        <v>3270</v>
      </c>
      <c r="BX59" s="90" t="s">
        <v>3275</v>
      </c>
    </row>
    <row r="60" spans="1:76" x14ac:dyDescent="0.2">
      <c r="A60" s="90" t="s">
        <v>3327</v>
      </c>
      <c r="C60" s="79">
        <v>56</v>
      </c>
      <c r="D60" s="79">
        <v>59</v>
      </c>
      <c r="K60" s="90" t="s">
        <v>3329</v>
      </c>
      <c r="L60" s="83" t="s">
        <v>184</v>
      </c>
      <c r="M60" s="79">
        <v>56</v>
      </c>
      <c r="N60" s="79">
        <v>59</v>
      </c>
    </row>
    <row r="61" spans="1:76" x14ac:dyDescent="0.2">
      <c r="K61" s="90" t="s">
        <v>3329</v>
      </c>
      <c r="L61" s="79" t="s">
        <v>185</v>
      </c>
      <c r="M61" s="79">
        <v>57</v>
      </c>
      <c r="N61" s="79">
        <v>60</v>
      </c>
    </row>
    <row r="62" spans="1:76" x14ac:dyDescent="0.2">
      <c r="K62" s="90" t="s">
        <v>3329</v>
      </c>
      <c r="L62" s="79" t="s">
        <v>997</v>
      </c>
      <c r="M62" s="79">
        <v>58</v>
      </c>
      <c r="N62" s="79">
        <v>61</v>
      </c>
    </row>
    <row r="63" spans="1:76" x14ac:dyDescent="0.2">
      <c r="K63" s="90" t="s">
        <v>3329</v>
      </c>
      <c r="L63" s="79" t="s">
        <v>899</v>
      </c>
      <c r="M63" s="79">
        <v>59</v>
      </c>
      <c r="N63" s="79">
        <v>62</v>
      </c>
    </row>
    <row r="64" spans="1:76" x14ac:dyDescent="0.2">
      <c r="K64" s="90" t="s">
        <v>3329</v>
      </c>
      <c r="L64" s="79" t="s">
        <v>1278</v>
      </c>
      <c r="M64" s="79">
        <v>60</v>
      </c>
      <c r="N64" s="79">
        <v>63</v>
      </c>
    </row>
    <row r="65" spans="11:14" x14ac:dyDescent="0.2">
      <c r="K65" s="90" t="s">
        <v>3329</v>
      </c>
      <c r="L65" s="90" t="s">
        <v>1781</v>
      </c>
      <c r="M65" s="79">
        <v>61</v>
      </c>
      <c r="N65" s="79">
        <v>64</v>
      </c>
    </row>
    <row r="66" spans="11:14" x14ac:dyDescent="0.2">
      <c r="K66" s="90" t="s">
        <v>3329</v>
      </c>
      <c r="L66" s="90" t="s">
        <v>2028</v>
      </c>
      <c r="M66" s="79">
        <v>62</v>
      </c>
      <c r="N66" s="79">
        <v>65</v>
      </c>
    </row>
    <row r="67" spans="11:14" x14ac:dyDescent="0.2">
      <c r="K67" s="90" t="s">
        <v>3329</v>
      </c>
      <c r="L67" s="90"/>
      <c r="M67" s="79">
        <v>63</v>
      </c>
      <c r="N67" s="79">
        <v>66</v>
      </c>
    </row>
    <row r="68" spans="11:14" x14ac:dyDescent="0.2">
      <c r="K68" s="90"/>
    </row>
    <row r="69" spans="11:14" x14ac:dyDescent="0.2">
      <c r="K69" s="90"/>
    </row>
    <row r="70" spans="11:14" x14ac:dyDescent="0.2">
      <c r="L70" s="90"/>
    </row>
    <row r="71" spans="11:14" x14ac:dyDescent="0.2">
      <c r="L71" s="90"/>
    </row>
    <row r="73" spans="11:14" x14ac:dyDescent="0.2">
      <c r="L73" s="90"/>
    </row>
    <row r="74" spans="11:14" x14ac:dyDescent="0.2">
      <c r="L74" s="90"/>
    </row>
    <row r="75" spans="11:14" x14ac:dyDescent="0.2">
      <c r="L75" s="90"/>
    </row>
    <row r="76" spans="11:14" x14ac:dyDescent="0.2">
      <c r="L76" s="90"/>
    </row>
    <row r="77" spans="11:14" x14ac:dyDescent="0.2">
      <c r="L77" s="90"/>
    </row>
    <row r="78" spans="11:14" x14ac:dyDescent="0.2">
      <c r="L78" s="90"/>
    </row>
    <row r="79" spans="11:14" x14ac:dyDescent="0.2">
      <c r="L79" s="90"/>
    </row>
    <row r="80" spans="11:14" x14ac:dyDescent="0.2">
      <c r="L80" s="90"/>
    </row>
    <row r="81" spans="12:12" x14ac:dyDescent="0.2">
      <c r="L81" s="90"/>
    </row>
    <row r="82" spans="12:12" x14ac:dyDescent="0.2">
      <c r="L82" s="90"/>
    </row>
    <row r="83" spans="12:12" x14ac:dyDescent="0.2">
      <c r="L83" s="90"/>
    </row>
    <row r="84" spans="12:12" x14ac:dyDescent="0.2">
      <c r="L84" s="90"/>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6A65-8A77-48C9-9CF0-DD1ECD287DCE}">
  <sheetPr codeName="Sheet24"/>
  <dimension ref="A1:B45"/>
  <sheetViews>
    <sheetView topLeftCell="A7" workbookViewId="0">
      <selection activeCell="A3" sqref="A3"/>
    </sheetView>
  </sheetViews>
  <sheetFormatPr defaultRowHeight="15" x14ac:dyDescent="0.25"/>
  <cols>
    <col min="1" max="1" width="34.140625" customWidth="1"/>
    <col min="2" max="2" width="106.140625" customWidth="1"/>
    <col min="5" max="5" width="8.7109375" customWidth="1"/>
    <col min="8" max="8" width="37.28515625" bestFit="1" customWidth="1"/>
  </cols>
  <sheetData>
    <row r="1" spans="1:2" x14ac:dyDescent="0.25">
      <c r="A1" s="2" t="s">
        <v>1121</v>
      </c>
      <c r="B1" s="2" t="s">
        <v>283</v>
      </c>
    </row>
    <row r="2" spans="1:2" x14ac:dyDescent="0.25">
      <c r="A2" t="s">
        <v>2082</v>
      </c>
      <c r="B2" t="s">
        <v>1304</v>
      </c>
    </row>
    <row r="3" spans="1:2" x14ac:dyDescent="0.25">
      <c r="A3" t="s">
        <v>2083</v>
      </c>
      <c r="B3" t="s">
        <v>1305</v>
      </c>
    </row>
    <row r="4" spans="1:2" x14ac:dyDescent="0.25">
      <c r="A4" t="s">
        <v>2084</v>
      </c>
      <c r="B4" t="s">
        <v>1306</v>
      </c>
    </row>
    <row r="5" spans="1:2" x14ac:dyDescent="0.25">
      <c r="A5" t="s">
        <v>2088</v>
      </c>
      <c r="B5" t="s">
        <v>1499</v>
      </c>
    </row>
    <row r="6" spans="1:2" x14ac:dyDescent="0.25">
      <c r="A6" t="s">
        <v>2089</v>
      </c>
      <c r="B6" t="s">
        <v>1500</v>
      </c>
    </row>
    <row r="7" spans="1:2" x14ac:dyDescent="0.25">
      <c r="A7" t="s">
        <v>2085</v>
      </c>
      <c r="B7" t="s">
        <v>1310</v>
      </c>
    </row>
    <row r="8" spans="1:2" x14ac:dyDescent="0.25">
      <c r="A8" t="s">
        <v>2086</v>
      </c>
      <c r="B8" t="s">
        <v>1312</v>
      </c>
    </row>
    <row r="9" spans="1:2" x14ac:dyDescent="0.25">
      <c r="A9" t="s">
        <v>2093</v>
      </c>
      <c r="B9" t="s">
        <v>1311</v>
      </c>
    </row>
    <row r="10" spans="1:2" x14ac:dyDescent="0.25">
      <c r="A10" t="s">
        <v>2094</v>
      </c>
      <c r="B10" t="s">
        <v>1119</v>
      </c>
    </row>
    <row r="11" spans="1:2" x14ac:dyDescent="0.25">
      <c r="A11" t="s">
        <v>2095</v>
      </c>
      <c r="B11" t="s">
        <v>1347</v>
      </c>
    </row>
    <row r="12" spans="1:2" x14ac:dyDescent="0.25">
      <c r="A12" t="s">
        <v>2096</v>
      </c>
      <c r="B12" t="s">
        <v>1118</v>
      </c>
    </row>
    <row r="13" spans="1:2" x14ac:dyDescent="0.25">
      <c r="A13" t="s">
        <v>2097</v>
      </c>
      <c r="B13" t="s">
        <v>1309</v>
      </c>
    </row>
    <row r="14" spans="1:2" x14ac:dyDescent="0.25">
      <c r="A14" t="s">
        <v>2099</v>
      </c>
      <c r="B14" t="s">
        <v>1501</v>
      </c>
    </row>
    <row r="15" spans="1:2" x14ac:dyDescent="0.25">
      <c r="A15" t="s">
        <v>2100</v>
      </c>
      <c r="B15" t="s">
        <v>1307</v>
      </c>
    </row>
    <row r="16" spans="1:2" x14ac:dyDescent="0.25">
      <c r="A16" t="s">
        <v>2101</v>
      </c>
      <c r="B16" t="s">
        <v>1308</v>
      </c>
    </row>
    <row r="17" spans="1:2" x14ac:dyDescent="0.25">
      <c r="A17" t="s">
        <v>2110</v>
      </c>
      <c r="B17" t="s">
        <v>1120</v>
      </c>
    </row>
    <row r="18" spans="1:2" x14ac:dyDescent="0.25">
      <c r="A18" t="s">
        <v>2111</v>
      </c>
      <c r="B18" t="s">
        <v>1313</v>
      </c>
    </row>
    <row r="19" spans="1:2" x14ac:dyDescent="0.25">
      <c r="A19" t="s">
        <v>2112</v>
      </c>
      <c r="B19" t="s">
        <v>1314</v>
      </c>
    </row>
    <row r="20" spans="1:2" x14ac:dyDescent="0.25">
      <c r="A20" t="s">
        <v>2103</v>
      </c>
      <c r="B20" t="s">
        <v>1941</v>
      </c>
    </row>
    <row r="21" spans="1:2" x14ac:dyDescent="0.25">
      <c r="A21" t="s">
        <v>2107</v>
      </c>
      <c r="B21" t="s">
        <v>1714</v>
      </c>
    </row>
    <row r="22" spans="1:2" x14ac:dyDescent="0.25">
      <c r="A22" t="s">
        <v>2108</v>
      </c>
      <c r="B22" t="s">
        <v>1714</v>
      </c>
    </row>
    <row r="23" spans="1:2" x14ac:dyDescent="0.25">
      <c r="A23" t="s">
        <v>2109</v>
      </c>
      <c r="B23" t="s">
        <v>1715</v>
      </c>
    </row>
    <row r="25" spans="1:2" x14ac:dyDescent="0.25">
      <c r="A25" t="s">
        <v>2114</v>
      </c>
      <c r="B25" t="s">
        <v>1317</v>
      </c>
    </row>
    <row r="26" spans="1:2" x14ac:dyDescent="0.25">
      <c r="A26" t="s">
        <v>2115</v>
      </c>
      <c r="B26" t="s">
        <v>1318</v>
      </c>
    </row>
    <row r="27" spans="1:2" x14ac:dyDescent="0.25">
      <c r="A27" t="s">
        <v>2120</v>
      </c>
      <c r="B27" t="s">
        <v>1319</v>
      </c>
    </row>
    <row r="28" spans="1:2" x14ac:dyDescent="0.25">
      <c r="A28" t="s">
        <v>2116</v>
      </c>
      <c r="B28" t="s">
        <v>1348</v>
      </c>
    </row>
    <row r="29" spans="1:2" x14ac:dyDescent="0.25">
      <c r="A29" t="s">
        <v>2117</v>
      </c>
      <c r="B29" t="s">
        <v>1568</v>
      </c>
    </row>
    <row r="30" spans="1:2" x14ac:dyDescent="0.25">
      <c r="A30" t="s">
        <v>2129</v>
      </c>
      <c r="B30" t="s">
        <v>1942</v>
      </c>
    </row>
    <row r="31" spans="1:2" x14ac:dyDescent="0.25">
      <c r="A31" t="s">
        <v>2124</v>
      </c>
      <c r="B31" t="s">
        <v>1349</v>
      </c>
    </row>
    <row r="32" spans="1:2" x14ac:dyDescent="0.25">
      <c r="A32" t="s">
        <v>2130</v>
      </c>
      <c r="B32" t="s">
        <v>1320</v>
      </c>
    </row>
    <row r="33" spans="1:2" x14ac:dyDescent="0.25">
      <c r="A33" t="s">
        <v>2131</v>
      </c>
      <c r="B33" t="s">
        <v>1320</v>
      </c>
    </row>
    <row r="34" spans="1:2" x14ac:dyDescent="0.25">
      <c r="A34" t="s">
        <v>2132</v>
      </c>
      <c r="B34" t="s">
        <v>1567</v>
      </c>
    </row>
    <row r="35" spans="1:2" x14ac:dyDescent="0.25">
      <c r="A35" t="s">
        <v>2133</v>
      </c>
    </row>
    <row r="36" spans="1:2" x14ac:dyDescent="0.25">
      <c r="A36" t="s">
        <v>2138</v>
      </c>
      <c r="B36" t="s">
        <v>1321</v>
      </c>
    </row>
    <row r="37" spans="1:2" x14ac:dyDescent="0.25">
      <c r="A37" t="s">
        <v>2147</v>
      </c>
      <c r="B37" t="s">
        <v>1322</v>
      </c>
    </row>
    <row r="38" spans="1:2" x14ac:dyDescent="0.25">
      <c r="A38" t="s">
        <v>2140</v>
      </c>
      <c r="B38" t="s">
        <v>1322</v>
      </c>
    </row>
    <row r="39" spans="1:2" x14ac:dyDescent="0.25">
      <c r="A39" t="s">
        <v>2141</v>
      </c>
      <c r="B39" t="s">
        <v>1323</v>
      </c>
    </row>
    <row r="40" spans="1:2" x14ac:dyDescent="0.25">
      <c r="A40" t="s">
        <v>2142</v>
      </c>
      <c r="B40" t="s">
        <v>1324</v>
      </c>
    </row>
    <row r="41" spans="1:2" x14ac:dyDescent="0.25">
      <c r="A41" t="s">
        <v>2143</v>
      </c>
      <c r="B41" t="s">
        <v>1350</v>
      </c>
    </row>
    <row r="42" spans="1:2" x14ac:dyDescent="0.25">
      <c r="A42" t="s">
        <v>2148</v>
      </c>
      <c r="B42" t="s">
        <v>1319</v>
      </c>
    </row>
    <row r="43" spans="1:2" x14ac:dyDescent="0.25">
      <c r="A43" t="s">
        <v>2144</v>
      </c>
      <c r="B43" t="s">
        <v>1351</v>
      </c>
    </row>
    <row r="44" spans="1:2" x14ac:dyDescent="0.25">
      <c r="A44" t="s">
        <v>2149</v>
      </c>
      <c r="B44" t="s">
        <v>1946</v>
      </c>
    </row>
    <row r="45" spans="1:2" x14ac:dyDescent="0.25">
      <c r="A45" t="s">
        <v>2134</v>
      </c>
      <c r="B45" t="s">
        <v>1352</v>
      </c>
    </row>
  </sheetData>
  <customSheetViews>
    <customSheetView guid="{52D1722A-E00E-455D-B18E-AA205BA79E79}">
      <selection activeCell="B3" sqref="B3"/>
      <pageMargins left="0.7" right="0.7" top="0.75" bottom="0.75" header="0.3" footer="0.3"/>
    </customSheetView>
  </customSheetView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1C71-B460-4DF0-81C1-5E82117A1D56}">
  <sheetPr codeName="Sheet38"/>
  <dimension ref="A1:O822"/>
  <sheetViews>
    <sheetView zoomScale="80" zoomScaleNormal="80" workbookViewId="0">
      <pane xSplit="1" ySplit="1" topLeftCell="B294" activePane="bottomRight" state="frozen"/>
      <selection pane="topRight" activeCell="B1" sqref="B1"/>
      <selection pane="bottomLeft" activeCell="A2" sqref="A2"/>
      <selection pane="bottomRight" activeCell="I318" sqref="I318"/>
    </sheetView>
  </sheetViews>
  <sheetFormatPr defaultRowHeight="15" x14ac:dyDescent="0.25"/>
  <cols>
    <col min="1" max="1" width="7.85546875" customWidth="1"/>
    <col min="2" max="2" width="22.85546875" customWidth="1"/>
    <col min="3" max="3" width="27.42578125" customWidth="1"/>
    <col min="4" max="4" width="4.28515625" customWidth="1"/>
    <col min="5" max="5" width="4.42578125" customWidth="1"/>
    <col min="6" max="6" width="4.85546875" customWidth="1"/>
    <col min="7" max="7" width="4.42578125" customWidth="1"/>
    <col min="9" max="9" width="16.28515625" bestFit="1" customWidth="1"/>
    <col min="10" max="10" width="21.5703125" customWidth="1"/>
    <col min="11" max="11" width="25.28515625" customWidth="1"/>
    <col min="13" max="13" width="12.140625" bestFit="1" customWidth="1"/>
    <col min="14" max="14" width="10.85546875" bestFit="1" customWidth="1"/>
    <col min="15" max="15" width="12.42578125" bestFit="1" customWidth="1"/>
  </cols>
  <sheetData>
    <row r="1" spans="1:15" x14ac:dyDescent="0.25">
      <c r="A1" s="2" t="s">
        <v>28</v>
      </c>
      <c r="B1" s="2" t="s">
        <v>283</v>
      </c>
      <c r="C1" s="2" t="s">
        <v>1054</v>
      </c>
      <c r="D1" s="2" t="s">
        <v>3317</v>
      </c>
      <c r="E1" s="2" t="s">
        <v>156</v>
      </c>
      <c r="F1" s="2" t="s">
        <v>3318</v>
      </c>
      <c r="G1" s="2" t="s">
        <v>3319</v>
      </c>
      <c r="H1" s="2" t="s">
        <v>2170</v>
      </c>
      <c r="I1" s="2" t="s">
        <v>83</v>
      </c>
      <c r="J1" s="2" t="s">
        <v>2161</v>
      </c>
      <c r="K1" s="2" t="s">
        <v>2162</v>
      </c>
      <c r="L1" s="2" t="s">
        <v>28</v>
      </c>
      <c r="M1" s="2" t="s">
        <v>2166</v>
      </c>
      <c r="N1" s="2" t="s">
        <v>2171</v>
      </c>
      <c r="O1" s="2" t="s">
        <v>2172</v>
      </c>
    </row>
    <row r="2" spans="1:15" x14ac:dyDescent="0.25">
      <c r="A2" t="s">
        <v>118</v>
      </c>
      <c r="B2" t="s">
        <v>2176</v>
      </c>
      <c r="C2" t="s">
        <v>2177</v>
      </c>
      <c r="D2" t="s">
        <v>285</v>
      </c>
      <c r="E2" t="s">
        <v>285</v>
      </c>
      <c r="F2" t="s">
        <v>285</v>
      </c>
      <c r="G2" t="s">
        <v>285</v>
      </c>
      <c r="H2" t="s">
        <v>41</v>
      </c>
      <c r="I2" t="s">
        <v>172</v>
      </c>
      <c r="J2" t="s">
        <v>2178</v>
      </c>
      <c r="K2" t="s">
        <v>788</v>
      </c>
      <c r="L2" t="s">
        <v>118</v>
      </c>
      <c r="M2" t="s">
        <v>3167</v>
      </c>
      <c r="N2" t="s">
        <v>1527</v>
      </c>
      <c r="O2" t="s">
        <v>1654</v>
      </c>
    </row>
    <row r="3" spans="1:15" x14ac:dyDescent="0.25">
      <c r="A3" t="s">
        <v>321</v>
      </c>
      <c r="B3" t="s">
        <v>2180</v>
      </c>
      <c r="C3" t="s">
        <v>1369</v>
      </c>
      <c r="D3" t="s">
        <v>285</v>
      </c>
      <c r="E3" t="s">
        <v>285</v>
      </c>
      <c r="F3" t="s">
        <v>285</v>
      </c>
      <c r="G3" t="s">
        <v>285</v>
      </c>
      <c r="H3" t="s">
        <v>41</v>
      </c>
      <c r="I3" t="s">
        <v>814</v>
      </c>
      <c r="J3" t="s">
        <v>2181</v>
      </c>
      <c r="K3" t="s">
        <v>801</v>
      </c>
      <c r="L3" t="s">
        <v>321</v>
      </c>
      <c r="M3" t="s">
        <v>1527</v>
      </c>
      <c r="N3" t="s">
        <v>1527</v>
      </c>
      <c r="O3" t="s">
        <v>1527</v>
      </c>
    </row>
    <row r="4" spans="1:15" x14ac:dyDescent="0.25">
      <c r="A4" t="s">
        <v>23</v>
      </c>
      <c r="B4" t="s">
        <v>2182</v>
      </c>
      <c r="C4" t="s">
        <v>2177</v>
      </c>
      <c r="D4" t="s">
        <v>285</v>
      </c>
      <c r="E4" t="s">
        <v>285</v>
      </c>
      <c r="F4" t="s">
        <v>285</v>
      </c>
      <c r="G4" t="s">
        <v>285</v>
      </c>
      <c r="H4" t="s">
        <v>41</v>
      </c>
      <c r="I4" t="s">
        <v>172</v>
      </c>
      <c r="J4" t="s">
        <v>1504</v>
      </c>
      <c r="K4" t="s">
        <v>839</v>
      </c>
      <c r="L4" t="s">
        <v>23</v>
      </c>
      <c r="M4" t="s">
        <v>3168</v>
      </c>
      <c r="N4" t="s">
        <v>802</v>
      </c>
      <c r="O4" t="s">
        <v>789</v>
      </c>
    </row>
    <row r="5" spans="1:15" x14ac:dyDescent="0.25">
      <c r="A5" t="s">
        <v>322</v>
      </c>
      <c r="B5" t="s">
        <v>2183</v>
      </c>
      <c r="C5" t="s">
        <v>1369</v>
      </c>
      <c r="D5" t="s">
        <v>285</v>
      </c>
      <c r="E5" t="s">
        <v>285</v>
      </c>
      <c r="F5" t="s">
        <v>285</v>
      </c>
      <c r="G5" t="s">
        <v>285</v>
      </c>
      <c r="H5" t="s">
        <v>41</v>
      </c>
      <c r="I5" t="s">
        <v>168</v>
      </c>
      <c r="J5" t="s">
        <v>2184</v>
      </c>
      <c r="K5" t="s">
        <v>800</v>
      </c>
      <c r="L5" t="s">
        <v>322</v>
      </c>
      <c r="M5" t="s">
        <v>1527</v>
      </c>
      <c r="N5" t="s">
        <v>1527</v>
      </c>
      <c r="O5" t="s">
        <v>1527</v>
      </c>
    </row>
    <row r="6" spans="1:15" x14ac:dyDescent="0.25">
      <c r="A6" t="s">
        <v>39</v>
      </c>
      <c r="B6" t="s">
        <v>2185</v>
      </c>
      <c r="C6" t="s">
        <v>2177</v>
      </c>
      <c r="D6" t="s">
        <v>285</v>
      </c>
      <c r="E6" t="s">
        <v>285</v>
      </c>
      <c r="F6" t="s">
        <v>285</v>
      </c>
      <c r="G6" t="s">
        <v>285</v>
      </c>
      <c r="H6" t="s">
        <v>41</v>
      </c>
      <c r="I6" t="s">
        <v>172</v>
      </c>
      <c r="J6" t="s">
        <v>2178</v>
      </c>
      <c r="K6" t="s">
        <v>788</v>
      </c>
      <c r="L6" t="s">
        <v>39</v>
      </c>
      <c r="M6" t="s">
        <v>3167</v>
      </c>
      <c r="N6" t="s">
        <v>1527</v>
      </c>
      <c r="O6" t="s">
        <v>789</v>
      </c>
    </row>
    <row r="7" spans="1:15" x14ac:dyDescent="0.25">
      <c r="A7" t="s">
        <v>119</v>
      </c>
      <c r="B7" t="s">
        <v>2186</v>
      </c>
      <c r="C7" t="s">
        <v>2177</v>
      </c>
      <c r="D7" t="s">
        <v>285</v>
      </c>
      <c r="E7" t="s">
        <v>285</v>
      </c>
      <c r="F7" t="s">
        <v>285</v>
      </c>
      <c r="G7" t="s">
        <v>285</v>
      </c>
      <c r="H7" t="s">
        <v>41</v>
      </c>
      <c r="I7" t="s">
        <v>813</v>
      </c>
      <c r="J7" t="s">
        <v>813</v>
      </c>
      <c r="K7" t="s">
        <v>800</v>
      </c>
      <c r="L7" t="s">
        <v>119</v>
      </c>
      <c r="M7" t="s">
        <v>3167</v>
      </c>
      <c r="N7" t="s">
        <v>1527</v>
      </c>
      <c r="O7" t="s">
        <v>1654</v>
      </c>
    </row>
    <row r="8" spans="1:15" x14ac:dyDescent="0.25">
      <c r="A8" t="s">
        <v>323</v>
      </c>
      <c r="B8" t="s">
        <v>2187</v>
      </c>
      <c r="C8" t="s">
        <v>1369</v>
      </c>
      <c r="D8" t="s">
        <v>285</v>
      </c>
      <c r="E8" t="s">
        <v>285</v>
      </c>
      <c r="F8" t="s">
        <v>285</v>
      </c>
      <c r="G8" t="s">
        <v>285</v>
      </c>
      <c r="H8" t="s">
        <v>41</v>
      </c>
      <c r="I8" t="s">
        <v>100</v>
      </c>
      <c r="J8" t="s">
        <v>2188</v>
      </c>
      <c r="K8" t="s">
        <v>769</v>
      </c>
      <c r="L8" t="s">
        <v>323</v>
      </c>
      <c r="M8" t="s">
        <v>1527</v>
      </c>
      <c r="N8" t="s">
        <v>1527</v>
      </c>
      <c r="O8" t="s">
        <v>1527</v>
      </c>
    </row>
    <row r="9" spans="1:15" x14ac:dyDescent="0.25">
      <c r="A9" t="s">
        <v>25</v>
      </c>
      <c r="B9" t="s">
        <v>2189</v>
      </c>
      <c r="C9" t="s">
        <v>2177</v>
      </c>
      <c r="D9" t="s">
        <v>285</v>
      </c>
      <c r="E9" t="s">
        <v>285</v>
      </c>
      <c r="F9" t="s">
        <v>285</v>
      </c>
      <c r="G9" t="s">
        <v>285</v>
      </c>
      <c r="H9" t="s">
        <v>41</v>
      </c>
      <c r="I9" t="s">
        <v>172</v>
      </c>
      <c r="J9" t="s">
        <v>2163</v>
      </c>
      <c r="K9" t="s">
        <v>788</v>
      </c>
      <c r="L9" t="s">
        <v>25</v>
      </c>
      <c r="M9" t="s">
        <v>3167</v>
      </c>
      <c r="N9" t="s">
        <v>1527</v>
      </c>
      <c r="O9" t="s">
        <v>1654</v>
      </c>
    </row>
    <row r="10" spans="1:15" x14ac:dyDescent="0.25">
      <c r="A10" t="s">
        <v>324</v>
      </c>
      <c r="B10" t="s">
        <v>2190</v>
      </c>
      <c r="C10" t="s">
        <v>1369</v>
      </c>
      <c r="D10" t="s">
        <v>285</v>
      </c>
      <c r="E10" t="s">
        <v>285</v>
      </c>
      <c r="F10" t="s">
        <v>285</v>
      </c>
      <c r="G10" t="s">
        <v>285</v>
      </c>
      <c r="H10" t="s">
        <v>41</v>
      </c>
      <c r="I10" t="s">
        <v>172</v>
      </c>
      <c r="J10" t="s">
        <v>2191</v>
      </c>
      <c r="K10" t="s">
        <v>788</v>
      </c>
      <c r="L10" t="s">
        <v>324</v>
      </c>
      <c r="M10" t="s">
        <v>1527</v>
      </c>
      <c r="N10" t="s">
        <v>1527</v>
      </c>
      <c r="O10" t="s">
        <v>1527</v>
      </c>
    </row>
    <row r="11" spans="1:15" x14ac:dyDescent="0.25">
      <c r="A11" t="s">
        <v>24</v>
      </c>
      <c r="B11" t="s">
        <v>2192</v>
      </c>
      <c r="C11" t="s">
        <v>2177</v>
      </c>
      <c r="D11" t="s">
        <v>285</v>
      </c>
      <c r="E11" t="s">
        <v>285</v>
      </c>
      <c r="F11" t="s">
        <v>285</v>
      </c>
      <c r="G11" t="s">
        <v>285</v>
      </c>
      <c r="H11" t="s">
        <v>41</v>
      </c>
      <c r="I11" t="s">
        <v>172</v>
      </c>
      <c r="J11" t="s">
        <v>2193</v>
      </c>
      <c r="K11" t="s">
        <v>788</v>
      </c>
      <c r="L11" t="s">
        <v>24</v>
      </c>
      <c r="M11" t="s">
        <v>3168</v>
      </c>
      <c r="N11" t="s">
        <v>802</v>
      </c>
      <c r="O11" t="s">
        <v>789</v>
      </c>
    </row>
    <row r="12" spans="1:15" x14ac:dyDescent="0.25">
      <c r="A12" t="s">
        <v>26</v>
      </c>
      <c r="B12" t="s">
        <v>2194</v>
      </c>
      <c r="C12" t="s">
        <v>2195</v>
      </c>
      <c r="D12" t="s">
        <v>285</v>
      </c>
      <c r="E12" t="s">
        <v>285</v>
      </c>
      <c r="F12" t="s">
        <v>285</v>
      </c>
      <c r="G12" t="s">
        <v>285</v>
      </c>
      <c r="H12" t="s">
        <v>41</v>
      </c>
      <c r="I12" t="s">
        <v>168</v>
      </c>
      <c r="J12" t="s">
        <v>2196</v>
      </c>
      <c r="K12" t="s">
        <v>800</v>
      </c>
      <c r="L12" t="s">
        <v>26</v>
      </c>
      <c r="M12" t="s">
        <v>1527</v>
      </c>
      <c r="N12" t="s">
        <v>1527</v>
      </c>
      <c r="O12" t="s">
        <v>1527</v>
      </c>
    </row>
    <row r="13" spans="1:15" x14ac:dyDescent="0.25">
      <c r="A13" t="s">
        <v>27</v>
      </c>
      <c r="B13" t="s">
        <v>2197</v>
      </c>
      <c r="C13" t="s">
        <v>2195</v>
      </c>
      <c r="D13" t="s">
        <v>285</v>
      </c>
      <c r="E13" t="s">
        <v>285</v>
      </c>
      <c r="F13" t="s">
        <v>285</v>
      </c>
      <c r="G13" t="s">
        <v>285</v>
      </c>
      <c r="H13" t="s">
        <v>41</v>
      </c>
      <c r="I13" t="s">
        <v>168</v>
      </c>
      <c r="J13" t="s">
        <v>2198</v>
      </c>
      <c r="K13" t="s">
        <v>800</v>
      </c>
      <c r="L13" t="s">
        <v>27</v>
      </c>
      <c r="M13" t="s">
        <v>1527</v>
      </c>
      <c r="N13" t="s">
        <v>1527</v>
      </c>
      <c r="O13" t="s">
        <v>1527</v>
      </c>
    </row>
    <row r="14" spans="1:15" x14ac:dyDescent="0.25">
      <c r="A14" t="s">
        <v>29</v>
      </c>
      <c r="B14" t="s">
        <v>2199</v>
      </c>
      <c r="C14" t="s">
        <v>1369</v>
      </c>
      <c r="D14" t="s">
        <v>285</v>
      </c>
      <c r="E14" t="s">
        <v>285</v>
      </c>
      <c r="F14" t="s">
        <v>285</v>
      </c>
      <c r="G14" t="s">
        <v>285</v>
      </c>
      <c r="H14" t="s">
        <v>41</v>
      </c>
      <c r="I14" t="s">
        <v>172</v>
      </c>
      <c r="J14" t="s">
        <v>911</v>
      </c>
      <c r="K14" t="s">
        <v>800</v>
      </c>
      <c r="L14" t="s">
        <v>29</v>
      </c>
      <c r="M14" t="s">
        <v>1527</v>
      </c>
      <c r="N14" t="s">
        <v>1527</v>
      </c>
      <c r="O14" t="s">
        <v>1527</v>
      </c>
    </row>
    <row r="15" spans="1:15" x14ac:dyDescent="0.25">
      <c r="A15" t="s">
        <v>325</v>
      </c>
      <c r="B15" t="s">
        <v>2200</v>
      </c>
      <c r="C15" t="s">
        <v>1369</v>
      </c>
      <c r="D15" t="s">
        <v>285</v>
      </c>
      <c r="E15" t="s">
        <v>285</v>
      </c>
      <c r="F15" t="s">
        <v>285</v>
      </c>
      <c r="G15" t="s">
        <v>285</v>
      </c>
      <c r="H15" t="s">
        <v>41</v>
      </c>
      <c r="I15" t="s">
        <v>172</v>
      </c>
      <c r="J15" t="s">
        <v>2201</v>
      </c>
      <c r="K15" t="s">
        <v>800</v>
      </c>
      <c r="L15" t="s">
        <v>325</v>
      </c>
      <c r="M15" t="s">
        <v>1527</v>
      </c>
      <c r="N15" t="s">
        <v>1527</v>
      </c>
      <c r="O15" t="s">
        <v>1527</v>
      </c>
    </row>
    <row r="16" spans="1:15" x14ac:dyDescent="0.25">
      <c r="A16" t="s">
        <v>759</v>
      </c>
      <c r="B16" t="s">
        <v>2202</v>
      </c>
      <c r="C16" t="s">
        <v>1369</v>
      </c>
      <c r="D16" t="s">
        <v>285</v>
      </c>
      <c r="E16" t="s">
        <v>285</v>
      </c>
      <c r="F16" t="s">
        <v>285</v>
      </c>
      <c r="G16" t="s">
        <v>285</v>
      </c>
      <c r="H16" t="s">
        <v>41</v>
      </c>
      <c r="I16" t="s">
        <v>172</v>
      </c>
      <c r="J16" t="s">
        <v>2203</v>
      </c>
      <c r="K16" t="s">
        <v>788</v>
      </c>
      <c r="L16" t="s">
        <v>759</v>
      </c>
      <c r="M16" t="s">
        <v>1527</v>
      </c>
      <c r="N16" t="s">
        <v>1527</v>
      </c>
      <c r="O16" t="s">
        <v>1527</v>
      </c>
    </row>
    <row r="17" spans="1:15" x14ac:dyDescent="0.25">
      <c r="A17" t="s">
        <v>152</v>
      </c>
      <c r="B17" t="s">
        <v>2204</v>
      </c>
      <c r="C17" t="s">
        <v>1369</v>
      </c>
      <c r="D17" t="s">
        <v>285</v>
      </c>
      <c r="E17" t="s">
        <v>285</v>
      </c>
      <c r="F17" t="s">
        <v>285</v>
      </c>
      <c r="G17" t="s">
        <v>285</v>
      </c>
      <c r="H17" t="s">
        <v>41</v>
      </c>
      <c r="I17" t="s">
        <v>172</v>
      </c>
      <c r="J17" t="s">
        <v>1249</v>
      </c>
      <c r="K17" t="s">
        <v>839</v>
      </c>
      <c r="L17" t="s">
        <v>152</v>
      </c>
      <c r="M17" t="s">
        <v>1527</v>
      </c>
      <c r="N17" t="s">
        <v>1527</v>
      </c>
      <c r="O17" t="s">
        <v>1527</v>
      </c>
    </row>
    <row r="18" spans="1:15" x14ac:dyDescent="0.25">
      <c r="A18" t="s">
        <v>298</v>
      </c>
      <c r="B18" t="s">
        <v>2205</v>
      </c>
      <c r="C18" t="s">
        <v>1510</v>
      </c>
      <c r="D18" t="s">
        <v>285</v>
      </c>
      <c r="E18" t="s">
        <v>285</v>
      </c>
      <c r="F18" t="s">
        <v>285</v>
      </c>
      <c r="G18" t="s">
        <v>285</v>
      </c>
      <c r="H18" t="s">
        <v>1408</v>
      </c>
      <c r="I18" t="s">
        <v>814</v>
      </c>
      <c r="J18" t="s">
        <v>814</v>
      </c>
      <c r="K18" t="s">
        <v>1527</v>
      </c>
      <c r="L18" t="s">
        <v>298</v>
      </c>
      <c r="M18" t="s">
        <v>1527</v>
      </c>
      <c r="N18" t="s">
        <v>1527</v>
      </c>
      <c r="O18" t="s">
        <v>1654</v>
      </c>
    </row>
    <row r="19" spans="1:15" x14ac:dyDescent="0.25">
      <c r="A19" t="s">
        <v>326</v>
      </c>
      <c r="B19" t="s">
        <v>2206</v>
      </c>
      <c r="C19" t="s">
        <v>2207</v>
      </c>
      <c r="D19" t="s">
        <v>284</v>
      </c>
      <c r="E19" t="s">
        <v>285</v>
      </c>
      <c r="F19" t="s">
        <v>285</v>
      </c>
      <c r="G19" t="s">
        <v>285</v>
      </c>
      <c r="H19" t="s">
        <v>5</v>
      </c>
      <c r="I19" t="s">
        <v>172</v>
      </c>
      <c r="J19" t="s">
        <v>1503</v>
      </c>
      <c r="K19" t="s">
        <v>788</v>
      </c>
      <c r="L19" t="s">
        <v>326</v>
      </c>
      <c r="M19" t="s">
        <v>3167</v>
      </c>
      <c r="N19" t="s">
        <v>121</v>
      </c>
      <c r="O19" t="s">
        <v>1654</v>
      </c>
    </row>
    <row r="20" spans="1:15" x14ac:dyDescent="0.25">
      <c r="A20" t="s">
        <v>1</v>
      </c>
      <c r="B20" t="s">
        <v>2209</v>
      </c>
      <c r="C20" t="s">
        <v>1550</v>
      </c>
      <c r="D20" t="s">
        <v>284</v>
      </c>
      <c r="E20" t="s">
        <v>284</v>
      </c>
      <c r="F20" t="s">
        <v>284</v>
      </c>
      <c r="G20" t="s">
        <v>285</v>
      </c>
      <c r="H20" t="s">
        <v>5</v>
      </c>
      <c r="I20" t="s">
        <v>172</v>
      </c>
      <c r="J20" t="s">
        <v>1504</v>
      </c>
      <c r="K20" t="s">
        <v>839</v>
      </c>
      <c r="L20" t="s">
        <v>1</v>
      </c>
      <c r="M20" t="s">
        <v>3168</v>
      </c>
      <c r="N20" t="s">
        <v>802</v>
      </c>
      <c r="O20" t="s">
        <v>789</v>
      </c>
    </row>
    <row r="21" spans="1:15" x14ac:dyDescent="0.25">
      <c r="A21" t="s">
        <v>327</v>
      </c>
      <c r="B21" t="s">
        <v>2210</v>
      </c>
      <c r="C21" t="s">
        <v>1505</v>
      </c>
      <c r="D21" t="s">
        <v>284</v>
      </c>
      <c r="E21" t="s">
        <v>285</v>
      </c>
      <c r="F21" t="s">
        <v>285</v>
      </c>
      <c r="G21" t="s">
        <v>285</v>
      </c>
      <c r="H21" t="s">
        <v>5</v>
      </c>
      <c r="I21" t="s">
        <v>172</v>
      </c>
      <c r="J21" t="s">
        <v>1505</v>
      </c>
      <c r="K21" t="s">
        <v>1616</v>
      </c>
      <c r="L21" t="s">
        <v>327</v>
      </c>
      <c r="M21" t="s">
        <v>3168</v>
      </c>
      <c r="N21" t="s">
        <v>3172</v>
      </c>
      <c r="O21" t="s">
        <v>1654</v>
      </c>
    </row>
    <row r="22" spans="1:15" x14ac:dyDescent="0.25">
      <c r="A22" t="s">
        <v>169</v>
      </c>
      <c r="B22" t="s">
        <v>2211</v>
      </c>
      <c r="C22" t="s">
        <v>2212</v>
      </c>
      <c r="D22" t="s">
        <v>284</v>
      </c>
      <c r="E22" t="s">
        <v>284</v>
      </c>
      <c r="F22" t="s">
        <v>285</v>
      </c>
      <c r="G22" t="s">
        <v>285</v>
      </c>
      <c r="H22" t="s">
        <v>5</v>
      </c>
      <c r="I22" t="s">
        <v>172</v>
      </c>
      <c r="J22" t="s">
        <v>2213</v>
      </c>
      <c r="K22" t="s">
        <v>101</v>
      </c>
      <c r="L22" t="s">
        <v>169</v>
      </c>
      <c r="M22" t="s">
        <v>3168</v>
      </c>
      <c r="N22" t="s">
        <v>802</v>
      </c>
      <c r="O22" t="s">
        <v>1654</v>
      </c>
    </row>
    <row r="23" spans="1:15" x14ac:dyDescent="0.25">
      <c r="A23" t="s">
        <v>328</v>
      </c>
      <c r="B23" t="s">
        <v>2214</v>
      </c>
      <c r="C23" t="s">
        <v>1506</v>
      </c>
      <c r="D23" t="s">
        <v>285</v>
      </c>
      <c r="E23" t="s">
        <v>285</v>
      </c>
      <c r="F23" t="s">
        <v>285</v>
      </c>
      <c r="G23" t="s">
        <v>284</v>
      </c>
      <c r="H23" t="s">
        <v>5</v>
      </c>
      <c r="I23" t="s">
        <v>172</v>
      </c>
      <c r="J23" t="s">
        <v>780</v>
      </c>
      <c r="K23" t="s">
        <v>780</v>
      </c>
      <c r="L23" t="s">
        <v>328</v>
      </c>
      <c r="M23" t="s">
        <v>3167</v>
      </c>
      <c r="N23" t="s">
        <v>3172</v>
      </c>
      <c r="O23" t="s">
        <v>1654</v>
      </c>
    </row>
    <row r="24" spans="1:15" x14ac:dyDescent="0.25">
      <c r="A24" t="s">
        <v>329</v>
      </c>
      <c r="B24" t="s">
        <v>2215</v>
      </c>
      <c r="C24" t="s">
        <v>2216</v>
      </c>
      <c r="D24" t="s">
        <v>284</v>
      </c>
      <c r="E24" t="s">
        <v>285</v>
      </c>
      <c r="F24" t="s">
        <v>285</v>
      </c>
      <c r="G24" t="s">
        <v>285</v>
      </c>
      <c r="H24" t="s">
        <v>5</v>
      </c>
      <c r="I24" t="s">
        <v>172</v>
      </c>
      <c r="J24" t="s">
        <v>1407</v>
      </c>
      <c r="K24" t="s">
        <v>1616</v>
      </c>
      <c r="L24" t="s">
        <v>329</v>
      </c>
      <c r="M24" t="s">
        <v>3168</v>
      </c>
      <c r="N24" t="s">
        <v>802</v>
      </c>
      <c r="O24" t="s">
        <v>1654</v>
      </c>
    </row>
    <row r="25" spans="1:15" x14ac:dyDescent="0.25">
      <c r="A25" t="s">
        <v>543</v>
      </c>
      <c r="B25" t="s">
        <v>2217</v>
      </c>
      <c r="C25" t="s">
        <v>1507</v>
      </c>
      <c r="D25" t="s">
        <v>285</v>
      </c>
      <c r="E25" t="s">
        <v>285</v>
      </c>
      <c r="F25" t="s">
        <v>285</v>
      </c>
      <c r="G25" t="s">
        <v>284</v>
      </c>
      <c r="H25" t="s">
        <v>5</v>
      </c>
      <c r="I25" t="s">
        <v>172</v>
      </c>
      <c r="J25" t="s">
        <v>1407</v>
      </c>
      <c r="K25" t="s">
        <v>1616</v>
      </c>
      <c r="L25" t="s">
        <v>543</v>
      </c>
      <c r="M25" t="s">
        <v>3168</v>
      </c>
      <c r="N25" t="s">
        <v>802</v>
      </c>
      <c r="O25" t="s">
        <v>1654</v>
      </c>
    </row>
    <row r="26" spans="1:15" x14ac:dyDescent="0.25">
      <c r="A26" t="s">
        <v>1333</v>
      </c>
      <c r="B26" t="s">
        <v>2218</v>
      </c>
      <c r="C26" t="s">
        <v>1508</v>
      </c>
      <c r="D26" t="s">
        <v>285</v>
      </c>
      <c r="E26" t="s">
        <v>285</v>
      </c>
      <c r="F26" t="s">
        <v>285</v>
      </c>
      <c r="G26" t="s">
        <v>284</v>
      </c>
      <c r="H26" t="s">
        <v>5</v>
      </c>
      <c r="I26" t="s">
        <v>172</v>
      </c>
      <c r="J26" t="s">
        <v>2219</v>
      </c>
      <c r="K26" t="s">
        <v>788</v>
      </c>
      <c r="L26" t="s">
        <v>1333</v>
      </c>
      <c r="M26" t="s">
        <v>3168</v>
      </c>
      <c r="N26" t="s">
        <v>1527</v>
      </c>
      <c r="O26" t="s">
        <v>789</v>
      </c>
    </row>
    <row r="27" spans="1:15" x14ac:dyDescent="0.25">
      <c r="A27" t="s">
        <v>755</v>
      </c>
      <c r="B27" t="s">
        <v>2220</v>
      </c>
      <c r="C27" t="s">
        <v>2221</v>
      </c>
      <c r="D27" t="s">
        <v>285</v>
      </c>
      <c r="E27" t="s">
        <v>285</v>
      </c>
      <c r="F27" t="s">
        <v>285</v>
      </c>
      <c r="G27" t="s">
        <v>285</v>
      </c>
      <c r="H27" t="s">
        <v>5</v>
      </c>
      <c r="I27" t="s">
        <v>172</v>
      </c>
      <c r="J27" t="s">
        <v>2221</v>
      </c>
      <c r="K27" t="s">
        <v>98</v>
      </c>
      <c r="L27" t="s">
        <v>755</v>
      </c>
      <c r="M27" t="s">
        <v>3167</v>
      </c>
      <c r="N27" t="s">
        <v>121</v>
      </c>
      <c r="O27" t="s">
        <v>1654</v>
      </c>
    </row>
    <row r="28" spans="1:15" x14ac:dyDescent="0.25">
      <c r="A28" t="s">
        <v>330</v>
      </c>
      <c r="B28" t="s">
        <v>2222</v>
      </c>
      <c r="C28" t="s">
        <v>1509</v>
      </c>
      <c r="D28" t="s">
        <v>284</v>
      </c>
      <c r="E28" t="s">
        <v>284</v>
      </c>
      <c r="F28" t="s">
        <v>285</v>
      </c>
      <c r="G28" t="s">
        <v>285</v>
      </c>
      <c r="H28" t="s">
        <v>5</v>
      </c>
      <c r="I28" t="s">
        <v>172</v>
      </c>
      <c r="J28" t="s">
        <v>1509</v>
      </c>
      <c r="K28" t="s">
        <v>839</v>
      </c>
      <c r="L28" t="s">
        <v>330</v>
      </c>
      <c r="M28" t="s">
        <v>3168</v>
      </c>
      <c r="N28" t="s">
        <v>802</v>
      </c>
      <c r="O28" t="s">
        <v>789</v>
      </c>
    </row>
    <row r="29" spans="1:15" x14ac:dyDescent="0.25">
      <c r="A29" t="s">
        <v>1144</v>
      </c>
      <c r="B29" t="s">
        <v>2223</v>
      </c>
      <c r="C29" t="s">
        <v>1510</v>
      </c>
      <c r="D29" t="s">
        <v>285</v>
      </c>
      <c r="E29" t="s">
        <v>285</v>
      </c>
      <c r="F29" t="s">
        <v>285</v>
      </c>
      <c r="G29" t="s">
        <v>285</v>
      </c>
      <c r="H29" t="s">
        <v>1408</v>
      </c>
      <c r="I29" t="s">
        <v>172</v>
      </c>
      <c r="J29" t="s">
        <v>2178</v>
      </c>
      <c r="K29" t="s">
        <v>800</v>
      </c>
      <c r="L29" t="s">
        <v>1144</v>
      </c>
      <c r="M29" t="s">
        <v>3167</v>
      </c>
      <c r="N29" t="s">
        <v>121</v>
      </c>
      <c r="O29" t="s">
        <v>1654</v>
      </c>
    </row>
    <row r="30" spans="1:15" x14ac:dyDescent="0.25">
      <c r="A30" t="s">
        <v>331</v>
      </c>
      <c r="B30" t="s">
        <v>2224</v>
      </c>
      <c r="C30" t="s">
        <v>1511</v>
      </c>
      <c r="D30" t="s">
        <v>285</v>
      </c>
      <c r="E30" t="s">
        <v>284</v>
      </c>
      <c r="F30" t="s">
        <v>285</v>
      </c>
      <c r="G30" t="s">
        <v>284</v>
      </c>
      <c r="H30" t="s">
        <v>5</v>
      </c>
      <c r="I30" t="s">
        <v>172</v>
      </c>
      <c r="J30" t="s">
        <v>2225</v>
      </c>
      <c r="K30" t="s">
        <v>800</v>
      </c>
      <c r="L30" t="s">
        <v>331</v>
      </c>
      <c r="M30" t="s">
        <v>3168</v>
      </c>
      <c r="N30" t="s">
        <v>1527</v>
      </c>
      <c r="O30" t="s">
        <v>789</v>
      </c>
    </row>
    <row r="31" spans="1:15" x14ac:dyDescent="0.25">
      <c r="A31" t="s">
        <v>332</v>
      </c>
      <c r="B31" t="s">
        <v>2226</v>
      </c>
      <c r="C31" t="s">
        <v>2227</v>
      </c>
      <c r="D31" t="s">
        <v>285</v>
      </c>
      <c r="E31" t="s">
        <v>285</v>
      </c>
      <c r="F31" t="s">
        <v>285</v>
      </c>
      <c r="G31" t="s">
        <v>284</v>
      </c>
      <c r="H31" t="s">
        <v>5</v>
      </c>
      <c r="I31" t="s">
        <v>172</v>
      </c>
      <c r="J31" t="s">
        <v>2227</v>
      </c>
      <c r="K31" t="s">
        <v>788</v>
      </c>
      <c r="L31" t="s">
        <v>332</v>
      </c>
      <c r="M31" t="s">
        <v>3167</v>
      </c>
      <c r="N31" t="s">
        <v>121</v>
      </c>
      <c r="O31" t="s">
        <v>1654</v>
      </c>
    </row>
    <row r="32" spans="1:15" x14ac:dyDescent="0.25">
      <c r="A32" t="s">
        <v>1031</v>
      </c>
      <c r="B32" t="s">
        <v>2228</v>
      </c>
      <c r="C32" t="s">
        <v>780</v>
      </c>
      <c r="D32" t="s">
        <v>285</v>
      </c>
      <c r="E32" t="s">
        <v>284</v>
      </c>
      <c r="F32" t="s">
        <v>285</v>
      </c>
      <c r="G32" t="s">
        <v>284</v>
      </c>
      <c r="H32" t="s">
        <v>5</v>
      </c>
      <c r="I32" t="s">
        <v>172</v>
      </c>
      <c r="J32" t="s">
        <v>780</v>
      </c>
      <c r="K32" t="s">
        <v>780</v>
      </c>
      <c r="L32" t="s">
        <v>1031</v>
      </c>
      <c r="M32" t="s">
        <v>3167</v>
      </c>
      <c r="N32" t="s">
        <v>3172</v>
      </c>
      <c r="O32" t="s">
        <v>1654</v>
      </c>
    </row>
    <row r="33" spans="1:15" x14ac:dyDescent="0.25">
      <c r="A33" t="s">
        <v>1221</v>
      </c>
      <c r="B33" t="s">
        <v>2229</v>
      </c>
      <c r="C33" t="s">
        <v>1504</v>
      </c>
      <c r="D33" t="s">
        <v>285</v>
      </c>
      <c r="E33" t="s">
        <v>285</v>
      </c>
      <c r="F33" t="s">
        <v>285</v>
      </c>
      <c r="G33" t="s">
        <v>285</v>
      </c>
      <c r="H33" t="s">
        <v>2230</v>
      </c>
      <c r="I33" t="s">
        <v>172</v>
      </c>
      <c r="J33" t="s">
        <v>1504</v>
      </c>
      <c r="K33" t="s">
        <v>839</v>
      </c>
      <c r="L33" t="s">
        <v>1221</v>
      </c>
      <c r="M33" t="s">
        <v>3167</v>
      </c>
      <c r="N33" t="s">
        <v>121</v>
      </c>
      <c r="O33" t="s">
        <v>1654</v>
      </c>
    </row>
    <row r="34" spans="1:15" x14ac:dyDescent="0.25">
      <c r="A34" t="s">
        <v>333</v>
      </c>
      <c r="B34" t="s">
        <v>2231</v>
      </c>
      <c r="C34" t="s">
        <v>2232</v>
      </c>
      <c r="D34" t="s">
        <v>284</v>
      </c>
      <c r="E34" t="s">
        <v>285</v>
      </c>
      <c r="F34" t="s">
        <v>285</v>
      </c>
      <c r="G34" t="s">
        <v>285</v>
      </c>
      <c r="H34" t="s">
        <v>5</v>
      </c>
      <c r="I34" t="s">
        <v>172</v>
      </c>
      <c r="J34" t="s">
        <v>801</v>
      </c>
      <c r="K34" t="s">
        <v>801</v>
      </c>
      <c r="L34" t="s">
        <v>333</v>
      </c>
      <c r="M34" t="s">
        <v>3167</v>
      </c>
      <c r="N34" t="s">
        <v>121</v>
      </c>
      <c r="O34" t="s">
        <v>1654</v>
      </c>
    </row>
    <row r="35" spans="1:15" x14ac:dyDescent="0.25">
      <c r="A35" t="s">
        <v>334</v>
      </c>
      <c r="B35" t="s">
        <v>2233</v>
      </c>
      <c r="C35" t="s">
        <v>2168</v>
      </c>
      <c r="D35" t="s">
        <v>285</v>
      </c>
      <c r="E35" t="s">
        <v>285</v>
      </c>
      <c r="F35" t="s">
        <v>285</v>
      </c>
      <c r="G35" t="s">
        <v>284</v>
      </c>
      <c r="H35" t="s">
        <v>5</v>
      </c>
      <c r="I35" t="s">
        <v>172</v>
      </c>
      <c r="J35" t="s">
        <v>2168</v>
      </c>
      <c r="K35" t="s">
        <v>98</v>
      </c>
      <c r="L35" t="s">
        <v>334</v>
      </c>
      <c r="M35" t="s">
        <v>3167</v>
      </c>
      <c r="N35" t="s">
        <v>121</v>
      </c>
      <c r="O35" t="s">
        <v>1654</v>
      </c>
    </row>
    <row r="36" spans="1:15" x14ac:dyDescent="0.25">
      <c r="A36" t="s">
        <v>756</v>
      </c>
      <c r="B36" t="s">
        <v>2234</v>
      </c>
      <c r="C36" t="s">
        <v>1511</v>
      </c>
      <c r="D36" t="s">
        <v>284</v>
      </c>
      <c r="E36" t="s">
        <v>285</v>
      </c>
      <c r="F36" t="s">
        <v>285</v>
      </c>
      <c r="G36" t="s">
        <v>285</v>
      </c>
      <c r="H36" t="s">
        <v>5</v>
      </c>
      <c r="I36" t="s">
        <v>172</v>
      </c>
      <c r="J36" t="s">
        <v>800</v>
      </c>
      <c r="K36" t="s">
        <v>800</v>
      </c>
      <c r="L36" t="s">
        <v>756</v>
      </c>
      <c r="M36" t="s">
        <v>3167</v>
      </c>
      <c r="N36" t="s">
        <v>121</v>
      </c>
      <c r="O36" t="s">
        <v>1654</v>
      </c>
    </row>
    <row r="37" spans="1:15" x14ac:dyDescent="0.25">
      <c r="A37" t="s">
        <v>335</v>
      </c>
      <c r="B37" t="s">
        <v>2235</v>
      </c>
      <c r="C37" t="s">
        <v>1405</v>
      </c>
      <c r="D37" t="s">
        <v>285</v>
      </c>
      <c r="E37" t="s">
        <v>284</v>
      </c>
      <c r="F37" t="s">
        <v>285</v>
      </c>
      <c r="G37" t="s">
        <v>285</v>
      </c>
      <c r="H37" t="s">
        <v>5</v>
      </c>
      <c r="I37" t="s">
        <v>172</v>
      </c>
      <c r="J37" t="s">
        <v>2236</v>
      </c>
      <c r="K37" t="s">
        <v>1616</v>
      </c>
      <c r="L37" t="s">
        <v>335</v>
      </c>
      <c r="M37" t="s">
        <v>3168</v>
      </c>
      <c r="N37" t="s">
        <v>1527</v>
      </c>
      <c r="O37" t="s">
        <v>1654</v>
      </c>
    </row>
    <row r="38" spans="1:15" x14ac:dyDescent="0.25">
      <c r="A38" t="s">
        <v>580</v>
      </c>
      <c r="B38" t="s">
        <v>2237</v>
      </c>
      <c r="C38" t="s">
        <v>1513</v>
      </c>
      <c r="D38" t="s">
        <v>284</v>
      </c>
      <c r="E38" t="s">
        <v>284</v>
      </c>
      <c r="F38" t="s">
        <v>285</v>
      </c>
      <c r="G38" t="s">
        <v>285</v>
      </c>
      <c r="H38" t="s">
        <v>5</v>
      </c>
      <c r="I38" t="s">
        <v>172</v>
      </c>
      <c r="J38" t="s">
        <v>1514</v>
      </c>
      <c r="K38" t="s">
        <v>839</v>
      </c>
      <c r="L38" t="s">
        <v>580</v>
      </c>
      <c r="M38" t="s">
        <v>3168</v>
      </c>
      <c r="N38" t="s">
        <v>802</v>
      </c>
      <c r="O38" t="s">
        <v>789</v>
      </c>
    </row>
    <row r="39" spans="1:15" x14ac:dyDescent="0.25">
      <c r="A39" t="s">
        <v>336</v>
      </c>
      <c r="B39" t="s">
        <v>2238</v>
      </c>
      <c r="C39" t="s">
        <v>1514</v>
      </c>
      <c r="D39" t="s">
        <v>285</v>
      </c>
      <c r="E39" t="s">
        <v>284</v>
      </c>
      <c r="F39" t="s">
        <v>285</v>
      </c>
      <c r="G39" t="s">
        <v>284</v>
      </c>
      <c r="H39" t="s">
        <v>5</v>
      </c>
      <c r="I39" t="s">
        <v>172</v>
      </c>
      <c r="J39" t="s">
        <v>1514</v>
      </c>
      <c r="K39" t="s">
        <v>839</v>
      </c>
      <c r="L39" t="s">
        <v>336</v>
      </c>
      <c r="M39" t="s">
        <v>3168</v>
      </c>
      <c r="N39" t="s">
        <v>1527</v>
      </c>
      <c r="O39" t="s">
        <v>1654</v>
      </c>
    </row>
    <row r="40" spans="1:15" x14ac:dyDescent="0.25">
      <c r="A40" t="s">
        <v>337</v>
      </c>
      <c r="B40" t="s">
        <v>2239</v>
      </c>
      <c r="C40" t="s">
        <v>2240</v>
      </c>
      <c r="D40" t="s">
        <v>285</v>
      </c>
      <c r="E40" t="s">
        <v>285</v>
      </c>
      <c r="F40" t="s">
        <v>285</v>
      </c>
      <c r="G40" t="s">
        <v>284</v>
      </c>
      <c r="H40" t="s">
        <v>5</v>
      </c>
      <c r="I40" t="s">
        <v>172</v>
      </c>
      <c r="J40" t="s">
        <v>2240</v>
      </c>
      <c r="K40" t="s">
        <v>840</v>
      </c>
      <c r="L40" t="s">
        <v>337</v>
      </c>
      <c r="M40" t="s">
        <v>3167</v>
      </c>
      <c r="N40" t="s">
        <v>1527</v>
      </c>
      <c r="O40" t="s">
        <v>1654</v>
      </c>
    </row>
    <row r="41" spans="1:15" x14ac:dyDescent="0.25">
      <c r="A41" t="s">
        <v>133</v>
      </c>
      <c r="B41" t="s">
        <v>2241</v>
      </c>
      <c r="C41" t="s">
        <v>1514</v>
      </c>
      <c r="D41" t="s">
        <v>284</v>
      </c>
      <c r="E41" t="s">
        <v>284</v>
      </c>
      <c r="F41" t="s">
        <v>285</v>
      </c>
      <c r="G41" t="s">
        <v>285</v>
      </c>
      <c r="H41" t="s">
        <v>5</v>
      </c>
      <c r="I41" t="s">
        <v>172</v>
      </c>
      <c r="J41" t="s">
        <v>1514</v>
      </c>
      <c r="K41" t="s">
        <v>839</v>
      </c>
      <c r="L41" t="s">
        <v>133</v>
      </c>
      <c r="M41" t="s">
        <v>3168</v>
      </c>
      <c r="N41" t="s">
        <v>802</v>
      </c>
      <c r="O41" t="s">
        <v>789</v>
      </c>
    </row>
    <row r="42" spans="1:15" x14ac:dyDescent="0.25">
      <c r="A42" t="s">
        <v>338</v>
      </c>
      <c r="B42" t="s">
        <v>2242</v>
      </c>
      <c r="C42" t="s">
        <v>1515</v>
      </c>
      <c r="D42" t="s">
        <v>285</v>
      </c>
      <c r="E42" t="s">
        <v>285</v>
      </c>
      <c r="F42" t="s">
        <v>285</v>
      </c>
      <c r="G42" t="s">
        <v>284</v>
      </c>
      <c r="H42" t="s">
        <v>5</v>
      </c>
      <c r="I42" t="s">
        <v>172</v>
      </c>
      <c r="J42" t="s">
        <v>1515</v>
      </c>
      <c r="K42" t="s">
        <v>800</v>
      </c>
      <c r="L42" t="s">
        <v>338</v>
      </c>
      <c r="M42" t="s">
        <v>3167</v>
      </c>
      <c r="N42" t="s">
        <v>121</v>
      </c>
      <c r="O42" t="s">
        <v>1654</v>
      </c>
    </row>
    <row r="43" spans="1:15" x14ac:dyDescent="0.25">
      <c r="A43" t="s">
        <v>739</v>
      </c>
      <c r="B43" t="s">
        <v>2243</v>
      </c>
      <c r="C43" t="s">
        <v>780</v>
      </c>
      <c r="D43" t="s">
        <v>285</v>
      </c>
      <c r="E43" t="s">
        <v>285</v>
      </c>
      <c r="F43" t="s">
        <v>285</v>
      </c>
      <c r="G43" t="s">
        <v>284</v>
      </c>
      <c r="H43" t="s">
        <v>5</v>
      </c>
      <c r="I43" t="s">
        <v>172</v>
      </c>
      <c r="J43" t="s">
        <v>780</v>
      </c>
      <c r="K43" t="s">
        <v>780</v>
      </c>
      <c r="L43" t="s">
        <v>739</v>
      </c>
      <c r="M43" t="s">
        <v>3168</v>
      </c>
      <c r="N43" t="s">
        <v>3172</v>
      </c>
      <c r="O43" t="s">
        <v>1654</v>
      </c>
    </row>
    <row r="44" spans="1:15" x14ac:dyDescent="0.25">
      <c r="A44" t="s">
        <v>781</v>
      </c>
      <c r="B44" t="s">
        <v>2244</v>
      </c>
      <c r="C44" t="s">
        <v>1510</v>
      </c>
      <c r="D44" t="s">
        <v>285</v>
      </c>
      <c r="E44" t="s">
        <v>285</v>
      </c>
      <c r="F44" t="s">
        <v>285</v>
      </c>
      <c r="G44" t="s">
        <v>285</v>
      </c>
      <c r="H44" t="s">
        <v>1408</v>
      </c>
      <c r="I44" t="s">
        <v>172</v>
      </c>
      <c r="J44" t="s">
        <v>769</v>
      </c>
      <c r="K44" t="s">
        <v>769</v>
      </c>
      <c r="L44" t="s">
        <v>781</v>
      </c>
      <c r="M44" t="s">
        <v>3167</v>
      </c>
      <c r="N44" t="s">
        <v>3172</v>
      </c>
      <c r="O44" t="s">
        <v>1654</v>
      </c>
    </row>
    <row r="45" spans="1:15" x14ac:dyDescent="0.25">
      <c r="A45" t="s">
        <v>577</v>
      </c>
      <c r="B45" t="s">
        <v>2245</v>
      </c>
      <c r="C45" t="s">
        <v>1516</v>
      </c>
      <c r="D45" t="s">
        <v>285</v>
      </c>
      <c r="E45" t="s">
        <v>285</v>
      </c>
      <c r="F45" t="s">
        <v>285</v>
      </c>
      <c r="G45" t="s">
        <v>284</v>
      </c>
      <c r="H45" t="s">
        <v>5</v>
      </c>
      <c r="I45" t="s">
        <v>172</v>
      </c>
      <c r="J45" t="s">
        <v>1407</v>
      </c>
      <c r="K45" t="s">
        <v>1616</v>
      </c>
      <c r="L45" t="s">
        <v>577</v>
      </c>
      <c r="M45" t="s">
        <v>3167</v>
      </c>
      <c r="N45" t="s">
        <v>121</v>
      </c>
      <c r="O45" t="s">
        <v>1654</v>
      </c>
    </row>
    <row r="46" spans="1:15" x14ac:dyDescent="0.25">
      <c r="A46" t="s">
        <v>339</v>
      </c>
      <c r="B46" t="s">
        <v>2246</v>
      </c>
      <c r="C46" t="s">
        <v>1505</v>
      </c>
      <c r="D46" t="s">
        <v>285</v>
      </c>
      <c r="E46" t="s">
        <v>284</v>
      </c>
      <c r="F46" t="s">
        <v>285</v>
      </c>
      <c r="G46" t="s">
        <v>284</v>
      </c>
      <c r="H46" t="s">
        <v>5</v>
      </c>
      <c r="I46" t="s">
        <v>172</v>
      </c>
      <c r="J46" t="s">
        <v>1505</v>
      </c>
      <c r="K46" t="s">
        <v>1616</v>
      </c>
      <c r="L46" t="s">
        <v>339</v>
      </c>
      <c r="M46" t="s">
        <v>3168</v>
      </c>
      <c r="N46" t="s">
        <v>802</v>
      </c>
      <c r="O46" t="s">
        <v>1654</v>
      </c>
    </row>
    <row r="47" spans="1:15" x14ac:dyDescent="0.25">
      <c r="A47" t="s">
        <v>21</v>
      </c>
      <c r="B47" t="s">
        <v>2247</v>
      </c>
      <c r="C47" t="s">
        <v>2248</v>
      </c>
      <c r="D47" t="s">
        <v>284</v>
      </c>
      <c r="E47" t="s">
        <v>284</v>
      </c>
      <c r="F47" t="s">
        <v>284</v>
      </c>
      <c r="G47" t="s">
        <v>285</v>
      </c>
      <c r="H47" t="s">
        <v>5</v>
      </c>
      <c r="I47" t="s">
        <v>172</v>
      </c>
      <c r="J47" t="s">
        <v>1521</v>
      </c>
      <c r="K47" t="s">
        <v>101</v>
      </c>
      <c r="L47" t="s">
        <v>21</v>
      </c>
      <c r="M47" t="s">
        <v>3168</v>
      </c>
      <c r="N47" t="s">
        <v>802</v>
      </c>
      <c r="O47" t="s">
        <v>789</v>
      </c>
    </row>
    <row r="48" spans="1:15" x14ac:dyDescent="0.25">
      <c r="A48" t="s">
        <v>723</v>
      </c>
      <c r="B48" t="s">
        <v>2249</v>
      </c>
      <c r="C48" t="s">
        <v>1518</v>
      </c>
      <c r="D48" t="s">
        <v>285</v>
      </c>
      <c r="E48" t="s">
        <v>285</v>
      </c>
      <c r="F48" t="s">
        <v>285</v>
      </c>
      <c r="G48" t="s">
        <v>284</v>
      </c>
      <c r="H48" t="s">
        <v>5</v>
      </c>
      <c r="I48" t="s">
        <v>172</v>
      </c>
      <c r="J48" t="s">
        <v>103</v>
      </c>
      <c r="K48" t="s">
        <v>101</v>
      </c>
      <c r="L48" t="s">
        <v>723</v>
      </c>
      <c r="M48" t="s">
        <v>3167</v>
      </c>
      <c r="N48" t="s">
        <v>121</v>
      </c>
      <c r="O48" t="s">
        <v>1654</v>
      </c>
    </row>
    <row r="49" spans="1:15" x14ac:dyDescent="0.25">
      <c r="A49" t="s">
        <v>340</v>
      </c>
      <c r="B49" t="s">
        <v>2250</v>
      </c>
      <c r="C49" t="s">
        <v>1509</v>
      </c>
      <c r="D49" t="s">
        <v>285</v>
      </c>
      <c r="E49" t="s">
        <v>284</v>
      </c>
      <c r="F49" t="s">
        <v>285</v>
      </c>
      <c r="G49" t="s">
        <v>284</v>
      </c>
      <c r="H49" t="s">
        <v>5</v>
      </c>
      <c r="I49" t="s">
        <v>172</v>
      </c>
      <c r="J49" t="s">
        <v>1509</v>
      </c>
      <c r="K49" t="s">
        <v>839</v>
      </c>
      <c r="L49" t="s">
        <v>340</v>
      </c>
      <c r="M49" t="s">
        <v>3168</v>
      </c>
      <c r="N49" t="s">
        <v>1527</v>
      </c>
      <c r="O49" t="s">
        <v>1654</v>
      </c>
    </row>
    <row r="50" spans="1:15" x14ac:dyDescent="0.25">
      <c r="A50" t="s">
        <v>1789</v>
      </c>
      <c r="B50" t="s">
        <v>2251</v>
      </c>
      <c r="C50" t="s">
        <v>1510</v>
      </c>
      <c r="D50" t="s">
        <v>285</v>
      </c>
      <c r="E50" t="s">
        <v>285</v>
      </c>
      <c r="F50" t="s">
        <v>285</v>
      </c>
      <c r="G50" t="s">
        <v>285</v>
      </c>
      <c r="H50" t="s">
        <v>1408</v>
      </c>
      <c r="I50" t="s">
        <v>172</v>
      </c>
      <c r="J50" t="s">
        <v>89</v>
      </c>
      <c r="K50" t="s">
        <v>89</v>
      </c>
      <c r="L50" t="s">
        <v>1789</v>
      </c>
      <c r="M50" t="s">
        <v>3168</v>
      </c>
      <c r="N50" t="s">
        <v>1527</v>
      </c>
      <c r="O50" t="s">
        <v>1654</v>
      </c>
    </row>
    <row r="51" spans="1:15" x14ac:dyDescent="0.25">
      <c r="A51" t="s">
        <v>341</v>
      </c>
      <c r="B51" t="s">
        <v>2252</v>
      </c>
      <c r="C51" t="s">
        <v>2253</v>
      </c>
      <c r="D51" t="s">
        <v>285</v>
      </c>
      <c r="E51" t="s">
        <v>285</v>
      </c>
      <c r="F51" t="s">
        <v>285</v>
      </c>
      <c r="G51" t="s">
        <v>284</v>
      </c>
      <c r="H51" t="s">
        <v>5</v>
      </c>
      <c r="I51" t="s">
        <v>172</v>
      </c>
      <c r="J51" t="s">
        <v>769</v>
      </c>
      <c r="K51" t="s">
        <v>769</v>
      </c>
      <c r="L51" t="s">
        <v>341</v>
      </c>
      <c r="M51" t="s">
        <v>3167</v>
      </c>
      <c r="N51" t="s">
        <v>121</v>
      </c>
      <c r="O51" t="s">
        <v>789</v>
      </c>
    </row>
    <row r="52" spans="1:15" x14ac:dyDescent="0.25">
      <c r="A52" t="s">
        <v>669</v>
      </c>
      <c r="B52" t="s">
        <v>2254</v>
      </c>
      <c r="C52" t="s">
        <v>2255</v>
      </c>
      <c r="D52" t="s">
        <v>284</v>
      </c>
      <c r="E52" t="s">
        <v>285</v>
      </c>
      <c r="F52" t="s">
        <v>285</v>
      </c>
      <c r="G52" t="s">
        <v>285</v>
      </c>
      <c r="H52" t="s">
        <v>5</v>
      </c>
      <c r="I52" t="s">
        <v>172</v>
      </c>
      <c r="J52" t="s">
        <v>780</v>
      </c>
      <c r="K52" t="s">
        <v>780</v>
      </c>
      <c r="L52" t="s">
        <v>669</v>
      </c>
      <c r="M52" t="s">
        <v>3168</v>
      </c>
      <c r="N52" t="s">
        <v>3172</v>
      </c>
      <c r="O52" t="s">
        <v>1654</v>
      </c>
    </row>
    <row r="53" spans="1:15" x14ac:dyDescent="0.25">
      <c r="A53" t="s">
        <v>1459</v>
      </c>
      <c r="B53" t="s">
        <v>2256</v>
      </c>
      <c r="C53" t="s">
        <v>1510</v>
      </c>
      <c r="D53" t="s">
        <v>285</v>
      </c>
      <c r="E53" t="s">
        <v>285</v>
      </c>
      <c r="F53" t="s">
        <v>285</v>
      </c>
      <c r="G53" t="s">
        <v>285</v>
      </c>
      <c r="H53" t="s">
        <v>1408</v>
      </c>
      <c r="I53" t="s">
        <v>172</v>
      </c>
      <c r="J53" t="s">
        <v>2178</v>
      </c>
      <c r="K53" t="s">
        <v>800</v>
      </c>
      <c r="L53" t="s">
        <v>1459</v>
      </c>
      <c r="M53" t="s">
        <v>3167</v>
      </c>
      <c r="N53" t="s">
        <v>121</v>
      </c>
      <c r="O53" t="s">
        <v>789</v>
      </c>
    </row>
    <row r="54" spans="1:15" x14ac:dyDescent="0.25">
      <c r="A54" t="s">
        <v>1415</v>
      </c>
      <c r="B54" t="s">
        <v>2257</v>
      </c>
      <c r="C54" t="s">
        <v>1518</v>
      </c>
      <c r="D54" t="s">
        <v>285</v>
      </c>
      <c r="E54" t="s">
        <v>284</v>
      </c>
      <c r="F54" t="s">
        <v>285</v>
      </c>
      <c r="G54" t="s">
        <v>284</v>
      </c>
      <c r="H54" t="s">
        <v>5</v>
      </c>
      <c r="I54" t="s">
        <v>172</v>
      </c>
      <c r="J54" t="s">
        <v>103</v>
      </c>
      <c r="K54" t="s">
        <v>101</v>
      </c>
      <c r="L54" t="s">
        <v>1415</v>
      </c>
      <c r="M54" t="s">
        <v>3167</v>
      </c>
      <c r="N54" t="s">
        <v>121</v>
      </c>
      <c r="O54" t="s">
        <v>1654</v>
      </c>
    </row>
    <row r="55" spans="1:15" x14ac:dyDescent="0.25">
      <c r="A55" t="s">
        <v>342</v>
      </c>
      <c r="B55" t="s">
        <v>2258</v>
      </c>
      <c r="C55" t="s">
        <v>1510</v>
      </c>
      <c r="D55" t="s">
        <v>285</v>
      </c>
      <c r="E55" t="s">
        <v>285</v>
      </c>
      <c r="F55" t="s">
        <v>285</v>
      </c>
      <c r="G55" t="s">
        <v>285</v>
      </c>
      <c r="H55" t="s">
        <v>1408</v>
      </c>
      <c r="I55" t="s">
        <v>172</v>
      </c>
      <c r="J55" t="s">
        <v>2259</v>
      </c>
      <c r="K55" t="s">
        <v>839</v>
      </c>
      <c r="L55" t="s">
        <v>342</v>
      </c>
      <c r="M55" t="s">
        <v>3168</v>
      </c>
      <c r="N55" t="s">
        <v>1527</v>
      </c>
      <c r="O55" t="s">
        <v>789</v>
      </c>
    </row>
    <row r="56" spans="1:15" x14ac:dyDescent="0.25">
      <c r="A56" t="s">
        <v>1497</v>
      </c>
      <c r="B56" t="s">
        <v>2260</v>
      </c>
      <c r="C56" t="s">
        <v>1504</v>
      </c>
      <c r="D56" t="s">
        <v>285</v>
      </c>
      <c r="E56" t="s">
        <v>284</v>
      </c>
      <c r="F56" t="s">
        <v>285</v>
      </c>
      <c r="G56" t="s">
        <v>284</v>
      </c>
      <c r="H56" t="s">
        <v>5</v>
      </c>
      <c r="I56" t="s">
        <v>172</v>
      </c>
      <c r="J56" t="s">
        <v>1504</v>
      </c>
      <c r="K56" t="s">
        <v>839</v>
      </c>
      <c r="L56" t="s">
        <v>1497</v>
      </c>
      <c r="M56" t="s">
        <v>3168</v>
      </c>
      <c r="N56" t="s">
        <v>1527</v>
      </c>
      <c r="O56" t="s">
        <v>1654</v>
      </c>
    </row>
    <row r="57" spans="1:15" x14ac:dyDescent="0.25">
      <c r="A57" t="s">
        <v>1765</v>
      </c>
      <c r="B57" t="s">
        <v>2261</v>
      </c>
      <c r="C57" t="s">
        <v>1518</v>
      </c>
      <c r="D57" t="s">
        <v>285</v>
      </c>
      <c r="E57" t="s">
        <v>285</v>
      </c>
      <c r="F57" t="s">
        <v>285</v>
      </c>
      <c r="G57" t="s">
        <v>284</v>
      </c>
      <c r="H57" t="s">
        <v>5</v>
      </c>
      <c r="I57" t="s">
        <v>172</v>
      </c>
      <c r="J57" t="s">
        <v>103</v>
      </c>
      <c r="K57" t="s">
        <v>101</v>
      </c>
      <c r="L57" t="s">
        <v>1765</v>
      </c>
      <c r="M57" t="s">
        <v>3167</v>
      </c>
      <c r="N57" t="s">
        <v>121</v>
      </c>
      <c r="O57" t="s">
        <v>1654</v>
      </c>
    </row>
    <row r="58" spans="1:15" x14ac:dyDescent="0.25">
      <c r="A58" t="s">
        <v>735</v>
      </c>
      <c r="B58" t="s">
        <v>2262</v>
      </c>
      <c r="C58" t="s">
        <v>1533</v>
      </c>
      <c r="D58" t="s">
        <v>285</v>
      </c>
      <c r="E58" t="s">
        <v>285</v>
      </c>
      <c r="F58" t="s">
        <v>285</v>
      </c>
      <c r="G58" t="s">
        <v>284</v>
      </c>
      <c r="H58" t="s">
        <v>5</v>
      </c>
      <c r="I58" t="s">
        <v>172</v>
      </c>
      <c r="J58" t="s">
        <v>2263</v>
      </c>
      <c r="K58" t="s">
        <v>840</v>
      </c>
      <c r="L58" t="s">
        <v>735</v>
      </c>
      <c r="M58" t="s">
        <v>3167</v>
      </c>
      <c r="N58" t="s">
        <v>121</v>
      </c>
      <c r="O58" t="s">
        <v>1654</v>
      </c>
    </row>
    <row r="59" spans="1:15" x14ac:dyDescent="0.25">
      <c r="A59" t="s">
        <v>658</v>
      </c>
      <c r="B59" t="s">
        <v>2264</v>
      </c>
      <c r="C59" t="s">
        <v>2160</v>
      </c>
      <c r="D59" t="s">
        <v>284</v>
      </c>
      <c r="E59" t="s">
        <v>285</v>
      </c>
      <c r="F59" t="s">
        <v>285</v>
      </c>
      <c r="G59" t="s">
        <v>285</v>
      </c>
      <c r="H59" t="s">
        <v>5</v>
      </c>
      <c r="I59" t="s">
        <v>172</v>
      </c>
      <c r="J59" t="s">
        <v>780</v>
      </c>
      <c r="K59" t="s">
        <v>780</v>
      </c>
      <c r="L59" t="s">
        <v>658</v>
      </c>
      <c r="M59" t="s">
        <v>3168</v>
      </c>
      <c r="N59" t="s">
        <v>3172</v>
      </c>
      <c r="O59" t="s">
        <v>1654</v>
      </c>
    </row>
    <row r="60" spans="1:15" x14ac:dyDescent="0.25">
      <c r="A60" t="s">
        <v>343</v>
      </c>
      <c r="B60" t="s">
        <v>2265</v>
      </c>
      <c r="C60" t="s">
        <v>1514</v>
      </c>
      <c r="D60" t="s">
        <v>284</v>
      </c>
      <c r="E60" t="s">
        <v>284</v>
      </c>
      <c r="F60" t="s">
        <v>285</v>
      </c>
      <c r="G60" t="s">
        <v>285</v>
      </c>
      <c r="H60" t="s">
        <v>5</v>
      </c>
      <c r="I60" t="s">
        <v>172</v>
      </c>
      <c r="J60" t="s">
        <v>1514</v>
      </c>
      <c r="K60" t="s">
        <v>839</v>
      </c>
      <c r="L60" t="s">
        <v>343</v>
      </c>
      <c r="M60" t="s">
        <v>3168</v>
      </c>
      <c r="N60" t="s">
        <v>802</v>
      </c>
      <c r="O60" t="s">
        <v>789</v>
      </c>
    </row>
    <row r="61" spans="1:15" x14ac:dyDescent="0.25">
      <c r="A61" t="s">
        <v>730</v>
      </c>
      <c r="B61" t="s">
        <v>2266</v>
      </c>
      <c r="C61" t="s">
        <v>2267</v>
      </c>
      <c r="D61" t="s">
        <v>285</v>
      </c>
      <c r="E61" t="s">
        <v>285</v>
      </c>
      <c r="F61" t="s">
        <v>285</v>
      </c>
      <c r="G61" t="s">
        <v>284</v>
      </c>
      <c r="H61" t="s">
        <v>5</v>
      </c>
      <c r="I61" t="s">
        <v>172</v>
      </c>
      <c r="J61" t="s">
        <v>2268</v>
      </c>
      <c r="K61" t="s">
        <v>1616</v>
      </c>
      <c r="L61" t="s">
        <v>730</v>
      </c>
      <c r="M61" t="s">
        <v>3168</v>
      </c>
      <c r="N61" t="s">
        <v>121</v>
      </c>
      <c r="O61" t="s">
        <v>1654</v>
      </c>
    </row>
    <row r="62" spans="1:15" x14ac:dyDescent="0.25">
      <c r="A62" t="s">
        <v>728</v>
      </c>
      <c r="B62" t="s">
        <v>2269</v>
      </c>
      <c r="C62" t="s">
        <v>1524</v>
      </c>
      <c r="D62" t="s">
        <v>285</v>
      </c>
      <c r="E62" t="s">
        <v>285</v>
      </c>
      <c r="F62" t="s">
        <v>285</v>
      </c>
      <c r="G62" t="s">
        <v>284</v>
      </c>
      <c r="H62" t="s">
        <v>5</v>
      </c>
      <c r="I62" t="s">
        <v>172</v>
      </c>
      <c r="J62" t="s">
        <v>1524</v>
      </c>
      <c r="K62" t="s">
        <v>788</v>
      </c>
      <c r="L62" t="s">
        <v>728</v>
      </c>
      <c r="M62" t="s">
        <v>3167</v>
      </c>
      <c r="N62" t="s">
        <v>802</v>
      </c>
      <c r="O62" t="s">
        <v>1654</v>
      </c>
    </row>
    <row r="63" spans="1:15" x14ac:dyDescent="0.25">
      <c r="A63" t="s">
        <v>344</v>
      </c>
      <c r="B63" t="s">
        <v>2270</v>
      </c>
      <c r="C63" t="s">
        <v>1511</v>
      </c>
      <c r="D63" t="s">
        <v>284</v>
      </c>
      <c r="E63" t="s">
        <v>285</v>
      </c>
      <c r="F63" t="s">
        <v>284</v>
      </c>
      <c r="G63" t="s">
        <v>285</v>
      </c>
      <c r="H63" t="s">
        <v>5</v>
      </c>
      <c r="I63" t="s">
        <v>172</v>
      </c>
      <c r="J63" t="s">
        <v>800</v>
      </c>
      <c r="K63" t="s">
        <v>800</v>
      </c>
      <c r="L63" t="s">
        <v>344</v>
      </c>
      <c r="M63" t="s">
        <v>3167</v>
      </c>
      <c r="N63" t="s">
        <v>802</v>
      </c>
      <c r="O63" t="s">
        <v>789</v>
      </c>
    </row>
    <row r="64" spans="1:15" x14ac:dyDescent="0.25">
      <c r="A64" t="s">
        <v>632</v>
      </c>
      <c r="B64" t="s">
        <v>2271</v>
      </c>
      <c r="C64" t="s">
        <v>1518</v>
      </c>
      <c r="D64" t="s">
        <v>284</v>
      </c>
      <c r="E64" t="s">
        <v>285</v>
      </c>
      <c r="F64" t="s">
        <v>285</v>
      </c>
      <c r="G64" t="s">
        <v>285</v>
      </c>
      <c r="H64" t="s">
        <v>5</v>
      </c>
      <c r="I64" t="s">
        <v>172</v>
      </c>
      <c r="J64" t="s">
        <v>103</v>
      </c>
      <c r="K64" t="s">
        <v>101</v>
      </c>
      <c r="L64" t="s">
        <v>632</v>
      </c>
      <c r="M64" t="s">
        <v>3168</v>
      </c>
      <c r="N64" t="s">
        <v>802</v>
      </c>
      <c r="O64" t="s">
        <v>789</v>
      </c>
    </row>
    <row r="65" spans="1:15" x14ac:dyDescent="0.25">
      <c r="A65" t="s">
        <v>1647</v>
      </c>
      <c r="B65" t="s">
        <v>2272</v>
      </c>
      <c r="C65" t="s">
        <v>2273</v>
      </c>
      <c r="D65" t="s">
        <v>285</v>
      </c>
      <c r="E65" t="s">
        <v>285</v>
      </c>
      <c r="F65" t="s">
        <v>285</v>
      </c>
      <c r="G65" t="s">
        <v>284</v>
      </c>
      <c r="H65" t="s">
        <v>5</v>
      </c>
      <c r="I65" t="s">
        <v>172</v>
      </c>
      <c r="J65" t="s">
        <v>2273</v>
      </c>
      <c r="K65" t="s">
        <v>801</v>
      </c>
      <c r="L65" t="s">
        <v>1647</v>
      </c>
      <c r="M65" t="s">
        <v>3167</v>
      </c>
      <c r="N65" t="s">
        <v>121</v>
      </c>
      <c r="O65" t="s">
        <v>1654</v>
      </c>
    </row>
    <row r="66" spans="1:15" x14ac:dyDescent="0.25">
      <c r="A66" t="s">
        <v>311</v>
      </c>
      <c r="B66" t="s">
        <v>2274</v>
      </c>
      <c r="C66" t="s">
        <v>1508</v>
      </c>
      <c r="D66" t="s">
        <v>284</v>
      </c>
      <c r="E66" t="s">
        <v>285</v>
      </c>
      <c r="F66" t="s">
        <v>284</v>
      </c>
      <c r="G66" t="s">
        <v>285</v>
      </c>
      <c r="H66" t="s">
        <v>5</v>
      </c>
      <c r="I66" t="s">
        <v>172</v>
      </c>
      <c r="J66" t="s">
        <v>2219</v>
      </c>
      <c r="K66" t="s">
        <v>788</v>
      </c>
      <c r="L66" t="s">
        <v>311</v>
      </c>
      <c r="M66" t="s">
        <v>3168</v>
      </c>
      <c r="N66" t="s">
        <v>1527</v>
      </c>
      <c r="O66" t="s">
        <v>1654</v>
      </c>
    </row>
    <row r="67" spans="1:15" x14ac:dyDescent="0.25">
      <c r="A67" t="s">
        <v>581</v>
      </c>
      <c r="B67" t="s">
        <v>2275</v>
      </c>
      <c r="C67" t="s">
        <v>2248</v>
      </c>
      <c r="D67" t="s">
        <v>285</v>
      </c>
      <c r="E67" t="s">
        <v>285</v>
      </c>
      <c r="F67" t="s">
        <v>285</v>
      </c>
      <c r="G67" t="s">
        <v>285</v>
      </c>
      <c r="H67" t="s">
        <v>2230</v>
      </c>
      <c r="I67" t="s">
        <v>172</v>
      </c>
      <c r="J67" t="s">
        <v>1521</v>
      </c>
      <c r="K67" t="s">
        <v>101</v>
      </c>
      <c r="L67" t="s">
        <v>581</v>
      </c>
      <c r="M67" t="s">
        <v>3168</v>
      </c>
      <c r="N67" t="s">
        <v>121</v>
      </c>
      <c r="O67" t="s">
        <v>1654</v>
      </c>
    </row>
    <row r="68" spans="1:15" x14ac:dyDescent="0.25">
      <c r="A68" t="s">
        <v>345</v>
      </c>
      <c r="B68" t="s">
        <v>2276</v>
      </c>
      <c r="C68" t="s">
        <v>1519</v>
      </c>
      <c r="D68" t="s">
        <v>284</v>
      </c>
      <c r="E68" t="s">
        <v>285</v>
      </c>
      <c r="F68" t="s">
        <v>285</v>
      </c>
      <c r="G68" t="s">
        <v>285</v>
      </c>
      <c r="H68" t="s">
        <v>5</v>
      </c>
      <c r="I68" t="s">
        <v>172</v>
      </c>
      <c r="J68" t="s">
        <v>2277</v>
      </c>
      <c r="K68" t="s">
        <v>800</v>
      </c>
      <c r="L68" t="s">
        <v>345</v>
      </c>
      <c r="M68" t="s">
        <v>3167</v>
      </c>
      <c r="N68" t="s">
        <v>121</v>
      </c>
      <c r="O68" t="s">
        <v>1654</v>
      </c>
    </row>
    <row r="69" spans="1:15" x14ac:dyDescent="0.25">
      <c r="A69" t="s">
        <v>528</v>
      </c>
      <c r="B69" t="s">
        <v>2278</v>
      </c>
      <c r="C69" t="s">
        <v>1522</v>
      </c>
      <c r="D69" t="s">
        <v>284</v>
      </c>
      <c r="E69" t="s">
        <v>285</v>
      </c>
      <c r="F69" t="s">
        <v>285</v>
      </c>
      <c r="G69" t="s">
        <v>285</v>
      </c>
      <c r="H69" t="s">
        <v>5</v>
      </c>
      <c r="I69" t="s">
        <v>172</v>
      </c>
      <c r="J69" t="s">
        <v>2279</v>
      </c>
      <c r="K69" t="s">
        <v>801</v>
      </c>
      <c r="L69" t="s">
        <v>528</v>
      </c>
      <c r="M69" t="s">
        <v>3168</v>
      </c>
      <c r="N69" t="s">
        <v>802</v>
      </c>
      <c r="O69" t="s">
        <v>1654</v>
      </c>
    </row>
    <row r="70" spans="1:15" x14ac:dyDescent="0.25">
      <c r="A70" t="s">
        <v>1132</v>
      </c>
      <c r="B70" t="s">
        <v>2280</v>
      </c>
      <c r="C70" t="s">
        <v>1510</v>
      </c>
      <c r="D70" t="s">
        <v>285</v>
      </c>
      <c r="E70" t="s">
        <v>285</v>
      </c>
      <c r="F70" t="s">
        <v>285</v>
      </c>
      <c r="G70" t="s">
        <v>285</v>
      </c>
      <c r="H70" t="s">
        <v>1408</v>
      </c>
      <c r="I70" t="s">
        <v>168</v>
      </c>
      <c r="J70" t="s">
        <v>168</v>
      </c>
      <c r="K70" t="s">
        <v>800</v>
      </c>
      <c r="L70" t="s">
        <v>1132</v>
      </c>
      <c r="M70" t="s">
        <v>1527</v>
      </c>
      <c r="N70" t="s">
        <v>3172</v>
      </c>
      <c r="O70" t="s">
        <v>1654</v>
      </c>
    </row>
    <row r="71" spans="1:15" x14ac:dyDescent="0.25">
      <c r="A71" t="s">
        <v>510</v>
      </c>
      <c r="B71" t="s">
        <v>2281</v>
      </c>
      <c r="C71" t="s">
        <v>1518</v>
      </c>
      <c r="D71" t="s">
        <v>284</v>
      </c>
      <c r="E71" t="s">
        <v>285</v>
      </c>
      <c r="F71" t="s">
        <v>285</v>
      </c>
      <c r="G71" t="s">
        <v>285</v>
      </c>
      <c r="H71" t="s">
        <v>5</v>
      </c>
      <c r="I71" t="s">
        <v>172</v>
      </c>
      <c r="J71" t="s">
        <v>103</v>
      </c>
      <c r="K71" t="s">
        <v>101</v>
      </c>
      <c r="L71" t="s">
        <v>510</v>
      </c>
      <c r="M71" t="s">
        <v>3167</v>
      </c>
      <c r="N71" t="s">
        <v>121</v>
      </c>
      <c r="O71" t="s">
        <v>1654</v>
      </c>
    </row>
    <row r="72" spans="1:15" x14ac:dyDescent="0.25">
      <c r="A72" t="s">
        <v>866</v>
      </c>
      <c r="B72" t="s">
        <v>2282</v>
      </c>
      <c r="C72" t="s">
        <v>2283</v>
      </c>
      <c r="D72" t="s">
        <v>285</v>
      </c>
      <c r="E72" t="s">
        <v>285</v>
      </c>
      <c r="F72" t="s">
        <v>285</v>
      </c>
      <c r="G72" t="s">
        <v>284</v>
      </c>
      <c r="H72" t="s">
        <v>5</v>
      </c>
      <c r="I72" t="s">
        <v>172</v>
      </c>
      <c r="J72" t="s">
        <v>2284</v>
      </c>
      <c r="K72" t="s">
        <v>788</v>
      </c>
      <c r="L72" t="s">
        <v>866</v>
      </c>
      <c r="M72" t="s">
        <v>3167</v>
      </c>
      <c r="N72" t="s">
        <v>802</v>
      </c>
      <c r="O72" t="s">
        <v>1654</v>
      </c>
    </row>
    <row r="73" spans="1:15" x14ac:dyDescent="0.25">
      <c r="A73" t="s">
        <v>991</v>
      </c>
      <c r="B73" t="s">
        <v>2285</v>
      </c>
      <c r="C73" t="s">
        <v>1510</v>
      </c>
      <c r="D73" t="s">
        <v>285</v>
      </c>
      <c r="E73" t="s">
        <v>285</v>
      </c>
      <c r="F73" t="s">
        <v>285</v>
      </c>
      <c r="G73" t="s">
        <v>285</v>
      </c>
      <c r="H73" t="s">
        <v>2286</v>
      </c>
      <c r="I73" t="s">
        <v>100</v>
      </c>
      <c r="J73" t="s">
        <v>2167</v>
      </c>
      <c r="K73" t="s">
        <v>788</v>
      </c>
      <c r="L73" t="s">
        <v>991</v>
      </c>
      <c r="M73" t="s">
        <v>3167</v>
      </c>
      <c r="N73" t="s">
        <v>1527</v>
      </c>
      <c r="O73" t="s">
        <v>789</v>
      </c>
    </row>
    <row r="74" spans="1:15" x14ac:dyDescent="0.25">
      <c r="A74" t="s">
        <v>346</v>
      </c>
      <c r="B74" t="s">
        <v>2287</v>
      </c>
      <c r="C74" t="s">
        <v>1405</v>
      </c>
      <c r="D74" t="s">
        <v>285</v>
      </c>
      <c r="E74" t="s">
        <v>284</v>
      </c>
      <c r="F74" t="s">
        <v>285</v>
      </c>
      <c r="G74" t="s">
        <v>284</v>
      </c>
      <c r="H74" t="s">
        <v>5</v>
      </c>
      <c r="I74" t="s">
        <v>172</v>
      </c>
      <c r="J74" t="s">
        <v>2236</v>
      </c>
      <c r="K74" t="s">
        <v>1616</v>
      </c>
      <c r="L74" t="s">
        <v>346</v>
      </c>
      <c r="M74" t="s">
        <v>3168</v>
      </c>
      <c r="N74" t="s">
        <v>1527</v>
      </c>
      <c r="O74" t="s">
        <v>1654</v>
      </c>
    </row>
    <row r="75" spans="1:15" x14ac:dyDescent="0.25">
      <c r="A75" t="s">
        <v>347</v>
      </c>
      <c r="B75" t="s">
        <v>2288</v>
      </c>
      <c r="C75" t="s">
        <v>1541</v>
      </c>
      <c r="D75" t="s">
        <v>285</v>
      </c>
      <c r="E75" t="s">
        <v>285</v>
      </c>
      <c r="F75" t="s">
        <v>285</v>
      </c>
      <c r="G75" t="s">
        <v>285</v>
      </c>
      <c r="H75" t="s">
        <v>5</v>
      </c>
      <c r="I75" t="s">
        <v>172</v>
      </c>
      <c r="J75" t="s">
        <v>1547</v>
      </c>
      <c r="K75" t="s">
        <v>769</v>
      </c>
      <c r="L75" t="s">
        <v>347</v>
      </c>
      <c r="M75" t="s">
        <v>3168</v>
      </c>
      <c r="N75" t="s">
        <v>3172</v>
      </c>
      <c r="O75" t="s">
        <v>1654</v>
      </c>
    </row>
    <row r="76" spans="1:15" x14ac:dyDescent="0.25">
      <c r="A76" t="s">
        <v>573</v>
      </c>
      <c r="B76" t="s">
        <v>2289</v>
      </c>
      <c r="C76" t="s">
        <v>1518</v>
      </c>
      <c r="D76" t="s">
        <v>285</v>
      </c>
      <c r="E76" t="s">
        <v>285</v>
      </c>
      <c r="F76" t="s">
        <v>285</v>
      </c>
      <c r="G76" t="s">
        <v>284</v>
      </c>
      <c r="H76" t="s">
        <v>5</v>
      </c>
      <c r="I76" t="s">
        <v>172</v>
      </c>
      <c r="J76" t="s">
        <v>103</v>
      </c>
      <c r="K76" t="s">
        <v>101</v>
      </c>
      <c r="L76" t="s">
        <v>573</v>
      </c>
      <c r="M76" t="s">
        <v>3167</v>
      </c>
      <c r="N76" t="s">
        <v>3172</v>
      </c>
      <c r="O76" t="s">
        <v>1654</v>
      </c>
    </row>
    <row r="77" spans="1:15" x14ac:dyDescent="0.25">
      <c r="A77" t="s">
        <v>695</v>
      </c>
      <c r="B77" t="s">
        <v>2290</v>
      </c>
      <c r="C77" t="s">
        <v>2267</v>
      </c>
      <c r="D77" t="s">
        <v>285</v>
      </c>
      <c r="E77" t="s">
        <v>285</v>
      </c>
      <c r="F77" t="s">
        <v>285</v>
      </c>
      <c r="G77" t="s">
        <v>284</v>
      </c>
      <c r="H77" t="s">
        <v>5</v>
      </c>
      <c r="I77" t="s">
        <v>172</v>
      </c>
      <c r="J77" t="s">
        <v>2268</v>
      </c>
      <c r="K77" t="s">
        <v>1616</v>
      </c>
      <c r="L77" t="s">
        <v>695</v>
      </c>
      <c r="M77" t="s">
        <v>3168</v>
      </c>
      <c r="N77" t="s">
        <v>802</v>
      </c>
      <c r="O77" t="s">
        <v>1654</v>
      </c>
    </row>
    <row r="78" spans="1:15" x14ac:dyDescent="0.25">
      <c r="A78" t="s">
        <v>495</v>
      </c>
      <c r="B78" t="s">
        <v>2291</v>
      </c>
      <c r="C78" t="s">
        <v>1525</v>
      </c>
      <c r="D78" t="s">
        <v>285</v>
      </c>
      <c r="E78" t="s">
        <v>285</v>
      </c>
      <c r="F78" t="s">
        <v>285</v>
      </c>
      <c r="G78" t="s">
        <v>285</v>
      </c>
      <c r="H78" t="s">
        <v>5</v>
      </c>
      <c r="I78" t="s">
        <v>172</v>
      </c>
      <c r="J78" t="s">
        <v>2292</v>
      </c>
      <c r="K78" t="s">
        <v>89</v>
      </c>
      <c r="L78" t="s">
        <v>495</v>
      </c>
      <c r="M78" t="s">
        <v>3168</v>
      </c>
      <c r="N78" t="s">
        <v>3172</v>
      </c>
      <c r="O78" t="s">
        <v>1654</v>
      </c>
    </row>
    <row r="79" spans="1:15" x14ac:dyDescent="0.25">
      <c r="A79" t="s">
        <v>1443</v>
      </c>
      <c r="B79" t="s">
        <v>2293</v>
      </c>
      <c r="C79" t="s">
        <v>2294</v>
      </c>
      <c r="D79" t="s">
        <v>285</v>
      </c>
      <c r="E79" t="s">
        <v>285</v>
      </c>
      <c r="F79" t="s">
        <v>285</v>
      </c>
      <c r="G79" t="s">
        <v>285</v>
      </c>
      <c r="H79" t="s">
        <v>5</v>
      </c>
      <c r="I79" t="s">
        <v>172</v>
      </c>
      <c r="J79" t="s">
        <v>2295</v>
      </c>
      <c r="K79" t="s">
        <v>101</v>
      </c>
      <c r="L79" t="s">
        <v>1443</v>
      </c>
      <c r="M79" t="s">
        <v>3168</v>
      </c>
      <c r="N79" t="s">
        <v>802</v>
      </c>
      <c r="O79" t="s">
        <v>789</v>
      </c>
    </row>
    <row r="80" spans="1:15" x14ac:dyDescent="0.25">
      <c r="A80" t="s">
        <v>112</v>
      </c>
      <c r="B80" t="s">
        <v>2296</v>
      </c>
      <c r="C80" t="s">
        <v>1510</v>
      </c>
      <c r="D80" t="s">
        <v>285</v>
      </c>
      <c r="E80" t="s">
        <v>285</v>
      </c>
      <c r="F80" t="s">
        <v>285</v>
      </c>
      <c r="G80" t="s">
        <v>285</v>
      </c>
      <c r="H80" t="s">
        <v>2286</v>
      </c>
      <c r="I80" t="s">
        <v>2164</v>
      </c>
      <c r="J80" t="s">
        <v>2164</v>
      </c>
      <c r="K80" t="s">
        <v>839</v>
      </c>
      <c r="L80" t="s">
        <v>112</v>
      </c>
      <c r="M80" t="s">
        <v>1527</v>
      </c>
      <c r="N80" t="s">
        <v>1527</v>
      </c>
      <c r="O80" t="s">
        <v>789</v>
      </c>
    </row>
    <row r="81" spans="1:15" x14ac:dyDescent="0.25">
      <c r="A81" t="s">
        <v>741</v>
      </c>
      <c r="B81" t="s">
        <v>2297</v>
      </c>
      <c r="C81" t="s">
        <v>2298</v>
      </c>
      <c r="D81" t="s">
        <v>285</v>
      </c>
      <c r="E81" t="s">
        <v>285</v>
      </c>
      <c r="F81" t="s">
        <v>285</v>
      </c>
      <c r="G81" t="s">
        <v>284</v>
      </c>
      <c r="H81" t="s">
        <v>5</v>
      </c>
      <c r="I81" t="s">
        <v>172</v>
      </c>
      <c r="J81" t="s">
        <v>103</v>
      </c>
      <c r="K81" t="s">
        <v>98</v>
      </c>
      <c r="L81" t="s">
        <v>741</v>
      </c>
      <c r="M81" t="s">
        <v>3168</v>
      </c>
      <c r="N81" t="s">
        <v>802</v>
      </c>
      <c r="O81" t="s">
        <v>1654</v>
      </c>
    </row>
    <row r="82" spans="1:15" x14ac:dyDescent="0.25">
      <c r="A82" t="s">
        <v>853</v>
      </c>
      <c r="B82" t="s">
        <v>2299</v>
      </c>
      <c r="C82" t="s">
        <v>1214</v>
      </c>
      <c r="D82" t="s">
        <v>285</v>
      </c>
      <c r="E82" t="s">
        <v>285</v>
      </c>
      <c r="F82" t="s">
        <v>285</v>
      </c>
      <c r="G82" t="s">
        <v>284</v>
      </c>
      <c r="H82" t="s">
        <v>5</v>
      </c>
      <c r="I82" t="s">
        <v>172</v>
      </c>
      <c r="J82" t="s">
        <v>1214</v>
      </c>
      <c r="K82" t="s">
        <v>101</v>
      </c>
      <c r="L82" t="s">
        <v>853</v>
      </c>
      <c r="M82" t="s">
        <v>3167</v>
      </c>
      <c r="N82" t="s">
        <v>121</v>
      </c>
      <c r="O82" t="s">
        <v>1654</v>
      </c>
    </row>
    <row r="83" spans="1:15" x14ac:dyDescent="0.25">
      <c r="A83" t="s">
        <v>348</v>
      </c>
      <c r="B83" t="s">
        <v>2300</v>
      </c>
      <c r="C83" t="s">
        <v>1519</v>
      </c>
      <c r="D83" t="s">
        <v>284</v>
      </c>
      <c r="E83" t="s">
        <v>285</v>
      </c>
      <c r="F83" t="s">
        <v>285</v>
      </c>
      <c r="G83" t="s">
        <v>285</v>
      </c>
      <c r="H83" t="s">
        <v>5</v>
      </c>
      <c r="I83" t="s">
        <v>172</v>
      </c>
      <c r="J83" t="s">
        <v>2277</v>
      </c>
      <c r="K83" t="s">
        <v>800</v>
      </c>
      <c r="L83" t="s">
        <v>348</v>
      </c>
      <c r="M83" t="s">
        <v>3167</v>
      </c>
      <c r="N83" t="s">
        <v>121</v>
      </c>
      <c r="O83" t="s">
        <v>1654</v>
      </c>
    </row>
    <row r="84" spans="1:15" x14ac:dyDescent="0.25">
      <c r="A84" t="s">
        <v>613</v>
      </c>
      <c r="B84" t="s">
        <v>2301</v>
      </c>
      <c r="C84" t="s">
        <v>2212</v>
      </c>
      <c r="D84" t="s">
        <v>284</v>
      </c>
      <c r="E84" t="s">
        <v>284</v>
      </c>
      <c r="F84" t="s">
        <v>285</v>
      </c>
      <c r="G84" t="s">
        <v>285</v>
      </c>
      <c r="H84" t="s">
        <v>5</v>
      </c>
      <c r="I84" t="s">
        <v>172</v>
      </c>
      <c r="J84" t="s">
        <v>2213</v>
      </c>
      <c r="K84" t="s">
        <v>101</v>
      </c>
      <c r="L84" t="s">
        <v>613</v>
      </c>
      <c r="M84" t="s">
        <v>3168</v>
      </c>
      <c r="N84" t="s">
        <v>802</v>
      </c>
      <c r="O84" t="s">
        <v>789</v>
      </c>
    </row>
    <row r="85" spans="1:15" x14ac:dyDescent="0.25">
      <c r="A85" t="s">
        <v>1346</v>
      </c>
      <c r="B85" t="s">
        <v>2302</v>
      </c>
      <c r="C85" t="s">
        <v>2253</v>
      </c>
      <c r="D85" t="s">
        <v>285</v>
      </c>
      <c r="E85" t="s">
        <v>285</v>
      </c>
      <c r="F85" t="s">
        <v>285</v>
      </c>
      <c r="G85" t="s">
        <v>284</v>
      </c>
      <c r="H85" t="s">
        <v>5</v>
      </c>
      <c r="I85" t="s">
        <v>172</v>
      </c>
      <c r="J85" t="s">
        <v>769</v>
      </c>
      <c r="K85" t="s">
        <v>769</v>
      </c>
      <c r="L85" t="s">
        <v>1346</v>
      </c>
      <c r="M85" t="s">
        <v>3167</v>
      </c>
      <c r="N85" t="s">
        <v>121</v>
      </c>
      <c r="O85" t="s">
        <v>1654</v>
      </c>
    </row>
    <row r="86" spans="1:15" x14ac:dyDescent="0.25">
      <c r="A86" t="s">
        <v>731</v>
      </c>
      <c r="B86" t="s">
        <v>2303</v>
      </c>
      <c r="C86" t="s">
        <v>1524</v>
      </c>
      <c r="D86" t="s">
        <v>284</v>
      </c>
      <c r="E86" t="s">
        <v>285</v>
      </c>
      <c r="F86" t="s">
        <v>285</v>
      </c>
      <c r="G86" t="s">
        <v>285</v>
      </c>
      <c r="H86" t="s">
        <v>5</v>
      </c>
      <c r="I86" t="s">
        <v>172</v>
      </c>
      <c r="J86" t="s">
        <v>788</v>
      </c>
      <c r="K86" t="s">
        <v>788</v>
      </c>
      <c r="L86" t="s">
        <v>731</v>
      </c>
      <c r="M86" t="s">
        <v>3167</v>
      </c>
      <c r="N86" t="s">
        <v>802</v>
      </c>
      <c r="O86" t="s">
        <v>789</v>
      </c>
    </row>
    <row r="87" spans="1:15" x14ac:dyDescent="0.25">
      <c r="A87" t="s">
        <v>611</v>
      </c>
      <c r="B87" t="s">
        <v>2304</v>
      </c>
      <c r="C87" t="s">
        <v>1515</v>
      </c>
      <c r="D87" t="s">
        <v>284</v>
      </c>
      <c r="E87" t="s">
        <v>285</v>
      </c>
      <c r="F87" t="s">
        <v>285</v>
      </c>
      <c r="G87" t="s">
        <v>285</v>
      </c>
      <c r="H87" t="s">
        <v>5</v>
      </c>
      <c r="I87" t="s">
        <v>172</v>
      </c>
      <c r="J87" t="s">
        <v>800</v>
      </c>
      <c r="K87" t="s">
        <v>800</v>
      </c>
      <c r="L87" t="s">
        <v>611</v>
      </c>
      <c r="M87" t="s">
        <v>3167</v>
      </c>
      <c r="N87" t="s">
        <v>802</v>
      </c>
      <c r="O87" t="s">
        <v>789</v>
      </c>
    </row>
    <row r="88" spans="1:15" x14ac:dyDescent="0.25">
      <c r="A88" t="s">
        <v>974</v>
      </c>
      <c r="B88" t="s">
        <v>2305</v>
      </c>
      <c r="C88" t="s">
        <v>1214</v>
      </c>
      <c r="D88" t="s">
        <v>285</v>
      </c>
      <c r="E88" t="s">
        <v>285</v>
      </c>
      <c r="F88" t="s">
        <v>285</v>
      </c>
      <c r="G88" t="s">
        <v>284</v>
      </c>
      <c r="H88" t="s">
        <v>5</v>
      </c>
      <c r="I88" t="s">
        <v>172</v>
      </c>
      <c r="J88" t="s">
        <v>1214</v>
      </c>
      <c r="K88" t="s">
        <v>101</v>
      </c>
      <c r="L88" t="s">
        <v>974</v>
      </c>
      <c r="M88" t="s">
        <v>3167</v>
      </c>
      <c r="N88" t="s">
        <v>121</v>
      </c>
      <c r="O88" t="s">
        <v>1654</v>
      </c>
    </row>
    <row r="89" spans="1:15" x14ac:dyDescent="0.25">
      <c r="A89" t="s">
        <v>1010</v>
      </c>
      <c r="B89" t="s">
        <v>2306</v>
      </c>
      <c r="C89" t="s">
        <v>1510</v>
      </c>
      <c r="D89" t="s">
        <v>285</v>
      </c>
      <c r="E89" t="s">
        <v>285</v>
      </c>
      <c r="F89" t="s">
        <v>285</v>
      </c>
      <c r="G89" t="s">
        <v>285</v>
      </c>
      <c r="H89" t="s">
        <v>1408</v>
      </c>
      <c r="I89" t="s">
        <v>172</v>
      </c>
      <c r="J89" t="s">
        <v>2307</v>
      </c>
      <c r="K89" t="s">
        <v>839</v>
      </c>
      <c r="L89" t="s">
        <v>1010</v>
      </c>
      <c r="M89" t="s">
        <v>3168</v>
      </c>
      <c r="N89" t="s">
        <v>1527</v>
      </c>
      <c r="O89" t="s">
        <v>789</v>
      </c>
    </row>
    <row r="90" spans="1:15" x14ac:dyDescent="0.25">
      <c r="A90" t="s">
        <v>867</v>
      </c>
      <c r="B90" t="s">
        <v>2308</v>
      </c>
      <c r="C90" t="s">
        <v>2309</v>
      </c>
      <c r="D90" t="s">
        <v>285</v>
      </c>
      <c r="E90" t="s">
        <v>284</v>
      </c>
      <c r="F90" t="s">
        <v>285</v>
      </c>
      <c r="G90" t="s">
        <v>284</v>
      </c>
      <c r="H90" t="s">
        <v>5</v>
      </c>
      <c r="I90" t="s">
        <v>172</v>
      </c>
      <c r="J90" t="s">
        <v>2310</v>
      </c>
      <c r="K90" t="s">
        <v>840</v>
      </c>
      <c r="L90" t="s">
        <v>867</v>
      </c>
      <c r="M90" t="s">
        <v>3168</v>
      </c>
      <c r="N90" t="s">
        <v>121</v>
      </c>
      <c r="O90" t="s">
        <v>1654</v>
      </c>
    </row>
    <row r="91" spans="1:15" x14ac:dyDescent="0.25">
      <c r="A91" t="s">
        <v>876</v>
      </c>
      <c r="B91" t="s">
        <v>2311</v>
      </c>
      <c r="C91" t="s">
        <v>1510</v>
      </c>
      <c r="D91" t="s">
        <v>285</v>
      </c>
      <c r="E91" t="s">
        <v>285</v>
      </c>
      <c r="F91" t="s">
        <v>285</v>
      </c>
      <c r="G91" t="s">
        <v>285</v>
      </c>
      <c r="H91" t="s">
        <v>1408</v>
      </c>
      <c r="I91" t="s">
        <v>168</v>
      </c>
      <c r="J91" t="s">
        <v>2312</v>
      </c>
      <c r="K91" t="s">
        <v>800</v>
      </c>
      <c r="L91" t="s">
        <v>876</v>
      </c>
      <c r="M91" t="s">
        <v>1527</v>
      </c>
      <c r="N91" t="s">
        <v>1527</v>
      </c>
      <c r="O91" t="s">
        <v>1654</v>
      </c>
    </row>
    <row r="92" spans="1:15" x14ac:dyDescent="0.25">
      <c r="A92" t="s">
        <v>1560</v>
      </c>
      <c r="B92" t="s">
        <v>2313</v>
      </c>
      <c r="C92" t="s">
        <v>1510</v>
      </c>
      <c r="D92" t="s">
        <v>285</v>
      </c>
      <c r="E92" t="s">
        <v>285</v>
      </c>
      <c r="F92" t="s">
        <v>285</v>
      </c>
      <c r="G92" t="s">
        <v>285</v>
      </c>
      <c r="H92" t="s">
        <v>2286</v>
      </c>
      <c r="I92" t="s">
        <v>100</v>
      </c>
      <c r="J92" t="s">
        <v>769</v>
      </c>
      <c r="K92" t="s">
        <v>769</v>
      </c>
      <c r="L92" t="s">
        <v>1560</v>
      </c>
      <c r="M92" t="s">
        <v>3167</v>
      </c>
      <c r="N92" t="s">
        <v>1527</v>
      </c>
      <c r="O92" t="s">
        <v>789</v>
      </c>
    </row>
    <row r="93" spans="1:15" x14ac:dyDescent="0.25">
      <c r="A93" t="s">
        <v>1410</v>
      </c>
      <c r="B93" t="s">
        <v>2314</v>
      </c>
      <c r="C93" t="s">
        <v>1518</v>
      </c>
      <c r="D93" t="s">
        <v>285</v>
      </c>
      <c r="E93" t="s">
        <v>285</v>
      </c>
      <c r="F93" t="s">
        <v>285</v>
      </c>
      <c r="G93" t="s">
        <v>284</v>
      </c>
      <c r="H93" t="s">
        <v>5</v>
      </c>
      <c r="I93" t="s">
        <v>172</v>
      </c>
      <c r="J93" t="s">
        <v>103</v>
      </c>
      <c r="K93" t="s">
        <v>101</v>
      </c>
      <c r="L93" t="s">
        <v>1410</v>
      </c>
      <c r="M93" t="s">
        <v>3167</v>
      </c>
      <c r="N93" t="s">
        <v>802</v>
      </c>
      <c r="O93" t="s">
        <v>789</v>
      </c>
    </row>
    <row r="94" spans="1:15" x14ac:dyDescent="0.25">
      <c r="A94" t="s">
        <v>349</v>
      </c>
      <c r="B94" t="s">
        <v>2315</v>
      </c>
      <c r="C94" t="s">
        <v>2253</v>
      </c>
      <c r="D94" t="s">
        <v>285</v>
      </c>
      <c r="E94" t="s">
        <v>285</v>
      </c>
      <c r="F94" t="s">
        <v>285</v>
      </c>
      <c r="G94" t="s">
        <v>285</v>
      </c>
      <c r="H94" t="s">
        <v>5</v>
      </c>
      <c r="I94" t="s">
        <v>172</v>
      </c>
      <c r="J94" t="s">
        <v>769</v>
      </c>
      <c r="K94" t="s">
        <v>769</v>
      </c>
      <c r="L94" t="s">
        <v>349</v>
      </c>
      <c r="M94" t="s">
        <v>3167</v>
      </c>
      <c r="N94" t="s">
        <v>121</v>
      </c>
      <c r="O94" t="s">
        <v>1654</v>
      </c>
    </row>
    <row r="95" spans="1:15" x14ac:dyDescent="0.25">
      <c r="A95" t="s">
        <v>865</v>
      </c>
      <c r="B95" t="s">
        <v>2316</v>
      </c>
      <c r="C95" t="s">
        <v>2317</v>
      </c>
      <c r="D95" t="s">
        <v>285</v>
      </c>
      <c r="E95" t="s">
        <v>285</v>
      </c>
      <c r="F95" t="s">
        <v>285</v>
      </c>
      <c r="G95" t="s">
        <v>284</v>
      </c>
      <c r="H95" t="s">
        <v>5</v>
      </c>
      <c r="I95" t="s">
        <v>172</v>
      </c>
      <c r="J95" t="s">
        <v>2295</v>
      </c>
      <c r="K95" t="s">
        <v>98</v>
      </c>
      <c r="L95" t="s">
        <v>865</v>
      </c>
      <c r="M95" t="s">
        <v>3168</v>
      </c>
      <c r="N95" t="s">
        <v>802</v>
      </c>
      <c r="O95" t="s">
        <v>789</v>
      </c>
    </row>
    <row r="96" spans="1:15" x14ac:dyDescent="0.25">
      <c r="A96" t="s">
        <v>892</v>
      </c>
      <c r="B96" t="s">
        <v>2318</v>
      </c>
      <c r="C96" t="s">
        <v>1518</v>
      </c>
      <c r="D96" t="s">
        <v>285</v>
      </c>
      <c r="E96" t="s">
        <v>285</v>
      </c>
      <c r="F96" t="s">
        <v>285</v>
      </c>
      <c r="G96" t="s">
        <v>284</v>
      </c>
      <c r="H96" t="s">
        <v>5</v>
      </c>
      <c r="I96" t="s">
        <v>172</v>
      </c>
      <c r="J96" t="s">
        <v>2295</v>
      </c>
      <c r="K96" t="s">
        <v>98</v>
      </c>
      <c r="L96" t="s">
        <v>892</v>
      </c>
      <c r="M96" t="s">
        <v>3168</v>
      </c>
      <c r="N96" t="s">
        <v>1527</v>
      </c>
      <c r="O96" t="s">
        <v>1654</v>
      </c>
    </row>
    <row r="97" spans="1:15" x14ac:dyDescent="0.25">
      <c r="A97" t="s">
        <v>751</v>
      </c>
      <c r="B97" t="s">
        <v>2319</v>
      </c>
      <c r="C97" t="s">
        <v>2267</v>
      </c>
      <c r="D97" t="s">
        <v>285</v>
      </c>
      <c r="E97" t="s">
        <v>285</v>
      </c>
      <c r="F97" t="s">
        <v>285</v>
      </c>
      <c r="G97" t="s">
        <v>284</v>
      </c>
      <c r="H97" t="s">
        <v>5</v>
      </c>
      <c r="I97" t="s">
        <v>172</v>
      </c>
      <c r="J97" t="s">
        <v>2268</v>
      </c>
      <c r="K97" t="s">
        <v>1616</v>
      </c>
      <c r="L97" t="s">
        <v>751</v>
      </c>
      <c r="M97" t="s">
        <v>3168</v>
      </c>
      <c r="N97" t="s">
        <v>802</v>
      </c>
      <c r="O97" t="s">
        <v>1654</v>
      </c>
    </row>
    <row r="98" spans="1:15" x14ac:dyDescent="0.25">
      <c r="A98" t="s">
        <v>206</v>
      </c>
      <c r="B98" t="s">
        <v>2320</v>
      </c>
      <c r="C98" t="s">
        <v>1214</v>
      </c>
      <c r="D98" t="s">
        <v>285</v>
      </c>
      <c r="E98" t="s">
        <v>285</v>
      </c>
      <c r="F98" t="s">
        <v>285</v>
      </c>
      <c r="G98" t="s">
        <v>284</v>
      </c>
      <c r="H98" t="s">
        <v>5</v>
      </c>
      <c r="I98" t="s">
        <v>172</v>
      </c>
      <c r="J98" t="s">
        <v>1214</v>
      </c>
      <c r="K98" t="s">
        <v>101</v>
      </c>
      <c r="L98" t="s">
        <v>206</v>
      </c>
      <c r="M98" t="s">
        <v>3168</v>
      </c>
      <c r="N98" t="s">
        <v>1527</v>
      </c>
      <c r="O98" t="s">
        <v>789</v>
      </c>
    </row>
    <row r="99" spans="1:15" x14ac:dyDescent="0.25">
      <c r="A99" t="s">
        <v>99</v>
      </c>
      <c r="B99" t="s">
        <v>2321</v>
      </c>
      <c r="C99" t="s">
        <v>1510</v>
      </c>
      <c r="D99" t="s">
        <v>285</v>
      </c>
      <c r="E99" t="s">
        <v>285</v>
      </c>
      <c r="F99" t="s">
        <v>285</v>
      </c>
      <c r="G99" t="s">
        <v>285</v>
      </c>
      <c r="H99" t="s">
        <v>1408</v>
      </c>
      <c r="I99" t="s">
        <v>172</v>
      </c>
      <c r="J99" t="s">
        <v>2322</v>
      </c>
      <c r="K99" t="s">
        <v>800</v>
      </c>
      <c r="L99" t="s">
        <v>99</v>
      </c>
      <c r="M99" t="s">
        <v>1527</v>
      </c>
      <c r="N99" t="s">
        <v>1527</v>
      </c>
      <c r="O99" t="s">
        <v>1654</v>
      </c>
    </row>
    <row r="100" spans="1:15" x14ac:dyDescent="0.25">
      <c r="A100" t="s">
        <v>1411</v>
      </c>
      <c r="B100" t="s">
        <v>2323</v>
      </c>
      <c r="C100" t="s">
        <v>1699</v>
      </c>
      <c r="D100" t="s">
        <v>285</v>
      </c>
      <c r="E100" t="s">
        <v>285</v>
      </c>
      <c r="F100" t="s">
        <v>285</v>
      </c>
      <c r="G100" t="s">
        <v>285</v>
      </c>
      <c r="H100" t="s">
        <v>2324</v>
      </c>
      <c r="I100" t="s">
        <v>2164</v>
      </c>
      <c r="J100" t="s">
        <v>2164</v>
      </c>
      <c r="K100" t="s">
        <v>839</v>
      </c>
      <c r="L100" t="s">
        <v>1411</v>
      </c>
      <c r="M100" t="s">
        <v>1527</v>
      </c>
      <c r="N100" t="s">
        <v>1527</v>
      </c>
      <c r="O100" t="s">
        <v>789</v>
      </c>
    </row>
    <row r="101" spans="1:15" x14ac:dyDescent="0.25">
      <c r="A101" t="s">
        <v>1475</v>
      </c>
      <c r="B101" t="s">
        <v>2325</v>
      </c>
      <c r="C101" t="s">
        <v>1528</v>
      </c>
      <c r="D101" t="s">
        <v>285</v>
      </c>
      <c r="E101" t="s">
        <v>285</v>
      </c>
      <c r="F101" t="s">
        <v>285</v>
      </c>
      <c r="G101" t="s">
        <v>285</v>
      </c>
      <c r="H101" t="s">
        <v>1529</v>
      </c>
      <c r="I101" t="s">
        <v>2164</v>
      </c>
      <c r="J101" t="s">
        <v>2164</v>
      </c>
      <c r="K101" t="s">
        <v>839</v>
      </c>
      <c r="L101" t="s">
        <v>1475</v>
      </c>
      <c r="M101" t="s">
        <v>1527</v>
      </c>
      <c r="N101" t="s">
        <v>1527</v>
      </c>
      <c r="O101" t="s">
        <v>789</v>
      </c>
    </row>
    <row r="102" spans="1:15" x14ac:dyDescent="0.25">
      <c r="A102" t="s">
        <v>1646</v>
      </c>
      <c r="B102" t="s">
        <v>2326</v>
      </c>
      <c r="C102" t="s">
        <v>1548</v>
      </c>
      <c r="D102" t="s">
        <v>285</v>
      </c>
      <c r="E102" t="s">
        <v>285</v>
      </c>
      <c r="F102" t="s">
        <v>285</v>
      </c>
      <c r="G102" t="s">
        <v>285</v>
      </c>
      <c r="H102" t="s">
        <v>5</v>
      </c>
      <c r="I102" t="s">
        <v>172</v>
      </c>
      <c r="J102" t="s">
        <v>2295</v>
      </c>
      <c r="K102" t="s">
        <v>98</v>
      </c>
      <c r="L102" t="s">
        <v>1646</v>
      </c>
      <c r="M102" t="s">
        <v>3168</v>
      </c>
      <c r="N102" t="s">
        <v>3172</v>
      </c>
      <c r="O102" t="s">
        <v>1654</v>
      </c>
    </row>
    <row r="103" spans="1:15" x14ac:dyDescent="0.25">
      <c r="A103" t="s">
        <v>1621</v>
      </c>
      <c r="B103" t="s">
        <v>2327</v>
      </c>
      <c r="C103" t="s">
        <v>1523</v>
      </c>
      <c r="D103" t="s">
        <v>285</v>
      </c>
      <c r="E103" t="s">
        <v>285</v>
      </c>
      <c r="F103" t="s">
        <v>285</v>
      </c>
      <c r="G103" t="s">
        <v>285</v>
      </c>
      <c r="H103" t="s">
        <v>5</v>
      </c>
      <c r="I103" t="s">
        <v>172</v>
      </c>
      <c r="J103" t="s">
        <v>2295</v>
      </c>
      <c r="K103" t="s">
        <v>98</v>
      </c>
      <c r="L103" t="s">
        <v>1621</v>
      </c>
      <c r="M103" t="s">
        <v>3168</v>
      </c>
      <c r="N103" t="s">
        <v>121</v>
      </c>
      <c r="O103" t="s">
        <v>1654</v>
      </c>
    </row>
    <row r="104" spans="1:15" x14ac:dyDescent="0.25">
      <c r="A104" t="s">
        <v>1065</v>
      </c>
      <c r="B104" t="s">
        <v>2328</v>
      </c>
      <c r="C104" t="s">
        <v>1510</v>
      </c>
      <c r="D104" t="s">
        <v>285</v>
      </c>
      <c r="E104" t="s">
        <v>285</v>
      </c>
      <c r="F104" t="s">
        <v>285</v>
      </c>
      <c r="G104" t="s">
        <v>285</v>
      </c>
      <c r="H104" t="s">
        <v>1408</v>
      </c>
      <c r="I104" t="s">
        <v>172</v>
      </c>
      <c r="J104" t="s">
        <v>2329</v>
      </c>
      <c r="K104" t="s">
        <v>800</v>
      </c>
      <c r="L104" t="s">
        <v>1065</v>
      </c>
      <c r="M104" t="s">
        <v>3168</v>
      </c>
      <c r="N104" t="s">
        <v>1527</v>
      </c>
      <c r="O104" t="s">
        <v>789</v>
      </c>
    </row>
    <row r="105" spans="1:15" x14ac:dyDescent="0.25">
      <c r="A105" t="s">
        <v>738</v>
      </c>
      <c r="B105" t="s">
        <v>2330</v>
      </c>
      <c r="C105" t="s">
        <v>1518</v>
      </c>
      <c r="D105" t="s">
        <v>285</v>
      </c>
      <c r="E105" t="s">
        <v>285</v>
      </c>
      <c r="F105" t="s">
        <v>285</v>
      </c>
      <c r="G105" t="s">
        <v>284</v>
      </c>
      <c r="H105" t="s">
        <v>5</v>
      </c>
      <c r="I105" t="s">
        <v>172</v>
      </c>
      <c r="J105" t="s">
        <v>103</v>
      </c>
      <c r="K105" t="s">
        <v>101</v>
      </c>
      <c r="L105" t="s">
        <v>738</v>
      </c>
      <c r="M105" t="s">
        <v>3168</v>
      </c>
      <c r="N105" t="s">
        <v>802</v>
      </c>
      <c r="O105" t="s">
        <v>789</v>
      </c>
    </row>
    <row r="106" spans="1:15" x14ac:dyDescent="0.25">
      <c r="A106" t="s">
        <v>837</v>
      </c>
      <c r="B106" t="s">
        <v>2331</v>
      </c>
      <c r="C106" t="s">
        <v>1510</v>
      </c>
      <c r="D106" t="s">
        <v>285</v>
      </c>
      <c r="E106" t="s">
        <v>285</v>
      </c>
      <c r="F106" t="s">
        <v>285</v>
      </c>
      <c r="G106" t="s">
        <v>285</v>
      </c>
      <c r="H106" t="s">
        <v>1408</v>
      </c>
      <c r="I106" t="s">
        <v>168</v>
      </c>
      <c r="J106" t="s">
        <v>2332</v>
      </c>
      <c r="K106" t="s">
        <v>800</v>
      </c>
      <c r="L106" t="s">
        <v>837</v>
      </c>
      <c r="M106" t="s">
        <v>1527</v>
      </c>
      <c r="N106" t="s">
        <v>1527</v>
      </c>
      <c r="O106" t="s">
        <v>1654</v>
      </c>
    </row>
    <row r="107" spans="1:15" x14ac:dyDescent="0.25">
      <c r="A107" t="s">
        <v>556</v>
      </c>
      <c r="B107" t="s">
        <v>2333</v>
      </c>
      <c r="C107" t="s">
        <v>2255</v>
      </c>
      <c r="D107" t="s">
        <v>284</v>
      </c>
      <c r="E107" t="s">
        <v>285</v>
      </c>
      <c r="F107" t="s">
        <v>285</v>
      </c>
      <c r="G107" t="s">
        <v>285</v>
      </c>
      <c r="H107" t="s">
        <v>5</v>
      </c>
      <c r="I107" t="s">
        <v>172</v>
      </c>
      <c r="J107" t="s">
        <v>780</v>
      </c>
      <c r="K107" t="s">
        <v>780</v>
      </c>
      <c r="L107" t="s">
        <v>556</v>
      </c>
      <c r="M107" t="s">
        <v>3168</v>
      </c>
      <c r="N107" t="s">
        <v>3172</v>
      </c>
      <c r="O107" t="s">
        <v>1654</v>
      </c>
    </row>
    <row r="108" spans="1:15" x14ac:dyDescent="0.25">
      <c r="A108" t="s">
        <v>127</v>
      </c>
      <c r="B108" t="s">
        <v>2334</v>
      </c>
      <c r="C108" t="s">
        <v>2335</v>
      </c>
      <c r="D108" t="s">
        <v>285</v>
      </c>
      <c r="E108" t="s">
        <v>285</v>
      </c>
      <c r="F108" t="s">
        <v>285</v>
      </c>
      <c r="G108" t="s">
        <v>284</v>
      </c>
      <c r="H108" t="s">
        <v>5</v>
      </c>
      <c r="I108" t="s">
        <v>172</v>
      </c>
      <c r="J108" t="s">
        <v>2336</v>
      </c>
      <c r="K108" t="s">
        <v>101</v>
      </c>
      <c r="L108" t="s">
        <v>127</v>
      </c>
      <c r="M108" t="s">
        <v>3167</v>
      </c>
      <c r="N108" t="s">
        <v>121</v>
      </c>
      <c r="O108" t="s">
        <v>789</v>
      </c>
    </row>
    <row r="109" spans="1:15" x14ac:dyDescent="0.25">
      <c r="A109" t="s">
        <v>350</v>
      </c>
      <c r="B109" t="s">
        <v>2337</v>
      </c>
      <c r="C109" t="s">
        <v>2338</v>
      </c>
      <c r="D109" t="s">
        <v>285</v>
      </c>
      <c r="E109" t="s">
        <v>285</v>
      </c>
      <c r="F109" t="s">
        <v>285</v>
      </c>
      <c r="G109" t="s">
        <v>285</v>
      </c>
      <c r="H109" t="s">
        <v>2340</v>
      </c>
      <c r="I109" t="s">
        <v>172</v>
      </c>
      <c r="J109" t="s">
        <v>2339</v>
      </c>
      <c r="K109" t="s">
        <v>101</v>
      </c>
      <c r="L109" t="s">
        <v>350</v>
      </c>
      <c r="M109" t="s">
        <v>3167</v>
      </c>
      <c r="N109" t="s">
        <v>121</v>
      </c>
      <c r="O109" t="s">
        <v>789</v>
      </c>
    </row>
    <row r="110" spans="1:15" x14ac:dyDescent="0.25">
      <c r="A110" t="s">
        <v>177</v>
      </c>
      <c r="B110" t="s">
        <v>2341</v>
      </c>
      <c r="C110" t="s">
        <v>2317</v>
      </c>
      <c r="D110" t="s">
        <v>285</v>
      </c>
      <c r="E110" t="s">
        <v>284</v>
      </c>
      <c r="F110" t="s">
        <v>285</v>
      </c>
      <c r="G110" t="s">
        <v>284</v>
      </c>
      <c r="H110" t="s">
        <v>5</v>
      </c>
      <c r="I110" t="s">
        <v>172</v>
      </c>
      <c r="J110" t="s">
        <v>2342</v>
      </c>
      <c r="K110" t="s">
        <v>98</v>
      </c>
      <c r="L110" t="s">
        <v>177</v>
      </c>
      <c r="M110" t="s">
        <v>3168</v>
      </c>
      <c r="N110" t="s">
        <v>1527</v>
      </c>
      <c r="O110" t="s">
        <v>1654</v>
      </c>
    </row>
    <row r="111" spans="1:15" x14ac:dyDescent="0.25">
      <c r="A111" t="s">
        <v>847</v>
      </c>
      <c r="B111" t="s">
        <v>2343</v>
      </c>
      <c r="C111" t="s">
        <v>100</v>
      </c>
      <c r="D111" t="s">
        <v>285</v>
      </c>
      <c r="E111" t="s">
        <v>285</v>
      </c>
      <c r="F111" t="s">
        <v>285</v>
      </c>
      <c r="G111" t="s">
        <v>285</v>
      </c>
      <c r="H111" t="s">
        <v>2345</v>
      </c>
      <c r="I111" t="s">
        <v>100</v>
      </c>
      <c r="J111" t="s">
        <v>2344</v>
      </c>
      <c r="K111" t="s">
        <v>769</v>
      </c>
      <c r="L111" t="s">
        <v>847</v>
      </c>
      <c r="M111" t="s">
        <v>3167</v>
      </c>
      <c r="N111" t="s">
        <v>1527</v>
      </c>
      <c r="O111" t="s">
        <v>789</v>
      </c>
    </row>
    <row r="112" spans="1:15" x14ac:dyDescent="0.25">
      <c r="A112" t="s">
        <v>578</v>
      </c>
      <c r="B112" t="s">
        <v>2346</v>
      </c>
      <c r="C112" t="s">
        <v>1511</v>
      </c>
      <c r="D112" t="s">
        <v>285</v>
      </c>
      <c r="E112" t="s">
        <v>284</v>
      </c>
      <c r="F112" t="s">
        <v>285</v>
      </c>
      <c r="G112" t="s">
        <v>284</v>
      </c>
      <c r="H112" t="s">
        <v>5</v>
      </c>
      <c r="I112" t="s">
        <v>172</v>
      </c>
      <c r="J112" t="s">
        <v>1511</v>
      </c>
      <c r="K112" t="s">
        <v>800</v>
      </c>
      <c r="L112" t="s">
        <v>578</v>
      </c>
      <c r="M112" t="s">
        <v>3167</v>
      </c>
      <c r="N112" t="s">
        <v>121</v>
      </c>
      <c r="O112" t="s">
        <v>1654</v>
      </c>
    </row>
    <row r="113" spans="1:15" x14ac:dyDescent="0.25">
      <c r="A113" t="s">
        <v>36</v>
      </c>
      <c r="B113" t="s">
        <v>2347</v>
      </c>
      <c r="C113" t="s">
        <v>1529</v>
      </c>
      <c r="D113" t="s">
        <v>285</v>
      </c>
      <c r="E113" t="s">
        <v>285</v>
      </c>
      <c r="F113" t="s">
        <v>285</v>
      </c>
      <c r="G113" t="s">
        <v>285</v>
      </c>
      <c r="H113" t="s">
        <v>1529</v>
      </c>
      <c r="I113" t="s">
        <v>812</v>
      </c>
      <c r="J113" t="s">
        <v>2348</v>
      </c>
      <c r="K113" t="s">
        <v>800</v>
      </c>
      <c r="L113" t="s">
        <v>36</v>
      </c>
      <c r="M113" t="s">
        <v>1527</v>
      </c>
      <c r="N113" t="s">
        <v>1527</v>
      </c>
      <c r="O113" t="s">
        <v>1654</v>
      </c>
    </row>
    <row r="114" spans="1:15" x14ac:dyDescent="0.25">
      <c r="A114" t="s">
        <v>676</v>
      </c>
      <c r="B114" t="s">
        <v>2349</v>
      </c>
      <c r="C114" t="s">
        <v>2317</v>
      </c>
      <c r="D114" t="s">
        <v>284</v>
      </c>
      <c r="E114" t="s">
        <v>285</v>
      </c>
      <c r="F114" t="s">
        <v>285</v>
      </c>
      <c r="G114" t="s">
        <v>285</v>
      </c>
      <c r="H114" t="s">
        <v>5</v>
      </c>
      <c r="I114" t="s">
        <v>172</v>
      </c>
      <c r="J114" t="s">
        <v>2295</v>
      </c>
      <c r="K114" t="s">
        <v>98</v>
      </c>
      <c r="L114" t="s">
        <v>676</v>
      </c>
      <c r="M114" t="s">
        <v>3168</v>
      </c>
      <c r="N114" t="s">
        <v>3172</v>
      </c>
      <c r="O114" t="s">
        <v>1654</v>
      </c>
    </row>
    <row r="115" spans="1:15" x14ac:dyDescent="0.25">
      <c r="A115" t="s">
        <v>665</v>
      </c>
      <c r="B115" t="s">
        <v>2350</v>
      </c>
      <c r="C115" t="s">
        <v>1530</v>
      </c>
      <c r="D115" t="s">
        <v>284</v>
      </c>
      <c r="E115" t="s">
        <v>285</v>
      </c>
      <c r="F115" t="s">
        <v>285</v>
      </c>
      <c r="G115" t="s">
        <v>285</v>
      </c>
      <c r="H115" t="s">
        <v>5</v>
      </c>
      <c r="I115" t="s">
        <v>172</v>
      </c>
      <c r="J115" t="s">
        <v>1407</v>
      </c>
      <c r="K115" t="s">
        <v>1616</v>
      </c>
      <c r="L115" t="s">
        <v>665</v>
      </c>
      <c r="M115" t="s">
        <v>3168</v>
      </c>
      <c r="N115" t="s">
        <v>121</v>
      </c>
      <c r="O115" t="s">
        <v>789</v>
      </c>
    </row>
    <row r="116" spans="1:15" x14ac:dyDescent="0.25">
      <c r="A116" t="s">
        <v>1424</v>
      </c>
      <c r="B116" t="s">
        <v>2351</v>
      </c>
      <c r="C116" t="s">
        <v>1214</v>
      </c>
      <c r="D116" t="s">
        <v>285</v>
      </c>
      <c r="E116" t="s">
        <v>285</v>
      </c>
      <c r="F116" t="s">
        <v>285</v>
      </c>
      <c r="G116" t="s">
        <v>284</v>
      </c>
      <c r="H116" t="s">
        <v>5</v>
      </c>
      <c r="I116" t="s">
        <v>172</v>
      </c>
      <c r="J116" t="s">
        <v>1214</v>
      </c>
      <c r="K116" t="s">
        <v>101</v>
      </c>
      <c r="L116" t="s">
        <v>1424</v>
      </c>
      <c r="M116" t="s">
        <v>3167</v>
      </c>
      <c r="N116" t="s">
        <v>121</v>
      </c>
      <c r="O116" t="s">
        <v>1654</v>
      </c>
    </row>
    <row r="117" spans="1:15" x14ac:dyDescent="0.25">
      <c r="A117" t="s">
        <v>1246</v>
      </c>
      <c r="B117" t="s">
        <v>2352</v>
      </c>
      <c r="C117" t="s">
        <v>1510</v>
      </c>
      <c r="D117" t="s">
        <v>285</v>
      </c>
      <c r="E117" t="s">
        <v>285</v>
      </c>
      <c r="F117" t="s">
        <v>285</v>
      </c>
      <c r="G117" t="s">
        <v>285</v>
      </c>
      <c r="H117" t="s">
        <v>2286</v>
      </c>
      <c r="I117" t="s">
        <v>100</v>
      </c>
      <c r="J117" t="s">
        <v>2168</v>
      </c>
      <c r="K117" t="s">
        <v>801</v>
      </c>
      <c r="L117" t="s">
        <v>1246</v>
      </c>
      <c r="M117" t="s">
        <v>3167</v>
      </c>
      <c r="N117" t="s">
        <v>1527</v>
      </c>
      <c r="O117" t="s">
        <v>1654</v>
      </c>
    </row>
    <row r="118" spans="1:15" x14ac:dyDescent="0.25">
      <c r="A118" t="s">
        <v>637</v>
      </c>
      <c r="B118" t="s">
        <v>2353</v>
      </c>
      <c r="C118" t="s">
        <v>1524</v>
      </c>
      <c r="D118" t="s">
        <v>284</v>
      </c>
      <c r="E118" t="s">
        <v>285</v>
      </c>
      <c r="F118" t="s">
        <v>285</v>
      </c>
      <c r="G118" t="s">
        <v>285</v>
      </c>
      <c r="H118" t="s">
        <v>5</v>
      </c>
      <c r="I118" t="s">
        <v>172</v>
      </c>
      <c r="J118" t="s">
        <v>788</v>
      </c>
      <c r="K118" t="s">
        <v>788</v>
      </c>
      <c r="L118" t="s">
        <v>637</v>
      </c>
      <c r="M118" t="s">
        <v>3168</v>
      </c>
      <c r="N118" t="s">
        <v>802</v>
      </c>
      <c r="O118" t="s">
        <v>789</v>
      </c>
    </row>
    <row r="119" spans="1:15" x14ac:dyDescent="0.25">
      <c r="A119" t="s">
        <v>606</v>
      </c>
      <c r="B119" t="s">
        <v>2354</v>
      </c>
      <c r="C119" t="s">
        <v>2227</v>
      </c>
      <c r="D119" t="s">
        <v>284</v>
      </c>
      <c r="E119" t="s">
        <v>285</v>
      </c>
      <c r="F119" t="s">
        <v>284</v>
      </c>
      <c r="G119" t="s">
        <v>285</v>
      </c>
      <c r="H119" t="s">
        <v>5</v>
      </c>
      <c r="I119" t="s">
        <v>172</v>
      </c>
      <c r="J119" t="s">
        <v>788</v>
      </c>
      <c r="K119" t="s">
        <v>788</v>
      </c>
      <c r="L119" t="s">
        <v>606</v>
      </c>
      <c r="M119" t="s">
        <v>3167</v>
      </c>
      <c r="N119" t="s">
        <v>802</v>
      </c>
      <c r="O119" t="s">
        <v>789</v>
      </c>
    </row>
    <row r="120" spans="1:15" x14ac:dyDescent="0.25">
      <c r="A120" t="s">
        <v>977</v>
      </c>
      <c r="B120" t="s">
        <v>2355</v>
      </c>
      <c r="C120" t="s">
        <v>1214</v>
      </c>
      <c r="D120" t="s">
        <v>285</v>
      </c>
      <c r="E120" t="s">
        <v>285</v>
      </c>
      <c r="F120" t="s">
        <v>285</v>
      </c>
      <c r="G120" t="s">
        <v>284</v>
      </c>
      <c r="H120" t="s">
        <v>5</v>
      </c>
      <c r="I120" t="s">
        <v>172</v>
      </c>
      <c r="J120" t="s">
        <v>1214</v>
      </c>
      <c r="K120" t="s">
        <v>101</v>
      </c>
      <c r="L120" t="s">
        <v>977</v>
      </c>
      <c r="M120" t="s">
        <v>3168</v>
      </c>
      <c r="N120" t="s">
        <v>1527</v>
      </c>
      <c r="O120" t="s">
        <v>789</v>
      </c>
    </row>
    <row r="121" spans="1:15" x14ac:dyDescent="0.25">
      <c r="A121" t="s">
        <v>1473</v>
      </c>
      <c r="B121" t="s">
        <v>2356</v>
      </c>
      <c r="C121" t="s">
        <v>1214</v>
      </c>
      <c r="D121" t="s">
        <v>285</v>
      </c>
      <c r="E121" t="s">
        <v>285</v>
      </c>
      <c r="F121" t="s">
        <v>285</v>
      </c>
      <c r="G121" t="s">
        <v>284</v>
      </c>
      <c r="H121" t="s">
        <v>5</v>
      </c>
      <c r="I121" t="s">
        <v>172</v>
      </c>
      <c r="J121" t="s">
        <v>1214</v>
      </c>
      <c r="K121" t="s">
        <v>101</v>
      </c>
      <c r="L121" t="s">
        <v>1473</v>
      </c>
      <c r="M121" t="s">
        <v>3167</v>
      </c>
      <c r="N121" t="s">
        <v>3172</v>
      </c>
      <c r="O121" t="s">
        <v>1654</v>
      </c>
    </row>
    <row r="122" spans="1:15" x14ac:dyDescent="0.25">
      <c r="A122" t="s">
        <v>729</v>
      </c>
      <c r="B122" t="s">
        <v>2357</v>
      </c>
      <c r="C122" t="s">
        <v>1522</v>
      </c>
      <c r="D122" t="s">
        <v>285</v>
      </c>
      <c r="E122" t="s">
        <v>285</v>
      </c>
      <c r="F122" t="s">
        <v>285</v>
      </c>
      <c r="G122" t="s">
        <v>284</v>
      </c>
      <c r="H122" t="s">
        <v>5</v>
      </c>
      <c r="I122" t="s">
        <v>172</v>
      </c>
      <c r="J122" t="s">
        <v>801</v>
      </c>
      <c r="K122" t="s">
        <v>801</v>
      </c>
      <c r="L122" t="s">
        <v>729</v>
      </c>
      <c r="M122" t="s">
        <v>3167</v>
      </c>
      <c r="N122" t="s">
        <v>121</v>
      </c>
      <c r="O122" t="s">
        <v>1654</v>
      </c>
    </row>
    <row r="123" spans="1:15" x14ac:dyDescent="0.25">
      <c r="A123" t="s">
        <v>208</v>
      </c>
      <c r="B123" t="s">
        <v>2358</v>
      </c>
      <c r="C123" t="s">
        <v>2359</v>
      </c>
      <c r="D123" t="s">
        <v>285</v>
      </c>
      <c r="E123" t="s">
        <v>285</v>
      </c>
      <c r="F123" t="s">
        <v>285</v>
      </c>
      <c r="G123" t="s">
        <v>284</v>
      </c>
      <c r="H123" t="s">
        <v>5</v>
      </c>
      <c r="I123" t="s">
        <v>172</v>
      </c>
      <c r="J123" t="s">
        <v>2360</v>
      </c>
      <c r="K123" t="s">
        <v>101</v>
      </c>
      <c r="L123" t="s">
        <v>208</v>
      </c>
      <c r="M123" t="s">
        <v>3167</v>
      </c>
      <c r="N123" t="s">
        <v>121</v>
      </c>
      <c r="O123" t="s">
        <v>789</v>
      </c>
    </row>
    <row r="124" spans="1:15" x14ac:dyDescent="0.25">
      <c r="A124" t="s">
        <v>1034</v>
      </c>
      <c r="B124" t="s">
        <v>2361</v>
      </c>
      <c r="C124" t="s">
        <v>1516</v>
      </c>
      <c r="D124" t="s">
        <v>285</v>
      </c>
      <c r="E124" t="s">
        <v>284</v>
      </c>
      <c r="F124" t="s">
        <v>285</v>
      </c>
      <c r="G124" t="s">
        <v>284</v>
      </c>
      <c r="H124" t="s">
        <v>5</v>
      </c>
      <c r="I124" t="s">
        <v>172</v>
      </c>
      <c r="J124" t="s">
        <v>1407</v>
      </c>
      <c r="K124" t="s">
        <v>1616</v>
      </c>
      <c r="L124" t="s">
        <v>1034</v>
      </c>
      <c r="M124" t="s">
        <v>3167</v>
      </c>
      <c r="N124" t="s">
        <v>121</v>
      </c>
      <c r="O124" t="s">
        <v>1654</v>
      </c>
    </row>
    <row r="125" spans="1:15" x14ac:dyDescent="0.25">
      <c r="A125" t="s">
        <v>520</v>
      </c>
      <c r="B125" t="s">
        <v>2362</v>
      </c>
      <c r="C125" t="s">
        <v>1523</v>
      </c>
      <c r="D125" t="s">
        <v>285</v>
      </c>
      <c r="E125" t="s">
        <v>284</v>
      </c>
      <c r="F125" t="s">
        <v>285</v>
      </c>
      <c r="G125" t="s">
        <v>285</v>
      </c>
      <c r="H125" t="s">
        <v>5</v>
      </c>
      <c r="I125" t="s">
        <v>172</v>
      </c>
      <c r="J125" t="s">
        <v>2295</v>
      </c>
      <c r="K125" t="s">
        <v>98</v>
      </c>
      <c r="L125" t="s">
        <v>520</v>
      </c>
      <c r="M125" t="s">
        <v>3168</v>
      </c>
      <c r="N125" t="s">
        <v>802</v>
      </c>
      <c r="O125" t="s">
        <v>1654</v>
      </c>
    </row>
    <row r="126" spans="1:15" x14ac:dyDescent="0.25">
      <c r="A126" t="s">
        <v>566</v>
      </c>
      <c r="B126" t="s">
        <v>2363</v>
      </c>
      <c r="C126" t="s">
        <v>2364</v>
      </c>
      <c r="D126" t="s">
        <v>284</v>
      </c>
      <c r="E126" t="s">
        <v>285</v>
      </c>
      <c r="F126" t="s">
        <v>285</v>
      </c>
      <c r="G126" t="s">
        <v>285</v>
      </c>
      <c r="H126" t="s">
        <v>5</v>
      </c>
      <c r="I126" t="s">
        <v>172</v>
      </c>
      <c r="J126" t="s">
        <v>2364</v>
      </c>
      <c r="K126" t="s">
        <v>801</v>
      </c>
      <c r="L126" t="s">
        <v>566</v>
      </c>
      <c r="M126" t="s">
        <v>3167</v>
      </c>
      <c r="N126" t="s">
        <v>121</v>
      </c>
      <c r="O126" t="s">
        <v>1654</v>
      </c>
    </row>
    <row r="127" spans="1:15" x14ac:dyDescent="0.25">
      <c r="A127" t="s">
        <v>687</v>
      </c>
      <c r="B127" t="s">
        <v>2365</v>
      </c>
      <c r="C127" t="s">
        <v>1519</v>
      </c>
      <c r="D127" t="s">
        <v>284</v>
      </c>
      <c r="E127" t="s">
        <v>285</v>
      </c>
      <c r="F127" t="s">
        <v>285</v>
      </c>
      <c r="G127" t="s">
        <v>285</v>
      </c>
      <c r="H127" t="s">
        <v>5</v>
      </c>
      <c r="I127" t="s">
        <v>172</v>
      </c>
      <c r="J127" t="s">
        <v>2277</v>
      </c>
      <c r="K127" t="s">
        <v>800</v>
      </c>
      <c r="L127" t="s">
        <v>687</v>
      </c>
      <c r="M127" t="s">
        <v>3167</v>
      </c>
      <c r="N127" t="s">
        <v>121</v>
      </c>
      <c r="O127" t="s">
        <v>1654</v>
      </c>
    </row>
    <row r="128" spans="1:15" x14ac:dyDescent="0.25">
      <c r="A128" t="s">
        <v>533</v>
      </c>
      <c r="B128" t="s">
        <v>2366</v>
      </c>
      <c r="C128" t="s">
        <v>1509</v>
      </c>
      <c r="D128" t="s">
        <v>285</v>
      </c>
      <c r="E128" t="s">
        <v>284</v>
      </c>
      <c r="F128" t="s">
        <v>285</v>
      </c>
      <c r="G128" t="s">
        <v>284</v>
      </c>
      <c r="H128" t="s">
        <v>5</v>
      </c>
      <c r="I128" t="s">
        <v>172</v>
      </c>
      <c r="J128" t="s">
        <v>1509</v>
      </c>
      <c r="K128" t="s">
        <v>839</v>
      </c>
      <c r="L128" t="s">
        <v>533</v>
      </c>
      <c r="M128" t="s">
        <v>3168</v>
      </c>
      <c r="N128" t="s">
        <v>1527</v>
      </c>
      <c r="O128" t="s">
        <v>1654</v>
      </c>
    </row>
    <row r="129" spans="1:15" x14ac:dyDescent="0.25">
      <c r="A129" t="s">
        <v>351</v>
      </c>
      <c r="B129" t="s">
        <v>2367</v>
      </c>
      <c r="C129" t="s">
        <v>1515</v>
      </c>
      <c r="D129" t="s">
        <v>285</v>
      </c>
      <c r="E129" t="s">
        <v>284</v>
      </c>
      <c r="F129" t="s">
        <v>285</v>
      </c>
      <c r="G129" t="s">
        <v>285</v>
      </c>
      <c r="H129" t="s">
        <v>5</v>
      </c>
      <c r="I129" t="s">
        <v>172</v>
      </c>
      <c r="J129" t="s">
        <v>1515</v>
      </c>
      <c r="K129" t="s">
        <v>800</v>
      </c>
      <c r="L129" t="s">
        <v>351</v>
      </c>
      <c r="M129" t="s">
        <v>3167</v>
      </c>
      <c r="N129" t="s">
        <v>3172</v>
      </c>
      <c r="O129" t="s">
        <v>1654</v>
      </c>
    </row>
    <row r="130" spans="1:15" x14ac:dyDescent="0.25">
      <c r="A130" t="s">
        <v>352</v>
      </c>
      <c r="B130" t="s">
        <v>2368</v>
      </c>
      <c r="C130" t="s">
        <v>1505</v>
      </c>
      <c r="D130" t="s">
        <v>285</v>
      </c>
      <c r="E130" t="s">
        <v>284</v>
      </c>
      <c r="F130" t="s">
        <v>285</v>
      </c>
      <c r="G130" t="s">
        <v>284</v>
      </c>
      <c r="H130" t="s">
        <v>5</v>
      </c>
      <c r="I130" t="s">
        <v>172</v>
      </c>
      <c r="J130" t="s">
        <v>832</v>
      </c>
      <c r="K130" t="s">
        <v>832</v>
      </c>
      <c r="L130" t="s">
        <v>352</v>
      </c>
      <c r="M130" t="s">
        <v>3168</v>
      </c>
      <c r="N130" t="s">
        <v>1527</v>
      </c>
      <c r="O130" t="s">
        <v>1654</v>
      </c>
    </row>
    <row r="131" spans="1:15" x14ac:dyDescent="0.25">
      <c r="A131" t="s">
        <v>661</v>
      </c>
      <c r="B131" t="s">
        <v>2369</v>
      </c>
      <c r="C131" t="s">
        <v>1531</v>
      </c>
      <c r="D131" t="s">
        <v>284</v>
      </c>
      <c r="E131" t="s">
        <v>285</v>
      </c>
      <c r="F131" t="s">
        <v>285</v>
      </c>
      <c r="G131" t="s">
        <v>285</v>
      </c>
      <c r="H131" t="s">
        <v>5</v>
      </c>
      <c r="I131" t="s">
        <v>172</v>
      </c>
      <c r="J131" t="s">
        <v>2295</v>
      </c>
      <c r="K131" t="s">
        <v>98</v>
      </c>
      <c r="L131" t="s">
        <v>661</v>
      </c>
      <c r="M131" t="s">
        <v>3168</v>
      </c>
      <c r="N131" t="s">
        <v>802</v>
      </c>
      <c r="O131" t="s">
        <v>1654</v>
      </c>
    </row>
    <row r="132" spans="1:15" x14ac:dyDescent="0.25">
      <c r="A132" t="s">
        <v>754</v>
      </c>
      <c r="B132" t="s">
        <v>2370</v>
      </c>
      <c r="C132" t="s">
        <v>2335</v>
      </c>
      <c r="D132" t="s">
        <v>285</v>
      </c>
      <c r="E132" t="s">
        <v>284</v>
      </c>
      <c r="F132" t="s">
        <v>285</v>
      </c>
      <c r="G132" t="s">
        <v>284</v>
      </c>
      <c r="H132" t="s">
        <v>5</v>
      </c>
      <c r="I132" t="s">
        <v>172</v>
      </c>
      <c r="J132" t="s">
        <v>2336</v>
      </c>
      <c r="K132" t="s">
        <v>101</v>
      </c>
      <c r="L132" t="s">
        <v>754</v>
      </c>
      <c r="M132" t="s">
        <v>3168</v>
      </c>
      <c r="N132" t="s">
        <v>802</v>
      </c>
      <c r="O132" t="s">
        <v>789</v>
      </c>
    </row>
    <row r="133" spans="1:15" x14ac:dyDescent="0.25">
      <c r="A133" t="s">
        <v>960</v>
      </c>
      <c r="B133" t="s">
        <v>2371</v>
      </c>
      <c r="C133" t="s">
        <v>2372</v>
      </c>
      <c r="D133" t="s">
        <v>285</v>
      </c>
      <c r="E133" t="s">
        <v>284</v>
      </c>
      <c r="F133" t="s">
        <v>285</v>
      </c>
      <c r="G133" t="s">
        <v>284</v>
      </c>
      <c r="H133" t="s">
        <v>5</v>
      </c>
      <c r="I133" t="s">
        <v>172</v>
      </c>
      <c r="J133" t="s">
        <v>1532</v>
      </c>
      <c r="K133" t="s">
        <v>98</v>
      </c>
      <c r="L133" t="s">
        <v>960</v>
      </c>
      <c r="M133" t="s">
        <v>3167</v>
      </c>
      <c r="N133" t="s">
        <v>121</v>
      </c>
      <c r="O133" t="s">
        <v>1654</v>
      </c>
    </row>
    <row r="134" spans="1:15" x14ac:dyDescent="0.25">
      <c r="A134" t="s">
        <v>544</v>
      </c>
      <c r="B134" t="s">
        <v>2373</v>
      </c>
      <c r="C134" t="s">
        <v>2359</v>
      </c>
      <c r="D134" t="s">
        <v>285</v>
      </c>
      <c r="E134" t="s">
        <v>285</v>
      </c>
      <c r="F134" t="s">
        <v>285</v>
      </c>
      <c r="G134" t="s">
        <v>284</v>
      </c>
      <c r="H134" t="s">
        <v>5</v>
      </c>
      <c r="I134" t="s">
        <v>172</v>
      </c>
      <c r="J134" t="s">
        <v>2374</v>
      </c>
      <c r="K134" t="s">
        <v>101</v>
      </c>
      <c r="L134" t="s">
        <v>544</v>
      </c>
      <c r="M134" t="s">
        <v>3168</v>
      </c>
      <c r="N134" t="s">
        <v>802</v>
      </c>
      <c r="O134" t="s">
        <v>1654</v>
      </c>
    </row>
    <row r="135" spans="1:15" x14ac:dyDescent="0.25">
      <c r="A135" t="s">
        <v>353</v>
      </c>
      <c r="B135" t="s">
        <v>2375</v>
      </c>
      <c r="C135" t="s">
        <v>1517</v>
      </c>
      <c r="D135" t="s">
        <v>285</v>
      </c>
      <c r="E135" t="s">
        <v>285</v>
      </c>
      <c r="F135" t="s">
        <v>285</v>
      </c>
      <c r="G135" t="s">
        <v>284</v>
      </c>
      <c r="H135" t="s">
        <v>5</v>
      </c>
      <c r="I135" t="s">
        <v>172</v>
      </c>
      <c r="J135" t="s">
        <v>2376</v>
      </c>
      <c r="K135" t="s">
        <v>788</v>
      </c>
      <c r="L135" t="s">
        <v>353</v>
      </c>
      <c r="M135" t="s">
        <v>3168</v>
      </c>
      <c r="N135" t="s">
        <v>1527</v>
      </c>
      <c r="O135" t="s">
        <v>1654</v>
      </c>
    </row>
    <row r="136" spans="1:15" x14ac:dyDescent="0.25">
      <c r="A136" t="s">
        <v>575</v>
      </c>
      <c r="B136" t="s">
        <v>2377</v>
      </c>
      <c r="C136" t="s">
        <v>2378</v>
      </c>
      <c r="D136" t="s">
        <v>284</v>
      </c>
      <c r="E136" t="s">
        <v>284</v>
      </c>
      <c r="F136" t="s">
        <v>285</v>
      </c>
      <c r="G136" t="s">
        <v>285</v>
      </c>
      <c r="H136" t="s">
        <v>5</v>
      </c>
      <c r="I136" t="s">
        <v>172</v>
      </c>
      <c r="J136" t="s">
        <v>2379</v>
      </c>
      <c r="K136" t="s">
        <v>840</v>
      </c>
      <c r="L136" t="s">
        <v>575</v>
      </c>
      <c r="M136" t="s">
        <v>3168</v>
      </c>
      <c r="N136" t="s">
        <v>121</v>
      </c>
      <c r="O136" t="s">
        <v>1654</v>
      </c>
    </row>
    <row r="137" spans="1:15" x14ac:dyDescent="0.25">
      <c r="A137" t="s">
        <v>354</v>
      </c>
      <c r="B137" t="s">
        <v>2380</v>
      </c>
      <c r="C137" t="s">
        <v>1518</v>
      </c>
      <c r="D137" t="s">
        <v>285</v>
      </c>
      <c r="E137" t="s">
        <v>284</v>
      </c>
      <c r="F137" t="s">
        <v>285</v>
      </c>
      <c r="G137" t="s">
        <v>284</v>
      </c>
      <c r="H137" t="s">
        <v>5</v>
      </c>
      <c r="I137" t="s">
        <v>172</v>
      </c>
      <c r="J137" t="s">
        <v>1521</v>
      </c>
      <c r="K137" t="s">
        <v>101</v>
      </c>
      <c r="L137" t="s">
        <v>354</v>
      </c>
      <c r="M137" t="s">
        <v>3168</v>
      </c>
      <c r="N137" t="s">
        <v>1527</v>
      </c>
      <c r="O137" t="s">
        <v>789</v>
      </c>
    </row>
    <row r="138" spans="1:15" x14ac:dyDescent="0.25">
      <c r="A138" t="s">
        <v>617</v>
      </c>
      <c r="B138" t="s">
        <v>2381</v>
      </c>
      <c r="C138" t="s">
        <v>2382</v>
      </c>
      <c r="D138" t="s">
        <v>284</v>
      </c>
      <c r="E138" t="s">
        <v>285</v>
      </c>
      <c r="F138" t="s">
        <v>285</v>
      </c>
      <c r="G138" t="s">
        <v>285</v>
      </c>
      <c r="H138" t="s">
        <v>5</v>
      </c>
      <c r="I138" t="s">
        <v>172</v>
      </c>
      <c r="J138" t="s">
        <v>1407</v>
      </c>
      <c r="K138" t="s">
        <v>1616</v>
      </c>
      <c r="L138" t="s">
        <v>617</v>
      </c>
      <c r="M138" t="s">
        <v>3168</v>
      </c>
      <c r="N138" t="s">
        <v>802</v>
      </c>
      <c r="O138" t="s">
        <v>789</v>
      </c>
    </row>
    <row r="139" spans="1:15" x14ac:dyDescent="0.25">
      <c r="A139" t="s">
        <v>34</v>
      </c>
      <c r="B139" t="s">
        <v>2383</v>
      </c>
      <c r="C139" t="s">
        <v>100</v>
      </c>
      <c r="D139" t="s">
        <v>285</v>
      </c>
      <c r="E139" t="s">
        <v>285</v>
      </c>
      <c r="F139" t="s">
        <v>285</v>
      </c>
      <c r="G139" t="s">
        <v>285</v>
      </c>
      <c r="H139" t="s">
        <v>2345</v>
      </c>
      <c r="I139" t="s">
        <v>100</v>
      </c>
      <c r="J139" t="s">
        <v>2384</v>
      </c>
      <c r="K139" t="s">
        <v>769</v>
      </c>
      <c r="L139" t="s">
        <v>34</v>
      </c>
      <c r="M139" t="s">
        <v>3167</v>
      </c>
      <c r="N139" t="s">
        <v>1527</v>
      </c>
      <c r="O139" t="s">
        <v>789</v>
      </c>
    </row>
    <row r="140" spans="1:15" x14ac:dyDescent="0.25">
      <c r="A140" t="s">
        <v>1632</v>
      </c>
      <c r="B140" t="s">
        <v>2385</v>
      </c>
      <c r="C140" t="s">
        <v>1510</v>
      </c>
      <c r="D140" t="s">
        <v>285</v>
      </c>
      <c r="E140" t="s">
        <v>285</v>
      </c>
      <c r="F140" t="s">
        <v>285</v>
      </c>
      <c r="G140" t="s">
        <v>285</v>
      </c>
      <c r="H140" t="s">
        <v>2387</v>
      </c>
      <c r="I140" t="s">
        <v>168</v>
      </c>
      <c r="J140" t="s">
        <v>2386</v>
      </c>
      <c r="K140" t="s">
        <v>800</v>
      </c>
      <c r="L140" t="s">
        <v>1632</v>
      </c>
      <c r="M140" t="s">
        <v>1527</v>
      </c>
      <c r="N140" t="s">
        <v>1527</v>
      </c>
      <c r="O140" t="s">
        <v>1654</v>
      </c>
    </row>
    <row r="141" spans="1:15" x14ac:dyDescent="0.25">
      <c r="A141" t="s">
        <v>1458</v>
      </c>
      <c r="B141" t="s">
        <v>2388</v>
      </c>
      <c r="C141" t="s">
        <v>1510</v>
      </c>
      <c r="D141" t="s">
        <v>285</v>
      </c>
      <c r="E141" t="s">
        <v>285</v>
      </c>
      <c r="F141" t="s">
        <v>285</v>
      </c>
      <c r="G141" t="s">
        <v>285</v>
      </c>
      <c r="H141" t="s">
        <v>2387</v>
      </c>
      <c r="I141" t="s">
        <v>168</v>
      </c>
      <c r="J141" t="s">
        <v>2389</v>
      </c>
      <c r="K141" t="s">
        <v>800</v>
      </c>
      <c r="L141" t="s">
        <v>1458</v>
      </c>
      <c r="M141" t="s">
        <v>1527</v>
      </c>
      <c r="N141" t="s">
        <v>1527</v>
      </c>
      <c r="O141" t="s">
        <v>1654</v>
      </c>
    </row>
    <row r="142" spans="1:15" x14ac:dyDescent="0.25">
      <c r="A142" t="s">
        <v>671</v>
      </c>
      <c r="B142" t="s">
        <v>2390</v>
      </c>
      <c r="C142" t="s">
        <v>1531</v>
      </c>
      <c r="D142" t="s">
        <v>284</v>
      </c>
      <c r="E142" t="s">
        <v>285</v>
      </c>
      <c r="F142" t="s">
        <v>285</v>
      </c>
      <c r="G142" t="s">
        <v>285</v>
      </c>
      <c r="H142" t="s">
        <v>5</v>
      </c>
      <c r="I142" t="s">
        <v>172</v>
      </c>
      <c r="J142" t="s">
        <v>2295</v>
      </c>
      <c r="K142" t="s">
        <v>98</v>
      </c>
      <c r="L142" t="s">
        <v>671</v>
      </c>
      <c r="M142" t="s">
        <v>3168</v>
      </c>
      <c r="N142" t="s">
        <v>3172</v>
      </c>
      <c r="O142" t="s">
        <v>1654</v>
      </c>
    </row>
    <row r="143" spans="1:15" x14ac:dyDescent="0.25">
      <c r="A143" t="s">
        <v>600</v>
      </c>
      <c r="B143" t="s">
        <v>2391</v>
      </c>
      <c r="C143" t="s">
        <v>2378</v>
      </c>
      <c r="D143" t="s">
        <v>284</v>
      </c>
      <c r="E143" t="s">
        <v>284</v>
      </c>
      <c r="F143" t="s">
        <v>285</v>
      </c>
      <c r="G143" t="s">
        <v>285</v>
      </c>
      <c r="H143" t="s">
        <v>5</v>
      </c>
      <c r="I143" t="s">
        <v>172</v>
      </c>
      <c r="J143" t="s">
        <v>2392</v>
      </c>
      <c r="K143" t="s">
        <v>840</v>
      </c>
      <c r="L143" t="s">
        <v>600</v>
      </c>
      <c r="M143" t="s">
        <v>3168</v>
      </c>
      <c r="N143" t="s">
        <v>121</v>
      </c>
      <c r="O143" t="s">
        <v>1654</v>
      </c>
    </row>
    <row r="144" spans="1:15" x14ac:dyDescent="0.25">
      <c r="A144" t="s">
        <v>355</v>
      </c>
      <c r="B144" t="s">
        <v>2393</v>
      </c>
      <c r="C144" t="s">
        <v>1214</v>
      </c>
      <c r="D144" t="s">
        <v>284</v>
      </c>
      <c r="E144" t="s">
        <v>285</v>
      </c>
      <c r="F144" t="s">
        <v>285</v>
      </c>
      <c r="G144" t="s">
        <v>285</v>
      </c>
      <c r="H144" t="s">
        <v>5</v>
      </c>
      <c r="I144" t="s">
        <v>172</v>
      </c>
      <c r="J144" t="s">
        <v>1214</v>
      </c>
      <c r="K144" t="s">
        <v>101</v>
      </c>
      <c r="L144" t="s">
        <v>355</v>
      </c>
      <c r="M144" t="s">
        <v>3168</v>
      </c>
      <c r="N144" t="s">
        <v>802</v>
      </c>
      <c r="O144" t="s">
        <v>789</v>
      </c>
    </row>
    <row r="145" spans="1:15" x14ac:dyDescent="0.25">
      <c r="A145" t="s">
        <v>356</v>
      </c>
      <c r="B145" t="s">
        <v>2394</v>
      </c>
      <c r="C145" t="s">
        <v>2227</v>
      </c>
      <c r="D145" t="s">
        <v>284</v>
      </c>
      <c r="E145" t="s">
        <v>285</v>
      </c>
      <c r="F145" t="s">
        <v>285</v>
      </c>
      <c r="G145" t="s">
        <v>285</v>
      </c>
      <c r="H145" t="s">
        <v>5</v>
      </c>
      <c r="I145" t="s">
        <v>172</v>
      </c>
      <c r="J145" t="s">
        <v>788</v>
      </c>
      <c r="K145" t="s">
        <v>788</v>
      </c>
      <c r="L145" t="s">
        <v>356</v>
      </c>
      <c r="M145" t="s">
        <v>3167</v>
      </c>
      <c r="N145" t="s">
        <v>121</v>
      </c>
      <c r="O145" t="s">
        <v>789</v>
      </c>
    </row>
    <row r="146" spans="1:15" x14ac:dyDescent="0.25">
      <c r="A146" t="s">
        <v>357</v>
      </c>
      <c r="B146" t="s">
        <v>2395</v>
      </c>
      <c r="C146" t="s">
        <v>1534</v>
      </c>
      <c r="D146" t="s">
        <v>285</v>
      </c>
      <c r="E146" t="s">
        <v>285</v>
      </c>
      <c r="F146" t="s">
        <v>285</v>
      </c>
      <c r="G146" t="s">
        <v>284</v>
      </c>
      <c r="H146" t="s">
        <v>5</v>
      </c>
      <c r="I146" t="s">
        <v>172</v>
      </c>
      <c r="J146" t="s">
        <v>1534</v>
      </c>
      <c r="K146" t="s">
        <v>800</v>
      </c>
      <c r="L146" t="s">
        <v>357</v>
      </c>
      <c r="M146" t="s">
        <v>3167</v>
      </c>
      <c r="N146" t="s">
        <v>3172</v>
      </c>
      <c r="O146" t="s">
        <v>1654</v>
      </c>
    </row>
    <row r="147" spans="1:15" x14ac:dyDescent="0.25">
      <c r="A147" t="s">
        <v>358</v>
      </c>
      <c r="B147" t="s">
        <v>2396</v>
      </c>
      <c r="C147" t="s">
        <v>2382</v>
      </c>
      <c r="D147" t="s">
        <v>284</v>
      </c>
      <c r="E147" t="s">
        <v>285</v>
      </c>
      <c r="F147" t="s">
        <v>285</v>
      </c>
      <c r="G147" t="s">
        <v>285</v>
      </c>
      <c r="H147" t="s">
        <v>5</v>
      </c>
      <c r="I147" t="s">
        <v>172</v>
      </c>
      <c r="J147" t="s">
        <v>1407</v>
      </c>
      <c r="K147" t="s">
        <v>1616</v>
      </c>
      <c r="L147" t="s">
        <v>358</v>
      </c>
      <c r="M147" t="s">
        <v>3168</v>
      </c>
      <c r="N147" t="s">
        <v>121</v>
      </c>
      <c r="O147" t="s">
        <v>1654</v>
      </c>
    </row>
    <row r="148" spans="1:15" x14ac:dyDescent="0.25">
      <c r="A148" t="s">
        <v>1413</v>
      </c>
      <c r="B148" t="s">
        <v>2397</v>
      </c>
      <c r="C148" t="s">
        <v>2227</v>
      </c>
      <c r="D148" t="s">
        <v>285</v>
      </c>
      <c r="E148" t="s">
        <v>285</v>
      </c>
      <c r="F148" t="s">
        <v>285</v>
      </c>
      <c r="G148" t="s">
        <v>285</v>
      </c>
      <c r="H148" t="s">
        <v>5</v>
      </c>
      <c r="I148" t="s">
        <v>172</v>
      </c>
      <c r="J148" t="s">
        <v>788</v>
      </c>
      <c r="K148" t="s">
        <v>788</v>
      </c>
      <c r="L148" t="s">
        <v>1413</v>
      </c>
      <c r="M148" t="s">
        <v>3167</v>
      </c>
      <c r="N148" t="s">
        <v>121</v>
      </c>
      <c r="O148" t="s">
        <v>1654</v>
      </c>
    </row>
    <row r="149" spans="1:15" x14ac:dyDescent="0.25">
      <c r="A149" t="s">
        <v>1433</v>
      </c>
      <c r="B149" t="s">
        <v>2398</v>
      </c>
      <c r="C149" t="s">
        <v>2253</v>
      </c>
      <c r="D149" t="s">
        <v>285</v>
      </c>
      <c r="E149" t="s">
        <v>285</v>
      </c>
      <c r="F149" t="s">
        <v>285</v>
      </c>
      <c r="G149" t="s">
        <v>284</v>
      </c>
      <c r="H149" t="s">
        <v>5</v>
      </c>
      <c r="I149" t="s">
        <v>172</v>
      </c>
      <c r="J149" t="s">
        <v>769</v>
      </c>
      <c r="K149" t="s">
        <v>769</v>
      </c>
      <c r="L149" t="s">
        <v>1433</v>
      </c>
      <c r="M149" t="s">
        <v>3167</v>
      </c>
      <c r="N149" t="s">
        <v>121</v>
      </c>
      <c r="O149" t="s">
        <v>1654</v>
      </c>
    </row>
    <row r="150" spans="1:15" x14ac:dyDescent="0.25">
      <c r="A150" t="s">
        <v>529</v>
      </c>
      <c r="B150" t="s">
        <v>2399</v>
      </c>
      <c r="C150" t="s">
        <v>1523</v>
      </c>
      <c r="D150" t="s">
        <v>285</v>
      </c>
      <c r="E150" t="s">
        <v>285</v>
      </c>
      <c r="F150" t="s">
        <v>285</v>
      </c>
      <c r="G150" t="s">
        <v>284</v>
      </c>
      <c r="H150" t="s">
        <v>5</v>
      </c>
      <c r="I150" t="s">
        <v>172</v>
      </c>
      <c r="J150" t="s">
        <v>2295</v>
      </c>
      <c r="K150" t="s">
        <v>98</v>
      </c>
      <c r="L150" t="s">
        <v>529</v>
      </c>
      <c r="M150" t="s">
        <v>3168</v>
      </c>
      <c r="N150" t="s">
        <v>802</v>
      </c>
      <c r="O150" t="s">
        <v>789</v>
      </c>
    </row>
    <row r="151" spans="1:15" x14ac:dyDescent="0.25">
      <c r="A151" t="s">
        <v>129</v>
      </c>
      <c r="B151" t="s">
        <v>2400</v>
      </c>
      <c r="C151" t="s">
        <v>1511</v>
      </c>
      <c r="D151" t="s">
        <v>284</v>
      </c>
      <c r="E151" t="s">
        <v>285</v>
      </c>
      <c r="F151" t="s">
        <v>285</v>
      </c>
      <c r="G151" t="s">
        <v>285</v>
      </c>
      <c r="H151" t="s">
        <v>5</v>
      </c>
      <c r="I151" t="s">
        <v>172</v>
      </c>
      <c r="J151" t="s">
        <v>800</v>
      </c>
      <c r="K151" t="s">
        <v>800</v>
      </c>
      <c r="L151" t="s">
        <v>129</v>
      </c>
      <c r="M151" t="s">
        <v>3167</v>
      </c>
      <c r="N151" t="s">
        <v>121</v>
      </c>
      <c r="O151" t="s">
        <v>1654</v>
      </c>
    </row>
    <row r="152" spans="1:15" x14ac:dyDescent="0.25">
      <c r="A152" t="s">
        <v>134</v>
      </c>
      <c r="B152" t="s">
        <v>2401</v>
      </c>
      <c r="C152" t="s">
        <v>2402</v>
      </c>
      <c r="D152" t="s">
        <v>285</v>
      </c>
      <c r="E152" t="s">
        <v>284</v>
      </c>
      <c r="F152" t="s">
        <v>285</v>
      </c>
      <c r="G152" t="s">
        <v>285</v>
      </c>
      <c r="H152" t="s">
        <v>5</v>
      </c>
      <c r="I152" t="s">
        <v>2164</v>
      </c>
      <c r="J152" t="s">
        <v>2403</v>
      </c>
      <c r="K152" t="s">
        <v>1699</v>
      </c>
      <c r="L152" t="s">
        <v>134</v>
      </c>
      <c r="M152" t="s">
        <v>3168</v>
      </c>
      <c r="N152" t="s">
        <v>1527</v>
      </c>
      <c r="O152" t="s">
        <v>789</v>
      </c>
    </row>
    <row r="153" spans="1:15" x14ac:dyDescent="0.25">
      <c r="A153" t="s">
        <v>359</v>
      </c>
      <c r="B153" t="s">
        <v>2404</v>
      </c>
      <c r="C153" t="s">
        <v>2253</v>
      </c>
      <c r="D153" t="s">
        <v>284</v>
      </c>
      <c r="E153" t="s">
        <v>285</v>
      </c>
      <c r="F153" t="s">
        <v>285</v>
      </c>
      <c r="G153" t="s">
        <v>285</v>
      </c>
      <c r="H153" t="s">
        <v>5</v>
      </c>
      <c r="I153" t="s">
        <v>172</v>
      </c>
      <c r="J153" t="s">
        <v>769</v>
      </c>
      <c r="K153" t="s">
        <v>769</v>
      </c>
      <c r="L153" t="s">
        <v>359</v>
      </c>
      <c r="M153" t="s">
        <v>3167</v>
      </c>
      <c r="N153" t="s">
        <v>121</v>
      </c>
      <c r="O153" t="s">
        <v>1654</v>
      </c>
    </row>
    <row r="154" spans="1:15" x14ac:dyDescent="0.25">
      <c r="A154" t="s">
        <v>1468</v>
      </c>
      <c r="B154" t="s">
        <v>2405</v>
      </c>
      <c r="C154" t="s">
        <v>1510</v>
      </c>
      <c r="D154" t="s">
        <v>285</v>
      </c>
      <c r="E154" t="s">
        <v>285</v>
      </c>
      <c r="F154" t="s">
        <v>285</v>
      </c>
      <c r="G154" t="s">
        <v>285</v>
      </c>
      <c r="H154" t="s">
        <v>1408</v>
      </c>
      <c r="I154" t="s">
        <v>172</v>
      </c>
      <c r="J154" t="s">
        <v>2406</v>
      </c>
      <c r="K154" t="s">
        <v>801</v>
      </c>
      <c r="L154" t="s">
        <v>1468</v>
      </c>
      <c r="M154" t="s">
        <v>3167</v>
      </c>
      <c r="N154" t="s">
        <v>1527</v>
      </c>
      <c r="O154" t="s">
        <v>1654</v>
      </c>
    </row>
    <row r="155" spans="1:15" x14ac:dyDescent="0.25">
      <c r="A155" t="s">
        <v>1083</v>
      </c>
      <c r="B155" t="s">
        <v>2407</v>
      </c>
      <c r="C155" t="s">
        <v>1510</v>
      </c>
      <c r="D155" t="s">
        <v>285</v>
      </c>
      <c r="E155" t="s">
        <v>285</v>
      </c>
      <c r="F155" t="s">
        <v>285</v>
      </c>
      <c r="G155" t="s">
        <v>285</v>
      </c>
      <c r="H155" t="s">
        <v>1408</v>
      </c>
      <c r="I155" t="s">
        <v>172</v>
      </c>
      <c r="J155" t="s">
        <v>2406</v>
      </c>
      <c r="K155" t="s">
        <v>801</v>
      </c>
      <c r="L155" t="s">
        <v>1083</v>
      </c>
      <c r="M155" t="s">
        <v>3167</v>
      </c>
      <c r="N155" t="s">
        <v>1527</v>
      </c>
      <c r="O155" t="s">
        <v>789</v>
      </c>
    </row>
    <row r="156" spans="1:15" x14ac:dyDescent="0.25">
      <c r="A156" t="s">
        <v>838</v>
      </c>
      <c r="B156" t="s">
        <v>2408</v>
      </c>
      <c r="C156" t="s">
        <v>1510</v>
      </c>
      <c r="D156" t="s">
        <v>285</v>
      </c>
      <c r="E156" t="s">
        <v>285</v>
      </c>
      <c r="F156" t="s">
        <v>285</v>
      </c>
      <c r="G156" t="s">
        <v>285</v>
      </c>
      <c r="H156" t="s">
        <v>2286</v>
      </c>
      <c r="I156" t="s">
        <v>100</v>
      </c>
      <c r="J156" t="s">
        <v>2168</v>
      </c>
      <c r="K156" t="s">
        <v>801</v>
      </c>
      <c r="L156" t="s">
        <v>838</v>
      </c>
      <c r="M156" t="s">
        <v>3167</v>
      </c>
      <c r="N156" t="s">
        <v>1527</v>
      </c>
      <c r="O156" t="s">
        <v>1654</v>
      </c>
    </row>
    <row r="157" spans="1:15" x14ac:dyDescent="0.25">
      <c r="A157" t="s">
        <v>526</v>
      </c>
      <c r="B157" t="s">
        <v>2409</v>
      </c>
      <c r="C157" t="s">
        <v>2298</v>
      </c>
      <c r="D157" t="s">
        <v>284</v>
      </c>
      <c r="E157" t="s">
        <v>284</v>
      </c>
      <c r="F157" t="s">
        <v>285</v>
      </c>
      <c r="G157" t="s">
        <v>285</v>
      </c>
      <c r="H157" t="s">
        <v>5</v>
      </c>
      <c r="I157" t="s">
        <v>172</v>
      </c>
      <c r="J157" t="s">
        <v>103</v>
      </c>
      <c r="K157" t="s">
        <v>98</v>
      </c>
      <c r="L157" t="s">
        <v>526</v>
      </c>
      <c r="M157" t="s">
        <v>3168</v>
      </c>
      <c r="N157" t="s">
        <v>802</v>
      </c>
      <c r="O157" t="s">
        <v>789</v>
      </c>
    </row>
    <row r="158" spans="1:15" x14ac:dyDescent="0.25">
      <c r="A158" t="s">
        <v>975</v>
      </c>
      <c r="B158" t="s">
        <v>2410</v>
      </c>
      <c r="C158" t="s">
        <v>1536</v>
      </c>
      <c r="D158" t="s">
        <v>285</v>
      </c>
      <c r="E158" t="s">
        <v>285</v>
      </c>
      <c r="F158" t="s">
        <v>285</v>
      </c>
      <c r="G158" t="s">
        <v>285</v>
      </c>
      <c r="H158" t="s">
        <v>5</v>
      </c>
      <c r="I158" t="s">
        <v>172</v>
      </c>
      <c r="J158" t="s">
        <v>788</v>
      </c>
      <c r="K158" t="s">
        <v>788</v>
      </c>
      <c r="L158" t="s">
        <v>975</v>
      </c>
      <c r="M158" t="s">
        <v>3167</v>
      </c>
      <c r="N158" t="s">
        <v>802</v>
      </c>
      <c r="O158" t="s">
        <v>1654</v>
      </c>
    </row>
    <row r="159" spans="1:15" x14ac:dyDescent="0.25">
      <c r="A159" t="s">
        <v>1477</v>
      </c>
      <c r="B159" t="s">
        <v>2411</v>
      </c>
      <c r="C159" t="s">
        <v>2402</v>
      </c>
      <c r="D159" t="s">
        <v>285</v>
      </c>
      <c r="E159" t="s">
        <v>285</v>
      </c>
      <c r="F159" t="s">
        <v>285</v>
      </c>
      <c r="G159" t="s">
        <v>284</v>
      </c>
      <c r="H159" t="s">
        <v>5</v>
      </c>
      <c r="I159" t="s">
        <v>172</v>
      </c>
      <c r="J159" t="s">
        <v>2225</v>
      </c>
      <c r="K159" t="s">
        <v>800</v>
      </c>
      <c r="L159" t="s">
        <v>1477</v>
      </c>
      <c r="M159" t="s">
        <v>3168</v>
      </c>
      <c r="N159" t="s">
        <v>802</v>
      </c>
      <c r="O159" t="s">
        <v>1654</v>
      </c>
    </row>
    <row r="160" spans="1:15" x14ac:dyDescent="0.25">
      <c r="A160" t="s">
        <v>989</v>
      </c>
      <c r="B160" t="s">
        <v>2412</v>
      </c>
      <c r="C160" t="s">
        <v>1510</v>
      </c>
      <c r="D160" t="s">
        <v>285</v>
      </c>
      <c r="E160" t="s">
        <v>285</v>
      </c>
      <c r="F160" t="s">
        <v>285</v>
      </c>
      <c r="G160" t="s">
        <v>285</v>
      </c>
      <c r="H160" t="s">
        <v>2286</v>
      </c>
      <c r="I160" t="s">
        <v>100</v>
      </c>
      <c r="J160" t="s">
        <v>2406</v>
      </c>
      <c r="K160" t="s">
        <v>801</v>
      </c>
      <c r="L160" t="s">
        <v>989</v>
      </c>
      <c r="M160" t="s">
        <v>3167</v>
      </c>
      <c r="N160" t="s">
        <v>1527</v>
      </c>
      <c r="O160" t="s">
        <v>1654</v>
      </c>
    </row>
    <row r="161" spans="1:15" x14ac:dyDescent="0.25">
      <c r="A161" t="s">
        <v>978</v>
      </c>
      <c r="B161" t="s">
        <v>2413</v>
      </c>
      <c r="C161" t="s">
        <v>2248</v>
      </c>
      <c r="D161" t="s">
        <v>285</v>
      </c>
      <c r="E161" t="s">
        <v>285</v>
      </c>
      <c r="F161" t="s">
        <v>285</v>
      </c>
      <c r="G161" t="s">
        <v>285</v>
      </c>
      <c r="H161" t="s">
        <v>5</v>
      </c>
      <c r="I161" t="s">
        <v>172</v>
      </c>
      <c r="J161" t="s">
        <v>1521</v>
      </c>
      <c r="K161" t="s">
        <v>101</v>
      </c>
      <c r="L161" t="s">
        <v>978</v>
      </c>
      <c r="M161" t="s">
        <v>3168</v>
      </c>
      <c r="N161" t="s">
        <v>802</v>
      </c>
      <c r="O161" t="s">
        <v>789</v>
      </c>
    </row>
    <row r="162" spans="1:15" x14ac:dyDescent="0.25">
      <c r="A162" t="s">
        <v>518</v>
      </c>
      <c r="B162" t="s">
        <v>2414</v>
      </c>
      <c r="C162" t="s">
        <v>2294</v>
      </c>
      <c r="D162" t="s">
        <v>285</v>
      </c>
      <c r="E162" t="s">
        <v>285</v>
      </c>
      <c r="F162" t="s">
        <v>285</v>
      </c>
      <c r="G162" t="s">
        <v>284</v>
      </c>
      <c r="H162" t="s">
        <v>5</v>
      </c>
      <c r="I162" t="s">
        <v>172</v>
      </c>
      <c r="J162" t="s">
        <v>2415</v>
      </c>
      <c r="K162" t="s">
        <v>101</v>
      </c>
      <c r="L162" t="s">
        <v>518</v>
      </c>
      <c r="M162" t="s">
        <v>3167</v>
      </c>
      <c r="N162" t="s">
        <v>121</v>
      </c>
      <c r="O162" t="s">
        <v>1654</v>
      </c>
    </row>
    <row r="163" spans="1:15" x14ac:dyDescent="0.25">
      <c r="A163" t="s">
        <v>210</v>
      </c>
      <c r="B163" t="s">
        <v>2416</v>
      </c>
      <c r="C163" t="s">
        <v>2160</v>
      </c>
      <c r="D163" t="s">
        <v>284</v>
      </c>
      <c r="E163" t="s">
        <v>285</v>
      </c>
      <c r="F163" t="s">
        <v>285</v>
      </c>
      <c r="G163" t="s">
        <v>285</v>
      </c>
      <c r="H163" t="s">
        <v>5</v>
      </c>
      <c r="I163" t="s">
        <v>172</v>
      </c>
      <c r="J163" t="s">
        <v>780</v>
      </c>
      <c r="K163" t="s">
        <v>780</v>
      </c>
      <c r="L163" t="s">
        <v>210</v>
      </c>
      <c r="M163" t="s">
        <v>3168</v>
      </c>
      <c r="N163" t="s">
        <v>3172</v>
      </c>
      <c r="O163" t="s">
        <v>1654</v>
      </c>
    </row>
    <row r="164" spans="1:15" x14ac:dyDescent="0.25">
      <c r="A164" t="s">
        <v>1679</v>
      </c>
      <c r="B164" t="s">
        <v>2417</v>
      </c>
      <c r="C164" t="s">
        <v>1509</v>
      </c>
      <c r="D164" t="s">
        <v>285</v>
      </c>
      <c r="E164" t="s">
        <v>285</v>
      </c>
      <c r="F164" t="s">
        <v>285</v>
      </c>
      <c r="G164" t="s">
        <v>284</v>
      </c>
      <c r="H164" t="s">
        <v>5</v>
      </c>
      <c r="I164" t="s">
        <v>2164</v>
      </c>
      <c r="J164" t="s">
        <v>2164</v>
      </c>
      <c r="K164" t="s">
        <v>1699</v>
      </c>
      <c r="L164" t="s">
        <v>1679</v>
      </c>
      <c r="M164" t="s">
        <v>1527</v>
      </c>
      <c r="N164" t="s">
        <v>3172</v>
      </c>
      <c r="O164" t="s">
        <v>1654</v>
      </c>
    </row>
    <row r="165" spans="1:15" x14ac:dyDescent="0.25">
      <c r="A165" t="s">
        <v>725</v>
      </c>
      <c r="B165" t="s">
        <v>2418</v>
      </c>
      <c r="C165" t="s">
        <v>1526</v>
      </c>
      <c r="D165" t="s">
        <v>285</v>
      </c>
      <c r="E165" t="s">
        <v>285</v>
      </c>
      <c r="F165" t="s">
        <v>285</v>
      </c>
      <c r="G165" t="s">
        <v>284</v>
      </c>
      <c r="H165" t="s">
        <v>5</v>
      </c>
      <c r="I165" t="s">
        <v>172</v>
      </c>
      <c r="J165" t="s">
        <v>2295</v>
      </c>
      <c r="K165" t="s">
        <v>101</v>
      </c>
      <c r="L165" t="s">
        <v>725</v>
      </c>
      <c r="M165" t="s">
        <v>3167</v>
      </c>
      <c r="N165" t="s">
        <v>121</v>
      </c>
      <c r="O165" t="s">
        <v>1654</v>
      </c>
    </row>
    <row r="166" spans="1:15" x14ac:dyDescent="0.25">
      <c r="A166" t="s">
        <v>135</v>
      </c>
      <c r="B166" t="s">
        <v>2419</v>
      </c>
      <c r="C166" t="s">
        <v>1509</v>
      </c>
      <c r="D166" t="s">
        <v>284</v>
      </c>
      <c r="E166" t="s">
        <v>284</v>
      </c>
      <c r="F166" t="s">
        <v>284</v>
      </c>
      <c r="G166" t="s">
        <v>285</v>
      </c>
      <c r="H166" t="s">
        <v>5</v>
      </c>
      <c r="I166" t="s">
        <v>172</v>
      </c>
      <c r="J166" t="s">
        <v>1509</v>
      </c>
      <c r="K166" t="s">
        <v>839</v>
      </c>
      <c r="L166" t="s">
        <v>135</v>
      </c>
      <c r="M166" t="s">
        <v>3168</v>
      </c>
      <c r="N166" t="s">
        <v>802</v>
      </c>
      <c r="O166" t="s">
        <v>789</v>
      </c>
    </row>
    <row r="167" spans="1:15" x14ac:dyDescent="0.25">
      <c r="A167" t="s">
        <v>360</v>
      </c>
      <c r="B167" t="s">
        <v>2420</v>
      </c>
      <c r="C167" t="s">
        <v>1405</v>
      </c>
      <c r="D167" t="s">
        <v>285</v>
      </c>
      <c r="E167" t="s">
        <v>284</v>
      </c>
      <c r="F167" t="s">
        <v>285</v>
      </c>
      <c r="G167" t="s">
        <v>284</v>
      </c>
      <c r="H167" t="s">
        <v>5</v>
      </c>
      <c r="I167" t="s">
        <v>172</v>
      </c>
      <c r="J167" t="s">
        <v>2236</v>
      </c>
      <c r="K167" t="s">
        <v>1616</v>
      </c>
      <c r="L167" t="s">
        <v>360</v>
      </c>
      <c r="M167" t="s">
        <v>3168</v>
      </c>
      <c r="N167" t="s">
        <v>1527</v>
      </c>
      <c r="O167" t="s">
        <v>1654</v>
      </c>
    </row>
    <row r="168" spans="1:15" x14ac:dyDescent="0.25">
      <c r="A168" t="s">
        <v>361</v>
      </c>
      <c r="B168" t="s">
        <v>2421</v>
      </c>
      <c r="C168" t="s">
        <v>1509</v>
      </c>
      <c r="D168" t="s">
        <v>284</v>
      </c>
      <c r="E168" t="s">
        <v>284</v>
      </c>
      <c r="F168" t="s">
        <v>285</v>
      </c>
      <c r="G168" t="s">
        <v>285</v>
      </c>
      <c r="H168" t="s">
        <v>5</v>
      </c>
      <c r="I168" t="s">
        <v>172</v>
      </c>
      <c r="J168" t="s">
        <v>1467</v>
      </c>
      <c r="K168" t="s">
        <v>839</v>
      </c>
      <c r="L168" t="s">
        <v>361</v>
      </c>
      <c r="M168" t="s">
        <v>3168</v>
      </c>
      <c r="N168" t="s">
        <v>802</v>
      </c>
      <c r="O168" t="s">
        <v>789</v>
      </c>
    </row>
    <row r="169" spans="1:15" x14ac:dyDescent="0.25">
      <c r="A169" t="s">
        <v>362</v>
      </c>
      <c r="B169" t="s">
        <v>2422</v>
      </c>
      <c r="C169" t="s">
        <v>1537</v>
      </c>
      <c r="D169" t="s">
        <v>284</v>
      </c>
      <c r="E169" t="s">
        <v>284</v>
      </c>
      <c r="F169" t="s">
        <v>284</v>
      </c>
      <c r="G169" t="s">
        <v>285</v>
      </c>
      <c r="H169" t="s">
        <v>5</v>
      </c>
      <c r="I169" t="s">
        <v>172</v>
      </c>
      <c r="J169" t="s">
        <v>1504</v>
      </c>
      <c r="K169" t="s">
        <v>839</v>
      </c>
      <c r="L169" t="s">
        <v>362</v>
      </c>
      <c r="M169" t="s">
        <v>3168</v>
      </c>
      <c r="N169" t="s">
        <v>3172</v>
      </c>
      <c r="O169" t="s">
        <v>1654</v>
      </c>
    </row>
    <row r="170" spans="1:15" x14ac:dyDescent="0.25">
      <c r="A170" t="s">
        <v>621</v>
      </c>
      <c r="B170" t="s">
        <v>2423</v>
      </c>
      <c r="C170" t="s">
        <v>1536</v>
      </c>
      <c r="D170" t="s">
        <v>284</v>
      </c>
      <c r="E170" t="s">
        <v>284</v>
      </c>
      <c r="F170" t="s">
        <v>285</v>
      </c>
      <c r="G170" t="s">
        <v>285</v>
      </c>
      <c r="H170" t="s">
        <v>5</v>
      </c>
      <c r="I170" t="s">
        <v>172</v>
      </c>
      <c r="J170" t="s">
        <v>788</v>
      </c>
      <c r="K170" t="s">
        <v>788</v>
      </c>
      <c r="L170" t="s">
        <v>621</v>
      </c>
      <c r="M170" t="s">
        <v>3167</v>
      </c>
      <c r="N170" t="s">
        <v>802</v>
      </c>
      <c r="O170" t="s">
        <v>1654</v>
      </c>
    </row>
    <row r="171" spans="1:15" x14ac:dyDescent="0.25">
      <c r="A171" t="s">
        <v>772</v>
      </c>
      <c r="B171" t="s">
        <v>2424</v>
      </c>
      <c r="C171" t="s">
        <v>1510</v>
      </c>
      <c r="D171" t="s">
        <v>285</v>
      </c>
      <c r="E171" t="s">
        <v>285</v>
      </c>
      <c r="F171" t="s">
        <v>285</v>
      </c>
      <c r="G171" t="s">
        <v>285</v>
      </c>
      <c r="H171" t="s">
        <v>2426</v>
      </c>
      <c r="I171" t="s">
        <v>100</v>
      </c>
      <c r="J171" t="s">
        <v>2425</v>
      </c>
      <c r="K171" t="s">
        <v>800</v>
      </c>
      <c r="L171" t="s">
        <v>772</v>
      </c>
      <c r="M171" t="s">
        <v>1527</v>
      </c>
      <c r="N171" t="s">
        <v>1527</v>
      </c>
      <c r="O171" t="s">
        <v>1654</v>
      </c>
    </row>
    <row r="172" spans="1:15" x14ac:dyDescent="0.25">
      <c r="A172" t="s">
        <v>740</v>
      </c>
      <c r="B172" t="s">
        <v>2427</v>
      </c>
      <c r="C172" t="s">
        <v>2428</v>
      </c>
      <c r="D172" t="s">
        <v>284</v>
      </c>
      <c r="E172" t="s">
        <v>285</v>
      </c>
      <c r="F172" t="s">
        <v>285</v>
      </c>
      <c r="G172" t="s">
        <v>285</v>
      </c>
      <c r="H172" t="s">
        <v>5</v>
      </c>
      <c r="I172" t="s">
        <v>172</v>
      </c>
      <c r="J172" t="s">
        <v>780</v>
      </c>
      <c r="K172" t="s">
        <v>780</v>
      </c>
      <c r="L172" t="s">
        <v>740</v>
      </c>
      <c r="M172" t="s">
        <v>3168</v>
      </c>
      <c r="N172" t="s">
        <v>3172</v>
      </c>
      <c r="O172" t="s">
        <v>1654</v>
      </c>
    </row>
    <row r="173" spans="1:15" x14ac:dyDescent="0.25">
      <c r="A173" t="s">
        <v>363</v>
      </c>
      <c r="B173" t="s">
        <v>2429</v>
      </c>
      <c r="C173" t="s">
        <v>1518</v>
      </c>
      <c r="D173" t="s">
        <v>285</v>
      </c>
      <c r="E173" t="s">
        <v>285</v>
      </c>
      <c r="F173" t="s">
        <v>285</v>
      </c>
      <c r="G173" t="s">
        <v>284</v>
      </c>
      <c r="H173" t="s">
        <v>5</v>
      </c>
      <c r="I173" t="s">
        <v>172</v>
      </c>
      <c r="J173" t="s">
        <v>2430</v>
      </c>
      <c r="K173" t="s">
        <v>101</v>
      </c>
      <c r="L173" t="s">
        <v>363</v>
      </c>
      <c r="M173" t="s">
        <v>3168</v>
      </c>
      <c r="N173" t="s">
        <v>121</v>
      </c>
      <c r="O173" t="s">
        <v>789</v>
      </c>
    </row>
    <row r="174" spans="1:15" x14ac:dyDescent="0.25">
      <c r="A174" t="s">
        <v>364</v>
      </c>
      <c r="B174" t="s">
        <v>2431</v>
      </c>
      <c r="C174" t="s">
        <v>2432</v>
      </c>
      <c r="D174" t="s">
        <v>284</v>
      </c>
      <c r="E174" t="s">
        <v>285</v>
      </c>
      <c r="F174" t="s">
        <v>285</v>
      </c>
      <c r="G174" t="s">
        <v>285</v>
      </c>
      <c r="H174" t="s">
        <v>5</v>
      </c>
      <c r="I174" t="s">
        <v>172</v>
      </c>
      <c r="J174" t="s">
        <v>2433</v>
      </c>
      <c r="K174" t="s">
        <v>1616</v>
      </c>
      <c r="L174" t="s">
        <v>364</v>
      </c>
      <c r="M174" t="s">
        <v>3168</v>
      </c>
      <c r="N174" t="s">
        <v>121</v>
      </c>
      <c r="O174" t="s">
        <v>1654</v>
      </c>
    </row>
    <row r="175" spans="1:15" x14ac:dyDescent="0.25">
      <c r="A175" t="s">
        <v>365</v>
      </c>
      <c r="B175" t="s">
        <v>2434</v>
      </c>
      <c r="C175" t="s">
        <v>2253</v>
      </c>
      <c r="D175" t="s">
        <v>284</v>
      </c>
      <c r="E175" t="s">
        <v>285</v>
      </c>
      <c r="F175" t="s">
        <v>284</v>
      </c>
      <c r="G175" t="s">
        <v>285</v>
      </c>
      <c r="H175" t="s">
        <v>5</v>
      </c>
      <c r="I175" t="s">
        <v>172</v>
      </c>
      <c r="J175" t="s">
        <v>769</v>
      </c>
      <c r="K175" t="s">
        <v>769</v>
      </c>
      <c r="L175" t="s">
        <v>365</v>
      </c>
      <c r="M175" t="s">
        <v>3167</v>
      </c>
      <c r="N175" t="s">
        <v>3172</v>
      </c>
      <c r="O175" t="s">
        <v>1654</v>
      </c>
    </row>
    <row r="176" spans="1:15" x14ac:dyDescent="0.25">
      <c r="A176" t="s">
        <v>537</v>
      </c>
      <c r="B176" t="s">
        <v>2435</v>
      </c>
      <c r="C176" t="s">
        <v>1518</v>
      </c>
      <c r="D176" t="s">
        <v>285</v>
      </c>
      <c r="E176" t="s">
        <v>284</v>
      </c>
      <c r="F176" t="s">
        <v>285</v>
      </c>
      <c r="G176" t="s">
        <v>284</v>
      </c>
      <c r="H176" t="s">
        <v>5</v>
      </c>
      <c r="I176" t="s">
        <v>172</v>
      </c>
      <c r="J176" t="s">
        <v>103</v>
      </c>
      <c r="K176" t="s">
        <v>101</v>
      </c>
      <c r="L176" t="s">
        <v>537</v>
      </c>
      <c r="M176" t="s">
        <v>3167</v>
      </c>
      <c r="N176" t="s">
        <v>3172</v>
      </c>
      <c r="O176" t="s">
        <v>1654</v>
      </c>
    </row>
    <row r="177" spans="1:15" x14ac:dyDescent="0.25">
      <c r="A177" t="s">
        <v>1416</v>
      </c>
      <c r="B177" t="s">
        <v>2436</v>
      </c>
      <c r="C177" t="s">
        <v>1505</v>
      </c>
      <c r="D177" t="s">
        <v>285</v>
      </c>
      <c r="E177" t="s">
        <v>285</v>
      </c>
      <c r="F177" t="s">
        <v>285</v>
      </c>
      <c r="G177" t="s">
        <v>285</v>
      </c>
      <c r="H177" t="s">
        <v>2340</v>
      </c>
      <c r="I177" t="s">
        <v>172</v>
      </c>
      <c r="J177" t="s">
        <v>832</v>
      </c>
      <c r="K177" t="s">
        <v>832</v>
      </c>
      <c r="L177" t="s">
        <v>1416</v>
      </c>
      <c r="M177" t="s">
        <v>3168</v>
      </c>
      <c r="N177" t="s">
        <v>1527</v>
      </c>
      <c r="O177" t="s">
        <v>1654</v>
      </c>
    </row>
    <row r="178" spans="1:15" x14ac:dyDescent="0.25">
      <c r="A178" t="s">
        <v>165</v>
      </c>
      <c r="B178" t="s">
        <v>2437</v>
      </c>
      <c r="C178" t="s">
        <v>1509</v>
      </c>
      <c r="D178" t="s">
        <v>285</v>
      </c>
      <c r="E178" t="s">
        <v>284</v>
      </c>
      <c r="F178" t="s">
        <v>285</v>
      </c>
      <c r="G178" t="s">
        <v>285</v>
      </c>
      <c r="H178" t="s">
        <v>5</v>
      </c>
      <c r="I178" t="s">
        <v>172</v>
      </c>
      <c r="J178" t="s">
        <v>1467</v>
      </c>
      <c r="K178" t="s">
        <v>839</v>
      </c>
      <c r="L178" t="s">
        <v>165</v>
      </c>
      <c r="M178" t="s">
        <v>3168</v>
      </c>
      <c r="N178" t="s">
        <v>802</v>
      </c>
      <c r="O178" t="s">
        <v>789</v>
      </c>
    </row>
    <row r="179" spans="1:15" x14ac:dyDescent="0.25">
      <c r="A179" t="s">
        <v>964</v>
      </c>
      <c r="B179" t="s">
        <v>2438</v>
      </c>
      <c r="C179" t="s">
        <v>1507</v>
      </c>
      <c r="D179" t="s">
        <v>285</v>
      </c>
      <c r="E179" t="s">
        <v>285</v>
      </c>
      <c r="F179" t="s">
        <v>285</v>
      </c>
      <c r="G179" t="s">
        <v>284</v>
      </c>
      <c r="H179" t="s">
        <v>5</v>
      </c>
      <c r="I179" t="s">
        <v>172</v>
      </c>
      <c r="J179" t="s">
        <v>1407</v>
      </c>
      <c r="K179" t="s">
        <v>1616</v>
      </c>
      <c r="L179" t="s">
        <v>964</v>
      </c>
      <c r="M179" t="s">
        <v>3168</v>
      </c>
      <c r="N179" t="s">
        <v>121</v>
      </c>
      <c r="O179" t="s">
        <v>1654</v>
      </c>
    </row>
    <row r="180" spans="1:15" x14ac:dyDescent="0.25">
      <c r="A180" t="s">
        <v>534</v>
      </c>
      <c r="B180" t="s">
        <v>2439</v>
      </c>
      <c r="C180" t="s">
        <v>2335</v>
      </c>
      <c r="D180" t="s">
        <v>284</v>
      </c>
      <c r="E180" t="s">
        <v>284</v>
      </c>
      <c r="F180" t="s">
        <v>285</v>
      </c>
      <c r="G180" t="s">
        <v>285</v>
      </c>
      <c r="H180" t="s">
        <v>5</v>
      </c>
      <c r="I180" t="s">
        <v>172</v>
      </c>
      <c r="J180" t="s">
        <v>2336</v>
      </c>
      <c r="K180" t="s">
        <v>101</v>
      </c>
      <c r="L180" t="s">
        <v>534</v>
      </c>
      <c r="M180" t="s">
        <v>3167</v>
      </c>
      <c r="N180" t="s">
        <v>121</v>
      </c>
      <c r="O180" t="s">
        <v>1654</v>
      </c>
    </row>
    <row r="181" spans="1:15" x14ac:dyDescent="0.25">
      <c r="A181" t="s">
        <v>366</v>
      </c>
      <c r="B181" t="s">
        <v>2440</v>
      </c>
      <c r="C181" t="s">
        <v>2441</v>
      </c>
      <c r="D181" t="s">
        <v>284</v>
      </c>
      <c r="E181" t="s">
        <v>285</v>
      </c>
      <c r="F181" t="s">
        <v>285</v>
      </c>
      <c r="G181" t="s">
        <v>285</v>
      </c>
      <c r="H181" t="s">
        <v>5</v>
      </c>
      <c r="I181" t="s">
        <v>172</v>
      </c>
      <c r="J181" t="s">
        <v>89</v>
      </c>
      <c r="K181" t="s">
        <v>89</v>
      </c>
      <c r="L181" t="s">
        <v>366</v>
      </c>
      <c r="M181" t="s">
        <v>3168</v>
      </c>
      <c r="N181" t="s">
        <v>3172</v>
      </c>
      <c r="O181" t="s">
        <v>1654</v>
      </c>
    </row>
    <row r="182" spans="1:15" x14ac:dyDescent="0.25">
      <c r="A182" t="s">
        <v>367</v>
      </c>
      <c r="B182" t="s">
        <v>2442</v>
      </c>
      <c r="C182" t="s">
        <v>2207</v>
      </c>
      <c r="D182" t="s">
        <v>284</v>
      </c>
      <c r="E182" t="s">
        <v>285</v>
      </c>
      <c r="F182" t="s">
        <v>285</v>
      </c>
      <c r="G182" t="s">
        <v>285</v>
      </c>
      <c r="H182" t="s">
        <v>5</v>
      </c>
      <c r="I182" t="s">
        <v>172</v>
      </c>
      <c r="J182" t="s">
        <v>1503</v>
      </c>
      <c r="K182" t="s">
        <v>788</v>
      </c>
      <c r="L182" t="s">
        <v>367</v>
      </c>
      <c r="M182" t="s">
        <v>3167</v>
      </c>
      <c r="N182" t="s">
        <v>121</v>
      </c>
      <c r="O182" t="s">
        <v>789</v>
      </c>
    </row>
    <row r="183" spans="1:15" x14ac:dyDescent="0.25">
      <c r="A183" t="s">
        <v>1460</v>
      </c>
      <c r="B183" t="s">
        <v>2443</v>
      </c>
      <c r="C183" t="s">
        <v>1510</v>
      </c>
      <c r="D183" t="s">
        <v>285</v>
      </c>
      <c r="E183" t="s">
        <v>285</v>
      </c>
      <c r="F183" t="s">
        <v>285</v>
      </c>
      <c r="G183" t="s">
        <v>285</v>
      </c>
      <c r="H183" t="s">
        <v>1408</v>
      </c>
      <c r="I183" t="s">
        <v>172</v>
      </c>
      <c r="J183" t="s">
        <v>2403</v>
      </c>
      <c r="K183" t="s">
        <v>839</v>
      </c>
      <c r="L183" t="s">
        <v>1460</v>
      </c>
      <c r="M183" t="s">
        <v>3168</v>
      </c>
      <c r="N183" t="s">
        <v>1527</v>
      </c>
      <c r="O183" t="s">
        <v>789</v>
      </c>
    </row>
    <row r="184" spans="1:15" x14ac:dyDescent="0.25">
      <c r="A184" t="s">
        <v>753</v>
      </c>
      <c r="B184" t="s">
        <v>2444</v>
      </c>
      <c r="C184" t="s">
        <v>1509</v>
      </c>
      <c r="D184" t="s">
        <v>284</v>
      </c>
      <c r="E184" t="s">
        <v>284</v>
      </c>
      <c r="F184" t="s">
        <v>285</v>
      </c>
      <c r="G184" t="s">
        <v>285</v>
      </c>
      <c r="H184" t="s">
        <v>5</v>
      </c>
      <c r="I184" t="s">
        <v>172</v>
      </c>
      <c r="J184" t="s">
        <v>1521</v>
      </c>
      <c r="K184" t="s">
        <v>101</v>
      </c>
      <c r="L184" t="s">
        <v>753</v>
      </c>
      <c r="M184" t="s">
        <v>3168</v>
      </c>
      <c r="N184" t="s">
        <v>1527</v>
      </c>
      <c r="O184" t="s">
        <v>789</v>
      </c>
    </row>
    <row r="185" spans="1:15" x14ac:dyDescent="0.25">
      <c r="A185" t="s">
        <v>486</v>
      </c>
      <c r="B185" t="s">
        <v>2445</v>
      </c>
      <c r="C185" t="s">
        <v>1509</v>
      </c>
      <c r="D185" t="s">
        <v>284</v>
      </c>
      <c r="E185" t="s">
        <v>284</v>
      </c>
      <c r="F185" t="s">
        <v>285</v>
      </c>
      <c r="G185" t="s">
        <v>285</v>
      </c>
      <c r="H185" t="s">
        <v>5</v>
      </c>
      <c r="I185" t="s">
        <v>172</v>
      </c>
      <c r="J185" t="s">
        <v>1509</v>
      </c>
      <c r="K185" t="s">
        <v>839</v>
      </c>
      <c r="L185" t="s">
        <v>486</v>
      </c>
      <c r="M185" t="s">
        <v>3168</v>
      </c>
      <c r="N185" t="s">
        <v>802</v>
      </c>
      <c r="O185" t="s">
        <v>789</v>
      </c>
    </row>
    <row r="186" spans="1:15" x14ac:dyDescent="0.25">
      <c r="A186" t="s">
        <v>561</v>
      </c>
      <c r="B186" t="s">
        <v>2446</v>
      </c>
      <c r="C186" t="s">
        <v>2248</v>
      </c>
      <c r="D186" t="s">
        <v>285</v>
      </c>
      <c r="E186" t="s">
        <v>285</v>
      </c>
      <c r="F186" t="s">
        <v>285</v>
      </c>
      <c r="G186" t="s">
        <v>284</v>
      </c>
      <c r="H186" t="s">
        <v>5</v>
      </c>
      <c r="I186" t="s">
        <v>172</v>
      </c>
      <c r="J186" t="s">
        <v>103</v>
      </c>
      <c r="K186" t="s">
        <v>101</v>
      </c>
      <c r="L186" t="s">
        <v>561</v>
      </c>
      <c r="M186" t="s">
        <v>3167</v>
      </c>
      <c r="N186" t="s">
        <v>121</v>
      </c>
      <c r="O186" t="s">
        <v>1654</v>
      </c>
    </row>
    <row r="187" spans="1:15" x14ac:dyDescent="0.25">
      <c r="A187" t="s">
        <v>320</v>
      </c>
      <c r="B187" t="s">
        <v>2447</v>
      </c>
      <c r="C187" t="s">
        <v>2227</v>
      </c>
      <c r="D187" t="s">
        <v>284</v>
      </c>
      <c r="E187" t="s">
        <v>285</v>
      </c>
      <c r="F187" t="s">
        <v>285</v>
      </c>
      <c r="G187" t="s">
        <v>285</v>
      </c>
      <c r="H187" t="s">
        <v>5</v>
      </c>
      <c r="I187" t="s">
        <v>172</v>
      </c>
      <c r="J187" t="s">
        <v>788</v>
      </c>
      <c r="K187" t="s">
        <v>788</v>
      </c>
      <c r="L187" t="s">
        <v>320</v>
      </c>
      <c r="M187" t="s">
        <v>3167</v>
      </c>
      <c r="N187" t="s">
        <v>802</v>
      </c>
      <c r="O187" t="s">
        <v>1654</v>
      </c>
    </row>
    <row r="188" spans="1:15" x14ac:dyDescent="0.25">
      <c r="A188" t="s">
        <v>513</v>
      </c>
      <c r="B188" t="s">
        <v>2448</v>
      </c>
      <c r="C188" t="s">
        <v>2294</v>
      </c>
      <c r="D188" t="s">
        <v>284</v>
      </c>
      <c r="E188" t="s">
        <v>284</v>
      </c>
      <c r="F188" t="s">
        <v>285</v>
      </c>
      <c r="G188" t="s">
        <v>285</v>
      </c>
      <c r="H188" t="s">
        <v>5</v>
      </c>
      <c r="I188" t="s">
        <v>172</v>
      </c>
      <c r="J188" t="s">
        <v>2295</v>
      </c>
      <c r="K188" t="s">
        <v>101</v>
      </c>
      <c r="L188" t="s">
        <v>513</v>
      </c>
      <c r="M188" t="s">
        <v>3168</v>
      </c>
      <c r="N188" t="s">
        <v>802</v>
      </c>
      <c r="O188" t="s">
        <v>789</v>
      </c>
    </row>
    <row r="189" spans="1:15" x14ac:dyDescent="0.25">
      <c r="A189" t="s">
        <v>747</v>
      </c>
      <c r="B189" t="s">
        <v>2449</v>
      </c>
      <c r="C189" t="s">
        <v>2450</v>
      </c>
      <c r="D189" t="s">
        <v>284</v>
      </c>
      <c r="E189" t="s">
        <v>285</v>
      </c>
      <c r="F189" t="s">
        <v>285</v>
      </c>
      <c r="G189" t="s">
        <v>285</v>
      </c>
      <c r="H189" t="s">
        <v>5</v>
      </c>
      <c r="I189" t="s">
        <v>172</v>
      </c>
      <c r="J189" t="s">
        <v>1504</v>
      </c>
      <c r="K189" t="s">
        <v>839</v>
      </c>
      <c r="L189" t="s">
        <v>747</v>
      </c>
      <c r="M189" t="s">
        <v>3168</v>
      </c>
      <c r="N189" t="s">
        <v>121</v>
      </c>
      <c r="O189" t="s">
        <v>789</v>
      </c>
    </row>
    <row r="190" spans="1:15" x14ac:dyDescent="0.25">
      <c r="A190" t="s">
        <v>956</v>
      </c>
      <c r="B190" t="s">
        <v>2451</v>
      </c>
      <c r="C190" t="s">
        <v>1523</v>
      </c>
      <c r="D190" t="s">
        <v>285</v>
      </c>
      <c r="E190" t="s">
        <v>285</v>
      </c>
      <c r="F190" t="s">
        <v>285</v>
      </c>
      <c r="G190" t="s">
        <v>285</v>
      </c>
      <c r="H190" t="s">
        <v>5</v>
      </c>
      <c r="I190" t="s">
        <v>172</v>
      </c>
      <c r="J190" t="s">
        <v>98</v>
      </c>
      <c r="K190" t="s">
        <v>98</v>
      </c>
      <c r="L190" t="s">
        <v>956</v>
      </c>
      <c r="M190" t="s">
        <v>3168</v>
      </c>
      <c r="N190" t="s">
        <v>3172</v>
      </c>
      <c r="O190" t="s">
        <v>1654</v>
      </c>
    </row>
    <row r="191" spans="1:15" x14ac:dyDescent="0.25">
      <c r="A191" t="s">
        <v>643</v>
      </c>
      <c r="B191" t="s">
        <v>2452</v>
      </c>
      <c r="C191" t="s">
        <v>2298</v>
      </c>
      <c r="D191" t="s">
        <v>284</v>
      </c>
      <c r="E191" t="s">
        <v>285</v>
      </c>
      <c r="F191" t="s">
        <v>285</v>
      </c>
      <c r="G191" t="s">
        <v>285</v>
      </c>
      <c r="H191" t="s">
        <v>5</v>
      </c>
      <c r="I191" t="s">
        <v>172</v>
      </c>
      <c r="J191" t="s">
        <v>103</v>
      </c>
      <c r="K191" t="s">
        <v>98</v>
      </c>
      <c r="L191" t="s">
        <v>643</v>
      </c>
      <c r="M191" t="s">
        <v>3168</v>
      </c>
      <c r="N191" t="s">
        <v>121</v>
      </c>
      <c r="O191" t="s">
        <v>1654</v>
      </c>
    </row>
    <row r="192" spans="1:15" x14ac:dyDescent="0.25">
      <c r="A192" t="s">
        <v>681</v>
      </c>
      <c r="B192" t="s">
        <v>2453</v>
      </c>
      <c r="C192" t="s">
        <v>1516</v>
      </c>
      <c r="D192" t="s">
        <v>284</v>
      </c>
      <c r="E192" t="s">
        <v>285</v>
      </c>
      <c r="F192" t="s">
        <v>285</v>
      </c>
      <c r="G192" t="s">
        <v>285</v>
      </c>
      <c r="H192" t="s">
        <v>5</v>
      </c>
      <c r="I192" t="s">
        <v>172</v>
      </c>
      <c r="J192" t="s">
        <v>1407</v>
      </c>
      <c r="K192" t="s">
        <v>1616</v>
      </c>
      <c r="L192" t="s">
        <v>681</v>
      </c>
      <c r="M192" t="s">
        <v>3168</v>
      </c>
      <c r="N192" t="s">
        <v>802</v>
      </c>
      <c r="O192" t="s">
        <v>1654</v>
      </c>
    </row>
    <row r="193" spans="1:15" x14ac:dyDescent="0.25">
      <c r="A193" t="s">
        <v>368</v>
      </c>
      <c r="B193" t="s">
        <v>2454</v>
      </c>
      <c r="C193" t="s">
        <v>1509</v>
      </c>
      <c r="D193" t="s">
        <v>285</v>
      </c>
      <c r="E193" t="s">
        <v>285</v>
      </c>
      <c r="F193" t="s">
        <v>285</v>
      </c>
      <c r="G193" t="s">
        <v>285</v>
      </c>
      <c r="H193" t="s">
        <v>2230</v>
      </c>
      <c r="I193" t="s">
        <v>172</v>
      </c>
      <c r="J193" t="s">
        <v>2455</v>
      </c>
      <c r="K193" t="s">
        <v>788</v>
      </c>
      <c r="L193" t="s">
        <v>368</v>
      </c>
      <c r="M193" t="s">
        <v>3168</v>
      </c>
      <c r="N193" t="s">
        <v>121</v>
      </c>
      <c r="O193" t="s">
        <v>1654</v>
      </c>
    </row>
    <row r="194" spans="1:15" x14ac:dyDescent="0.25">
      <c r="A194" t="s">
        <v>863</v>
      </c>
      <c r="B194" t="s">
        <v>2456</v>
      </c>
      <c r="C194" t="s">
        <v>1214</v>
      </c>
      <c r="D194" t="s">
        <v>285</v>
      </c>
      <c r="E194" t="s">
        <v>285</v>
      </c>
      <c r="F194" t="s">
        <v>285</v>
      </c>
      <c r="G194" t="s">
        <v>284</v>
      </c>
      <c r="H194" t="s">
        <v>5</v>
      </c>
      <c r="I194" t="s">
        <v>172</v>
      </c>
      <c r="J194" t="s">
        <v>1214</v>
      </c>
      <c r="K194" t="s">
        <v>101</v>
      </c>
      <c r="L194" t="s">
        <v>863</v>
      </c>
      <c r="M194" t="s">
        <v>3167</v>
      </c>
      <c r="N194" t="s">
        <v>3172</v>
      </c>
      <c r="O194" t="s">
        <v>1654</v>
      </c>
    </row>
    <row r="195" spans="1:15" x14ac:dyDescent="0.25">
      <c r="A195" t="s">
        <v>166</v>
      </c>
      <c r="B195" t="s">
        <v>2457</v>
      </c>
      <c r="C195" t="s">
        <v>2240</v>
      </c>
      <c r="D195" t="s">
        <v>284</v>
      </c>
      <c r="E195" t="s">
        <v>285</v>
      </c>
      <c r="F195" t="s">
        <v>284</v>
      </c>
      <c r="G195" t="s">
        <v>285</v>
      </c>
      <c r="H195" t="s">
        <v>5</v>
      </c>
      <c r="I195" t="s">
        <v>172</v>
      </c>
      <c r="J195" t="s">
        <v>2458</v>
      </c>
      <c r="K195" t="s">
        <v>840</v>
      </c>
      <c r="L195" t="s">
        <v>166</v>
      </c>
      <c r="M195" t="s">
        <v>3168</v>
      </c>
      <c r="N195" t="s">
        <v>802</v>
      </c>
      <c r="O195" t="s">
        <v>1654</v>
      </c>
    </row>
    <row r="196" spans="1:15" x14ac:dyDescent="0.25">
      <c r="A196" t="s">
        <v>1618</v>
      </c>
      <c r="B196" t="s">
        <v>2459</v>
      </c>
      <c r="C196" t="s">
        <v>2253</v>
      </c>
      <c r="D196" t="s">
        <v>285</v>
      </c>
      <c r="E196" t="s">
        <v>285</v>
      </c>
      <c r="F196" t="s">
        <v>285</v>
      </c>
      <c r="G196" t="s">
        <v>284</v>
      </c>
      <c r="H196" t="s">
        <v>5</v>
      </c>
      <c r="I196" t="s">
        <v>172</v>
      </c>
      <c r="J196" t="s">
        <v>769</v>
      </c>
      <c r="K196" t="s">
        <v>769</v>
      </c>
      <c r="L196" t="s">
        <v>1618</v>
      </c>
      <c r="M196" t="s">
        <v>3167</v>
      </c>
      <c r="N196" t="s">
        <v>121</v>
      </c>
      <c r="O196" t="s">
        <v>1654</v>
      </c>
    </row>
    <row r="197" spans="1:15" x14ac:dyDescent="0.25">
      <c r="A197" t="s">
        <v>124</v>
      </c>
      <c r="B197" t="s">
        <v>2460</v>
      </c>
      <c r="C197" t="s">
        <v>2335</v>
      </c>
      <c r="D197" t="s">
        <v>285</v>
      </c>
      <c r="E197" t="s">
        <v>284</v>
      </c>
      <c r="F197" t="s">
        <v>285</v>
      </c>
      <c r="G197" t="s">
        <v>285</v>
      </c>
      <c r="H197" t="s">
        <v>5</v>
      </c>
      <c r="I197" t="s">
        <v>172</v>
      </c>
      <c r="J197" t="s">
        <v>2336</v>
      </c>
      <c r="K197" t="s">
        <v>101</v>
      </c>
      <c r="L197" t="s">
        <v>124</v>
      </c>
      <c r="M197" t="s">
        <v>3168</v>
      </c>
      <c r="N197" t="s">
        <v>1527</v>
      </c>
      <c r="O197" t="s">
        <v>789</v>
      </c>
    </row>
    <row r="198" spans="1:15" x14ac:dyDescent="0.25">
      <c r="A198" t="s">
        <v>651</v>
      </c>
      <c r="B198" t="s">
        <v>2461</v>
      </c>
      <c r="C198" t="s">
        <v>2298</v>
      </c>
      <c r="D198" t="s">
        <v>284</v>
      </c>
      <c r="E198" t="s">
        <v>284</v>
      </c>
      <c r="F198" t="s">
        <v>285</v>
      </c>
      <c r="G198" t="s">
        <v>285</v>
      </c>
      <c r="H198" t="s">
        <v>5</v>
      </c>
      <c r="I198" t="s">
        <v>172</v>
      </c>
      <c r="J198" t="s">
        <v>103</v>
      </c>
      <c r="K198" t="s">
        <v>98</v>
      </c>
      <c r="L198" t="s">
        <v>651</v>
      </c>
      <c r="M198" t="s">
        <v>3168</v>
      </c>
      <c r="N198" t="s">
        <v>121</v>
      </c>
      <c r="O198" t="s">
        <v>1654</v>
      </c>
    </row>
    <row r="199" spans="1:15" x14ac:dyDescent="0.25">
      <c r="A199" t="s">
        <v>825</v>
      </c>
      <c r="B199" t="s">
        <v>2462</v>
      </c>
      <c r="C199" t="s">
        <v>1214</v>
      </c>
      <c r="D199" t="s">
        <v>285</v>
      </c>
      <c r="E199" t="s">
        <v>284</v>
      </c>
      <c r="F199" t="s">
        <v>285</v>
      </c>
      <c r="G199" t="s">
        <v>284</v>
      </c>
      <c r="H199" t="s">
        <v>5</v>
      </c>
      <c r="I199" t="s">
        <v>172</v>
      </c>
      <c r="J199" t="s">
        <v>2463</v>
      </c>
      <c r="K199" t="s">
        <v>101</v>
      </c>
      <c r="L199" t="s">
        <v>825</v>
      </c>
      <c r="M199" t="s">
        <v>3168</v>
      </c>
      <c r="N199" t="s">
        <v>121</v>
      </c>
      <c r="O199" t="s">
        <v>1654</v>
      </c>
    </row>
    <row r="200" spans="1:15" x14ac:dyDescent="0.25">
      <c r="A200" t="s">
        <v>854</v>
      </c>
      <c r="B200" t="s">
        <v>2464</v>
      </c>
      <c r="C200" t="s">
        <v>2465</v>
      </c>
      <c r="D200" t="s">
        <v>285</v>
      </c>
      <c r="E200" t="s">
        <v>285</v>
      </c>
      <c r="F200" t="s">
        <v>285</v>
      </c>
      <c r="G200" t="s">
        <v>284</v>
      </c>
      <c r="H200" t="s">
        <v>5</v>
      </c>
      <c r="I200" t="s">
        <v>172</v>
      </c>
      <c r="J200" t="s">
        <v>780</v>
      </c>
      <c r="K200" t="s">
        <v>780</v>
      </c>
      <c r="L200" t="s">
        <v>854</v>
      </c>
      <c r="M200" t="s">
        <v>3168</v>
      </c>
      <c r="N200" t="s">
        <v>3172</v>
      </c>
      <c r="O200" t="s">
        <v>1654</v>
      </c>
    </row>
    <row r="201" spans="1:15" x14ac:dyDescent="0.25">
      <c r="A201" t="s">
        <v>194</v>
      </c>
      <c r="B201" t="s">
        <v>2466</v>
      </c>
      <c r="C201" t="s">
        <v>1509</v>
      </c>
      <c r="D201" t="s">
        <v>285</v>
      </c>
      <c r="E201" t="s">
        <v>284</v>
      </c>
      <c r="F201" t="s">
        <v>285</v>
      </c>
      <c r="G201" t="s">
        <v>285</v>
      </c>
      <c r="H201" t="s">
        <v>5</v>
      </c>
      <c r="I201" t="s">
        <v>172</v>
      </c>
      <c r="J201" t="s">
        <v>1509</v>
      </c>
      <c r="K201" t="s">
        <v>839</v>
      </c>
      <c r="L201" t="s">
        <v>194</v>
      </c>
      <c r="M201" t="s">
        <v>3168</v>
      </c>
      <c r="N201" t="s">
        <v>802</v>
      </c>
      <c r="O201" t="s">
        <v>1654</v>
      </c>
    </row>
    <row r="202" spans="1:15" x14ac:dyDescent="0.25">
      <c r="A202" t="s">
        <v>369</v>
      </c>
      <c r="B202" t="s">
        <v>2467</v>
      </c>
      <c r="C202" t="s">
        <v>1512</v>
      </c>
      <c r="D202" t="s">
        <v>284</v>
      </c>
      <c r="E202" t="s">
        <v>285</v>
      </c>
      <c r="F202" t="s">
        <v>284</v>
      </c>
      <c r="G202" t="s">
        <v>285</v>
      </c>
      <c r="H202" t="s">
        <v>5</v>
      </c>
      <c r="I202" t="s">
        <v>172</v>
      </c>
      <c r="J202" t="s">
        <v>801</v>
      </c>
      <c r="K202" t="s">
        <v>801</v>
      </c>
      <c r="L202" t="s">
        <v>369</v>
      </c>
      <c r="M202" t="s">
        <v>3167</v>
      </c>
      <c r="N202" t="s">
        <v>3172</v>
      </c>
      <c r="O202" t="s">
        <v>1654</v>
      </c>
    </row>
    <row r="203" spans="1:15" x14ac:dyDescent="0.25">
      <c r="A203" t="s">
        <v>692</v>
      </c>
      <c r="B203" t="s">
        <v>2468</v>
      </c>
      <c r="C203" t="s">
        <v>1214</v>
      </c>
      <c r="D203" t="s">
        <v>284</v>
      </c>
      <c r="E203" t="s">
        <v>285</v>
      </c>
      <c r="F203" t="s">
        <v>285</v>
      </c>
      <c r="G203" t="s">
        <v>285</v>
      </c>
      <c r="H203" t="s">
        <v>5</v>
      </c>
      <c r="I203" t="s">
        <v>172</v>
      </c>
      <c r="J203" t="s">
        <v>1214</v>
      </c>
      <c r="K203" t="s">
        <v>101</v>
      </c>
      <c r="L203" t="s">
        <v>692</v>
      </c>
      <c r="M203" t="s">
        <v>3168</v>
      </c>
      <c r="N203" t="s">
        <v>802</v>
      </c>
      <c r="O203" t="s">
        <v>789</v>
      </c>
    </row>
    <row r="204" spans="1:15" x14ac:dyDescent="0.25">
      <c r="A204" t="s">
        <v>370</v>
      </c>
      <c r="B204" t="s">
        <v>2469</v>
      </c>
      <c r="C204" t="s">
        <v>1214</v>
      </c>
      <c r="D204" t="s">
        <v>284</v>
      </c>
      <c r="E204" t="s">
        <v>285</v>
      </c>
      <c r="F204" t="s">
        <v>285</v>
      </c>
      <c r="G204" t="s">
        <v>285</v>
      </c>
      <c r="H204" t="s">
        <v>5</v>
      </c>
      <c r="I204" t="s">
        <v>172</v>
      </c>
      <c r="J204" t="s">
        <v>1214</v>
      </c>
      <c r="K204" t="s">
        <v>101</v>
      </c>
      <c r="L204" t="s">
        <v>370</v>
      </c>
      <c r="M204" t="s">
        <v>3168</v>
      </c>
      <c r="N204" t="s">
        <v>3172</v>
      </c>
      <c r="O204" t="s">
        <v>1654</v>
      </c>
    </row>
    <row r="205" spans="1:15" x14ac:dyDescent="0.25">
      <c r="A205" t="s">
        <v>1150</v>
      </c>
      <c r="B205" t="s">
        <v>2470</v>
      </c>
      <c r="C205" t="s">
        <v>1510</v>
      </c>
      <c r="D205" t="s">
        <v>285</v>
      </c>
      <c r="E205" t="s">
        <v>285</v>
      </c>
      <c r="F205" t="s">
        <v>285</v>
      </c>
      <c r="G205" t="s">
        <v>285</v>
      </c>
      <c r="H205" t="s">
        <v>1408</v>
      </c>
      <c r="I205" t="s">
        <v>172</v>
      </c>
      <c r="J205" t="s">
        <v>769</v>
      </c>
      <c r="K205" t="s">
        <v>769</v>
      </c>
      <c r="L205" t="s">
        <v>1150</v>
      </c>
      <c r="M205" t="s">
        <v>3167</v>
      </c>
      <c r="N205" t="s">
        <v>1527</v>
      </c>
      <c r="O205" t="s">
        <v>1654</v>
      </c>
    </row>
    <row r="206" spans="1:15" x14ac:dyDescent="0.25">
      <c r="A206" t="s">
        <v>535</v>
      </c>
      <c r="B206" t="s">
        <v>2471</v>
      </c>
      <c r="C206" t="s">
        <v>1518</v>
      </c>
      <c r="D206" t="s">
        <v>285</v>
      </c>
      <c r="E206" t="s">
        <v>284</v>
      </c>
      <c r="F206" t="s">
        <v>285</v>
      </c>
      <c r="G206" t="s">
        <v>284</v>
      </c>
      <c r="H206" t="s">
        <v>5</v>
      </c>
      <c r="I206" t="s">
        <v>172</v>
      </c>
      <c r="J206" t="s">
        <v>2472</v>
      </c>
      <c r="K206" t="s">
        <v>101</v>
      </c>
      <c r="L206" t="s">
        <v>535</v>
      </c>
      <c r="M206" t="s">
        <v>3168</v>
      </c>
      <c r="N206" t="s">
        <v>121</v>
      </c>
      <c r="O206" t="s">
        <v>1654</v>
      </c>
    </row>
    <row r="207" spans="1:15" x14ac:dyDescent="0.25">
      <c r="A207" t="s">
        <v>371</v>
      </c>
      <c r="B207" t="s">
        <v>2473</v>
      </c>
      <c r="C207" t="s">
        <v>2253</v>
      </c>
      <c r="D207" t="s">
        <v>284</v>
      </c>
      <c r="E207" t="s">
        <v>285</v>
      </c>
      <c r="F207" t="s">
        <v>285</v>
      </c>
      <c r="G207" t="s">
        <v>285</v>
      </c>
      <c r="H207" t="s">
        <v>5</v>
      </c>
      <c r="I207" t="s">
        <v>172</v>
      </c>
      <c r="J207" t="s">
        <v>769</v>
      </c>
      <c r="K207" t="s">
        <v>769</v>
      </c>
      <c r="L207" t="s">
        <v>371</v>
      </c>
      <c r="M207" t="s">
        <v>3167</v>
      </c>
      <c r="N207" t="s">
        <v>121</v>
      </c>
      <c r="O207" t="s">
        <v>1654</v>
      </c>
    </row>
    <row r="208" spans="1:15" x14ac:dyDescent="0.25">
      <c r="A208" t="s">
        <v>372</v>
      </c>
      <c r="B208" t="s">
        <v>2474</v>
      </c>
      <c r="C208" t="s">
        <v>1529</v>
      </c>
      <c r="D208" t="s">
        <v>285</v>
      </c>
      <c r="E208" t="s">
        <v>285</v>
      </c>
      <c r="F208" t="s">
        <v>285</v>
      </c>
      <c r="G208" t="s">
        <v>285</v>
      </c>
      <c r="H208" t="s">
        <v>2345</v>
      </c>
      <c r="I208" t="s">
        <v>813</v>
      </c>
      <c r="J208" t="s">
        <v>813</v>
      </c>
      <c r="K208" t="s">
        <v>800</v>
      </c>
      <c r="L208" t="s">
        <v>372</v>
      </c>
      <c r="M208" t="s">
        <v>1527</v>
      </c>
      <c r="N208" t="s">
        <v>1527</v>
      </c>
      <c r="O208" t="s">
        <v>789</v>
      </c>
    </row>
    <row r="209" spans="1:15" x14ac:dyDescent="0.25">
      <c r="A209" t="s">
        <v>629</v>
      </c>
      <c r="B209" t="s">
        <v>2475</v>
      </c>
      <c r="C209" t="s">
        <v>2216</v>
      </c>
      <c r="D209" t="s">
        <v>284</v>
      </c>
      <c r="E209" t="s">
        <v>284</v>
      </c>
      <c r="F209" t="s">
        <v>285</v>
      </c>
      <c r="G209" t="s">
        <v>285</v>
      </c>
      <c r="H209" t="s">
        <v>5</v>
      </c>
      <c r="I209" t="s">
        <v>172</v>
      </c>
      <c r="J209" t="s">
        <v>1407</v>
      </c>
      <c r="K209" t="s">
        <v>1616</v>
      </c>
      <c r="L209" t="s">
        <v>629</v>
      </c>
      <c r="M209" t="s">
        <v>3168</v>
      </c>
      <c r="N209" t="s">
        <v>802</v>
      </c>
      <c r="O209" t="s">
        <v>1654</v>
      </c>
    </row>
    <row r="210" spans="1:15" x14ac:dyDescent="0.25">
      <c r="A210" t="s">
        <v>373</v>
      </c>
      <c r="B210" t="s">
        <v>2476</v>
      </c>
      <c r="C210" t="s">
        <v>2477</v>
      </c>
      <c r="D210" t="s">
        <v>284</v>
      </c>
      <c r="E210" t="s">
        <v>284</v>
      </c>
      <c r="F210" t="s">
        <v>285</v>
      </c>
      <c r="G210" t="s">
        <v>285</v>
      </c>
      <c r="H210" t="s">
        <v>5</v>
      </c>
      <c r="I210" t="s">
        <v>172</v>
      </c>
      <c r="J210" t="s">
        <v>2478</v>
      </c>
      <c r="K210" t="s">
        <v>840</v>
      </c>
      <c r="L210" t="s">
        <v>373</v>
      </c>
      <c r="M210" t="s">
        <v>3168</v>
      </c>
      <c r="N210" t="s">
        <v>802</v>
      </c>
      <c r="O210" t="s">
        <v>1654</v>
      </c>
    </row>
    <row r="211" spans="1:15" x14ac:dyDescent="0.25">
      <c r="A211" t="s">
        <v>855</v>
      </c>
      <c r="B211" t="s">
        <v>2479</v>
      </c>
      <c r="C211" t="s">
        <v>1214</v>
      </c>
      <c r="D211" t="s">
        <v>285</v>
      </c>
      <c r="E211" t="s">
        <v>285</v>
      </c>
      <c r="F211" t="s">
        <v>285</v>
      </c>
      <c r="G211" t="s">
        <v>284</v>
      </c>
      <c r="H211" t="s">
        <v>5</v>
      </c>
      <c r="I211" t="s">
        <v>172</v>
      </c>
      <c r="J211" t="s">
        <v>1214</v>
      </c>
      <c r="K211" t="s">
        <v>101</v>
      </c>
      <c r="L211" t="s">
        <v>855</v>
      </c>
      <c r="M211" t="s">
        <v>3167</v>
      </c>
      <c r="N211" t="s">
        <v>121</v>
      </c>
      <c r="O211" t="s">
        <v>789</v>
      </c>
    </row>
    <row r="212" spans="1:15" x14ac:dyDescent="0.25">
      <c r="A212" t="s">
        <v>374</v>
      </c>
      <c r="B212" t="s">
        <v>2480</v>
      </c>
      <c r="C212" t="s">
        <v>2248</v>
      </c>
      <c r="D212" t="s">
        <v>284</v>
      </c>
      <c r="E212" t="s">
        <v>284</v>
      </c>
      <c r="F212" t="s">
        <v>285</v>
      </c>
      <c r="G212" t="s">
        <v>285</v>
      </c>
      <c r="H212" t="s">
        <v>5</v>
      </c>
      <c r="I212" t="s">
        <v>172</v>
      </c>
      <c r="J212" t="s">
        <v>1521</v>
      </c>
      <c r="K212" t="s">
        <v>101</v>
      </c>
      <c r="L212" t="s">
        <v>374</v>
      </c>
      <c r="M212" t="s">
        <v>3168</v>
      </c>
      <c r="N212" t="s">
        <v>121</v>
      </c>
      <c r="O212" t="s">
        <v>1654</v>
      </c>
    </row>
    <row r="213" spans="1:15" x14ac:dyDescent="0.25">
      <c r="A213" t="s">
        <v>1404</v>
      </c>
      <c r="B213" t="s">
        <v>2481</v>
      </c>
      <c r="C213" t="s">
        <v>1510</v>
      </c>
      <c r="D213" t="s">
        <v>285</v>
      </c>
      <c r="E213" t="s">
        <v>285</v>
      </c>
      <c r="F213" t="s">
        <v>285</v>
      </c>
      <c r="G213" t="s">
        <v>285</v>
      </c>
      <c r="H213" t="s">
        <v>1408</v>
      </c>
      <c r="I213" t="s">
        <v>172</v>
      </c>
      <c r="J213" t="s">
        <v>2178</v>
      </c>
      <c r="K213" t="s">
        <v>801</v>
      </c>
      <c r="L213" t="s">
        <v>1404</v>
      </c>
      <c r="M213" t="s">
        <v>3167</v>
      </c>
      <c r="N213" t="s">
        <v>121</v>
      </c>
      <c r="O213" t="s">
        <v>1654</v>
      </c>
    </row>
    <row r="214" spans="1:15" x14ac:dyDescent="0.25">
      <c r="A214" t="s">
        <v>1030</v>
      </c>
      <c r="B214" t="s">
        <v>2483</v>
      </c>
      <c r="C214" t="s">
        <v>1511</v>
      </c>
      <c r="D214" t="s">
        <v>285</v>
      </c>
      <c r="E214" t="s">
        <v>284</v>
      </c>
      <c r="F214" t="s">
        <v>285</v>
      </c>
      <c r="G214" t="s">
        <v>284</v>
      </c>
      <c r="H214" t="s">
        <v>5</v>
      </c>
      <c r="I214" t="s">
        <v>172</v>
      </c>
      <c r="J214" t="s">
        <v>1511</v>
      </c>
      <c r="K214" t="s">
        <v>800</v>
      </c>
      <c r="L214" t="s">
        <v>1030</v>
      </c>
      <c r="M214" t="s">
        <v>3167</v>
      </c>
      <c r="N214" t="s">
        <v>121</v>
      </c>
      <c r="O214" t="s">
        <v>1654</v>
      </c>
    </row>
    <row r="215" spans="1:15" x14ac:dyDescent="0.25">
      <c r="A215" t="s">
        <v>1398</v>
      </c>
      <c r="B215" t="s">
        <v>2484</v>
      </c>
      <c r="C215" t="s">
        <v>780</v>
      </c>
      <c r="D215" t="s">
        <v>285</v>
      </c>
      <c r="E215" t="s">
        <v>285</v>
      </c>
      <c r="F215" t="s">
        <v>285</v>
      </c>
      <c r="G215" t="s">
        <v>284</v>
      </c>
      <c r="H215" t="s">
        <v>5</v>
      </c>
      <c r="I215" t="s">
        <v>172</v>
      </c>
      <c r="J215" t="s">
        <v>780</v>
      </c>
      <c r="K215" t="s">
        <v>780</v>
      </c>
      <c r="L215" t="s">
        <v>1398</v>
      </c>
      <c r="M215" t="s">
        <v>3168</v>
      </c>
      <c r="N215" t="s">
        <v>802</v>
      </c>
      <c r="O215" t="s">
        <v>1654</v>
      </c>
    </row>
    <row r="216" spans="1:15" x14ac:dyDescent="0.25">
      <c r="A216" t="s">
        <v>824</v>
      </c>
      <c r="B216" t="s">
        <v>2485</v>
      </c>
      <c r="C216" t="s">
        <v>2486</v>
      </c>
      <c r="D216" t="s">
        <v>285</v>
      </c>
      <c r="E216" t="s">
        <v>285</v>
      </c>
      <c r="F216" t="s">
        <v>285</v>
      </c>
      <c r="G216" t="s">
        <v>285</v>
      </c>
      <c r="H216" t="s">
        <v>2230</v>
      </c>
      <c r="I216" t="s">
        <v>172</v>
      </c>
      <c r="J216" t="s">
        <v>1538</v>
      </c>
      <c r="K216" t="s">
        <v>101</v>
      </c>
      <c r="L216" t="s">
        <v>824</v>
      </c>
      <c r="M216" t="s">
        <v>3168</v>
      </c>
      <c r="N216" t="s">
        <v>802</v>
      </c>
      <c r="O216" t="s">
        <v>1654</v>
      </c>
    </row>
    <row r="217" spans="1:15" x14ac:dyDescent="0.25">
      <c r="A217" t="s">
        <v>1201</v>
      </c>
      <c r="B217" t="s">
        <v>2487</v>
      </c>
      <c r="C217" t="s">
        <v>1510</v>
      </c>
      <c r="D217" t="s">
        <v>285</v>
      </c>
      <c r="E217" t="s">
        <v>285</v>
      </c>
      <c r="F217" t="s">
        <v>285</v>
      </c>
      <c r="G217" t="s">
        <v>285</v>
      </c>
      <c r="H217" t="s">
        <v>1408</v>
      </c>
      <c r="I217" t="s">
        <v>168</v>
      </c>
      <c r="J217" t="s">
        <v>806</v>
      </c>
      <c r="K217" t="s">
        <v>800</v>
      </c>
      <c r="L217" t="s">
        <v>1201</v>
      </c>
      <c r="M217" t="s">
        <v>1527</v>
      </c>
      <c r="N217" t="s">
        <v>1527</v>
      </c>
      <c r="O217" t="s">
        <v>1654</v>
      </c>
    </row>
    <row r="218" spans="1:15" x14ac:dyDescent="0.25">
      <c r="A218" t="s">
        <v>375</v>
      </c>
      <c r="B218" t="s">
        <v>2488</v>
      </c>
      <c r="C218" t="s">
        <v>1510</v>
      </c>
      <c r="D218" t="s">
        <v>285</v>
      </c>
      <c r="E218" t="s">
        <v>285</v>
      </c>
      <c r="F218" t="s">
        <v>285</v>
      </c>
      <c r="G218" t="s">
        <v>285</v>
      </c>
      <c r="H218" t="s">
        <v>1408</v>
      </c>
      <c r="I218" t="s">
        <v>172</v>
      </c>
      <c r="J218" t="s">
        <v>2482</v>
      </c>
      <c r="K218" t="s">
        <v>801</v>
      </c>
      <c r="L218" t="s">
        <v>375</v>
      </c>
      <c r="M218" t="s">
        <v>3167</v>
      </c>
      <c r="N218" t="s">
        <v>121</v>
      </c>
      <c r="O218" t="s">
        <v>1654</v>
      </c>
    </row>
    <row r="219" spans="1:15" x14ac:dyDescent="0.25">
      <c r="A219" t="s">
        <v>1643</v>
      </c>
      <c r="B219" t="s">
        <v>2489</v>
      </c>
      <c r="C219" t="s">
        <v>1510</v>
      </c>
      <c r="D219" t="s">
        <v>285</v>
      </c>
      <c r="E219" t="s">
        <v>285</v>
      </c>
      <c r="F219" t="s">
        <v>285</v>
      </c>
      <c r="G219" t="s">
        <v>285</v>
      </c>
      <c r="H219" t="s">
        <v>1408</v>
      </c>
      <c r="I219" t="s">
        <v>172</v>
      </c>
      <c r="J219" t="s">
        <v>2178</v>
      </c>
      <c r="K219" t="s">
        <v>788</v>
      </c>
      <c r="L219" t="s">
        <v>1643</v>
      </c>
      <c r="M219" t="s">
        <v>3167</v>
      </c>
      <c r="N219" t="s">
        <v>121</v>
      </c>
      <c r="O219" t="s">
        <v>1654</v>
      </c>
    </row>
    <row r="220" spans="1:15" x14ac:dyDescent="0.25">
      <c r="A220" t="s">
        <v>653</v>
      </c>
      <c r="B220" t="s">
        <v>2490</v>
      </c>
      <c r="C220" t="s">
        <v>2491</v>
      </c>
      <c r="D220" t="s">
        <v>284</v>
      </c>
      <c r="E220" t="s">
        <v>285</v>
      </c>
      <c r="F220" t="s">
        <v>285</v>
      </c>
      <c r="G220" t="s">
        <v>285</v>
      </c>
      <c r="H220" t="s">
        <v>5</v>
      </c>
      <c r="I220" t="s">
        <v>172</v>
      </c>
      <c r="J220" t="s">
        <v>800</v>
      </c>
      <c r="K220" t="s">
        <v>800</v>
      </c>
      <c r="L220" t="s">
        <v>653</v>
      </c>
      <c r="M220" t="s">
        <v>3168</v>
      </c>
      <c r="N220" t="s">
        <v>802</v>
      </c>
      <c r="O220" t="s">
        <v>1654</v>
      </c>
    </row>
    <row r="221" spans="1:15" x14ac:dyDescent="0.25">
      <c r="A221" t="s">
        <v>702</v>
      </c>
      <c r="B221" t="s">
        <v>2492</v>
      </c>
      <c r="C221" t="s">
        <v>2493</v>
      </c>
      <c r="D221" t="s">
        <v>285</v>
      </c>
      <c r="E221" t="s">
        <v>285</v>
      </c>
      <c r="F221" t="s">
        <v>285</v>
      </c>
      <c r="G221" t="s">
        <v>284</v>
      </c>
      <c r="H221" t="s">
        <v>5</v>
      </c>
      <c r="I221" t="s">
        <v>172</v>
      </c>
      <c r="J221" t="s">
        <v>780</v>
      </c>
      <c r="K221" t="s">
        <v>780</v>
      </c>
      <c r="L221" t="s">
        <v>702</v>
      </c>
      <c r="M221" t="s">
        <v>3168</v>
      </c>
      <c r="N221" t="s">
        <v>3172</v>
      </c>
      <c r="O221" t="s">
        <v>1654</v>
      </c>
    </row>
    <row r="222" spans="1:15" x14ac:dyDescent="0.25">
      <c r="A222" t="s">
        <v>1572</v>
      </c>
      <c r="B222" t="s">
        <v>2494</v>
      </c>
      <c r="C222" t="s">
        <v>1510</v>
      </c>
      <c r="D222" t="s">
        <v>285</v>
      </c>
      <c r="E222" t="s">
        <v>285</v>
      </c>
      <c r="F222" t="s">
        <v>285</v>
      </c>
      <c r="G222" t="s">
        <v>285</v>
      </c>
      <c r="H222" t="s">
        <v>1408</v>
      </c>
      <c r="I222" t="s">
        <v>172</v>
      </c>
      <c r="J222" t="s">
        <v>2178</v>
      </c>
      <c r="K222" t="s">
        <v>839</v>
      </c>
      <c r="L222" t="s">
        <v>1572</v>
      </c>
      <c r="M222" t="s">
        <v>3167</v>
      </c>
      <c r="N222" t="s">
        <v>121</v>
      </c>
      <c r="O222" t="s">
        <v>1654</v>
      </c>
    </row>
    <row r="223" spans="1:15" x14ac:dyDescent="0.25">
      <c r="A223" t="s">
        <v>496</v>
      </c>
      <c r="B223" t="s">
        <v>2495</v>
      </c>
      <c r="C223" t="s">
        <v>1539</v>
      </c>
      <c r="D223" t="s">
        <v>284</v>
      </c>
      <c r="E223" t="s">
        <v>285</v>
      </c>
      <c r="F223" t="s">
        <v>285</v>
      </c>
      <c r="G223" t="s">
        <v>285</v>
      </c>
      <c r="H223" t="s">
        <v>5</v>
      </c>
      <c r="I223" t="s">
        <v>172</v>
      </c>
      <c r="J223" t="s">
        <v>2295</v>
      </c>
      <c r="K223" t="s">
        <v>98</v>
      </c>
      <c r="L223" t="s">
        <v>496</v>
      </c>
      <c r="M223" t="s">
        <v>3168</v>
      </c>
      <c r="N223" t="s">
        <v>121</v>
      </c>
      <c r="O223" t="s">
        <v>1654</v>
      </c>
    </row>
    <row r="224" spans="1:15" x14ac:dyDescent="0.25">
      <c r="A224" t="s">
        <v>721</v>
      </c>
      <c r="B224" t="s">
        <v>2496</v>
      </c>
      <c r="C224" t="s">
        <v>2160</v>
      </c>
      <c r="D224" t="s">
        <v>285</v>
      </c>
      <c r="E224" t="s">
        <v>285</v>
      </c>
      <c r="F224" t="s">
        <v>285</v>
      </c>
      <c r="G224" t="s">
        <v>284</v>
      </c>
      <c r="H224" t="s">
        <v>5</v>
      </c>
      <c r="I224" t="s">
        <v>172</v>
      </c>
      <c r="J224" t="s">
        <v>780</v>
      </c>
      <c r="K224" t="s">
        <v>780</v>
      </c>
      <c r="L224" t="s">
        <v>721</v>
      </c>
      <c r="M224" t="s">
        <v>3168</v>
      </c>
      <c r="N224" t="s">
        <v>3172</v>
      </c>
      <c r="O224" t="s">
        <v>1654</v>
      </c>
    </row>
    <row r="225" spans="1:15" x14ac:dyDescent="0.25">
      <c r="A225" t="s">
        <v>610</v>
      </c>
      <c r="B225" t="s">
        <v>2497</v>
      </c>
      <c r="C225" t="s">
        <v>2382</v>
      </c>
      <c r="D225" t="s">
        <v>284</v>
      </c>
      <c r="E225" t="s">
        <v>285</v>
      </c>
      <c r="F225" t="s">
        <v>285</v>
      </c>
      <c r="G225" t="s">
        <v>285</v>
      </c>
      <c r="H225" t="s">
        <v>5</v>
      </c>
      <c r="I225" t="s">
        <v>172</v>
      </c>
      <c r="J225" t="s">
        <v>1407</v>
      </c>
      <c r="K225" t="s">
        <v>1616</v>
      </c>
      <c r="L225" t="s">
        <v>610</v>
      </c>
      <c r="M225" t="s">
        <v>3168</v>
      </c>
      <c r="N225" t="s">
        <v>802</v>
      </c>
      <c r="O225" t="s">
        <v>1654</v>
      </c>
    </row>
    <row r="226" spans="1:15" x14ac:dyDescent="0.25">
      <c r="A226" t="s">
        <v>1134</v>
      </c>
      <c r="B226" t="s">
        <v>2498</v>
      </c>
      <c r="C226" t="s">
        <v>1510</v>
      </c>
      <c r="D226" t="s">
        <v>285</v>
      </c>
      <c r="E226" t="s">
        <v>285</v>
      </c>
      <c r="F226" t="s">
        <v>285</v>
      </c>
      <c r="G226" t="s">
        <v>285</v>
      </c>
      <c r="H226" t="s">
        <v>1408</v>
      </c>
      <c r="I226" t="s">
        <v>168</v>
      </c>
      <c r="J226" t="s">
        <v>1622</v>
      </c>
      <c r="K226" t="s">
        <v>800</v>
      </c>
      <c r="L226" t="s">
        <v>1134</v>
      </c>
      <c r="M226" t="s">
        <v>1527</v>
      </c>
      <c r="N226" t="s">
        <v>3172</v>
      </c>
      <c r="O226" t="s">
        <v>1654</v>
      </c>
    </row>
    <row r="227" spans="1:15" x14ac:dyDescent="0.25">
      <c r="A227" t="s">
        <v>538</v>
      </c>
      <c r="B227" t="s">
        <v>2499</v>
      </c>
      <c r="C227" t="s">
        <v>1517</v>
      </c>
      <c r="D227" t="s">
        <v>284</v>
      </c>
      <c r="E227" t="s">
        <v>285</v>
      </c>
      <c r="F227" t="s">
        <v>285</v>
      </c>
      <c r="G227" t="s">
        <v>285</v>
      </c>
      <c r="H227" t="s">
        <v>5</v>
      </c>
      <c r="I227" t="s">
        <v>172</v>
      </c>
      <c r="J227" t="s">
        <v>788</v>
      </c>
      <c r="K227" t="s">
        <v>788</v>
      </c>
      <c r="L227" t="s">
        <v>538</v>
      </c>
      <c r="M227" t="s">
        <v>3167</v>
      </c>
      <c r="N227" t="s">
        <v>802</v>
      </c>
      <c r="O227" t="s">
        <v>789</v>
      </c>
    </row>
    <row r="228" spans="1:15" x14ac:dyDescent="0.25">
      <c r="A228" t="s">
        <v>376</v>
      </c>
      <c r="B228" t="s">
        <v>2500</v>
      </c>
      <c r="C228" t="s">
        <v>2253</v>
      </c>
      <c r="D228" t="s">
        <v>285</v>
      </c>
      <c r="E228" t="s">
        <v>285</v>
      </c>
      <c r="F228" t="s">
        <v>285</v>
      </c>
      <c r="G228" t="s">
        <v>285</v>
      </c>
      <c r="H228" t="s">
        <v>5</v>
      </c>
      <c r="I228" t="s">
        <v>172</v>
      </c>
      <c r="J228" t="s">
        <v>1954</v>
      </c>
      <c r="K228" t="s">
        <v>769</v>
      </c>
      <c r="L228" t="s">
        <v>376</v>
      </c>
      <c r="M228" t="s">
        <v>3168</v>
      </c>
      <c r="N228" t="s">
        <v>3172</v>
      </c>
      <c r="O228" t="s">
        <v>1654</v>
      </c>
    </row>
    <row r="229" spans="1:15" x14ac:dyDescent="0.25">
      <c r="A229" t="s">
        <v>377</v>
      </c>
      <c r="B229" t="s">
        <v>2501</v>
      </c>
      <c r="C229" t="s">
        <v>1517</v>
      </c>
      <c r="D229" t="s">
        <v>284</v>
      </c>
      <c r="E229" t="s">
        <v>284</v>
      </c>
      <c r="F229" t="s">
        <v>285</v>
      </c>
      <c r="G229" t="s">
        <v>285</v>
      </c>
      <c r="H229" t="s">
        <v>5</v>
      </c>
      <c r="I229" t="s">
        <v>172</v>
      </c>
      <c r="J229" t="s">
        <v>2502</v>
      </c>
      <c r="K229" t="s">
        <v>839</v>
      </c>
      <c r="L229" t="s">
        <v>377</v>
      </c>
      <c r="M229" t="s">
        <v>3168</v>
      </c>
      <c r="N229" t="s">
        <v>1527</v>
      </c>
      <c r="O229" t="s">
        <v>1654</v>
      </c>
    </row>
    <row r="230" spans="1:15" x14ac:dyDescent="0.25">
      <c r="A230" t="s">
        <v>378</v>
      </c>
      <c r="B230" t="s">
        <v>2503</v>
      </c>
      <c r="C230" t="s">
        <v>1531</v>
      </c>
      <c r="D230" t="s">
        <v>285</v>
      </c>
      <c r="E230" t="s">
        <v>285</v>
      </c>
      <c r="F230" t="s">
        <v>285</v>
      </c>
      <c r="G230" t="s">
        <v>284</v>
      </c>
      <c r="H230" t="s">
        <v>5</v>
      </c>
      <c r="I230" t="s">
        <v>172</v>
      </c>
      <c r="J230" t="s">
        <v>2295</v>
      </c>
      <c r="K230" t="s">
        <v>98</v>
      </c>
      <c r="L230" t="s">
        <v>378</v>
      </c>
      <c r="M230" t="s">
        <v>3168</v>
      </c>
      <c r="N230" t="s">
        <v>121</v>
      </c>
      <c r="O230" t="s">
        <v>1654</v>
      </c>
    </row>
    <row r="231" spans="1:15" x14ac:dyDescent="0.25">
      <c r="A231" t="s">
        <v>125</v>
      </c>
      <c r="B231" t="s">
        <v>2504</v>
      </c>
      <c r="C231" t="s">
        <v>1517</v>
      </c>
      <c r="D231" t="s">
        <v>285</v>
      </c>
      <c r="E231" t="s">
        <v>284</v>
      </c>
      <c r="F231" t="s">
        <v>285</v>
      </c>
      <c r="G231" t="s">
        <v>284</v>
      </c>
      <c r="H231" t="s">
        <v>5</v>
      </c>
      <c r="I231" t="s">
        <v>172</v>
      </c>
      <c r="J231" t="s">
        <v>2505</v>
      </c>
      <c r="K231" t="s">
        <v>788</v>
      </c>
      <c r="L231" t="s">
        <v>125</v>
      </c>
      <c r="M231" t="s">
        <v>3168</v>
      </c>
      <c r="N231" t="s">
        <v>1527</v>
      </c>
      <c r="O231" t="s">
        <v>1654</v>
      </c>
    </row>
    <row r="232" spans="1:15" x14ac:dyDescent="0.25">
      <c r="A232" t="s">
        <v>94</v>
      </c>
      <c r="B232" t="s">
        <v>2506</v>
      </c>
      <c r="C232" t="s">
        <v>1510</v>
      </c>
      <c r="D232" t="s">
        <v>285</v>
      </c>
      <c r="E232" t="s">
        <v>285</v>
      </c>
      <c r="F232" t="s">
        <v>285</v>
      </c>
      <c r="G232" t="s">
        <v>285</v>
      </c>
      <c r="H232" t="s">
        <v>1408</v>
      </c>
      <c r="I232" t="s">
        <v>172</v>
      </c>
      <c r="J232" t="s">
        <v>2178</v>
      </c>
      <c r="K232" t="s">
        <v>1616</v>
      </c>
      <c r="L232" t="s">
        <v>94</v>
      </c>
      <c r="M232" t="s">
        <v>3167</v>
      </c>
      <c r="N232" t="s">
        <v>121</v>
      </c>
      <c r="O232" t="s">
        <v>1654</v>
      </c>
    </row>
    <row r="233" spans="1:15" x14ac:dyDescent="0.25">
      <c r="A233" t="s">
        <v>379</v>
      </c>
      <c r="B233" t="s">
        <v>2507</v>
      </c>
      <c r="C233" t="s">
        <v>2253</v>
      </c>
      <c r="D233" t="s">
        <v>284</v>
      </c>
      <c r="E233" t="s">
        <v>285</v>
      </c>
      <c r="F233" t="s">
        <v>285</v>
      </c>
      <c r="G233" t="s">
        <v>285</v>
      </c>
      <c r="H233" t="s">
        <v>5</v>
      </c>
      <c r="I233" t="s">
        <v>172</v>
      </c>
      <c r="J233" t="s">
        <v>769</v>
      </c>
      <c r="K233" t="s">
        <v>769</v>
      </c>
      <c r="L233" t="s">
        <v>379</v>
      </c>
      <c r="M233" t="s">
        <v>3167</v>
      </c>
      <c r="N233" t="s">
        <v>121</v>
      </c>
      <c r="O233" t="s">
        <v>1654</v>
      </c>
    </row>
    <row r="234" spans="1:15" x14ac:dyDescent="0.25">
      <c r="A234" t="s">
        <v>380</v>
      </c>
      <c r="B234" t="s">
        <v>2508</v>
      </c>
      <c r="C234" t="s">
        <v>2253</v>
      </c>
      <c r="D234" t="s">
        <v>285</v>
      </c>
      <c r="E234" t="s">
        <v>285</v>
      </c>
      <c r="F234" t="s">
        <v>285</v>
      </c>
      <c r="G234" t="s">
        <v>285</v>
      </c>
      <c r="H234" t="s">
        <v>2509</v>
      </c>
      <c r="I234" t="s">
        <v>172</v>
      </c>
      <c r="J234" t="s">
        <v>1954</v>
      </c>
      <c r="K234" t="s">
        <v>769</v>
      </c>
      <c r="L234" t="s">
        <v>380</v>
      </c>
      <c r="M234" t="s">
        <v>3167</v>
      </c>
      <c r="N234" t="s">
        <v>3172</v>
      </c>
      <c r="O234" t="s">
        <v>1654</v>
      </c>
    </row>
    <row r="235" spans="1:15" x14ac:dyDescent="0.25">
      <c r="A235" t="s">
        <v>938</v>
      </c>
      <c r="B235" t="s">
        <v>2510</v>
      </c>
      <c r="C235" t="s">
        <v>1510</v>
      </c>
      <c r="D235" t="s">
        <v>285</v>
      </c>
      <c r="E235" t="s">
        <v>285</v>
      </c>
      <c r="F235" t="s">
        <v>285</v>
      </c>
      <c r="G235" t="s">
        <v>285</v>
      </c>
      <c r="H235" t="s">
        <v>1408</v>
      </c>
      <c r="I235" t="s">
        <v>172</v>
      </c>
      <c r="J235" t="s">
        <v>2178</v>
      </c>
      <c r="K235" t="s">
        <v>800</v>
      </c>
      <c r="L235" t="s">
        <v>938</v>
      </c>
      <c r="M235" t="s">
        <v>3167</v>
      </c>
      <c r="N235" t="s">
        <v>121</v>
      </c>
      <c r="O235" t="s">
        <v>1654</v>
      </c>
    </row>
    <row r="236" spans="1:15" x14ac:dyDescent="0.25">
      <c r="A236" t="s">
        <v>834</v>
      </c>
      <c r="B236" t="s">
        <v>2511</v>
      </c>
      <c r="C236" t="s">
        <v>1510</v>
      </c>
      <c r="D236" t="s">
        <v>285</v>
      </c>
      <c r="E236" t="s">
        <v>285</v>
      </c>
      <c r="F236" t="s">
        <v>285</v>
      </c>
      <c r="G236" t="s">
        <v>285</v>
      </c>
      <c r="H236" t="s">
        <v>1408</v>
      </c>
      <c r="I236" t="s">
        <v>172</v>
      </c>
      <c r="J236" t="s">
        <v>2178</v>
      </c>
      <c r="K236" t="s">
        <v>800</v>
      </c>
      <c r="L236" t="s">
        <v>834</v>
      </c>
      <c r="M236" t="s">
        <v>3167</v>
      </c>
      <c r="N236" t="s">
        <v>121</v>
      </c>
      <c r="O236" t="s">
        <v>789</v>
      </c>
    </row>
    <row r="237" spans="1:15" x14ac:dyDescent="0.25">
      <c r="A237" t="s">
        <v>381</v>
      </c>
      <c r="B237" t="s">
        <v>2512</v>
      </c>
      <c r="C237" t="s">
        <v>2428</v>
      </c>
      <c r="D237" t="s">
        <v>285</v>
      </c>
      <c r="E237" t="s">
        <v>285</v>
      </c>
      <c r="F237" t="s">
        <v>285</v>
      </c>
      <c r="G237" t="s">
        <v>284</v>
      </c>
      <c r="H237" t="s">
        <v>5</v>
      </c>
      <c r="I237" t="s">
        <v>172</v>
      </c>
      <c r="J237" t="s">
        <v>780</v>
      </c>
      <c r="K237" t="s">
        <v>780</v>
      </c>
      <c r="L237" t="s">
        <v>381</v>
      </c>
      <c r="M237" t="s">
        <v>3167</v>
      </c>
      <c r="N237" t="s">
        <v>3172</v>
      </c>
      <c r="O237" t="s">
        <v>1654</v>
      </c>
    </row>
    <row r="238" spans="1:15" x14ac:dyDescent="0.25">
      <c r="A238" t="s">
        <v>382</v>
      </c>
      <c r="B238" t="s">
        <v>2513</v>
      </c>
      <c r="C238" t="s">
        <v>1510</v>
      </c>
      <c r="D238" t="s">
        <v>285</v>
      </c>
      <c r="E238" t="s">
        <v>285</v>
      </c>
      <c r="F238" t="s">
        <v>285</v>
      </c>
      <c r="G238" t="s">
        <v>285</v>
      </c>
      <c r="H238" t="s">
        <v>1408</v>
      </c>
      <c r="I238" t="s">
        <v>172</v>
      </c>
      <c r="J238" t="s">
        <v>2178</v>
      </c>
      <c r="K238" t="s">
        <v>801</v>
      </c>
      <c r="L238" t="s">
        <v>382</v>
      </c>
      <c r="M238" t="s">
        <v>3167</v>
      </c>
      <c r="N238" t="s">
        <v>121</v>
      </c>
      <c r="O238" t="s">
        <v>1654</v>
      </c>
    </row>
    <row r="239" spans="1:15" x14ac:dyDescent="0.25">
      <c r="A239" t="s">
        <v>663</v>
      </c>
      <c r="B239" t="s">
        <v>2514</v>
      </c>
      <c r="C239" t="s">
        <v>2160</v>
      </c>
      <c r="D239" t="s">
        <v>284</v>
      </c>
      <c r="E239" t="s">
        <v>285</v>
      </c>
      <c r="F239" t="s">
        <v>285</v>
      </c>
      <c r="G239" t="s">
        <v>285</v>
      </c>
      <c r="H239" t="s">
        <v>5</v>
      </c>
      <c r="I239" t="s">
        <v>172</v>
      </c>
      <c r="J239" t="s">
        <v>780</v>
      </c>
      <c r="K239" t="s">
        <v>780</v>
      </c>
      <c r="L239" t="s">
        <v>663</v>
      </c>
      <c r="M239" t="s">
        <v>3168</v>
      </c>
      <c r="N239" t="s">
        <v>3172</v>
      </c>
      <c r="O239" t="s">
        <v>1654</v>
      </c>
    </row>
    <row r="240" spans="1:15" x14ac:dyDescent="0.25">
      <c r="A240" t="s">
        <v>383</v>
      </c>
      <c r="B240" t="s">
        <v>2515</v>
      </c>
      <c r="C240" t="s">
        <v>2253</v>
      </c>
      <c r="D240" t="s">
        <v>284</v>
      </c>
      <c r="E240" t="s">
        <v>285</v>
      </c>
      <c r="F240" t="s">
        <v>285</v>
      </c>
      <c r="G240" t="s">
        <v>285</v>
      </c>
      <c r="H240" t="s">
        <v>5</v>
      </c>
      <c r="I240" t="s">
        <v>172</v>
      </c>
      <c r="J240" t="s">
        <v>769</v>
      </c>
      <c r="K240" t="s">
        <v>769</v>
      </c>
      <c r="L240" t="s">
        <v>383</v>
      </c>
      <c r="M240" t="s">
        <v>3167</v>
      </c>
      <c r="N240" t="s">
        <v>121</v>
      </c>
      <c r="O240" t="s">
        <v>1654</v>
      </c>
    </row>
    <row r="241" spans="1:15" x14ac:dyDescent="0.25">
      <c r="A241" t="s">
        <v>1768</v>
      </c>
      <c r="B241" t="s">
        <v>2516</v>
      </c>
      <c r="C241" t="s">
        <v>1510</v>
      </c>
      <c r="D241" t="s">
        <v>285</v>
      </c>
      <c r="E241" t="s">
        <v>285</v>
      </c>
      <c r="F241" t="s">
        <v>285</v>
      </c>
      <c r="G241" t="s">
        <v>285</v>
      </c>
      <c r="H241" t="s">
        <v>1408</v>
      </c>
      <c r="I241" t="s">
        <v>172</v>
      </c>
      <c r="J241" t="s">
        <v>2517</v>
      </c>
      <c r="K241" t="s">
        <v>840</v>
      </c>
      <c r="L241" t="s">
        <v>1768</v>
      </c>
      <c r="M241" t="s">
        <v>3168</v>
      </c>
      <c r="N241" t="s">
        <v>1527</v>
      </c>
      <c r="O241" t="s">
        <v>789</v>
      </c>
    </row>
    <row r="242" spans="1:15" x14ac:dyDescent="0.25">
      <c r="A242" t="s">
        <v>682</v>
      </c>
      <c r="B242" t="s">
        <v>2518</v>
      </c>
      <c r="C242" t="s">
        <v>2160</v>
      </c>
      <c r="D242" t="s">
        <v>284</v>
      </c>
      <c r="E242" t="s">
        <v>285</v>
      </c>
      <c r="F242" t="s">
        <v>285</v>
      </c>
      <c r="G242" t="s">
        <v>285</v>
      </c>
      <c r="H242" t="s">
        <v>5</v>
      </c>
      <c r="I242" t="s">
        <v>172</v>
      </c>
      <c r="J242" t="s">
        <v>780</v>
      </c>
      <c r="K242" t="s">
        <v>780</v>
      </c>
      <c r="L242" t="s">
        <v>682</v>
      </c>
      <c r="M242" t="s">
        <v>3168</v>
      </c>
      <c r="N242" t="s">
        <v>3172</v>
      </c>
      <c r="O242" t="s">
        <v>1654</v>
      </c>
    </row>
    <row r="243" spans="1:15" x14ac:dyDescent="0.25">
      <c r="A243" t="s">
        <v>1414</v>
      </c>
      <c r="B243" t="s">
        <v>2519</v>
      </c>
      <c r="C243" t="s">
        <v>2253</v>
      </c>
      <c r="D243" t="s">
        <v>285</v>
      </c>
      <c r="E243" t="s">
        <v>285</v>
      </c>
      <c r="F243" t="s">
        <v>285</v>
      </c>
      <c r="G243" t="s">
        <v>285</v>
      </c>
      <c r="H243" t="s">
        <v>2509</v>
      </c>
      <c r="I243" t="s">
        <v>172</v>
      </c>
      <c r="J243" t="s">
        <v>1954</v>
      </c>
      <c r="K243" t="s">
        <v>769</v>
      </c>
      <c r="L243" t="s">
        <v>1414</v>
      </c>
      <c r="M243" t="s">
        <v>3167</v>
      </c>
      <c r="N243" t="s">
        <v>3172</v>
      </c>
      <c r="O243" t="s">
        <v>1654</v>
      </c>
    </row>
    <row r="244" spans="1:15" x14ac:dyDescent="0.25">
      <c r="A244" t="s">
        <v>1573</v>
      </c>
      <c r="B244" t="s">
        <v>2520</v>
      </c>
      <c r="C244" t="s">
        <v>1699</v>
      </c>
      <c r="D244" t="s">
        <v>285</v>
      </c>
      <c r="E244" t="s">
        <v>285</v>
      </c>
      <c r="F244" t="s">
        <v>285</v>
      </c>
      <c r="G244" t="s">
        <v>285</v>
      </c>
      <c r="H244" t="s">
        <v>2324</v>
      </c>
      <c r="I244" t="s">
        <v>2164</v>
      </c>
      <c r="J244" t="s">
        <v>2164</v>
      </c>
      <c r="K244" t="s">
        <v>1699</v>
      </c>
      <c r="L244" t="s">
        <v>1573</v>
      </c>
      <c r="M244" t="s">
        <v>1527</v>
      </c>
      <c r="N244" t="s">
        <v>1527</v>
      </c>
      <c r="O244" t="s">
        <v>789</v>
      </c>
    </row>
    <row r="245" spans="1:15" x14ac:dyDescent="0.25">
      <c r="A245" t="s">
        <v>1272</v>
      </c>
      <c r="B245" t="s">
        <v>2521</v>
      </c>
      <c r="C245" t="s">
        <v>1510</v>
      </c>
      <c r="D245" t="s">
        <v>285</v>
      </c>
      <c r="E245" t="s">
        <v>285</v>
      </c>
      <c r="F245" t="s">
        <v>285</v>
      </c>
      <c r="G245" t="s">
        <v>285</v>
      </c>
      <c r="H245" t="s">
        <v>2522</v>
      </c>
      <c r="I245" t="s">
        <v>2164</v>
      </c>
      <c r="J245" t="s">
        <v>2164</v>
      </c>
      <c r="K245" t="s">
        <v>1699</v>
      </c>
      <c r="L245" t="s">
        <v>1272</v>
      </c>
      <c r="M245" t="s">
        <v>1527</v>
      </c>
      <c r="N245" t="s">
        <v>1527</v>
      </c>
      <c r="O245" t="s">
        <v>789</v>
      </c>
    </row>
    <row r="246" spans="1:15" x14ac:dyDescent="0.25">
      <c r="A246" t="s">
        <v>877</v>
      </c>
      <c r="B246" t="s">
        <v>2523</v>
      </c>
      <c r="C246" t="s">
        <v>1510</v>
      </c>
      <c r="D246" t="s">
        <v>285</v>
      </c>
      <c r="E246" t="s">
        <v>285</v>
      </c>
      <c r="F246" t="s">
        <v>285</v>
      </c>
      <c r="G246" t="s">
        <v>285</v>
      </c>
      <c r="H246" t="s">
        <v>2524</v>
      </c>
      <c r="I246" t="s">
        <v>2164</v>
      </c>
      <c r="J246" t="s">
        <v>2164</v>
      </c>
      <c r="K246" t="s">
        <v>1699</v>
      </c>
      <c r="L246" t="s">
        <v>877</v>
      </c>
      <c r="M246" t="s">
        <v>1527</v>
      </c>
      <c r="N246" t="s">
        <v>1527</v>
      </c>
      <c r="O246" t="s">
        <v>789</v>
      </c>
    </row>
    <row r="247" spans="1:15" x14ac:dyDescent="0.25">
      <c r="A247" t="s">
        <v>894</v>
      </c>
      <c r="B247" t="s">
        <v>2525</v>
      </c>
      <c r="C247" t="s">
        <v>1528</v>
      </c>
      <c r="D247" t="s">
        <v>285</v>
      </c>
      <c r="E247" t="s">
        <v>285</v>
      </c>
      <c r="F247" t="s">
        <v>285</v>
      </c>
      <c r="G247" t="s">
        <v>285</v>
      </c>
      <c r="H247" t="s">
        <v>1529</v>
      </c>
      <c r="I247" t="s">
        <v>2164</v>
      </c>
      <c r="J247" t="s">
        <v>2164</v>
      </c>
      <c r="K247" t="s">
        <v>1699</v>
      </c>
      <c r="L247" t="s">
        <v>894</v>
      </c>
      <c r="M247" t="s">
        <v>1527</v>
      </c>
      <c r="N247" t="s">
        <v>1527</v>
      </c>
      <c r="O247" t="s">
        <v>789</v>
      </c>
    </row>
    <row r="248" spans="1:15" x14ac:dyDescent="0.25">
      <c r="A248" t="s">
        <v>162</v>
      </c>
      <c r="B248" t="s">
        <v>2526</v>
      </c>
      <c r="C248" t="s">
        <v>2248</v>
      </c>
      <c r="D248" t="s">
        <v>284</v>
      </c>
      <c r="E248" t="s">
        <v>284</v>
      </c>
      <c r="F248" t="s">
        <v>285</v>
      </c>
      <c r="G248" t="s">
        <v>285</v>
      </c>
      <c r="H248" t="s">
        <v>5</v>
      </c>
      <c r="I248" t="s">
        <v>172</v>
      </c>
      <c r="J248" t="s">
        <v>1521</v>
      </c>
      <c r="K248" t="s">
        <v>101</v>
      </c>
      <c r="L248" t="s">
        <v>162</v>
      </c>
      <c r="M248" t="s">
        <v>3168</v>
      </c>
      <c r="N248" t="s">
        <v>121</v>
      </c>
      <c r="O248" t="s">
        <v>1654</v>
      </c>
    </row>
    <row r="249" spans="1:15" x14ac:dyDescent="0.25">
      <c r="A249" t="s">
        <v>38</v>
      </c>
      <c r="B249" t="s">
        <v>2527</v>
      </c>
      <c r="C249" t="s">
        <v>1529</v>
      </c>
      <c r="D249" t="s">
        <v>285</v>
      </c>
      <c r="E249" t="s">
        <v>285</v>
      </c>
      <c r="F249" t="s">
        <v>285</v>
      </c>
      <c r="G249" t="s">
        <v>285</v>
      </c>
      <c r="H249" t="s">
        <v>1529</v>
      </c>
      <c r="I249" t="s">
        <v>812</v>
      </c>
      <c r="J249" t="s">
        <v>2528</v>
      </c>
      <c r="K249" t="s">
        <v>800</v>
      </c>
      <c r="L249" t="s">
        <v>38</v>
      </c>
      <c r="M249" t="s">
        <v>1527</v>
      </c>
      <c r="N249" t="s">
        <v>1527</v>
      </c>
      <c r="O249" t="s">
        <v>1654</v>
      </c>
    </row>
    <row r="250" spans="1:15" x14ac:dyDescent="0.25">
      <c r="A250" t="s">
        <v>939</v>
      </c>
      <c r="B250" t="s">
        <v>2529</v>
      </c>
      <c r="C250" t="s">
        <v>1510</v>
      </c>
      <c r="D250" t="s">
        <v>285</v>
      </c>
      <c r="E250" t="s">
        <v>285</v>
      </c>
      <c r="F250" t="s">
        <v>285</v>
      </c>
      <c r="G250" t="s">
        <v>285</v>
      </c>
      <c r="H250" t="s">
        <v>1408</v>
      </c>
      <c r="I250" t="s">
        <v>172</v>
      </c>
      <c r="J250" t="s">
        <v>2178</v>
      </c>
      <c r="K250" t="s">
        <v>800</v>
      </c>
      <c r="L250" t="s">
        <v>939</v>
      </c>
      <c r="M250" t="s">
        <v>3167</v>
      </c>
      <c r="N250" t="s">
        <v>121</v>
      </c>
      <c r="O250" t="s">
        <v>1654</v>
      </c>
    </row>
    <row r="251" spans="1:15" x14ac:dyDescent="0.25">
      <c r="A251" t="s">
        <v>1204</v>
      </c>
      <c r="B251" t="s">
        <v>2530</v>
      </c>
      <c r="C251" t="s">
        <v>1510</v>
      </c>
      <c r="D251" t="s">
        <v>285</v>
      </c>
      <c r="E251" t="s">
        <v>285</v>
      </c>
      <c r="F251" t="s">
        <v>285</v>
      </c>
      <c r="G251" t="s">
        <v>285</v>
      </c>
      <c r="H251" t="s">
        <v>1408</v>
      </c>
      <c r="I251" t="s">
        <v>172</v>
      </c>
      <c r="J251" t="s">
        <v>2178</v>
      </c>
      <c r="K251" t="s">
        <v>800</v>
      </c>
      <c r="L251" t="s">
        <v>1204</v>
      </c>
      <c r="M251" t="s">
        <v>3167</v>
      </c>
      <c r="N251" t="s">
        <v>121</v>
      </c>
      <c r="O251" t="s">
        <v>1654</v>
      </c>
    </row>
    <row r="252" spans="1:15" x14ac:dyDescent="0.25">
      <c r="A252" t="s">
        <v>778</v>
      </c>
      <c r="B252" t="s">
        <v>2531</v>
      </c>
      <c r="C252" t="s">
        <v>1510</v>
      </c>
      <c r="D252" t="s">
        <v>285</v>
      </c>
      <c r="E252" t="s">
        <v>285</v>
      </c>
      <c r="F252" t="s">
        <v>285</v>
      </c>
      <c r="G252" t="s">
        <v>285</v>
      </c>
      <c r="H252" t="s">
        <v>1408</v>
      </c>
      <c r="I252" t="s">
        <v>172</v>
      </c>
      <c r="J252" t="s">
        <v>2178</v>
      </c>
      <c r="K252" t="s">
        <v>788</v>
      </c>
      <c r="L252" t="s">
        <v>778</v>
      </c>
      <c r="M252" t="s">
        <v>3167</v>
      </c>
      <c r="N252" t="s">
        <v>121</v>
      </c>
      <c r="O252" t="s">
        <v>1654</v>
      </c>
    </row>
    <row r="253" spans="1:15" x14ac:dyDescent="0.25">
      <c r="A253" t="s">
        <v>773</v>
      </c>
      <c r="B253" t="s">
        <v>2532</v>
      </c>
      <c r="C253" t="s">
        <v>1510</v>
      </c>
      <c r="D253" t="s">
        <v>285</v>
      </c>
      <c r="E253" t="s">
        <v>285</v>
      </c>
      <c r="F253" t="s">
        <v>285</v>
      </c>
      <c r="G253" t="s">
        <v>285</v>
      </c>
      <c r="H253" t="s">
        <v>1408</v>
      </c>
      <c r="I253" t="s">
        <v>172</v>
      </c>
      <c r="J253" t="s">
        <v>2178</v>
      </c>
      <c r="K253" t="s">
        <v>788</v>
      </c>
      <c r="L253" t="s">
        <v>773</v>
      </c>
      <c r="M253" t="s">
        <v>3167</v>
      </c>
      <c r="N253" t="s">
        <v>121</v>
      </c>
      <c r="O253" t="s">
        <v>1654</v>
      </c>
    </row>
    <row r="254" spans="1:15" x14ac:dyDescent="0.25">
      <c r="A254" t="s">
        <v>95</v>
      </c>
      <c r="B254" t="s">
        <v>2533</v>
      </c>
      <c r="C254" t="s">
        <v>1510</v>
      </c>
      <c r="D254" t="s">
        <v>285</v>
      </c>
      <c r="E254" t="s">
        <v>285</v>
      </c>
      <c r="F254" t="s">
        <v>285</v>
      </c>
      <c r="G254" t="s">
        <v>285</v>
      </c>
      <c r="H254" t="s">
        <v>1408</v>
      </c>
      <c r="I254" t="s">
        <v>172</v>
      </c>
      <c r="J254" t="s">
        <v>2178</v>
      </c>
      <c r="K254" t="s">
        <v>800</v>
      </c>
      <c r="L254" t="s">
        <v>95</v>
      </c>
      <c r="M254" t="s">
        <v>3167</v>
      </c>
      <c r="N254" t="s">
        <v>121</v>
      </c>
      <c r="O254" t="s">
        <v>1654</v>
      </c>
    </row>
    <row r="255" spans="1:15" x14ac:dyDescent="0.25">
      <c r="A255" t="s">
        <v>109</v>
      </c>
      <c r="B255" t="s">
        <v>2534</v>
      </c>
      <c r="C255" t="s">
        <v>1510</v>
      </c>
      <c r="D255" t="s">
        <v>285</v>
      </c>
      <c r="E255" t="s">
        <v>285</v>
      </c>
      <c r="F255" t="s">
        <v>285</v>
      </c>
      <c r="G255" t="s">
        <v>285</v>
      </c>
      <c r="H255" t="s">
        <v>1408</v>
      </c>
      <c r="I255" t="s">
        <v>172</v>
      </c>
      <c r="J255" t="s">
        <v>2178</v>
      </c>
      <c r="K255" t="s">
        <v>800</v>
      </c>
      <c r="L255" t="s">
        <v>109</v>
      </c>
      <c r="M255" t="s">
        <v>3167</v>
      </c>
      <c r="N255" t="s">
        <v>121</v>
      </c>
      <c r="O255" t="s">
        <v>1654</v>
      </c>
    </row>
    <row r="256" spans="1:15" x14ac:dyDescent="0.25">
      <c r="A256" t="s">
        <v>589</v>
      </c>
      <c r="B256" t="s">
        <v>2535</v>
      </c>
      <c r="C256" t="s">
        <v>1510</v>
      </c>
      <c r="D256" t="s">
        <v>285</v>
      </c>
      <c r="E256" t="s">
        <v>285</v>
      </c>
      <c r="F256" t="s">
        <v>285</v>
      </c>
      <c r="G256" t="s">
        <v>285</v>
      </c>
      <c r="H256" t="s">
        <v>1408</v>
      </c>
      <c r="I256" t="s">
        <v>172</v>
      </c>
      <c r="J256" t="s">
        <v>2178</v>
      </c>
      <c r="K256" t="s">
        <v>788</v>
      </c>
      <c r="L256" t="s">
        <v>589</v>
      </c>
      <c r="M256" t="s">
        <v>3167</v>
      </c>
      <c r="N256" t="s">
        <v>121</v>
      </c>
      <c r="O256" t="s">
        <v>1654</v>
      </c>
    </row>
    <row r="257" spans="1:15" x14ac:dyDescent="0.25">
      <c r="A257" t="s">
        <v>585</v>
      </c>
      <c r="B257" t="s">
        <v>2536</v>
      </c>
      <c r="C257" t="s">
        <v>1510</v>
      </c>
      <c r="D257" t="s">
        <v>285</v>
      </c>
      <c r="E257" t="s">
        <v>285</v>
      </c>
      <c r="F257" t="s">
        <v>285</v>
      </c>
      <c r="G257" t="s">
        <v>285</v>
      </c>
      <c r="H257" t="s">
        <v>1408</v>
      </c>
      <c r="I257" t="s">
        <v>172</v>
      </c>
      <c r="J257" t="s">
        <v>2178</v>
      </c>
      <c r="K257" t="s">
        <v>800</v>
      </c>
      <c r="L257" t="s">
        <v>585</v>
      </c>
      <c r="M257" t="s">
        <v>3167</v>
      </c>
      <c r="N257" t="s">
        <v>121</v>
      </c>
      <c r="O257" t="s">
        <v>1654</v>
      </c>
    </row>
    <row r="258" spans="1:15" x14ac:dyDescent="0.25">
      <c r="A258" t="s">
        <v>1649</v>
      </c>
      <c r="B258" t="s">
        <v>2537</v>
      </c>
      <c r="C258" t="s">
        <v>1510</v>
      </c>
      <c r="D258" t="s">
        <v>285</v>
      </c>
      <c r="E258" t="s">
        <v>285</v>
      </c>
      <c r="F258" t="s">
        <v>285</v>
      </c>
      <c r="G258" t="s">
        <v>285</v>
      </c>
      <c r="H258" t="s">
        <v>1408</v>
      </c>
      <c r="I258" t="s">
        <v>172</v>
      </c>
      <c r="J258" t="s">
        <v>2178</v>
      </c>
      <c r="K258" t="s">
        <v>788</v>
      </c>
      <c r="L258" t="s">
        <v>1649</v>
      </c>
      <c r="M258" t="s">
        <v>3167</v>
      </c>
      <c r="N258" t="s">
        <v>121</v>
      </c>
      <c r="O258" t="s">
        <v>1654</v>
      </c>
    </row>
    <row r="259" spans="1:15" x14ac:dyDescent="0.25">
      <c r="A259" t="s">
        <v>874</v>
      </c>
      <c r="B259" t="s">
        <v>2538</v>
      </c>
      <c r="C259" t="s">
        <v>1510</v>
      </c>
      <c r="D259" t="s">
        <v>285</v>
      </c>
      <c r="E259" t="s">
        <v>285</v>
      </c>
      <c r="F259" t="s">
        <v>285</v>
      </c>
      <c r="G259" t="s">
        <v>285</v>
      </c>
      <c r="H259" t="s">
        <v>1408</v>
      </c>
      <c r="I259" t="s">
        <v>172</v>
      </c>
      <c r="J259" t="s">
        <v>2178</v>
      </c>
      <c r="K259" t="s">
        <v>800</v>
      </c>
      <c r="L259" t="s">
        <v>874</v>
      </c>
      <c r="M259" t="s">
        <v>3167</v>
      </c>
      <c r="N259" t="s">
        <v>121</v>
      </c>
      <c r="O259" t="s">
        <v>1654</v>
      </c>
    </row>
    <row r="260" spans="1:15" x14ac:dyDescent="0.25">
      <c r="A260" t="s">
        <v>982</v>
      </c>
      <c r="B260" t="s">
        <v>2539</v>
      </c>
      <c r="C260" t="s">
        <v>1510</v>
      </c>
      <c r="D260" t="s">
        <v>285</v>
      </c>
      <c r="E260" t="s">
        <v>285</v>
      </c>
      <c r="F260" t="s">
        <v>285</v>
      </c>
      <c r="G260" t="s">
        <v>285</v>
      </c>
      <c r="H260" t="s">
        <v>1408</v>
      </c>
      <c r="I260" t="s">
        <v>172</v>
      </c>
      <c r="J260" t="s">
        <v>2178</v>
      </c>
      <c r="K260" t="s">
        <v>839</v>
      </c>
      <c r="L260" t="s">
        <v>982</v>
      </c>
      <c r="M260" t="s">
        <v>3167</v>
      </c>
      <c r="N260" t="s">
        <v>121</v>
      </c>
      <c r="O260" t="s">
        <v>1654</v>
      </c>
    </row>
    <row r="261" spans="1:15" x14ac:dyDescent="0.25">
      <c r="A261" t="s">
        <v>776</v>
      </c>
      <c r="B261" t="s">
        <v>2540</v>
      </c>
      <c r="C261" t="s">
        <v>1510</v>
      </c>
      <c r="D261" t="s">
        <v>285</v>
      </c>
      <c r="E261" t="s">
        <v>285</v>
      </c>
      <c r="F261" t="s">
        <v>285</v>
      </c>
      <c r="G261" t="s">
        <v>285</v>
      </c>
      <c r="H261" t="s">
        <v>1408</v>
      </c>
      <c r="I261" t="s">
        <v>172</v>
      </c>
      <c r="J261" t="s">
        <v>2178</v>
      </c>
      <c r="K261" t="s">
        <v>800</v>
      </c>
      <c r="L261" t="s">
        <v>776</v>
      </c>
      <c r="M261" t="s">
        <v>3167</v>
      </c>
      <c r="N261" t="s">
        <v>121</v>
      </c>
      <c r="O261" t="s">
        <v>1654</v>
      </c>
    </row>
    <row r="262" spans="1:15" x14ac:dyDescent="0.25">
      <c r="A262" t="s">
        <v>1151</v>
      </c>
      <c r="B262" t="s">
        <v>2541</v>
      </c>
      <c r="C262" t="s">
        <v>1510</v>
      </c>
      <c r="D262" t="s">
        <v>285</v>
      </c>
      <c r="E262" t="s">
        <v>285</v>
      </c>
      <c r="F262" t="s">
        <v>285</v>
      </c>
      <c r="G262" t="s">
        <v>285</v>
      </c>
      <c r="H262" t="s">
        <v>1408</v>
      </c>
      <c r="I262" t="s">
        <v>172</v>
      </c>
      <c r="J262" t="s">
        <v>2178</v>
      </c>
      <c r="K262" t="s">
        <v>800</v>
      </c>
      <c r="L262" t="s">
        <v>1151</v>
      </c>
      <c r="M262" t="s">
        <v>3167</v>
      </c>
      <c r="N262" t="s">
        <v>121</v>
      </c>
      <c r="O262" t="s">
        <v>1654</v>
      </c>
    </row>
    <row r="263" spans="1:15" x14ac:dyDescent="0.25">
      <c r="A263" t="s">
        <v>774</v>
      </c>
      <c r="B263" t="s">
        <v>2542</v>
      </c>
      <c r="C263" t="s">
        <v>1510</v>
      </c>
      <c r="D263" t="s">
        <v>285</v>
      </c>
      <c r="E263" t="s">
        <v>285</v>
      </c>
      <c r="F263" t="s">
        <v>285</v>
      </c>
      <c r="G263" t="s">
        <v>285</v>
      </c>
      <c r="H263" t="s">
        <v>1408</v>
      </c>
      <c r="I263" t="s">
        <v>172</v>
      </c>
      <c r="J263" t="s">
        <v>2178</v>
      </c>
      <c r="K263" t="s">
        <v>788</v>
      </c>
      <c r="L263" t="s">
        <v>774</v>
      </c>
      <c r="M263" t="s">
        <v>3167</v>
      </c>
      <c r="N263" t="s">
        <v>121</v>
      </c>
      <c r="O263" t="s">
        <v>1654</v>
      </c>
    </row>
    <row r="264" spans="1:15" x14ac:dyDescent="0.25">
      <c r="A264" t="s">
        <v>1245</v>
      </c>
      <c r="B264" t="s">
        <v>2543</v>
      </c>
      <c r="C264" t="s">
        <v>1510</v>
      </c>
      <c r="D264" t="s">
        <v>285</v>
      </c>
      <c r="E264" t="s">
        <v>285</v>
      </c>
      <c r="F264" t="s">
        <v>285</v>
      </c>
      <c r="G264" t="s">
        <v>285</v>
      </c>
      <c r="H264" t="s">
        <v>1408</v>
      </c>
      <c r="I264" t="s">
        <v>172</v>
      </c>
      <c r="J264" t="s">
        <v>2178</v>
      </c>
      <c r="K264" t="s">
        <v>800</v>
      </c>
      <c r="L264" t="s">
        <v>1245</v>
      </c>
      <c r="M264" t="s">
        <v>3167</v>
      </c>
      <c r="N264" t="s">
        <v>121</v>
      </c>
      <c r="O264" t="s">
        <v>1654</v>
      </c>
    </row>
    <row r="265" spans="1:15" x14ac:dyDescent="0.25">
      <c r="A265" t="s">
        <v>1142</v>
      </c>
      <c r="B265" t="s">
        <v>2544</v>
      </c>
      <c r="C265" t="s">
        <v>1510</v>
      </c>
      <c r="D265" t="s">
        <v>285</v>
      </c>
      <c r="E265" t="s">
        <v>285</v>
      </c>
      <c r="F265" t="s">
        <v>285</v>
      </c>
      <c r="G265" t="s">
        <v>285</v>
      </c>
      <c r="H265" t="s">
        <v>1408</v>
      </c>
      <c r="I265" t="s">
        <v>172</v>
      </c>
      <c r="J265" t="s">
        <v>2178</v>
      </c>
      <c r="K265" t="s">
        <v>788</v>
      </c>
      <c r="L265" t="s">
        <v>1142</v>
      </c>
      <c r="M265" t="s">
        <v>3167</v>
      </c>
      <c r="N265" t="s">
        <v>121</v>
      </c>
      <c r="O265" t="s">
        <v>1654</v>
      </c>
    </row>
    <row r="266" spans="1:15" x14ac:dyDescent="0.25">
      <c r="A266" t="s">
        <v>1397</v>
      </c>
      <c r="B266" t="s">
        <v>2545</v>
      </c>
      <c r="C266" t="s">
        <v>1510</v>
      </c>
      <c r="D266" t="s">
        <v>285</v>
      </c>
      <c r="E266" t="s">
        <v>285</v>
      </c>
      <c r="F266" t="s">
        <v>285</v>
      </c>
      <c r="G266" t="s">
        <v>285</v>
      </c>
      <c r="H266" t="s">
        <v>1408</v>
      </c>
      <c r="I266" t="s">
        <v>172</v>
      </c>
      <c r="J266" t="s">
        <v>2178</v>
      </c>
      <c r="K266" t="s">
        <v>98</v>
      </c>
      <c r="L266" t="s">
        <v>1397</v>
      </c>
      <c r="M266" t="s">
        <v>3167</v>
      </c>
      <c r="N266" t="s">
        <v>121</v>
      </c>
      <c r="O266" t="s">
        <v>1654</v>
      </c>
    </row>
    <row r="267" spans="1:15" x14ac:dyDescent="0.25">
      <c r="A267" t="s">
        <v>879</v>
      </c>
      <c r="B267" t="s">
        <v>2546</v>
      </c>
      <c r="C267" t="s">
        <v>1510</v>
      </c>
      <c r="D267" t="s">
        <v>285</v>
      </c>
      <c r="E267" t="s">
        <v>285</v>
      </c>
      <c r="F267" t="s">
        <v>285</v>
      </c>
      <c r="G267" t="s">
        <v>285</v>
      </c>
      <c r="H267" t="s">
        <v>1408</v>
      </c>
      <c r="I267" t="s">
        <v>172</v>
      </c>
      <c r="J267" t="s">
        <v>2178</v>
      </c>
      <c r="K267" t="s">
        <v>839</v>
      </c>
      <c r="L267" t="s">
        <v>879</v>
      </c>
      <c r="M267" t="s">
        <v>3167</v>
      </c>
      <c r="N267" t="s">
        <v>121</v>
      </c>
      <c r="O267" t="s">
        <v>1654</v>
      </c>
    </row>
    <row r="268" spans="1:15" x14ac:dyDescent="0.25">
      <c r="A268" t="s">
        <v>901</v>
      </c>
      <c r="B268" t="s">
        <v>2547</v>
      </c>
      <c r="C268" t="s">
        <v>1510</v>
      </c>
      <c r="D268" t="s">
        <v>285</v>
      </c>
      <c r="E268" t="s">
        <v>285</v>
      </c>
      <c r="F268" t="s">
        <v>285</v>
      </c>
      <c r="G268" t="s">
        <v>285</v>
      </c>
      <c r="H268" t="s">
        <v>1408</v>
      </c>
      <c r="I268" t="s">
        <v>172</v>
      </c>
      <c r="J268" t="s">
        <v>2178</v>
      </c>
      <c r="K268" t="s">
        <v>800</v>
      </c>
      <c r="L268" t="s">
        <v>901</v>
      </c>
      <c r="M268" t="s">
        <v>3167</v>
      </c>
      <c r="N268" t="s">
        <v>121</v>
      </c>
      <c r="O268" t="s">
        <v>1654</v>
      </c>
    </row>
    <row r="269" spans="1:15" x14ac:dyDescent="0.25">
      <c r="A269" t="s">
        <v>1652</v>
      </c>
      <c r="B269" t="s">
        <v>2548</v>
      </c>
      <c r="C269" t="s">
        <v>1510</v>
      </c>
      <c r="D269" t="s">
        <v>285</v>
      </c>
      <c r="E269" t="s">
        <v>285</v>
      </c>
      <c r="F269" t="s">
        <v>285</v>
      </c>
      <c r="G269" t="s">
        <v>285</v>
      </c>
      <c r="H269" t="s">
        <v>1408</v>
      </c>
      <c r="I269" t="s">
        <v>172</v>
      </c>
      <c r="J269" t="s">
        <v>2178</v>
      </c>
      <c r="K269" t="s">
        <v>800</v>
      </c>
      <c r="L269" t="s">
        <v>1652</v>
      </c>
      <c r="M269" t="s">
        <v>3167</v>
      </c>
      <c r="N269" t="s">
        <v>121</v>
      </c>
      <c r="O269" t="s">
        <v>1654</v>
      </c>
    </row>
    <row r="270" spans="1:15" x14ac:dyDescent="0.25">
      <c r="A270" t="s">
        <v>384</v>
      </c>
      <c r="B270" t="s">
        <v>2549</v>
      </c>
      <c r="C270" t="s">
        <v>1405</v>
      </c>
      <c r="D270" t="s">
        <v>285</v>
      </c>
      <c r="E270" t="s">
        <v>284</v>
      </c>
      <c r="F270" t="s">
        <v>285</v>
      </c>
      <c r="G270" t="s">
        <v>284</v>
      </c>
      <c r="H270" t="s">
        <v>5</v>
      </c>
      <c r="I270" t="s">
        <v>172</v>
      </c>
      <c r="J270" t="s">
        <v>1407</v>
      </c>
      <c r="K270" t="s">
        <v>1616</v>
      </c>
      <c r="L270" t="s">
        <v>384</v>
      </c>
      <c r="M270" t="s">
        <v>3168</v>
      </c>
      <c r="N270" t="s">
        <v>1527</v>
      </c>
      <c r="O270" t="s">
        <v>1654</v>
      </c>
    </row>
    <row r="271" spans="1:15" x14ac:dyDescent="0.25">
      <c r="A271" t="s">
        <v>717</v>
      </c>
      <c r="B271" t="s">
        <v>2550</v>
      </c>
      <c r="C271" t="s">
        <v>1520</v>
      </c>
      <c r="D271" t="s">
        <v>285</v>
      </c>
      <c r="E271" t="s">
        <v>285</v>
      </c>
      <c r="F271" t="s">
        <v>285</v>
      </c>
      <c r="G271" t="s">
        <v>284</v>
      </c>
      <c r="H271" t="s">
        <v>5</v>
      </c>
      <c r="I271" t="s">
        <v>172</v>
      </c>
      <c r="J271" t="s">
        <v>801</v>
      </c>
      <c r="K271" t="s">
        <v>801</v>
      </c>
      <c r="L271" t="s">
        <v>717</v>
      </c>
      <c r="M271" t="s">
        <v>3167</v>
      </c>
      <c r="N271" t="s">
        <v>802</v>
      </c>
      <c r="O271" t="s">
        <v>789</v>
      </c>
    </row>
    <row r="272" spans="1:15" x14ac:dyDescent="0.25">
      <c r="A272" t="s">
        <v>672</v>
      </c>
      <c r="B272" t="s">
        <v>2551</v>
      </c>
      <c r="C272" t="s">
        <v>1540</v>
      </c>
      <c r="D272" t="s">
        <v>284</v>
      </c>
      <c r="E272" t="s">
        <v>284</v>
      </c>
      <c r="F272" t="s">
        <v>285</v>
      </c>
      <c r="G272" t="s">
        <v>285</v>
      </c>
      <c r="H272" t="s">
        <v>5</v>
      </c>
      <c r="I272" t="s">
        <v>172</v>
      </c>
      <c r="J272" t="s">
        <v>788</v>
      </c>
      <c r="K272" t="s">
        <v>788</v>
      </c>
      <c r="L272" t="s">
        <v>672</v>
      </c>
      <c r="M272" t="s">
        <v>3167</v>
      </c>
      <c r="N272" t="s">
        <v>802</v>
      </c>
      <c r="O272" t="s">
        <v>1654</v>
      </c>
    </row>
    <row r="273" spans="1:15" x14ac:dyDescent="0.25">
      <c r="A273" t="s">
        <v>385</v>
      </c>
      <c r="B273" t="s">
        <v>2552</v>
      </c>
      <c r="C273" t="s">
        <v>2212</v>
      </c>
      <c r="D273" t="s">
        <v>284</v>
      </c>
      <c r="E273" t="s">
        <v>284</v>
      </c>
      <c r="F273" t="s">
        <v>285</v>
      </c>
      <c r="G273" t="s">
        <v>285</v>
      </c>
      <c r="H273" t="s">
        <v>5</v>
      </c>
      <c r="I273" t="s">
        <v>172</v>
      </c>
      <c r="J273" t="s">
        <v>2213</v>
      </c>
      <c r="K273" t="s">
        <v>101</v>
      </c>
      <c r="L273" t="s">
        <v>385</v>
      </c>
      <c r="M273" t="s">
        <v>3168</v>
      </c>
      <c r="N273" t="s">
        <v>121</v>
      </c>
      <c r="O273" t="s">
        <v>789</v>
      </c>
    </row>
    <row r="274" spans="1:15" x14ac:dyDescent="0.25">
      <c r="A274" t="s">
        <v>670</v>
      </c>
      <c r="B274" t="s">
        <v>2553</v>
      </c>
      <c r="C274" t="s">
        <v>2428</v>
      </c>
      <c r="D274" t="s">
        <v>284</v>
      </c>
      <c r="E274" t="s">
        <v>285</v>
      </c>
      <c r="F274" t="s">
        <v>285</v>
      </c>
      <c r="G274" t="s">
        <v>285</v>
      </c>
      <c r="H274" t="s">
        <v>5</v>
      </c>
      <c r="I274" t="s">
        <v>172</v>
      </c>
      <c r="J274" t="s">
        <v>780</v>
      </c>
      <c r="K274" t="s">
        <v>780</v>
      </c>
      <c r="L274" t="s">
        <v>670</v>
      </c>
      <c r="M274" t="s">
        <v>3168</v>
      </c>
      <c r="N274" t="s">
        <v>3172</v>
      </c>
      <c r="O274" t="s">
        <v>1654</v>
      </c>
    </row>
    <row r="275" spans="1:15" x14ac:dyDescent="0.25">
      <c r="A275" t="s">
        <v>564</v>
      </c>
      <c r="B275" t="s">
        <v>2554</v>
      </c>
      <c r="C275" t="s">
        <v>1518</v>
      </c>
      <c r="D275" t="s">
        <v>285</v>
      </c>
      <c r="E275" t="s">
        <v>284</v>
      </c>
      <c r="F275" t="s">
        <v>285</v>
      </c>
      <c r="G275" t="s">
        <v>284</v>
      </c>
      <c r="H275" t="s">
        <v>5</v>
      </c>
      <c r="I275" t="s">
        <v>172</v>
      </c>
      <c r="J275" t="s">
        <v>1407</v>
      </c>
      <c r="K275" t="s">
        <v>101</v>
      </c>
      <c r="L275" t="s">
        <v>564</v>
      </c>
      <c r="M275" t="s">
        <v>3168</v>
      </c>
      <c r="N275" t="s">
        <v>802</v>
      </c>
      <c r="O275" t="s">
        <v>1654</v>
      </c>
    </row>
    <row r="276" spans="1:15" x14ac:dyDescent="0.25">
      <c r="A276" t="s">
        <v>1135</v>
      </c>
      <c r="B276" t="s">
        <v>2555</v>
      </c>
      <c r="C276" t="s">
        <v>1510</v>
      </c>
      <c r="D276" t="s">
        <v>285</v>
      </c>
      <c r="E276" t="s">
        <v>285</v>
      </c>
      <c r="F276" t="s">
        <v>285</v>
      </c>
      <c r="G276" t="s">
        <v>285</v>
      </c>
      <c r="H276" t="s">
        <v>1408</v>
      </c>
      <c r="I276" t="s">
        <v>172</v>
      </c>
      <c r="J276" t="s">
        <v>2178</v>
      </c>
      <c r="K276" t="s">
        <v>800</v>
      </c>
      <c r="L276" t="s">
        <v>1135</v>
      </c>
      <c r="M276" t="s">
        <v>3167</v>
      </c>
      <c r="N276" t="s">
        <v>121</v>
      </c>
      <c r="O276" t="s">
        <v>1654</v>
      </c>
    </row>
    <row r="277" spans="1:15" x14ac:dyDescent="0.25">
      <c r="A277" t="s">
        <v>386</v>
      </c>
      <c r="B277" t="s">
        <v>2556</v>
      </c>
      <c r="C277" t="s">
        <v>2338</v>
      </c>
      <c r="D277" t="s">
        <v>284</v>
      </c>
      <c r="E277" t="s">
        <v>285</v>
      </c>
      <c r="F277" t="s">
        <v>285</v>
      </c>
      <c r="G277" t="s">
        <v>285</v>
      </c>
      <c r="H277" t="s">
        <v>5</v>
      </c>
      <c r="I277" t="s">
        <v>172</v>
      </c>
      <c r="J277" t="s">
        <v>2557</v>
      </c>
      <c r="K277" t="s">
        <v>101</v>
      </c>
      <c r="L277" t="s">
        <v>386</v>
      </c>
      <c r="M277" t="s">
        <v>3167</v>
      </c>
      <c r="N277" t="s">
        <v>121</v>
      </c>
      <c r="O277" t="s">
        <v>1654</v>
      </c>
    </row>
    <row r="278" spans="1:15" x14ac:dyDescent="0.25">
      <c r="A278" t="s">
        <v>712</v>
      </c>
      <c r="B278" t="s">
        <v>2558</v>
      </c>
      <c r="C278" t="s">
        <v>1534</v>
      </c>
      <c r="D278" t="s">
        <v>285</v>
      </c>
      <c r="E278" t="s">
        <v>285</v>
      </c>
      <c r="F278" t="s">
        <v>285</v>
      </c>
      <c r="G278" t="s">
        <v>284</v>
      </c>
      <c r="H278" t="s">
        <v>5</v>
      </c>
      <c r="I278" t="s">
        <v>172</v>
      </c>
      <c r="J278" t="s">
        <v>800</v>
      </c>
      <c r="K278" t="s">
        <v>800</v>
      </c>
      <c r="L278" t="s">
        <v>712</v>
      </c>
      <c r="M278" t="s">
        <v>3167</v>
      </c>
      <c r="N278" t="s">
        <v>121</v>
      </c>
      <c r="O278" t="s">
        <v>1654</v>
      </c>
    </row>
    <row r="279" spans="1:15" x14ac:dyDescent="0.25">
      <c r="A279" t="s">
        <v>387</v>
      </c>
      <c r="B279" t="s">
        <v>2559</v>
      </c>
      <c r="C279" t="s">
        <v>2253</v>
      </c>
      <c r="D279" t="s">
        <v>284</v>
      </c>
      <c r="E279" t="s">
        <v>284</v>
      </c>
      <c r="F279" t="s">
        <v>285</v>
      </c>
      <c r="G279" t="s">
        <v>285</v>
      </c>
      <c r="H279" t="s">
        <v>5</v>
      </c>
      <c r="I279" t="s">
        <v>172</v>
      </c>
      <c r="J279" t="s">
        <v>769</v>
      </c>
      <c r="K279" t="s">
        <v>769</v>
      </c>
      <c r="L279" t="s">
        <v>387</v>
      </c>
      <c r="M279" t="s">
        <v>3167</v>
      </c>
      <c r="N279" t="s">
        <v>121</v>
      </c>
      <c r="O279" t="s">
        <v>1654</v>
      </c>
    </row>
    <row r="280" spans="1:15" x14ac:dyDescent="0.25">
      <c r="A280" t="s">
        <v>647</v>
      </c>
      <c r="B280" t="s">
        <v>2560</v>
      </c>
      <c r="C280" t="s">
        <v>2561</v>
      </c>
      <c r="D280" t="s">
        <v>284</v>
      </c>
      <c r="E280" t="s">
        <v>284</v>
      </c>
      <c r="F280" t="s">
        <v>285</v>
      </c>
      <c r="G280" t="s">
        <v>285</v>
      </c>
      <c r="H280" t="s">
        <v>5</v>
      </c>
      <c r="I280" t="s">
        <v>172</v>
      </c>
      <c r="J280" t="s">
        <v>788</v>
      </c>
      <c r="K280" t="s">
        <v>788</v>
      </c>
      <c r="L280" t="s">
        <v>647</v>
      </c>
      <c r="M280" t="s">
        <v>3167</v>
      </c>
      <c r="N280" t="s">
        <v>802</v>
      </c>
      <c r="O280" t="s">
        <v>1654</v>
      </c>
    </row>
    <row r="281" spans="1:15" x14ac:dyDescent="0.25">
      <c r="A281" t="s">
        <v>388</v>
      </c>
      <c r="B281" t="s">
        <v>2562</v>
      </c>
      <c r="C281" t="s">
        <v>1405</v>
      </c>
      <c r="D281" t="s">
        <v>285</v>
      </c>
      <c r="E281" t="s">
        <v>284</v>
      </c>
      <c r="F281" t="s">
        <v>285</v>
      </c>
      <c r="G281" t="s">
        <v>284</v>
      </c>
      <c r="H281" t="s">
        <v>5</v>
      </c>
      <c r="I281" t="s">
        <v>172</v>
      </c>
      <c r="J281" t="s">
        <v>2236</v>
      </c>
      <c r="K281" t="s">
        <v>1616</v>
      </c>
      <c r="L281" t="s">
        <v>388</v>
      </c>
      <c r="M281" t="s">
        <v>3168</v>
      </c>
      <c r="N281" t="s">
        <v>1527</v>
      </c>
      <c r="O281" t="s">
        <v>1654</v>
      </c>
    </row>
    <row r="282" spans="1:15" x14ac:dyDescent="0.25">
      <c r="A282" t="s">
        <v>1421</v>
      </c>
      <c r="B282" t="s">
        <v>2563</v>
      </c>
      <c r="C282" t="s">
        <v>1510</v>
      </c>
      <c r="D282" t="s">
        <v>285</v>
      </c>
      <c r="E282" t="s">
        <v>285</v>
      </c>
      <c r="F282" t="s">
        <v>285</v>
      </c>
      <c r="G282" t="s">
        <v>285</v>
      </c>
      <c r="H282" t="s">
        <v>1408</v>
      </c>
      <c r="I282" t="s">
        <v>172</v>
      </c>
      <c r="J282" t="s">
        <v>769</v>
      </c>
      <c r="K282" t="s">
        <v>769</v>
      </c>
      <c r="L282" t="s">
        <v>1421</v>
      </c>
      <c r="M282" t="s">
        <v>3167</v>
      </c>
      <c r="N282" t="s">
        <v>1527</v>
      </c>
      <c r="O282" t="s">
        <v>1654</v>
      </c>
    </row>
    <row r="283" spans="1:15" x14ac:dyDescent="0.25">
      <c r="A283" t="s">
        <v>627</v>
      </c>
      <c r="B283" t="s">
        <v>2564</v>
      </c>
      <c r="C283" t="s">
        <v>1540</v>
      </c>
      <c r="D283" t="s">
        <v>284</v>
      </c>
      <c r="E283" t="s">
        <v>285</v>
      </c>
      <c r="F283" t="s">
        <v>285</v>
      </c>
      <c r="G283" t="s">
        <v>285</v>
      </c>
      <c r="H283" t="s">
        <v>5</v>
      </c>
      <c r="I283" t="s">
        <v>172</v>
      </c>
      <c r="J283" t="s">
        <v>788</v>
      </c>
      <c r="K283" t="s">
        <v>788</v>
      </c>
      <c r="L283" t="s">
        <v>627</v>
      </c>
      <c r="M283" t="s">
        <v>3167</v>
      </c>
      <c r="N283" t="s">
        <v>121</v>
      </c>
      <c r="O283" t="s">
        <v>1654</v>
      </c>
    </row>
    <row r="284" spans="1:15" x14ac:dyDescent="0.25">
      <c r="A284" t="s">
        <v>667</v>
      </c>
      <c r="B284" t="s">
        <v>2565</v>
      </c>
      <c r="C284" t="s">
        <v>1509</v>
      </c>
      <c r="D284" t="s">
        <v>284</v>
      </c>
      <c r="E284" t="s">
        <v>285</v>
      </c>
      <c r="F284" t="s">
        <v>285</v>
      </c>
      <c r="G284" t="s">
        <v>285</v>
      </c>
      <c r="H284" t="s">
        <v>5</v>
      </c>
      <c r="I284" t="s">
        <v>172</v>
      </c>
      <c r="J284" t="s">
        <v>1509</v>
      </c>
      <c r="K284" t="s">
        <v>839</v>
      </c>
      <c r="L284" t="s">
        <v>667</v>
      </c>
      <c r="M284" t="s">
        <v>3168</v>
      </c>
      <c r="N284" t="s">
        <v>802</v>
      </c>
      <c r="O284" t="s">
        <v>789</v>
      </c>
    </row>
    <row r="285" spans="1:15" x14ac:dyDescent="0.25">
      <c r="A285" t="s">
        <v>706</v>
      </c>
      <c r="B285" t="s">
        <v>2566</v>
      </c>
      <c r="C285" t="s">
        <v>2402</v>
      </c>
      <c r="D285" t="s">
        <v>284</v>
      </c>
      <c r="E285" t="s">
        <v>284</v>
      </c>
      <c r="F285" t="s">
        <v>285</v>
      </c>
      <c r="G285" t="s">
        <v>285</v>
      </c>
      <c r="H285" t="s">
        <v>5</v>
      </c>
      <c r="I285" t="s">
        <v>172</v>
      </c>
      <c r="J285" t="s">
        <v>2225</v>
      </c>
      <c r="K285" t="s">
        <v>800</v>
      </c>
      <c r="L285" t="s">
        <v>706</v>
      </c>
      <c r="M285" t="s">
        <v>3168</v>
      </c>
      <c r="N285" t="s">
        <v>802</v>
      </c>
      <c r="O285" t="s">
        <v>789</v>
      </c>
    </row>
    <row r="286" spans="1:15" x14ac:dyDescent="0.25">
      <c r="A286" t="s">
        <v>709</v>
      </c>
      <c r="B286" t="s">
        <v>2567</v>
      </c>
      <c r="C286" t="s">
        <v>1518</v>
      </c>
      <c r="D286" t="s">
        <v>285</v>
      </c>
      <c r="E286" t="s">
        <v>284</v>
      </c>
      <c r="F286" t="s">
        <v>285</v>
      </c>
      <c r="G286" t="s">
        <v>284</v>
      </c>
      <c r="H286" t="s">
        <v>5</v>
      </c>
      <c r="I286" t="s">
        <v>172</v>
      </c>
      <c r="J286" t="s">
        <v>103</v>
      </c>
      <c r="K286" t="s">
        <v>101</v>
      </c>
      <c r="L286" t="s">
        <v>709</v>
      </c>
      <c r="M286" t="s">
        <v>3168</v>
      </c>
      <c r="N286" t="s">
        <v>802</v>
      </c>
      <c r="O286" t="s">
        <v>1654</v>
      </c>
    </row>
    <row r="287" spans="1:15" x14ac:dyDescent="0.25">
      <c r="A287" t="s">
        <v>1300</v>
      </c>
      <c r="B287" t="s">
        <v>2568</v>
      </c>
      <c r="C287" t="s">
        <v>1510</v>
      </c>
      <c r="D287" t="s">
        <v>285</v>
      </c>
      <c r="E287" t="s">
        <v>285</v>
      </c>
      <c r="F287" t="s">
        <v>285</v>
      </c>
      <c r="G287" t="s">
        <v>285</v>
      </c>
      <c r="H287" t="s">
        <v>1408</v>
      </c>
      <c r="I287" t="s">
        <v>172</v>
      </c>
      <c r="J287" t="s">
        <v>2277</v>
      </c>
      <c r="K287" t="s">
        <v>800</v>
      </c>
      <c r="L287" t="s">
        <v>1300</v>
      </c>
      <c r="M287" t="s">
        <v>3167</v>
      </c>
      <c r="N287" t="s">
        <v>121</v>
      </c>
      <c r="O287" t="s">
        <v>1654</v>
      </c>
    </row>
    <row r="288" spans="1:15" x14ac:dyDescent="0.25">
      <c r="A288" t="s">
        <v>389</v>
      </c>
      <c r="B288" t="s">
        <v>2569</v>
      </c>
      <c r="C288" t="s">
        <v>2253</v>
      </c>
      <c r="D288" t="s">
        <v>285</v>
      </c>
      <c r="E288" t="s">
        <v>285</v>
      </c>
      <c r="F288" t="s">
        <v>285</v>
      </c>
      <c r="G288" t="s">
        <v>285</v>
      </c>
      <c r="H288" t="s">
        <v>5</v>
      </c>
      <c r="I288" t="s">
        <v>172</v>
      </c>
      <c r="J288" t="s">
        <v>769</v>
      </c>
      <c r="K288" t="s">
        <v>769</v>
      </c>
      <c r="L288" t="s">
        <v>389</v>
      </c>
      <c r="M288" t="s">
        <v>3167</v>
      </c>
      <c r="N288" t="s">
        <v>3172</v>
      </c>
      <c r="O288" t="s">
        <v>1654</v>
      </c>
    </row>
    <row r="289" spans="1:15" x14ac:dyDescent="0.25">
      <c r="A289" t="s">
        <v>582</v>
      </c>
      <c r="B289" t="s">
        <v>2570</v>
      </c>
      <c r="C289" t="s">
        <v>2317</v>
      </c>
      <c r="D289" t="s">
        <v>285</v>
      </c>
      <c r="E289" t="s">
        <v>285</v>
      </c>
      <c r="F289" t="s">
        <v>285</v>
      </c>
      <c r="G289" t="s">
        <v>284</v>
      </c>
      <c r="H289" t="s">
        <v>5</v>
      </c>
      <c r="I289" t="s">
        <v>172</v>
      </c>
      <c r="J289" t="s">
        <v>2295</v>
      </c>
      <c r="K289" t="s">
        <v>98</v>
      </c>
      <c r="L289" t="s">
        <v>582</v>
      </c>
      <c r="M289" t="s">
        <v>3168</v>
      </c>
      <c r="N289" t="s">
        <v>3172</v>
      </c>
      <c r="O289" t="s">
        <v>1654</v>
      </c>
    </row>
    <row r="290" spans="1:15" x14ac:dyDescent="0.25">
      <c r="A290" t="s">
        <v>1081</v>
      </c>
      <c r="B290" t="s">
        <v>2571</v>
      </c>
      <c r="C290" t="s">
        <v>2335</v>
      </c>
      <c r="D290" t="s">
        <v>284</v>
      </c>
      <c r="E290" t="s">
        <v>285</v>
      </c>
      <c r="F290" t="s">
        <v>285</v>
      </c>
      <c r="G290" t="s">
        <v>285</v>
      </c>
      <c r="H290" t="s">
        <v>5</v>
      </c>
      <c r="I290" t="s">
        <v>172</v>
      </c>
      <c r="J290" t="s">
        <v>2336</v>
      </c>
      <c r="K290" t="s">
        <v>101</v>
      </c>
      <c r="L290" t="s">
        <v>1081</v>
      </c>
      <c r="M290" t="s">
        <v>3168</v>
      </c>
      <c r="N290" t="s">
        <v>1527</v>
      </c>
      <c r="O290" t="s">
        <v>789</v>
      </c>
    </row>
    <row r="291" spans="1:15" x14ac:dyDescent="0.25">
      <c r="A291" t="s">
        <v>497</v>
      </c>
      <c r="B291" t="s">
        <v>2572</v>
      </c>
      <c r="C291" t="s">
        <v>1518</v>
      </c>
      <c r="D291" t="s">
        <v>285</v>
      </c>
      <c r="E291" t="s">
        <v>285</v>
      </c>
      <c r="F291" t="s">
        <v>285</v>
      </c>
      <c r="G291" t="s">
        <v>284</v>
      </c>
      <c r="H291" t="s">
        <v>5</v>
      </c>
      <c r="I291" t="s">
        <v>172</v>
      </c>
      <c r="J291" t="s">
        <v>103</v>
      </c>
      <c r="K291" t="s">
        <v>101</v>
      </c>
      <c r="L291" t="s">
        <v>497</v>
      </c>
      <c r="M291" t="s">
        <v>3167</v>
      </c>
      <c r="N291" t="s">
        <v>802</v>
      </c>
      <c r="O291" t="s">
        <v>789</v>
      </c>
    </row>
    <row r="292" spans="1:15" x14ac:dyDescent="0.25">
      <c r="A292" t="s">
        <v>707</v>
      </c>
      <c r="B292" t="s">
        <v>2573</v>
      </c>
      <c r="C292" t="s">
        <v>1534</v>
      </c>
      <c r="D292" t="s">
        <v>285</v>
      </c>
      <c r="E292" t="s">
        <v>285</v>
      </c>
      <c r="F292" t="s">
        <v>285</v>
      </c>
      <c r="G292" t="s">
        <v>284</v>
      </c>
      <c r="H292" t="s">
        <v>5</v>
      </c>
      <c r="I292" t="s">
        <v>172</v>
      </c>
      <c r="J292" t="s">
        <v>800</v>
      </c>
      <c r="K292" t="s">
        <v>800</v>
      </c>
      <c r="L292" t="s">
        <v>707</v>
      </c>
      <c r="M292" t="s">
        <v>3167</v>
      </c>
      <c r="N292" t="s">
        <v>121</v>
      </c>
      <c r="O292" t="s">
        <v>1654</v>
      </c>
    </row>
    <row r="293" spans="1:15" x14ac:dyDescent="0.25">
      <c r="A293" t="s">
        <v>1441</v>
      </c>
      <c r="B293" t="s">
        <v>2574</v>
      </c>
      <c r="C293" t="s">
        <v>1514</v>
      </c>
      <c r="D293" t="s">
        <v>285</v>
      </c>
      <c r="E293" t="s">
        <v>284</v>
      </c>
      <c r="F293" t="s">
        <v>285</v>
      </c>
      <c r="G293" t="s">
        <v>284</v>
      </c>
      <c r="H293" t="s">
        <v>5</v>
      </c>
      <c r="I293" t="s">
        <v>172</v>
      </c>
      <c r="J293" t="s">
        <v>1514</v>
      </c>
      <c r="K293" t="s">
        <v>839</v>
      </c>
      <c r="L293" t="s">
        <v>1441</v>
      </c>
      <c r="M293" t="s">
        <v>3168</v>
      </c>
      <c r="N293" t="s">
        <v>802</v>
      </c>
      <c r="O293" t="s">
        <v>1654</v>
      </c>
    </row>
    <row r="294" spans="1:15" x14ac:dyDescent="0.25">
      <c r="A294" t="s">
        <v>737</v>
      </c>
      <c r="B294" t="s">
        <v>2575</v>
      </c>
      <c r="C294" t="s">
        <v>2402</v>
      </c>
      <c r="D294" t="s">
        <v>285</v>
      </c>
      <c r="E294" t="s">
        <v>285</v>
      </c>
      <c r="F294" t="s">
        <v>285</v>
      </c>
      <c r="G294" t="s">
        <v>284</v>
      </c>
      <c r="H294" t="s">
        <v>5</v>
      </c>
      <c r="I294" t="s">
        <v>172</v>
      </c>
      <c r="J294" t="s">
        <v>2225</v>
      </c>
      <c r="K294" t="s">
        <v>800</v>
      </c>
      <c r="L294" t="s">
        <v>737</v>
      </c>
      <c r="M294" t="s">
        <v>3168</v>
      </c>
      <c r="N294" t="s">
        <v>802</v>
      </c>
      <c r="O294" t="s">
        <v>789</v>
      </c>
    </row>
    <row r="295" spans="1:15" x14ac:dyDescent="0.25">
      <c r="A295" t="s">
        <v>693</v>
      </c>
      <c r="B295" t="s">
        <v>2576</v>
      </c>
      <c r="C295" t="s">
        <v>2378</v>
      </c>
      <c r="D295" t="s">
        <v>284</v>
      </c>
      <c r="E295" t="s">
        <v>284</v>
      </c>
      <c r="F295" t="s">
        <v>285</v>
      </c>
      <c r="G295" t="s">
        <v>285</v>
      </c>
      <c r="H295" t="s">
        <v>5</v>
      </c>
      <c r="I295" t="s">
        <v>172</v>
      </c>
      <c r="J295" t="s">
        <v>2378</v>
      </c>
      <c r="K295" t="s">
        <v>840</v>
      </c>
      <c r="L295" t="s">
        <v>693</v>
      </c>
      <c r="M295" t="s">
        <v>3168</v>
      </c>
      <c r="N295" t="s">
        <v>121</v>
      </c>
      <c r="O295" t="s">
        <v>1654</v>
      </c>
    </row>
    <row r="296" spans="1:15" x14ac:dyDescent="0.25">
      <c r="A296" t="s">
        <v>708</v>
      </c>
      <c r="B296" t="s">
        <v>2577</v>
      </c>
      <c r="C296" t="s">
        <v>2493</v>
      </c>
      <c r="D296" t="s">
        <v>285</v>
      </c>
      <c r="E296" t="s">
        <v>285</v>
      </c>
      <c r="F296" t="s">
        <v>285</v>
      </c>
      <c r="G296" t="s">
        <v>284</v>
      </c>
      <c r="H296" t="s">
        <v>5</v>
      </c>
      <c r="I296" t="s">
        <v>172</v>
      </c>
      <c r="J296" t="s">
        <v>780</v>
      </c>
      <c r="K296" t="s">
        <v>780</v>
      </c>
      <c r="L296" t="s">
        <v>708</v>
      </c>
      <c r="M296" t="s">
        <v>3168</v>
      </c>
      <c r="N296" t="s">
        <v>3172</v>
      </c>
      <c r="O296" t="s">
        <v>1654</v>
      </c>
    </row>
    <row r="297" spans="1:15" x14ac:dyDescent="0.25">
      <c r="A297" t="s">
        <v>957</v>
      </c>
      <c r="B297" t="s">
        <v>2578</v>
      </c>
      <c r="C297" t="s">
        <v>1509</v>
      </c>
      <c r="D297" t="s">
        <v>285</v>
      </c>
      <c r="E297" t="s">
        <v>284</v>
      </c>
      <c r="F297" t="s">
        <v>285</v>
      </c>
      <c r="G297" t="s">
        <v>284</v>
      </c>
      <c r="H297" t="s">
        <v>5</v>
      </c>
      <c r="I297" t="s">
        <v>172</v>
      </c>
      <c r="J297" t="s">
        <v>1509</v>
      </c>
      <c r="K297" t="s">
        <v>839</v>
      </c>
      <c r="L297" t="s">
        <v>957</v>
      </c>
      <c r="M297" t="s">
        <v>3168</v>
      </c>
      <c r="N297" t="s">
        <v>1527</v>
      </c>
      <c r="O297" t="s">
        <v>1654</v>
      </c>
    </row>
    <row r="298" spans="1:15" x14ac:dyDescent="0.25">
      <c r="A298" t="s">
        <v>727</v>
      </c>
      <c r="B298" t="s">
        <v>2579</v>
      </c>
      <c r="C298" t="s">
        <v>2317</v>
      </c>
      <c r="D298" t="s">
        <v>285</v>
      </c>
      <c r="E298" t="s">
        <v>284</v>
      </c>
      <c r="F298" t="s">
        <v>285</v>
      </c>
      <c r="G298" t="s">
        <v>284</v>
      </c>
      <c r="H298" t="s">
        <v>5</v>
      </c>
      <c r="I298" t="s">
        <v>172</v>
      </c>
      <c r="J298" t="s">
        <v>2295</v>
      </c>
      <c r="K298" t="s">
        <v>98</v>
      </c>
      <c r="L298" t="s">
        <v>727</v>
      </c>
      <c r="M298" t="s">
        <v>3168</v>
      </c>
      <c r="N298" t="s">
        <v>1527</v>
      </c>
      <c r="O298" t="s">
        <v>789</v>
      </c>
    </row>
    <row r="299" spans="1:15" x14ac:dyDescent="0.25">
      <c r="A299" t="s">
        <v>696</v>
      </c>
      <c r="B299" t="s">
        <v>2580</v>
      </c>
      <c r="C299" t="s">
        <v>2581</v>
      </c>
      <c r="D299" t="s">
        <v>284</v>
      </c>
      <c r="E299" t="s">
        <v>285</v>
      </c>
      <c r="F299" t="s">
        <v>285</v>
      </c>
      <c r="G299" t="s">
        <v>285</v>
      </c>
      <c r="H299" t="s">
        <v>5</v>
      </c>
      <c r="I299" t="s">
        <v>172</v>
      </c>
      <c r="J299" t="s">
        <v>780</v>
      </c>
      <c r="K299" t="s">
        <v>780</v>
      </c>
      <c r="L299" t="s">
        <v>696</v>
      </c>
      <c r="M299" t="s">
        <v>3168</v>
      </c>
      <c r="N299" t="s">
        <v>3172</v>
      </c>
      <c r="O299" t="s">
        <v>1654</v>
      </c>
    </row>
    <row r="300" spans="1:15" x14ac:dyDescent="0.25">
      <c r="A300" t="s">
        <v>390</v>
      </c>
      <c r="B300" t="s">
        <v>2582</v>
      </c>
      <c r="C300" t="s">
        <v>1509</v>
      </c>
      <c r="D300" t="s">
        <v>284</v>
      </c>
      <c r="E300" t="s">
        <v>284</v>
      </c>
      <c r="F300" t="s">
        <v>285</v>
      </c>
      <c r="G300" t="s">
        <v>285</v>
      </c>
      <c r="H300" t="s">
        <v>5</v>
      </c>
      <c r="I300" t="s">
        <v>172</v>
      </c>
      <c r="J300" t="s">
        <v>1467</v>
      </c>
      <c r="K300" t="s">
        <v>839</v>
      </c>
      <c r="L300" t="s">
        <v>390</v>
      </c>
      <c r="M300" t="s">
        <v>3168</v>
      </c>
      <c r="N300" t="s">
        <v>802</v>
      </c>
      <c r="O300" t="s">
        <v>789</v>
      </c>
    </row>
    <row r="301" spans="1:15" x14ac:dyDescent="0.25">
      <c r="A301" t="s">
        <v>1215</v>
      </c>
      <c r="B301" t="s">
        <v>2583</v>
      </c>
      <c r="C301" t="s">
        <v>2584</v>
      </c>
      <c r="D301" t="s">
        <v>285</v>
      </c>
      <c r="E301" t="s">
        <v>285</v>
      </c>
      <c r="F301" t="s">
        <v>285</v>
      </c>
      <c r="G301" t="s">
        <v>284</v>
      </c>
      <c r="H301" t="s">
        <v>5</v>
      </c>
      <c r="I301" t="s">
        <v>172</v>
      </c>
      <c r="J301" t="s">
        <v>2585</v>
      </c>
      <c r="K301" t="s">
        <v>788</v>
      </c>
      <c r="L301" t="s">
        <v>1215</v>
      </c>
      <c r="M301" t="s">
        <v>3168</v>
      </c>
      <c r="N301" t="s">
        <v>1527</v>
      </c>
      <c r="O301" t="s">
        <v>1654</v>
      </c>
    </row>
    <row r="302" spans="1:15" x14ac:dyDescent="0.25">
      <c r="A302" t="s">
        <v>568</v>
      </c>
      <c r="B302" t="s">
        <v>2586</v>
      </c>
      <c r="C302" t="s">
        <v>2309</v>
      </c>
      <c r="D302" t="s">
        <v>285</v>
      </c>
      <c r="E302" t="s">
        <v>285</v>
      </c>
      <c r="F302" t="s">
        <v>285</v>
      </c>
      <c r="G302" t="s">
        <v>284</v>
      </c>
      <c r="H302" t="s">
        <v>5</v>
      </c>
      <c r="I302" t="s">
        <v>172</v>
      </c>
      <c r="J302" t="s">
        <v>2587</v>
      </c>
      <c r="K302" t="s">
        <v>840</v>
      </c>
      <c r="L302" t="s">
        <v>568</v>
      </c>
      <c r="M302" t="s">
        <v>3168</v>
      </c>
      <c r="N302" t="s">
        <v>1527</v>
      </c>
      <c r="O302" t="s">
        <v>1654</v>
      </c>
    </row>
    <row r="303" spans="1:15" x14ac:dyDescent="0.25">
      <c r="A303" t="s">
        <v>827</v>
      </c>
      <c r="B303" t="s">
        <v>2588</v>
      </c>
      <c r="C303" t="s">
        <v>2589</v>
      </c>
      <c r="D303" t="s">
        <v>285</v>
      </c>
      <c r="E303" t="s">
        <v>284</v>
      </c>
      <c r="F303" t="s">
        <v>285</v>
      </c>
      <c r="G303" t="s">
        <v>285</v>
      </c>
      <c r="H303" t="s">
        <v>5</v>
      </c>
      <c r="I303" t="s">
        <v>172</v>
      </c>
      <c r="J303" t="s">
        <v>2225</v>
      </c>
      <c r="K303" t="s">
        <v>800</v>
      </c>
      <c r="L303" t="s">
        <v>827</v>
      </c>
      <c r="M303" t="s">
        <v>3168</v>
      </c>
      <c r="N303" t="s">
        <v>802</v>
      </c>
      <c r="O303" t="s">
        <v>789</v>
      </c>
    </row>
    <row r="304" spans="1:15" x14ac:dyDescent="0.25">
      <c r="A304" t="s">
        <v>1133</v>
      </c>
      <c r="B304" t="s">
        <v>2590</v>
      </c>
      <c r="C304" t="s">
        <v>1510</v>
      </c>
      <c r="D304" t="s">
        <v>285</v>
      </c>
      <c r="E304" t="s">
        <v>285</v>
      </c>
      <c r="F304" t="s">
        <v>285</v>
      </c>
      <c r="G304" t="s">
        <v>285</v>
      </c>
      <c r="H304" t="s">
        <v>1408</v>
      </c>
      <c r="I304" t="s">
        <v>172</v>
      </c>
      <c r="J304" t="s">
        <v>89</v>
      </c>
      <c r="K304" t="s">
        <v>89</v>
      </c>
      <c r="L304" t="s">
        <v>1133</v>
      </c>
      <c r="M304" t="s">
        <v>3168</v>
      </c>
      <c r="N304" t="s">
        <v>3172</v>
      </c>
      <c r="O304" t="s">
        <v>1654</v>
      </c>
    </row>
    <row r="305" spans="1:15" x14ac:dyDescent="0.25">
      <c r="A305" t="s">
        <v>701</v>
      </c>
      <c r="B305" t="s">
        <v>2591</v>
      </c>
      <c r="C305" t="s">
        <v>2240</v>
      </c>
      <c r="D305" t="s">
        <v>285</v>
      </c>
      <c r="E305" t="s">
        <v>284</v>
      </c>
      <c r="F305" t="s">
        <v>285</v>
      </c>
      <c r="G305" t="s">
        <v>285</v>
      </c>
      <c r="H305" t="s">
        <v>5</v>
      </c>
      <c r="I305" t="s">
        <v>172</v>
      </c>
      <c r="J305" t="s">
        <v>2240</v>
      </c>
      <c r="K305" t="s">
        <v>840</v>
      </c>
      <c r="L305" t="s">
        <v>701</v>
      </c>
      <c r="M305" t="s">
        <v>3168</v>
      </c>
      <c r="N305" t="s">
        <v>802</v>
      </c>
      <c r="O305" t="s">
        <v>1654</v>
      </c>
    </row>
    <row r="306" spans="1:15" x14ac:dyDescent="0.25">
      <c r="A306" t="s">
        <v>862</v>
      </c>
      <c r="B306" t="s">
        <v>2592</v>
      </c>
      <c r="C306" t="s">
        <v>1214</v>
      </c>
      <c r="D306" t="s">
        <v>285</v>
      </c>
      <c r="E306" t="s">
        <v>285</v>
      </c>
      <c r="F306" t="s">
        <v>285</v>
      </c>
      <c r="G306" t="s">
        <v>284</v>
      </c>
      <c r="H306" t="s">
        <v>5</v>
      </c>
      <c r="I306" t="s">
        <v>172</v>
      </c>
      <c r="J306" t="s">
        <v>1214</v>
      </c>
      <c r="K306" t="s">
        <v>101</v>
      </c>
      <c r="L306" t="s">
        <v>862</v>
      </c>
      <c r="M306" t="s">
        <v>3168</v>
      </c>
      <c r="N306" t="s">
        <v>1527</v>
      </c>
      <c r="O306" t="s">
        <v>1654</v>
      </c>
    </row>
    <row r="307" spans="1:15" x14ac:dyDescent="0.25">
      <c r="A307" t="s">
        <v>1203</v>
      </c>
      <c r="B307" t="s">
        <v>2593</v>
      </c>
      <c r="C307" t="s">
        <v>1510</v>
      </c>
      <c r="D307" t="s">
        <v>285</v>
      </c>
      <c r="E307" t="s">
        <v>285</v>
      </c>
      <c r="F307" t="s">
        <v>285</v>
      </c>
      <c r="G307" t="s">
        <v>285</v>
      </c>
      <c r="H307" t="s">
        <v>1408</v>
      </c>
      <c r="I307" t="s">
        <v>812</v>
      </c>
      <c r="J307" t="s">
        <v>812</v>
      </c>
      <c r="K307" t="s">
        <v>800</v>
      </c>
      <c r="L307" t="s">
        <v>1203</v>
      </c>
      <c r="M307" t="s">
        <v>1527</v>
      </c>
      <c r="N307" t="s">
        <v>1527</v>
      </c>
      <c r="O307" t="s">
        <v>1654</v>
      </c>
    </row>
    <row r="308" spans="1:15" x14ac:dyDescent="0.25">
      <c r="A308" t="s">
        <v>900</v>
      </c>
      <c r="B308" t="s">
        <v>2594</v>
      </c>
      <c r="C308" t="s">
        <v>1510</v>
      </c>
      <c r="D308" t="s">
        <v>285</v>
      </c>
      <c r="E308" t="s">
        <v>285</v>
      </c>
      <c r="F308" t="s">
        <v>285</v>
      </c>
      <c r="G308" t="s">
        <v>285</v>
      </c>
      <c r="H308" t="s">
        <v>1408</v>
      </c>
      <c r="I308" t="s">
        <v>812</v>
      </c>
      <c r="J308" t="s">
        <v>812</v>
      </c>
      <c r="K308" t="s">
        <v>800</v>
      </c>
      <c r="L308" t="s">
        <v>900</v>
      </c>
      <c r="M308" t="s">
        <v>1527</v>
      </c>
      <c r="N308" t="s">
        <v>1527</v>
      </c>
      <c r="O308" t="s">
        <v>1654</v>
      </c>
    </row>
    <row r="309" spans="1:15" x14ac:dyDescent="0.25">
      <c r="A309" t="s">
        <v>1403</v>
      </c>
      <c r="B309" t="s">
        <v>2595</v>
      </c>
      <c r="C309" t="s">
        <v>1510</v>
      </c>
      <c r="D309" t="s">
        <v>285</v>
      </c>
      <c r="E309" t="s">
        <v>285</v>
      </c>
      <c r="F309" t="s">
        <v>285</v>
      </c>
      <c r="G309" t="s">
        <v>285</v>
      </c>
      <c r="H309" t="s">
        <v>1408</v>
      </c>
      <c r="I309" t="s">
        <v>812</v>
      </c>
      <c r="J309" t="s">
        <v>812</v>
      </c>
      <c r="K309" t="s">
        <v>800</v>
      </c>
      <c r="L309" t="s">
        <v>1403</v>
      </c>
      <c r="M309" t="s">
        <v>1527</v>
      </c>
      <c r="N309" t="s">
        <v>1527</v>
      </c>
      <c r="O309" t="s">
        <v>1654</v>
      </c>
    </row>
    <row r="310" spans="1:15" x14ac:dyDescent="0.25">
      <c r="A310" t="s">
        <v>111</v>
      </c>
      <c r="B310" t="s">
        <v>2596</v>
      </c>
      <c r="C310" t="s">
        <v>1510</v>
      </c>
      <c r="D310" t="s">
        <v>285</v>
      </c>
      <c r="E310" t="s">
        <v>285</v>
      </c>
      <c r="F310" t="s">
        <v>285</v>
      </c>
      <c r="G310" t="s">
        <v>285</v>
      </c>
      <c r="H310" t="s">
        <v>1408</v>
      </c>
      <c r="I310" t="s">
        <v>812</v>
      </c>
      <c r="J310" t="s">
        <v>812</v>
      </c>
      <c r="K310" t="s">
        <v>800</v>
      </c>
      <c r="L310" t="s">
        <v>111</v>
      </c>
      <c r="M310" t="s">
        <v>1527</v>
      </c>
      <c r="N310" t="s">
        <v>1527</v>
      </c>
      <c r="O310" t="s">
        <v>1654</v>
      </c>
    </row>
    <row r="311" spans="1:15" x14ac:dyDescent="0.25">
      <c r="A311" t="s">
        <v>985</v>
      </c>
      <c r="B311" t="s">
        <v>2597</v>
      </c>
      <c r="C311" t="s">
        <v>1510</v>
      </c>
      <c r="D311" t="s">
        <v>285</v>
      </c>
      <c r="E311" t="s">
        <v>285</v>
      </c>
      <c r="F311" t="s">
        <v>285</v>
      </c>
      <c r="G311" t="s">
        <v>285</v>
      </c>
      <c r="H311" t="s">
        <v>1408</v>
      </c>
      <c r="I311" t="s">
        <v>172</v>
      </c>
      <c r="J311" t="s">
        <v>2178</v>
      </c>
      <c r="K311" t="s">
        <v>800</v>
      </c>
      <c r="L311" t="s">
        <v>985</v>
      </c>
      <c r="M311" t="s">
        <v>3167</v>
      </c>
      <c r="N311" t="s">
        <v>121</v>
      </c>
      <c r="O311" t="s">
        <v>789</v>
      </c>
    </row>
    <row r="312" spans="1:15" x14ac:dyDescent="0.25">
      <c r="A312" t="s">
        <v>1225</v>
      </c>
      <c r="B312" t="s">
        <v>2598</v>
      </c>
      <c r="C312" t="s">
        <v>1510</v>
      </c>
      <c r="D312" t="s">
        <v>285</v>
      </c>
      <c r="E312" t="s">
        <v>285</v>
      </c>
      <c r="F312" t="s">
        <v>285</v>
      </c>
      <c r="G312" t="s">
        <v>285</v>
      </c>
      <c r="H312" t="s">
        <v>1408</v>
      </c>
      <c r="I312" t="s">
        <v>812</v>
      </c>
      <c r="J312" t="s">
        <v>812</v>
      </c>
      <c r="K312" t="s">
        <v>800</v>
      </c>
      <c r="L312" t="s">
        <v>1225</v>
      </c>
      <c r="M312" t="s">
        <v>1527</v>
      </c>
      <c r="N312" t="s">
        <v>1527</v>
      </c>
      <c r="O312" t="s">
        <v>1654</v>
      </c>
    </row>
    <row r="313" spans="1:15" x14ac:dyDescent="0.25">
      <c r="A313" t="s">
        <v>724</v>
      </c>
      <c r="B313" t="s">
        <v>2599</v>
      </c>
      <c r="C313" t="s">
        <v>2600</v>
      </c>
      <c r="D313" t="s">
        <v>285</v>
      </c>
      <c r="E313" t="s">
        <v>284</v>
      </c>
      <c r="F313" t="s">
        <v>285</v>
      </c>
      <c r="G313" t="s">
        <v>284</v>
      </c>
      <c r="H313" t="s">
        <v>5</v>
      </c>
      <c r="I313" t="s">
        <v>172</v>
      </c>
      <c r="J313" t="s">
        <v>2263</v>
      </c>
      <c r="K313" t="s">
        <v>840</v>
      </c>
      <c r="L313" t="s">
        <v>724</v>
      </c>
      <c r="M313" t="s">
        <v>3168</v>
      </c>
      <c r="N313" t="s">
        <v>121</v>
      </c>
      <c r="O313" t="s">
        <v>1654</v>
      </c>
    </row>
    <row r="314" spans="1:15" x14ac:dyDescent="0.25">
      <c r="A314" t="s">
        <v>1412</v>
      </c>
      <c r="B314" t="s">
        <v>2601</v>
      </c>
      <c r="C314" t="s">
        <v>1526</v>
      </c>
      <c r="D314" t="s">
        <v>285</v>
      </c>
      <c r="E314" t="s">
        <v>285</v>
      </c>
      <c r="F314" t="s">
        <v>285</v>
      </c>
      <c r="G314" t="s">
        <v>284</v>
      </c>
      <c r="H314" t="s">
        <v>5</v>
      </c>
      <c r="I314" t="s">
        <v>172</v>
      </c>
      <c r="J314" t="s">
        <v>103</v>
      </c>
      <c r="K314" t="s">
        <v>101</v>
      </c>
      <c r="L314" t="s">
        <v>1412</v>
      </c>
      <c r="M314" t="s">
        <v>3167</v>
      </c>
      <c r="N314" t="s">
        <v>121</v>
      </c>
      <c r="O314" t="s">
        <v>789</v>
      </c>
    </row>
    <row r="315" spans="1:15" x14ac:dyDescent="0.25">
      <c r="A315" t="s">
        <v>37</v>
      </c>
      <c r="B315" t="s">
        <v>2602</v>
      </c>
      <c r="C315" t="s">
        <v>1529</v>
      </c>
      <c r="D315" t="s">
        <v>285</v>
      </c>
      <c r="E315" t="s">
        <v>285</v>
      </c>
      <c r="F315" t="s">
        <v>285</v>
      </c>
      <c r="G315" t="s">
        <v>285</v>
      </c>
      <c r="H315" t="s">
        <v>1529</v>
      </c>
      <c r="I315" t="s">
        <v>812</v>
      </c>
      <c r="J315" t="s">
        <v>2603</v>
      </c>
      <c r="K315" t="s">
        <v>800</v>
      </c>
      <c r="L315" t="s">
        <v>37</v>
      </c>
      <c r="M315" t="s">
        <v>1527</v>
      </c>
      <c r="N315" t="s">
        <v>1527</v>
      </c>
      <c r="O315" t="s">
        <v>1654</v>
      </c>
    </row>
    <row r="316" spans="1:15" x14ac:dyDescent="0.25">
      <c r="A316" t="s">
        <v>120</v>
      </c>
      <c r="B316" t="s">
        <v>2604</v>
      </c>
      <c r="C316" t="s">
        <v>100</v>
      </c>
      <c r="D316" t="s">
        <v>285</v>
      </c>
      <c r="E316" t="s">
        <v>285</v>
      </c>
      <c r="F316" t="s">
        <v>285</v>
      </c>
      <c r="G316" t="s">
        <v>285</v>
      </c>
      <c r="H316" t="s">
        <v>2345</v>
      </c>
      <c r="I316" t="s">
        <v>814</v>
      </c>
      <c r="J316" t="s">
        <v>814</v>
      </c>
      <c r="K316" t="s">
        <v>801</v>
      </c>
      <c r="L316" t="s">
        <v>120</v>
      </c>
      <c r="M316" t="s">
        <v>1527</v>
      </c>
      <c r="N316" t="s">
        <v>1527</v>
      </c>
      <c r="O316" t="s">
        <v>789</v>
      </c>
    </row>
    <row r="317" spans="1:15" x14ac:dyDescent="0.25">
      <c r="A317" t="s">
        <v>630</v>
      </c>
      <c r="B317" t="s">
        <v>2605</v>
      </c>
      <c r="C317" t="s">
        <v>1508</v>
      </c>
      <c r="D317" t="s">
        <v>284</v>
      </c>
      <c r="E317" t="s">
        <v>285</v>
      </c>
      <c r="F317" t="s">
        <v>285</v>
      </c>
      <c r="G317" t="s">
        <v>285</v>
      </c>
      <c r="H317" t="s">
        <v>5</v>
      </c>
      <c r="I317" t="s">
        <v>172</v>
      </c>
      <c r="J317" t="s">
        <v>2606</v>
      </c>
      <c r="K317" t="s">
        <v>788</v>
      </c>
      <c r="L317" t="s">
        <v>630</v>
      </c>
      <c r="M317" t="s">
        <v>3168</v>
      </c>
      <c r="N317" t="s">
        <v>802</v>
      </c>
      <c r="O317" t="s">
        <v>789</v>
      </c>
    </row>
    <row r="318" spans="1:15" x14ac:dyDescent="0.25">
      <c r="A318" t="s">
        <v>85</v>
      </c>
      <c r="B318" t="s">
        <v>2607</v>
      </c>
      <c r="C318" t="s">
        <v>1510</v>
      </c>
      <c r="D318" t="s">
        <v>285</v>
      </c>
      <c r="E318" t="s">
        <v>285</v>
      </c>
      <c r="F318" t="s">
        <v>285</v>
      </c>
      <c r="G318" t="s">
        <v>285</v>
      </c>
      <c r="H318" t="s">
        <v>1408</v>
      </c>
      <c r="I318" t="s">
        <v>172</v>
      </c>
      <c r="J318" t="s">
        <v>814</v>
      </c>
      <c r="K318" t="s">
        <v>801</v>
      </c>
      <c r="L318" t="s">
        <v>85</v>
      </c>
      <c r="M318" t="s">
        <v>3167</v>
      </c>
      <c r="N318" t="s">
        <v>1527</v>
      </c>
      <c r="O318" t="s">
        <v>789</v>
      </c>
    </row>
    <row r="319" spans="1:15" x14ac:dyDescent="0.25">
      <c r="A319" t="s">
        <v>90</v>
      </c>
      <c r="B319" t="s">
        <v>2608</v>
      </c>
      <c r="C319" t="s">
        <v>1510</v>
      </c>
      <c r="D319" t="s">
        <v>285</v>
      </c>
      <c r="E319" t="s">
        <v>285</v>
      </c>
      <c r="F319" t="s">
        <v>285</v>
      </c>
      <c r="G319" t="s">
        <v>285</v>
      </c>
      <c r="H319" t="s">
        <v>1408</v>
      </c>
      <c r="I319" t="s">
        <v>172</v>
      </c>
      <c r="J319" t="s">
        <v>814</v>
      </c>
      <c r="K319" t="s">
        <v>801</v>
      </c>
      <c r="L319" t="s">
        <v>90</v>
      </c>
      <c r="M319" t="s">
        <v>3167</v>
      </c>
      <c r="N319" t="s">
        <v>1527</v>
      </c>
      <c r="O319" t="s">
        <v>789</v>
      </c>
    </row>
    <row r="320" spans="1:15" x14ac:dyDescent="0.25">
      <c r="A320" t="s">
        <v>392</v>
      </c>
      <c r="B320" t="s">
        <v>2609</v>
      </c>
      <c r="C320" t="s">
        <v>1543</v>
      </c>
      <c r="D320" t="s">
        <v>284</v>
      </c>
      <c r="E320" t="s">
        <v>285</v>
      </c>
      <c r="F320" t="s">
        <v>284</v>
      </c>
      <c r="G320" t="s">
        <v>285</v>
      </c>
      <c r="H320" t="s">
        <v>5</v>
      </c>
      <c r="I320" t="s">
        <v>172</v>
      </c>
      <c r="J320" t="s">
        <v>788</v>
      </c>
      <c r="K320" t="s">
        <v>788</v>
      </c>
      <c r="L320" t="s">
        <v>392</v>
      </c>
      <c r="M320" t="s">
        <v>3168</v>
      </c>
      <c r="N320" t="s">
        <v>802</v>
      </c>
      <c r="O320" t="s">
        <v>789</v>
      </c>
    </row>
    <row r="321" spans="1:15" x14ac:dyDescent="0.25">
      <c r="A321" t="s">
        <v>1651</v>
      </c>
      <c r="B321" t="s">
        <v>2610</v>
      </c>
      <c r="C321" t="s">
        <v>2253</v>
      </c>
      <c r="D321" t="s">
        <v>285</v>
      </c>
      <c r="E321" t="s">
        <v>285</v>
      </c>
      <c r="F321" t="s">
        <v>285</v>
      </c>
      <c r="G321" t="s">
        <v>284</v>
      </c>
      <c r="H321" t="s">
        <v>2611</v>
      </c>
      <c r="I321" t="s">
        <v>172</v>
      </c>
      <c r="J321" t="s">
        <v>769</v>
      </c>
      <c r="K321" t="s">
        <v>769</v>
      </c>
      <c r="L321" t="s">
        <v>1651</v>
      </c>
      <c r="M321" t="s">
        <v>3167</v>
      </c>
      <c r="N321" t="s">
        <v>3172</v>
      </c>
      <c r="O321" t="s">
        <v>1654</v>
      </c>
    </row>
    <row r="322" spans="1:15" x14ac:dyDescent="0.25">
      <c r="A322" t="s">
        <v>1153</v>
      </c>
      <c r="B322" t="s">
        <v>2612</v>
      </c>
      <c r="C322" t="s">
        <v>1510</v>
      </c>
      <c r="D322" t="s">
        <v>285</v>
      </c>
      <c r="E322" t="s">
        <v>285</v>
      </c>
      <c r="F322" t="s">
        <v>285</v>
      </c>
      <c r="G322" t="s">
        <v>285</v>
      </c>
      <c r="H322" t="s">
        <v>1408</v>
      </c>
      <c r="I322" t="s">
        <v>172</v>
      </c>
      <c r="J322" t="s">
        <v>2292</v>
      </c>
      <c r="K322" t="s">
        <v>89</v>
      </c>
      <c r="L322" t="s">
        <v>1153</v>
      </c>
      <c r="M322" t="s">
        <v>3168</v>
      </c>
      <c r="N322" t="s">
        <v>3172</v>
      </c>
      <c r="O322" t="s">
        <v>1654</v>
      </c>
    </row>
    <row r="323" spans="1:15" x14ac:dyDescent="0.25">
      <c r="A323" t="s">
        <v>571</v>
      </c>
      <c r="B323" t="s">
        <v>2613</v>
      </c>
      <c r="C323" t="s">
        <v>2294</v>
      </c>
      <c r="D323" t="s">
        <v>285</v>
      </c>
      <c r="E323" t="s">
        <v>285</v>
      </c>
      <c r="F323" t="s">
        <v>285</v>
      </c>
      <c r="G323" t="s">
        <v>285</v>
      </c>
      <c r="H323" t="s">
        <v>5</v>
      </c>
      <c r="I323" t="s">
        <v>172</v>
      </c>
      <c r="J323" t="s">
        <v>2614</v>
      </c>
      <c r="K323" t="s">
        <v>101</v>
      </c>
      <c r="L323" t="s">
        <v>571</v>
      </c>
      <c r="M323" t="s">
        <v>3167</v>
      </c>
      <c r="N323" t="s">
        <v>121</v>
      </c>
      <c r="O323" t="s">
        <v>1654</v>
      </c>
    </row>
    <row r="324" spans="1:15" x14ac:dyDescent="0.25">
      <c r="A324" t="s">
        <v>631</v>
      </c>
      <c r="B324" t="s">
        <v>2615</v>
      </c>
      <c r="C324" t="s">
        <v>2317</v>
      </c>
      <c r="D324" t="s">
        <v>284</v>
      </c>
      <c r="E324" t="s">
        <v>285</v>
      </c>
      <c r="F324" t="s">
        <v>285</v>
      </c>
      <c r="G324" t="s">
        <v>285</v>
      </c>
      <c r="H324" t="s">
        <v>5</v>
      </c>
      <c r="I324" t="s">
        <v>172</v>
      </c>
      <c r="J324" t="s">
        <v>2295</v>
      </c>
      <c r="K324" t="s">
        <v>98</v>
      </c>
      <c r="L324" t="s">
        <v>631</v>
      </c>
      <c r="M324" t="s">
        <v>3168</v>
      </c>
      <c r="N324" t="s">
        <v>3172</v>
      </c>
      <c r="O324" t="s">
        <v>1654</v>
      </c>
    </row>
    <row r="325" spans="1:15" x14ac:dyDescent="0.25">
      <c r="A325" t="s">
        <v>105</v>
      </c>
      <c r="B325" t="s">
        <v>2616</v>
      </c>
      <c r="C325" t="s">
        <v>780</v>
      </c>
      <c r="D325" t="s">
        <v>285</v>
      </c>
      <c r="E325" t="s">
        <v>285</v>
      </c>
      <c r="F325" t="s">
        <v>285</v>
      </c>
      <c r="G325" t="s">
        <v>284</v>
      </c>
      <c r="H325" t="s">
        <v>5</v>
      </c>
      <c r="I325" t="s">
        <v>172</v>
      </c>
      <c r="J325" t="s">
        <v>780</v>
      </c>
      <c r="K325" t="s">
        <v>780</v>
      </c>
      <c r="L325" t="s">
        <v>105</v>
      </c>
      <c r="M325" t="s">
        <v>3168</v>
      </c>
      <c r="N325" t="s">
        <v>121</v>
      </c>
      <c r="O325" t="s">
        <v>1654</v>
      </c>
    </row>
    <row r="326" spans="1:15" x14ac:dyDescent="0.25">
      <c r="A326" t="s">
        <v>844</v>
      </c>
      <c r="B326" t="s">
        <v>2617</v>
      </c>
      <c r="C326" t="s">
        <v>1505</v>
      </c>
      <c r="D326" t="s">
        <v>285</v>
      </c>
      <c r="E326" t="s">
        <v>285</v>
      </c>
      <c r="F326" t="s">
        <v>285</v>
      </c>
      <c r="G326" t="s">
        <v>285</v>
      </c>
      <c r="H326" t="s">
        <v>2340</v>
      </c>
      <c r="I326" t="s">
        <v>172</v>
      </c>
      <c r="J326" t="s">
        <v>832</v>
      </c>
      <c r="K326" t="s">
        <v>832</v>
      </c>
      <c r="L326" t="s">
        <v>844</v>
      </c>
      <c r="M326" t="s">
        <v>3168</v>
      </c>
      <c r="N326" t="s">
        <v>121</v>
      </c>
      <c r="O326" t="s">
        <v>1654</v>
      </c>
    </row>
    <row r="327" spans="1:15" x14ac:dyDescent="0.25">
      <c r="A327" t="s">
        <v>958</v>
      </c>
      <c r="B327" t="s">
        <v>2618</v>
      </c>
      <c r="C327" t="s">
        <v>1509</v>
      </c>
      <c r="D327" t="s">
        <v>285</v>
      </c>
      <c r="E327" t="s">
        <v>284</v>
      </c>
      <c r="F327" t="s">
        <v>285</v>
      </c>
      <c r="G327" t="s">
        <v>285</v>
      </c>
      <c r="H327" t="s">
        <v>5</v>
      </c>
      <c r="I327" t="s">
        <v>172</v>
      </c>
      <c r="J327" t="s">
        <v>1521</v>
      </c>
      <c r="K327" t="s">
        <v>101</v>
      </c>
      <c r="L327" t="s">
        <v>958</v>
      </c>
      <c r="M327" t="s">
        <v>3168</v>
      </c>
      <c r="N327" t="s">
        <v>1527</v>
      </c>
      <c r="O327" t="s">
        <v>1654</v>
      </c>
    </row>
    <row r="328" spans="1:15" x14ac:dyDescent="0.25">
      <c r="A328" t="s">
        <v>86</v>
      </c>
      <c r="B328" t="s">
        <v>2619</v>
      </c>
      <c r="C328" t="s">
        <v>1510</v>
      </c>
      <c r="D328" t="s">
        <v>285</v>
      </c>
      <c r="E328" t="s">
        <v>285</v>
      </c>
      <c r="F328" t="s">
        <v>285</v>
      </c>
      <c r="G328" t="s">
        <v>285</v>
      </c>
      <c r="H328" t="s">
        <v>2620</v>
      </c>
      <c r="I328" t="s">
        <v>814</v>
      </c>
      <c r="J328" t="s">
        <v>814</v>
      </c>
      <c r="K328" t="s">
        <v>801</v>
      </c>
      <c r="L328" t="s">
        <v>86</v>
      </c>
      <c r="M328" t="s">
        <v>1527</v>
      </c>
      <c r="N328" t="s">
        <v>1527</v>
      </c>
      <c r="O328" t="s">
        <v>789</v>
      </c>
    </row>
    <row r="329" spans="1:15" x14ac:dyDescent="0.25">
      <c r="A329" t="s">
        <v>393</v>
      </c>
      <c r="B329" t="s">
        <v>2621</v>
      </c>
      <c r="C329" t="s">
        <v>2338</v>
      </c>
      <c r="D329" t="s">
        <v>284</v>
      </c>
      <c r="E329" t="s">
        <v>285</v>
      </c>
      <c r="F329" t="s">
        <v>285</v>
      </c>
      <c r="G329" t="s">
        <v>285</v>
      </c>
      <c r="H329" t="s">
        <v>5</v>
      </c>
      <c r="I329" t="s">
        <v>172</v>
      </c>
      <c r="J329" t="s">
        <v>2557</v>
      </c>
      <c r="K329" t="s">
        <v>101</v>
      </c>
      <c r="L329" t="s">
        <v>393</v>
      </c>
      <c r="M329" t="s">
        <v>3167</v>
      </c>
      <c r="N329" t="s">
        <v>121</v>
      </c>
      <c r="O329" t="s">
        <v>1654</v>
      </c>
    </row>
    <row r="330" spans="1:15" x14ac:dyDescent="0.25">
      <c r="A330" t="s">
        <v>394</v>
      </c>
      <c r="B330" t="s">
        <v>2622</v>
      </c>
      <c r="C330" t="s">
        <v>1518</v>
      </c>
      <c r="D330" t="s">
        <v>285</v>
      </c>
      <c r="E330" t="s">
        <v>285</v>
      </c>
      <c r="F330" t="s">
        <v>285</v>
      </c>
      <c r="G330" t="s">
        <v>284</v>
      </c>
      <c r="H330" t="s">
        <v>5</v>
      </c>
      <c r="I330" t="s">
        <v>172</v>
      </c>
      <c r="J330" t="s">
        <v>103</v>
      </c>
      <c r="K330" t="s">
        <v>101</v>
      </c>
      <c r="L330" t="s">
        <v>394</v>
      </c>
      <c r="M330" t="s">
        <v>3167</v>
      </c>
      <c r="N330" t="s">
        <v>1527</v>
      </c>
      <c r="O330" t="s">
        <v>1654</v>
      </c>
    </row>
    <row r="331" spans="1:15" x14ac:dyDescent="0.25">
      <c r="A331" t="s">
        <v>521</v>
      </c>
      <c r="B331" t="s">
        <v>2623</v>
      </c>
      <c r="C331" t="s">
        <v>2298</v>
      </c>
      <c r="D331" t="s">
        <v>285</v>
      </c>
      <c r="E331" t="s">
        <v>284</v>
      </c>
      <c r="F331" t="s">
        <v>285</v>
      </c>
      <c r="G331" t="s">
        <v>284</v>
      </c>
      <c r="H331" t="s">
        <v>5</v>
      </c>
      <c r="I331" t="s">
        <v>172</v>
      </c>
      <c r="J331" t="s">
        <v>103</v>
      </c>
      <c r="K331" t="s">
        <v>98</v>
      </c>
      <c r="L331" t="s">
        <v>521</v>
      </c>
      <c r="M331" t="s">
        <v>3168</v>
      </c>
      <c r="N331" t="s">
        <v>121</v>
      </c>
      <c r="O331" t="s">
        <v>1654</v>
      </c>
    </row>
    <row r="332" spans="1:15" x14ac:dyDescent="0.25">
      <c r="A332" t="s">
        <v>558</v>
      </c>
      <c r="B332" t="s">
        <v>2624</v>
      </c>
      <c r="C332" t="s">
        <v>1544</v>
      </c>
      <c r="D332" t="s">
        <v>285</v>
      </c>
      <c r="E332" t="s">
        <v>285</v>
      </c>
      <c r="F332" t="s">
        <v>285</v>
      </c>
      <c r="G332" t="s">
        <v>284</v>
      </c>
      <c r="H332" t="s">
        <v>5</v>
      </c>
      <c r="I332" t="s">
        <v>172</v>
      </c>
      <c r="J332" t="s">
        <v>2295</v>
      </c>
      <c r="K332" t="s">
        <v>101</v>
      </c>
      <c r="L332" t="s">
        <v>558</v>
      </c>
      <c r="M332" t="s">
        <v>3168</v>
      </c>
      <c r="N332" t="s">
        <v>802</v>
      </c>
      <c r="O332" t="s">
        <v>1654</v>
      </c>
    </row>
    <row r="333" spans="1:15" x14ac:dyDescent="0.25">
      <c r="A333" t="s">
        <v>170</v>
      </c>
      <c r="B333" t="s">
        <v>2625</v>
      </c>
      <c r="C333" t="s">
        <v>2309</v>
      </c>
      <c r="D333" t="s">
        <v>284</v>
      </c>
      <c r="E333" t="s">
        <v>284</v>
      </c>
      <c r="F333" t="s">
        <v>285</v>
      </c>
      <c r="G333" t="s">
        <v>285</v>
      </c>
      <c r="H333" t="s">
        <v>5</v>
      </c>
      <c r="I333" t="s">
        <v>172</v>
      </c>
      <c r="J333" t="s">
        <v>1504</v>
      </c>
      <c r="K333" t="s">
        <v>840</v>
      </c>
      <c r="L333" t="s">
        <v>170</v>
      </c>
      <c r="M333" t="s">
        <v>3168</v>
      </c>
      <c r="N333" t="s">
        <v>802</v>
      </c>
      <c r="O333" t="s">
        <v>789</v>
      </c>
    </row>
    <row r="334" spans="1:15" x14ac:dyDescent="0.25">
      <c r="A334" t="s">
        <v>3</v>
      </c>
      <c r="B334" t="s">
        <v>2626</v>
      </c>
      <c r="C334" t="s">
        <v>2309</v>
      </c>
      <c r="D334" t="s">
        <v>284</v>
      </c>
      <c r="E334" t="s">
        <v>284</v>
      </c>
      <c r="F334" t="s">
        <v>285</v>
      </c>
      <c r="G334" t="s">
        <v>285</v>
      </c>
      <c r="H334" t="s">
        <v>5</v>
      </c>
      <c r="I334" t="s">
        <v>172</v>
      </c>
      <c r="J334" t="s">
        <v>1504</v>
      </c>
      <c r="K334" t="s">
        <v>840</v>
      </c>
      <c r="L334" t="s">
        <v>3</v>
      </c>
      <c r="M334" t="s">
        <v>3168</v>
      </c>
      <c r="N334" t="s">
        <v>802</v>
      </c>
      <c r="O334" t="s">
        <v>789</v>
      </c>
    </row>
    <row r="335" spans="1:15" x14ac:dyDescent="0.25">
      <c r="A335" t="s">
        <v>547</v>
      </c>
      <c r="B335" t="s">
        <v>2627</v>
      </c>
      <c r="C335" t="s">
        <v>2294</v>
      </c>
      <c r="D335" t="s">
        <v>285</v>
      </c>
      <c r="E335" t="s">
        <v>285</v>
      </c>
      <c r="F335" t="s">
        <v>285</v>
      </c>
      <c r="G335" t="s">
        <v>285</v>
      </c>
      <c r="H335" t="s">
        <v>5</v>
      </c>
      <c r="I335" t="s">
        <v>172</v>
      </c>
      <c r="J335" t="s">
        <v>2614</v>
      </c>
      <c r="K335" t="s">
        <v>101</v>
      </c>
      <c r="L335" t="s">
        <v>547</v>
      </c>
      <c r="M335" t="s">
        <v>3167</v>
      </c>
      <c r="N335" t="s">
        <v>121</v>
      </c>
      <c r="O335" t="s">
        <v>1654</v>
      </c>
    </row>
    <row r="336" spans="1:15" x14ac:dyDescent="0.25">
      <c r="A336" t="s">
        <v>872</v>
      </c>
      <c r="B336" t="s">
        <v>2628</v>
      </c>
      <c r="C336" t="s">
        <v>1518</v>
      </c>
      <c r="D336" t="s">
        <v>285</v>
      </c>
      <c r="E336" t="s">
        <v>285</v>
      </c>
      <c r="F336" t="s">
        <v>285</v>
      </c>
      <c r="G336" t="s">
        <v>284</v>
      </c>
      <c r="H336" t="s">
        <v>5</v>
      </c>
      <c r="I336" t="s">
        <v>172</v>
      </c>
      <c r="J336" t="s">
        <v>103</v>
      </c>
      <c r="K336" t="s">
        <v>101</v>
      </c>
      <c r="L336" t="s">
        <v>872</v>
      </c>
      <c r="M336" t="s">
        <v>3167</v>
      </c>
      <c r="N336" t="s">
        <v>121</v>
      </c>
      <c r="O336" t="s">
        <v>1654</v>
      </c>
    </row>
    <row r="337" spans="1:15" x14ac:dyDescent="0.25">
      <c r="A337" t="s">
        <v>498</v>
      </c>
      <c r="B337" t="s">
        <v>2629</v>
      </c>
      <c r="C337" t="s">
        <v>2402</v>
      </c>
      <c r="D337" t="s">
        <v>284</v>
      </c>
      <c r="E337" t="s">
        <v>285</v>
      </c>
      <c r="F337" t="s">
        <v>285</v>
      </c>
      <c r="G337" t="s">
        <v>285</v>
      </c>
      <c r="H337" t="s">
        <v>5</v>
      </c>
      <c r="I337" t="s">
        <v>172</v>
      </c>
      <c r="J337" t="s">
        <v>2225</v>
      </c>
      <c r="K337" t="s">
        <v>800</v>
      </c>
      <c r="L337" t="s">
        <v>498</v>
      </c>
      <c r="M337" t="s">
        <v>3168</v>
      </c>
      <c r="N337" t="s">
        <v>121</v>
      </c>
      <c r="O337" t="s">
        <v>1654</v>
      </c>
    </row>
    <row r="338" spans="1:15" x14ac:dyDescent="0.25">
      <c r="A338" t="s">
        <v>97</v>
      </c>
      <c r="B338" t="s">
        <v>2630</v>
      </c>
      <c r="C338" t="s">
        <v>1510</v>
      </c>
      <c r="D338" t="s">
        <v>285</v>
      </c>
      <c r="E338" t="s">
        <v>285</v>
      </c>
      <c r="F338" t="s">
        <v>285</v>
      </c>
      <c r="G338" t="s">
        <v>285</v>
      </c>
      <c r="H338" t="s">
        <v>1408</v>
      </c>
      <c r="I338" t="s">
        <v>172</v>
      </c>
      <c r="J338" t="s">
        <v>2292</v>
      </c>
      <c r="K338" t="s">
        <v>788</v>
      </c>
      <c r="L338" t="s">
        <v>97</v>
      </c>
      <c r="M338" t="s">
        <v>3168</v>
      </c>
      <c r="N338" t="s">
        <v>1527</v>
      </c>
      <c r="O338" t="s">
        <v>789</v>
      </c>
    </row>
    <row r="339" spans="1:15" x14ac:dyDescent="0.25">
      <c r="A339" t="s">
        <v>1039</v>
      </c>
      <c r="B339" t="s">
        <v>2631</v>
      </c>
      <c r="C339" t="s">
        <v>1505</v>
      </c>
      <c r="D339" t="s">
        <v>285</v>
      </c>
      <c r="E339" t="s">
        <v>285</v>
      </c>
      <c r="F339" t="s">
        <v>285</v>
      </c>
      <c r="G339" t="s">
        <v>285</v>
      </c>
      <c r="H339" t="s">
        <v>2340</v>
      </c>
      <c r="I339" t="s">
        <v>172</v>
      </c>
      <c r="J339" t="s">
        <v>832</v>
      </c>
      <c r="K339" t="s">
        <v>832</v>
      </c>
      <c r="L339" t="s">
        <v>1039</v>
      </c>
      <c r="M339" t="s">
        <v>3168</v>
      </c>
      <c r="N339" t="s">
        <v>121</v>
      </c>
      <c r="O339" t="s">
        <v>1654</v>
      </c>
    </row>
    <row r="340" spans="1:15" x14ac:dyDescent="0.25">
      <c r="A340" t="s">
        <v>1069</v>
      </c>
      <c r="B340" t="s">
        <v>2632</v>
      </c>
      <c r="C340" t="s">
        <v>1510</v>
      </c>
      <c r="D340" t="s">
        <v>285</v>
      </c>
      <c r="E340" t="s">
        <v>285</v>
      </c>
      <c r="F340" t="s">
        <v>285</v>
      </c>
      <c r="G340" t="s">
        <v>285</v>
      </c>
      <c r="H340" t="s">
        <v>2286</v>
      </c>
      <c r="I340" t="s">
        <v>100</v>
      </c>
      <c r="J340" t="s">
        <v>2633</v>
      </c>
      <c r="K340" t="s">
        <v>801</v>
      </c>
      <c r="L340" t="s">
        <v>1069</v>
      </c>
      <c r="M340" t="s">
        <v>3167</v>
      </c>
      <c r="N340" t="s">
        <v>1527</v>
      </c>
      <c r="O340" t="s">
        <v>789</v>
      </c>
    </row>
    <row r="341" spans="1:15" x14ac:dyDescent="0.25">
      <c r="A341" t="s">
        <v>973</v>
      </c>
      <c r="B341" t="s">
        <v>2634</v>
      </c>
      <c r="C341" t="s">
        <v>1505</v>
      </c>
      <c r="D341" t="s">
        <v>285</v>
      </c>
      <c r="E341" t="s">
        <v>285</v>
      </c>
      <c r="F341" t="s">
        <v>285</v>
      </c>
      <c r="G341" t="s">
        <v>285</v>
      </c>
      <c r="H341" t="s">
        <v>2340</v>
      </c>
      <c r="I341" t="s">
        <v>172</v>
      </c>
      <c r="J341" t="s">
        <v>832</v>
      </c>
      <c r="K341" t="s">
        <v>832</v>
      </c>
      <c r="L341" t="s">
        <v>973</v>
      </c>
      <c r="M341" t="s">
        <v>3168</v>
      </c>
      <c r="N341" t="s">
        <v>802</v>
      </c>
      <c r="O341" t="s">
        <v>1654</v>
      </c>
    </row>
    <row r="342" spans="1:15" x14ac:dyDescent="0.25">
      <c r="A342" t="s">
        <v>1036</v>
      </c>
      <c r="B342" t="s">
        <v>2635</v>
      </c>
      <c r="C342" t="s">
        <v>1509</v>
      </c>
      <c r="D342" t="s">
        <v>285</v>
      </c>
      <c r="E342" t="s">
        <v>284</v>
      </c>
      <c r="F342" t="s">
        <v>285</v>
      </c>
      <c r="G342" t="s">
        <v>285</v>
      </c>
      <c r="H342" t="s">
        <v>5</v>
      </c>
      <c r="I342" t="s">
        <v>172</v>
      </c>
      <c r="J342" t="s">
        <v>1509</v>
      </c>
      <c r="K342" t="s">
        <v>839</v>
      </c>
      <c r="L342" t="s">
        <v>1036</v>
      </c>
      <c r="M342" t="s">
        <v>3168</v>
      </c>
      <c r="N342" t="s">
        <v>1527</v>
      </c>
      <c r="O342" t="s">
        <v>1654</v>
      </c>
    </row>
    <row r="343" spans="1:15" x14ac:dyDescent="0.25">
      <c r="A343" t="s">
        <v>1648</v>
      </c>
      <c r="B343" t="s">
        <v>2636</v>
      </c>
      <c r="C343" t="s">
        <v>1510</v>
      </c>
      <c r="D343" t="s">
        <v>285</v>
      </c>
      <c r="E343" t="s">
        <v>285</v>
      </c>
      <c r="F343" t="s">
        <v>285</v>
      </c>
      <c r="G343" t="s">
        <v>285</v>
      </c>
      <c r="H343" t="s">
        <v>1408</v>
      </c>
      <c r="I343" t="s">
        <v>172</v>
      </c>
      <c r="J343" t="s">
        <v>1504</v>
      </c>
      <c r="K343" s="138" t="s">
        <v>840</v>
      </c>
      <c r="L343" t="s">
        <v>1648</v>
      </c>
      <c r="M343" t="s">
        <v>3167</v>
      </c>
      <c r="N343" t="s">
        <v>121</v>
      </c>
      <c r="O343" t="s">
        <v>1654</v>
      </c>
    </row>
    <row r="344" spans="1:15" x14ac:dyDescent="0.25">
      <c r="A344" t="s">
        <v>1655</v>
      </c>
      <c r="B344" t="s">
        <v>2637</v>
      </c>
      <c r="C344" t="s">
        <v>1510</v>
      </c>
      <c r="D344" t="s">
        <v>285</v>
      </c>
      <c r="E344" t="s">
        <v>285</v>
      </c>
      <c r="F344" t="s">
        <v>285</v>
      </c>
      <c r="G344" t="s">
        <v>285</v>
      </c>
      <c r="H344" t="s">
        <v>1408</v>
      </c>
      <c r="I344" t="s">
        <v>172</v>
      </c>
      <c r="J344" t="s">
        <v>2178</v>
      </c>
      <c r="K344" t="s">
        <v>788</v>
      </c>
      <c r="L344" t="s">
        <v>1655</v>
      </c>
      <c r="M344" t="s">
        <v>3167</v>
      </c>
      <c r="N344" t="s">
        <v>121</v>
      </c>
      <c r="O344" t="s">
        <v>1654</v>
      </c>
    </row>
    <row r="345" spans="1:15" x14ac:dyDescent="0.25">
      <c r="A345" t="s">
        <v>110</v>
      </c>
      <c r="B345" t="s">
        <v>2638</v>
      </c>
      <c r="C345" t="s">
        <v>1510</v>
      </c>
      <c r="D345" t="s">
        <v>285</v>
      </c>
      <c r="E345" t="s">
        <v>285</v>
      </c>
      <c r="F345" t="s">
        <v>285</v>
      </c>
      <c r="G345" t="s">
        <v>285</v>
      </c>
      <c r="H345" t="s">
        <v>1408</v>
      </c>
      <c r="I345" t="s">
        <v>172</v>
      </c>
      <c r="J345" t="s">
        <v>2639</v>
      </c>
      <c r="K345" t="s">
        <v>800</v>
      </c>
      <c r="L345" t="s">
        <v>110</v>
      </c>
      <c r="M345" t="s">
        <v>3168</v>
      </c>
      <c r="N345" t="s">
        <v>1527</v>
      </c>
      <c r="O345" t="s">
        <v>789</v>
      </c>
    </row>
    <row r="346" spans="1:15" x14ac:dyDescent="0.25">
      <c r="A346" t="s">
        <v>395</v>
      </c>
      <c r="B346" t="s">
        <v>2640</v>
      </c>
      <c r="C346" t="s">
        <v>2359</v>
      </c>
      <c r="D346" t="s">
        <v>285</v>
      </c>
      <c r="E346" t="s">
        <v>285</v>
      </c>
      <c r="F346" t="s">
        <v>285</v>
      </c>
      <c r="G346" t="s">
        <v>284</v>
      </c>
      <c r="H346" t="s">
        <v>5</v>
      </c>
      <c r="I346" t="s">
        <v>172</v>
      </c>
      <c r="J346" t="s">
        <v>2374</v>
      </c>
      <c r="K346" s="138" t="s">
        <v>101</v>
      </c>
      <c r="L346" t="s">
        <v>395</v>
      </c>
      <c r="M346" t="s">
        <v>3167</v>
      </c>
      <c r="N346" t="s">
        <v>802</v>
      </c>
      <c r="O346" t="s">
        <v>789</v>
      </c>
    </row>
    <row r="347" spans="1:15" x14ac:dyDescent="0.25">
      <c r="A347" t="s">
        <v>1462</v>
      </c>
      <c r="B347" t="s">
        <v>2641</v>
      </c>
      <c r="C347" t="s">
        <v>1510</v>
      </c>
      <c r="D347" t="s">
        <v>285</v>
      </c>
      <c r="E347" t="s">
        <v>285</v>
      </c>
      <c r="F347" t="s">
        <v>285</v>
      </c>
      <c r="G347" t="s">
        <v>285</v>
      </c>
      <c r="H347" t="s">
        <v>1408</v>
      </c>
      <c r="I347" t="s">
        <v>172</v>
      </c>
      <c r="J347" t="s">
        <v>1467</v>
      </c>
      <c r="K347" t="s">
        <v>839</v>
      </c>
      <c r="L347" t="s">
        <v>1462</v>
      </c>
      <c r="M347" t="s">
        <v>3168</v>
      </c>
      <c r="N347" t="s">
        <v>1527</v>
      </c>
      <c r="O347" t="s">
        <v>789</v>
      </c>
    </row>
    <row r="348" spans="1:15" x14ac:dyDescent="0.25">
      <c r="A348" t="s">
        <v>396</v>
      </c>
      <c r="B348" t="s">
        <v>2642</v>
      </c>
      <c r="C348" t="s">
        <v>2643</v>
      </c>
      <c r="D348" t="s">
        <v>284</v>
      </c>
      <c r="E348" t="s">
        <v>285</v>
      </c>
      <c r="F348" t="s">
        <v>285</v>
      </c>
      <c r="G348" t="s">
        <v>285</v>
      </c>
      <c r="H348" t="s">
        <v>5</v>
      </c>
      <c r="I348" t="s">
        <v>172</v>
      </c>
      <c r="J348" t="s">
        <v>769</v>
      </c>
      <c r="K348" t="s">
        <v>769</v>
      </c>
      <c r="L348" t="s">
        <v>396</v>
      </c>
      <c r="M348" t="s">
        <v>3167</v>
      </c>
      <c r="N348" t="s">
        <v>121</v>
      </c>
      <c r="O348" t="s">
        <v>1654</v>
      </c>
    </row>
    <row r="349" spans="1:15" x14ac:dyDescent="0.25">
      <c r="A349" t="s">
        <v>1724</v>
      </c>
      <c r="B349" t="s">
        <v>2644</v>
      </c>
      <c r="C349" t="s">
        <v>1510</v>
      </c>
      <c r="D349" t="s">
        <v>285</v>
      </c>
      <c r="E349" t="s">
        <v>285</v>
      </c>
      <c r="F349" t="s">
        <v>285</v>
      </c>
      <c r="G349" t="s">
        <v>285</v>
      </c>
      <c r="H349" t="s">
        <v>1408</v>
      </c>
      <c r="I349" t="s">
        <v>168</v>
      </c>
      <c r="J349" t="s">
        <v>805</v>
      </c>
      <c r="K349" t="s">
        <v>800</v>
      </c>
      <c r="L349" t="s">
        <v>1724</v>
      </c>
      <c r="M349" t="s">
        <v>1527</v>
      </c>
      <c r="N349" t="s">
        <v>3172</v>
      </c>
      <c r="O349" t="s">
        <v>1654</v>
      </c>
    </row>
    <row r="350" spans="1:15" x14ac:dyDescent="0.25">
      <c r="A350" t="s">
        <v>397</v>
      </c>
      <c r="B350" t="s">
        <v>2645</v>
      </c>
      <c r="C350" t="s">
        <v>1507</v>
      </c>
      <c r="D350" t="s">
        <v>284</v>
      </c>
      <c r="E350" t="s">
        <v>285</v>
      </c>
      <c r="F350" t="s">
        <v>285</v>
      </c>
      <c r="G350" t="s">
        <v>285</v>
      </c>
      <c r="H350" t="s">
        <v>5</v>
      </c>
      <c r="I350" t="s">
        <v>172</v>
      </c>
      <c r="J350" t="s">
        <v>1407</v>
      </c>
      <c r="K350" t="s">
        <v>1616</v>
      </c>
      <c r="L350" t="s">
        <v>397</v>
      </c>
      <c r="M350" t="s">
        <v>3168</v>
      </c>
      <c r="N350" t="s">
        <v>802</v>
      </c>
      <c r="O350" t="s">
        <v>789</v>
      </c>
    </row>
    <row r="351" spans="1:15" x14ac:dyDescent="0.25">
      <c r="A351" t="s">
        <v>159</v>
      </c>
      <c r="B351" t="s">
        <v>2646</v>
      </c>
      <c r="C351" t="s">
        <v>1518</v>
      </c>
      <c r="D351" t="s">
        <v>284</v>
      </c>
      <c r="E351" t="s">
        <v>285</v>
      </c>
      <c r="F351" t="s">
        <v>284</v>
      </c>
      <c r="G351" t="s">
        <v>285</v>
      </c>
      <c r="H351" t="s">
        <v>5</v>
      </c>
      <c r="I351" t="s">
        <v>172</v>
      </c>
      <c r="J351" t="s">
        <v>103</v>
      </c>
      <c r="K351" t="s">
        <v>101</v>
      </c>
      <c r="L351" t="s">
        <v>159</v>
      </c>
      <c r="M351" t="s">
        <v>3168</v>
      </c>
      <c r="N351" t="s">
        <v>802</v>
      </c>
      <c r="O351" t="s">
        <v>1654</v>
      </c>
    </row>
    <row r="352" spans="1:15" x14ac:dyDescent="0.25">
      <c r="A352" t="s">
        <v>560</v>
      </c>
      <c r="B352" t="s">
        <v>2647</v>
      </c>
      <c r="C352" t="s">
        <v>2648</v>
      </c>
      <c r="D352" t="s">
        <v>285</v>
      </c>
      <c r="E352" t="s">
        <v>284</v>
      </c>
      <c r="F352" t="s">
        <v>285</v>
      </c>
      <c r="G352" t="s">
        <v>284</v>
      </c>
      <c r="H352" t="s">
        <v>5</v>
      </c>
      <c r="I352" t="s">
        <v>172</v>
      </c>
      <c r="J352" t="s">
        <v>2295</v>
      </c>
      <c r="K352" t="s">
        <v>98</v>
      </c>
      <c r="L352" t="s">
        <v>560</v>
      </c>
      <c r="M352" t="s">
        <v>3168</v>
      </c>
      <c r="N352" t="s">
        <v>121</v>
      </c>
      <c r="O352" t="s">
        <v>1654</v>
      </c>
    </row>
    <row r="353" spans="1:15" x14ac:dyDescent="0.25">
      <c r="A353" t="s">
        <v>32</v>
      </c>
      <c r="B353" t="s">
        <v>2649</v>
      </c>
      <c r="C353" t="s">
        <v>100</v>
      </c>
      <c r="D353" t="s">
        <v>285</v>
      </c>
      <c r="E353" t="s">
        <v>285</v>
      </c>
      <c r="F353" t="s">
        <v>285</v>
      </c>
      <c r="G353" t="s">
        <v>285</v>
      </c>
      <c r="H353" t="s">
        <v>2345</v>
      </c>
      <c r="I353" t="s">
        <v>100</v>
      </c>
      <c r="J353" t="s">
        <v>2406</v>
      </c>
      <c r="K353" t="s">
        <v>801</v>
      </c>
      <c r="L353" t="s">
        <v>32</v>
      </c>
      <c r="M353" t="s">
        <v>3167</v>
      </c>
      <c r="N353" t="s">
        <v>1527</v>
      </c>
      <c r="O353" t="s">
        <v>789</v>
      </c>
    </row>
    <row r="354" spans="1:15" x14ac:dyDescent="0.25">
      <c r="A354" t="s">
        <v>694</v>
      </c>
      <c r="B354" t="s">
        <v>2650</v>
      </c>
      <c r="C354" t="s">
        <v>1508</v>
      </c>
      <c r="D354" t="s">
        <v>285</v>
      </c>
      <c r="E354" t="s">
        <v>285</v>
      </c>
      <c r="F354" t="s">
        <v>285</v>
      </c>
      <c r="G354" t="s">
        <v>284</v>
      </c>
      <c r="H354" t="s">
        <v>5</v>
      </c>
      <c r="I354" t="s">
        <v>172</v>
      </c>
      <c r="J354" t="s">
        <v>2606</v>
      </c>
      <c r="K354" t="s">
        <v>788</v>
      </c>
      <c r="L354" t="s">
        <v>694</v>
      </c>
      <c r="M354" t="s">
        <v>3168</v>
      </c>
      <c r="N354" t="s">
        <v>121</v>
      </c>
      <c r="O354" t="s">
        <v>1654</v>
      </c>
    </row>
    <row r="355" spans="1:15" x14ac:dyDescent="0.25">
      <c r="A355" t="s">
        <v>1620</v>
      </c>
      <c r="B355" t="s">
        <v>2651</v>
      </c>
      <c r="C355" t="s">
        <v>2652</v>
      </c>
      <c r="D355" t="s">
        <v>285</v>
      </c>
      <c r="E355" t="s">
        <v>285</v>
      </c>
      <c r="F355" t="s">
        <v>285</v>
      </c>
      <c r="G355" t="s">
        <v>284</v>
      </c>
      <c r="H355" t="s">
        <v>5</v>
      </c>
      <c r="I355" t="s">
        <v>172</v>
      </c>
      <c r="J355" t="s">
        <v>1407</v>
      </c>
      <c r="K355" t="s">
        <v>1616</v>
      </c>
      <c r="L355" t="s">
        <v>1620</v>
      </c>
      <c r="M355" t="s">
        <v>3168</v>
      </c>
      <c r="N355" t="s">
        <v>1527</v>
      </c>
      <c r="O355" t="s">
        <v>789</v>
      </c>
    </row>
    <row r="356" spans="1:15" x14ac:dyDescent="0.25">
      <c r="A356" t="s">
        <v>640</v>
      </c>
      <c r="B356" t="s">
        <v>2653</v>
      </c>
      <c r="C356" t="s">
        <v>2359</v>
      </c>
      <c r="D356" t="s">
        <v>284</v>
      </c>
      <c r="E356" t="s">
        <v>285</v>
      </c>
      <c r="F356" t="s">
        <v>285</v>
      </c>
      <c r="G356" t="s">
        <v>285</v>
      </c>
      <c r="H356" t="s">
        <v>5</v>
      </c>
      <c r="I356" t="s">
        <v>172</v>
      </c>
      <c r="J356" t="s">
        <v>2374</v>
      </c>
      <c r="K356" t="s">
        <v>101</v>
      </c>
      <c r="L356" t="s">
        <v>640</v>
      </c>
      <c r="M356" t="s">
        <v>3168</v>
      </c>
      <c r="N356" t="s">
        <v>802</v>
      </c>
      <c r="O356" t="s">
        <v>789</v>
      </c>
    </row>
    <row r="357" spans="1:15" x14ac:dyDescent="0.25">
      <c r="A357" t="s">
        <v>398</v>
      </c>
      <c r="B357" t="s">
        <v>2654</v>
      </c>
      <c r="C357" t="s">
        <v>2402</v>
      </c>
      <c r="D357" t="s">
        <v>285</v>
      </c>
      <c r="E357" t="s">
        <v>284</v>
      </c>
      <c r="F357" t="s">
        <v>285</v>
      </c>
      <c r="G357" t="s">
        <v>285</v>
      </c>
      <c r="H357" t="s">
        <v>5</v>
      </c>
      <c r="I357" t="s">
        <v>172</v>
      </c>
      <c r="J357" t="s">
        <v>2225</v>
      </c>
      <c r="K357" t="s">
        <v>800</v>
      </c>
      <c r="L357" t="s">
        <v>398</v>
      </c>
      <c r="M357" t="s">
        <v>3168</v>
      </c>
      <c r="N357" t="s">
        <v>1527</v>
      </c>
      <c r="O357" t="s">
        <v>789</v>
      </c>
    </row>
    <row r="358" spans="1:15" x14ac:dyDescent="0.25">
      <c r="A358" t="s">
        <v>744</v>
      </c>
      <c r="B358" t="s">
        <v>2655</v>
      </c>
      <c r="C358" t="s">
        <v>2255</v>
      </c>
      <c r="D358" t="s">
        <v>285</v>
      </c>
      <c r="E358" t="s">
        <v>285</v>
      </c>
      <c r="F358" t="s">
        <v>285</v>
      </c>
      <c r="G358" t="s">
        <v>284</v>
      </c>
      <c r="H358" t="s">
        <v>5</v>
      </c>
      <c r="I358" t="s">
        <v>172</v>
      </c>
      <c r="J358" t="s">
        <v>780</v>
      </c>
      <c r="K358" t="s">
        <v>780</v>
      </c>
      <c r="L358" t="s">
        <v>744</v>
      </c>
      <c r="M358" t="s">
        <v>3168</v>
      </c>
      <c r="N358" t="s">
        <v>3172</v>
      </c>
      <c r="O358" t="s">
        <v>1654</v>
      </c>
    </row>
    <row r="359" spans="1:15" x14ac:dyDescent="0.25">
      <c r="A359" t="s">
        <v>1776</v>
      </c>
      <c r="B359" t="s">
        <v>2656</v>
      </c>
      <c r="C359" t="s">
        <v>1516</v>
      </c>
      <c r="D359" t="s">
        <v>285</v>
      </c>
      <c r="E359" t="s">
        <v>284</v>
      </c>
      <c r="F359" t="s">
        <v>285</v>
      </c>
      <c r="G359" t="s">
        <v>284</v>
      </c>
      <c r="H359" t="s">
        <v>5</v>
      </c>
      <c r="I359" t="s">
        <v>172</v>
      </c>
      <c r="J359" t="s">
        <v>1407</v>
      </c>
      <c r="K359" t="s">
        <v>1616</v>
      </c>
      <c r="L359" t="s">
        <v>1776</v>
      </c>
      <c r="M359" t="s">
        <v>3168</v>
      </c>
      <c r="N359" t="s">
        <v>802</v>
      </c>
      <c r="O359" t="s">
        <v>1654</v>
      </c>
    </row>
    <row r="360" spans="1:15" x14ac:dyDescent="0.25">
      <c r="A360" t="s">
        <v>525</v>
      </c>
      <c r="B360" t="s">
        <v>2657</v>
      </c>
      <c r="C360" t="s">
        <v>2317</v>
      </c>
      <c r="D360" t="s">
        <v>284</v>
      </c>
      <c r="E360" t="s">
        <v>285</v>
      </c>
      <c r="F360" t="s">
        <v>285</v>
      </c>
      <c r="G360" t="s">
        <v>285</v>
      </c>
      <c r="H360" t="s">
        <v>5</v>
      </c>
      <c r="I360" t="s">
        <v>172</v>
      </c>
      <c r="J360" t="s">
        <v>2295</v>
      </c>
      <c r="K360" t="s">
        <v>98</v>
      </c>
      <c r="L360" t="s">
        <v>525</v>
      </c>
      <c r="M360" t="s">
        <v>3168</v>
      </c>
      <c r="N360" t="s">
        <v>802</v>
      </c>
      <c r="O360" t="s">
        <v>1654</v>
      </c>
    </row>
    <row r="361" spans="1:15" x14ac:dyDescent="0.25">
      <c r="A361" t="s">
        <v>399</v>
      </c>
      <c r="B361" t="s">
        <v>2658</v>
      </c>
      <c r="C361" t="s">
        <v>2207</v>
      </c>
      <c r="D361" t="s">
        <v>285</v>
      </c>
      <c r="E361" t="s">
        <v>284</v>
      </c>
      <c r="F361" t="s">
        <v>285</v>
      </c>
      <c r="G361" t="s">
        <v>284</v>
      </c>
      <c r="H361" t="s">
        <v>5</v>
      </c>
      <c r="I361" t="s">
        <v>172</v>
      </c>
      <c r="J361" t="s">
        <v>2659</v>
      </c>
      <c r="K361" t="s">
        <v>788</v>
      </c>
      <c r="L361" t="s">
        <v>399</v>
      </c>
      <c r="M361" t="s">
        <v>3167</v>
      </c>
      <c r="N361" t="s">
        <v>121</v>
      </c>
      <c r="O361" t="s">
        <v>1654</v>
      </c>
    </row>
    <row r="362" spans="1:15" x14ac:dyDescent="0.25">
      <c r="A362" t="s">
        <v>745</v>
      </c>
      <c r="B362" t="s">
        <v>2660</v>
      </c>
      <c r="C362" t="s">
        <v>1509</v>
      </c>
      <c r="D362" t="s">
        <v>285</v>
      </c>
      <c r="E362" t="s">
        <v>284</v>
      </c>
      <c r="F362" t="s">
        <v>285</v>
      </c>
      <c r="G362" t="s">
        <v>285</v>
      </c>
      <c r="H362" t="s">
        <v>5</v>
      </c>
      <c r="I362" t="s">
        <v>172</v>
      </c>
      <c r="J362" t="s">
        <v>1509</v>
      </c>
      <c r="K362" t="s">
        <v>839</v>
      </c>
      <c r="L362" t="s">
        <v>745</v>
      </c>
      <c r="M362" t="s">
        <v>3168</v>
      </c>
      <c r="N362" t="s">
        <v>802</v>
      </c>
      <c r="O362" t="s">
        <v>1654</v>
      </c>
    </row>
    <row r="363" spans="1:15" x14ac:dyDescent="0.25">
      <c r="A363" t="s">
        <v>623</v>
      </c>
      <c r="B363" t="s">
        <v>2661</v>
      </c>
      <c r="C363" t="s">
        <v>2382</v>
      </c>
      <c r="D363" t="s">
        <v>284</v>
      </c>
      <c r="E363" t="s">
        <v>285</v>
      </c>
      <c r="F363" t="s">
        <v>285</v>
      </c>
      <c r="G363" t="s">
        <v>285</v>
      </c>
      <c r="H363" t="s">
        <v>5</v>
      </c>
      <c r="I363" t="s">
        <v>172</v>
      </c>
      <c r="J363" t="s">
        <v>1407</v>
      </c>
      <c r="K363" t="s">
        <v>1616</v>
      </c>
      <c r="L363" t="s">
        <v>623</v>
      </c>
      <c r="M363" t="s">
        <v>3168</v>
      </c>
      <c r="N363" t="s">
        <v>121</v>
      </c>
      <c r="O363" t="s">
        <v>1654</v>
      </c>
    </row>
    <row r="364" spans="1:15" x14ac:dyDescent="0.25">
      <c r="A364" t="s">
        <v>19</v>
      </c>
      <c r="B364" t="s">
        <v>2662</v>
      </c>
      <c r="C364" t="s">
        <v>1510</v>
      </c>
      <c r="D364" t="s">
        <v>285</v>
      </c>
      <c r="E364" t="s">
        <v>285</v>
      </c>
      <c r="F364" t="s">
        <v>285</v>
      </c>
      <c r="G364" t="s">
        <v>285</v>
      </c>
      <c r="H364" t="s">
        <v>1408</v>
      </c>
      <c r="I364" t="s">
        <v>168</v>
      </c>
      <c r="J364" t="s">
        <v>793</v>
      </c>
      <c r="K364" t="s">
        <v>800</v>
      </c>
      <c r="L364" t="s">
        <v>19</v>
      </c>
      <c r="M364" t="s">
        <v>1527</v>
      </c>
      <c r="N364" t="s">
        <v>3172</v>
      </c>
      <c r="O364" t="s">
        <v>1654</v>
      </c>
    </row>
    <row r="365" spans="1:15" x14ac:dyDescent="0.25">
      <c r="A365" t="s">
        <v>1445</v>
      </c>
      <c r="B365" t="s">
        <v>2663</v>
      </c>
      <c r="C365" t="s">
        <v>1510</v>
      </c>
      <c r="D365" t="s">
        <v>285</v>
      </c>
      <c r="E365" t="s">
        <v>285</v>
      </c>
      <c r="F365" t="s">
        <v>285</v>
      </c>
      <c r="G365" t="s">
        <v>285</v>
      </c>
      <c r="H365" t="s">
        <v>2665</v>
      </c>
      <c r="I365" t="s">
        <v>168</v>
      </c>
      <c r="J365" t="s">
        <v>2664</v>
      </c>
      <c r="K365" t="s">
        <v>800</v>
      </c>
      <c r="L365" t="s">
        <v>1445</v>
      </c>
      <c r="M365" t="s">
        <v>1527</v>
      </c>
      <c r="N365" t="s">
        <v>3172</v>
      </c>
      <c r="O365" t="s">
        <v>1654</v>
      </c>
    </row>
    <row r="366" spans="1:15" x14ac:dyDescent="0.25">
      <c r="A366" t="s">
        <v>770</v>
      </c>
      <c r="B366" t="s">
        <v>2666</v>
      </c>
      <c r="C366" t="s">
        <v>1510</v>
      </c>
      <c r="D366" t="s">
        <v>285</v>
      </c>
      <c r="E366" t="s">
        <v>285</v>
      </c>
      <c r="F366" t="s">
        <v>285</v>
      </c>
      <c r="G366" t="s">
        <v>285</v>
      </c>
      <c r="H366" t="s">
        <v>1408</v>
      </c>
      <c r="I366" t="s">
        <v>172</v>
      </c>
      <c r="J366" t="s">
        <v>800</v>
      </c>
      <c r="K366" t="s">
        <v>800</v>
      </c>
      <c r="L366" t="s">
        <v>770</v>
      </c>
      <c r="M366" t="s">
        <v>3167</v>
      </c>
      <c r="N366" t="s">
        <v>1527</v>
      </c>
      <c r="O366" t="s">
        <v>1654</v>
      </c>
    </row>
    <row r="367" spans="1:15" x14ac:dyDescent="0.25">
      <c r="A367" t="s">
        <v>1009</v>
      </c>
      <c r="B367" t="s">
        <v>2667</v>
      </c>
      <c r="C367" t="s">
        <v>1510</v>
      </c>
      <c r="D367" t="s">
        <v>285</v>
      </c>
      <c r="E367" t="s">
        <v>285</v>
      </c>
      <c r="F367" t="s">
        <v>285</v>
      </c>
      <c r="G367" t="s">
        <v>285</v>
      </c>
      <c r="H367" t="s">
        <v>1408</v>
      </c>
      <c r="I367" t="s">
        <v>172</v>
      </c>
      <c r="J367" t="s">
        <v>2236</v>
      </c>
      <c r="K367" t="s">
        <v>1616</v>
      </c>
      <c r="L367" t="s">
        <v>1009</v>
      </c>
      <c r="M367" t="s">
        <v>3168</v>
      </c>
      <c r="N367" t="s">
        <v>1527</v>
      </c>
      <c r="O367" t="s">
        <v>1654</v>
      </c>
    </row>
    <row r="368" spans="1:15" x14ac:dyDescent="0.25">
      <c r="A368" t="s">
        <v>990</v>
      </c>
      <c r="B368" t="s">
        <v>2668</v>
      </c>
      <c r="C368" t="s">
        <v>1510</v>
      </c>
      <c r="D368" t="s">
        <v>285</v>
      </c>
      <c r="E368" t="s">
        <v>285</v>
      </c>
      <c r="F368" t="s">
        <v>285</v>
      </c>
      <c r="G368" t="s">
        <v>285</v>
      </c>
      <c r="H368" t="s">
        <v>2522</v>
      </c>
      <c r="I368" t="s">
        <v>2164</v>
      </c>
      <c r="J368" t="s">
        <v>2164</v>
      </c>
      <c r="K368" t="s">
        <v>1699</v>
      </c>
      <c r="L368" t="s">
        <v>990</v>
      </c>
      <c r="M368" t="s">
        <v>1527</v>
      </c>
      <c r="N368" t="s">
        <v>1527</v>
      </c>
      <c r="O368" t="s">
        <v>789</v>
      </c>
    </row>
    <row r="369" spans="1:15" x14ac:dyDescent="0.25">
      <c r="A369" t="s">
        <v>1202</v>
      </c>
      <c r="B369" t="s">
        <v>2669</v>
      </c>
      <c r="C369" t="s">
        <v>1510</v>
      </c>
      <c r="D369" t="s">
        <v>285</v>
      </c>
      <c r="E369" t="s">
        <v>285</v>
      </c>
      <c r="F369" t="s">
        <v>285</v>
      </c>
      <c r="G369" t="s">
        <v>285</v>
      </c>
      <c r="H369" t="s">
        <v>1408</v>
      </c>
      <c r="I369" t="s">
        <v>172</v>
      </c>
      <c r="J369" t="s">
        <v>2178</v>
      </c>
      <c r="K369" t="s">
        <v>801</v>
      </c>
      <c r="L369" t="s">
        <v>1202</v>
      </c>
      <c r="M369" t="s">
        <v>3167</v>
      </c>
      <c r="N369" t="s">
        <v>121</v>
      </c>
      <c r="O369" t="s">
        <v>1654</v>
      </c>
    </row>
    <row r="370" spans="1:15" x14ac:dyDescent="0.25">
      <c r="A370" t="s">
        <v>400</v>
      </c>
      <c r="B370" t="s">
        <v>2670</v>
      </c>
      <c r="C370" t="s">
        <v>2216</v>
      </c>
      <c r="D370" t="s">
        <v>284</v>
      </c>
      <c r="E370" t="s">
        <v>284</v>
      </c>
      <c r="F370" t="s">
        <v>285</v>
      </c>
      <c r="G370" t="s">
        <v>285</v>
      </c>
      <c r="H370" t="s">
        <v>5</v>
      </c>
      <c r="I370" t="s">
        <v>172</v>
      </c>
      <c r="J370" t="s">
        <v>1407</v>
      </c>
      <c r="K370" t="s">
        <v>1616</v>
      </c>
      <c r="L370" t="s">
        <v>400</v>
      </c>
      <c r="M370" t="s">
        <v>3168</v>
      </c>
      <c r="N370" t="s">
        <v>802</v>
      </c>
      <c r="O370" t="s">
        <v>1654</v>
      </c>
    </row>
    <row r="371" spans="1:15" x14ac:dyDescent="0.25">
      <c r="A371" t="s">
        <v>167</v>
      </c>
      <c r="B371" t="s">
        <v>2671</v>
      </c>
      <c r="C371" t="s">
        <v>1510</v>
      </c>
      <c r="D371" t="s">
        <v>285</v>
      </c>
      <c r="E371" t="s">
        <v>285</v>
      </c>
      <c r="F371" t="s">
        <v>285</v>
      </c>
      <c r="G371" t="s">
        <v>285</v>
      </c>
      <c r="H371" t="s">
        <v>1408</v>
      </c>
      <c r="I371" t="s">
        <v>168</v>
      </c>
      <c r="J371" t="s">
        <v>2332</v>
      </c>
      <c r="K371" t="s">
        <v>800</v>
      </c>
      <c r="L371" t="s">
        <v>167</v>
      </c>
      <c r="M371" t="s">
        <v>1527</v>
      </c>
      <c r="N371" t="s">
        <v>1527</v>
      </c>
      <c r="O371" t="s">
        <v>1654</v>
      </c>
    </row>
    <row r="372" spans="1:15" x14ac:dyDescent="0.25">
      <c r="A372" t="s">
        <v>668</v>
      </c>
      <c r="B372" t="s">
        <v>2672</v>
      </c>
      <c r="C372" t="s">
        <v>2232</v>
      </c>
      <c r="D372" t="s">
        <v>284</v>
      </c>
      <c r="E372" t="s">
        <v>285</v>
      </c>
      <c r="F372" t="s">
        <v>285</v>
      </c>
      <c r="G372" t="s">
        <v>285</v>
      </c>
      <c r="H372" t="s">
        <v>5</v>
      </c>
      <c r="I372" t="s">
        <v>172</v>
      </c>
      <c r="J372" t="s">
        <v>801</v>
      </c>
      <c r="K372" t="s">
        <v>801</v>
      </c>
      <c r="L372" t="s">
        <v>668</v>
      </c>
      <c r="M372" t="s">
        <v>3168</v>
      </c>
      <c r="N372" t="s">
        <v>121</v>
      </c>
      <c r="O372" t="s">
        <v>1654</v>
      </c>
    </row>
    <row r="373" spans="1:15" x14ac:dyDescent="0.25">
      <c r="A373" t="s">
        <v>1130</v>
      </c>
      <c r="B373" t="s">
        <v>2673</v>
      </c>
      <c r="C373" t="s">
        <v>1510</v>
      </c>
      <c r="D373" t="s">
        <v>285</v>
      </c>
      <c r="E373" t="s">
        <v>285</v>
      </c>
      <c r="F373" t="s">
        <v>285</v>
      </c>
      <c r="G373" t="s">
        <v>285</v>
      </c>
      <c r="H373" t="s">
        <v>1408</v>
      </c>
      <c r="I373" t="s">
        <v>168</v>
      </c>
      <c r="J373" t="s">
        <v>798</v>
      </c>
      <c r="K373" t="s">
        <v>800</v>
      </c>
      <c r="L373" t="s">
        <v>1130</v>
      </c>
      <c r="M373" t="s">
        <v>1527</v>
      </c>
      <c r="N373" t="s">
        <v>1527</v>
      </c>
      <c r="O373" t="s">
        <v>1654</v>
      </c>
    </row>
    <row r="374" spans="1:15" x14ac:dyDescent="0.25">
      <c r="A374" t="s">
        <v>1131</v>
      </c>
      <c r="B374" t="s">
        <v>2674</v>
      </c>
      <c r="C374" t="s">
        <v>1510</v>
      </c>
      <c r="D374" t="s">
        <v>285</v>
      </c>
      <c r="E374" t="s">
        <v>285</v>
      </c>
      <c r="F374" t="s">
        <v>285</v>
      </c>
      <c r="G374" t="s">
        <v>285</v>
      </c>
      <c r="H374" t="s">
        <v>1408</v>
      </c>
      <c r="I374" t="s">
        <v>168</v>
      </c>
      <c r="J374" t="s">
        <v>2332</v>
      </c>
      <c r="K374" t="s">
        <v>800</v>
      </c>
      <c r="L374" t="s">
        <v>1131</v>
      </c>
      <c r="M374" t="s">
        <v>1527</v>
      </c>
      <c r="N374" t="s">
        <v>1527</v>
      </c>
      <c r="O374" t="s">
        <v>1654</v>
      </c>
    </row>
    <row r="375" spans="1:15" x14ac:dyDescent="0.25">
      <c r="A375" t="s">
        <v>158</v>
      </c>
      <c r="B375" t="s">
        <v>2675</v>
      </c>
      <c r="C375" t="s">
        <v>1510</v>
      </c>
      <c r="D375" t="s">
        <v>285</v>
      </c>
      <c r="E375" t="s">
        <v>285</v>
      </c>
      <c r="F375" t="s">
        <v>285</v>
      </c>
      <c r="G375" t="s">
        <v>285</v>
      </c>
      <c r="H375" t="s">
        <v>1408</v>
      </c>
      <c r="I375" t="s">
        <v>168</v>
      </c>
      <c r="J375" t="s">
        <v>798</v>
      </c>
      <c r="K375" t="s">
        <v>800</v>
      </c>
      <c r="L375" t="s">
        <v>158</v>
      </c>
      <c r="M375" t="s">
        <v>1527</v>
      </c>
      <c r="N375" t="s">
        <v>3172</v>
      </c>
      <c r="O375" t="s">
        <v>1654</v>
      </c>
    </row>
    <row r="376" spans="1:15" x14ac:dyDescent="0.25">
      <c r="A376" t="s">
        <v>1422</v>
      </c>
      <c r="B376" t="s">
        <v>2676</v>
      </c>
      <c r="C376" t="s">
        <v>1510</v>
      </c>
      <c r="D376" t="s">
        <v>285</v>
      </c>
      <c r="E376" t="s">
        <v>285</v>
      </c>
      <c r="F376" t="s">
        <v>285</v>
      </c>
      <c r="G376" t="s">
        <v>285</v>
      </c>
      <c r="H376" t="s">
        <v>1408</v>
      </c>
      <c r="I376" t="s">
        <v>172</v>
      </c>
      <c r="J376" t="s">
        <v>2163</v>
      </c>
      <c r="K376" t="s">
        <v>788</v>
      </c>
      <c r="L376" t="s">
        <v>1422</v>
      </c>
      <c r="M376" t="s">
        <v>3167</v>
      </c>
      <c r="N376" t="s">
        <v>1527</v>
      </c>
      <c r="O376" t="s">
        <v>1654</v>
      </c>
    </row>
    <row r="377" spans="1:15" x14ac:dyDescent="0.25">
      <c r="A377" t="s">
        <v>646</v>
      </c>
      <c r="B377" t="s">
        <v>2677</v>
      </c>
      <c r="C377" t="s">
        <v>2267</v>
      </c>
      <c r="D377" t="s">
        <v>284</v>
      </c>
      <c r="E377" t="s">
        <v>284</v>
      </c>
      <c r="F377" t="s">
        <v>285</v>
      </c>
      <c r="G377" t="s">
        <v>285</v>
      </c>
      <c r="H377" t="s">
        <v>5</v>
      </c>
      <c r="I377" t="s">
        <v>172</v>
      </c>
      <c r="J377" t="s">
        <v>2268</v>
      </c>
      <c r="K377" t="s">
        <v>1616</v>
      </c>
      <c r="L377" t="s">
        <v>646</v>
      </c>
      <c r="M377" t="s">
        <v>3168</v>
      </c>
      <c r="N377" t="s">
        <v>121</v>
      </c>
      <c r="O377" t="s">
        <v>1654</v>
      </c>
    </row>
    <row r="378" spans="1:15" x14ac:dyDescent="0.25">
      <c r="A378" t="s">
        <v>761</v>
      </c>
      <c r="B378" t="s">
        <v>2678</v>
      </c>
      <c r="C378" t="s">
        <v>1510</v>
      </c>
      <c r="D378" t="s">
        <v>285</v>
      </c>
      <c r="E378" t="s">
        <v>285</v>
      </c>
      <c r="F378" t="s">
        <v>285</v>
      </c>
      <c r="G378" t="s">
        <v>285</v>
      </c>
      <c r="H378" t="s">
        <v>1408</v>
      </c>
      <c r="I378" t="s">
        <v>172</v>
      </c>
      <c r="J378" t="s">
        <v>2178</v>
      </c>
      <c r="K378" t="s">
        <v>839</v>
      </c>
      <c r="L378" t="s">
        <v>761</v>
      </c>
      <c r="M378" t="s">
        <v>3168</v>
      </c>
      <c r="N378" t="s">
        <v>121</v>
      </c>
      <c r="O378" t="s">
        <v>789</v>
      </c>
    </row>
    <row r="379" spans="1:15" x14ac:dyDescent="0.25">
      <c r="A379" t="s">
        <v>765</v>
      </c>
      <c r="B379" t="s">
        <v>2679</v>
      </c>
      <c r="C379" t="s">
        <v>1510</v>
      </c>
      <c r="D379" t="s">
        <v>285</v>
      </c>
      <c r="E379" t="s">
        <v>285</v>
      </c>
      <c r="F379" t="s">
        <v>285</v>
      </c>
      <c r="G379" t="s">
        <v>285</v>
      </c>
      <c r="H379" t="s">
        <v>1408</v>
      </c>
      <c r="I379" t="s">
        <v>172</v>
      </c>
      <c r="J379" t="s">
        <v>2178</v>
      </c>
      <c r="K379" t="s">
        <v>800</v>
      </c>
      <c r="L379" t="s">
        <v>765</v>
      </c>
      <c r="M379" t="s">
        <v>3168</v>
      </c>
      <c r="N379" t="s">
        <v>121</v>
      </c>
      <c r="O379" t="s">
        <v>789</v>
      </c>
    </row>
    <row r="380" spans="1:15" x14ac:dyDescent="0.25">
      <c r="A380" t="s">
        <v>1143</v>
      </c>
      <c r="B380" t="s">
        <v>2680</v>
      </c>
      <c r="C380" t="s">
        <v>1510</v>
      </c>
      <c r="D380" t="s">
        <v>285</v>
      </c>
      <c r="E380" t="s">
        <v>285</v>
      </c>
      <c r="F380" t="s">
        <v>285</v>
      </c>
      <c r="G380" t="s">
        <v>285</v>
      </c>
      <c r="H380" t="s">
        <v>1408</v>
      </c>
      <c r="I380" t="s">
        <v>172</v>
      </c>
      <c r="J380" t="s">
        <v>2165</v>
      </c>
      <c r="K380" s="138" t="s">
        <v>800</v>
      </c>
      <c r="L380" t="s">
        <v>1143</v>
      </c>
      <c r="M380" t="s">
        <v>3167</v>
      </c>
      <c r="N380" t="s">
        <v>1527</v>
      </c>
      <c r="O380" t="s">
        <v>1654</v>
      </c>
    </row>
    <row r="381" spans="1:15" x14ac:dyDescent="0.25">
      <c r="A381" t="s">
        <v>401</v>
      </c>
      <c r="B381" t="s">
        <v>2681</v>
      </c>
      <c r="C381" t="s">
        <v>2216</v>
      </c>
      <c r="D381" t="s">
        <v>285</v>
      </c>
      <c r="E381" t="s">
        <v>284</v>
      </c>
      <c r="F381" t="s">
        <v>285</v>
      </c>
      <c r="G381" t="s">
        <v>285</v>
      </c>
      <c r="H381" t="s">
        <v>5</v>
      </c>
      <c r="I381" t="s">
        <v>172</v>
      </c>
      <c r="J381" t="s">
        <v>1407</v>
      </c>
      <c r="K381" t="s">
        <v>1616</v>
      </c>
      <c r="L381" t="s">
        <v>401</v>
      </c>
      <c r="M381" t="s">
        <v>3168</v>
      </c>
      <c r="N381" t="s">
        <v>121</v>
      </c>
      <c r="O381" t="s">
        <v>1654</v>
      </c>
    </row>
    <row r="382" spans="1:15" x14ac:dyDescent="0.25">
      <c r="A382" t="s">
        <v>601</v>
      </c>
      <c r="B382" t="s">
        <v>2682</v>
      </c>
      <c r="C382" t="s">
        <v>1514</v>
      </c>
      <c r="D382" t="s">
        <v>284</v>
      </c>
      <c r="E382" t="s">
        <v>284</v>
      </c>
      <c r="F382" t="s">
        <v>284</v>
      </c>
      <c r="G382" t="s">
        <v>285</v>
      </c>
      <c r="H382" t="s">
        <v>5</v>
      </c>
      <c r="I382" t="s">
        <v>172</v>
      </c>
      <c r="J382" t="s">
        <v>1514</v>
      </c>
      <c r="K382" t="s">
        <v>839</v>
      </c>
      <c r="L382" t="s">
        <v>601</v>
      </c>
      <c r="M382" t="s">
        <v>3168</v>
      </c>
      <c r="N382" t="s">
        <v>121</v>
      </c>
      <c r="O382" t="s">
        <v>1654</v>
      </c>
    </row>
    <row r="383" spans="1:15" x14ac:dyDescent="0.25">
      <c r="A383" t="s">
        <v>195</v>
      </c>
      <c r="B383" t="s">
        <v>2243</v>
      </c>
      <c r="C383" t="s">
        <v>2160</v>
      </c>
      <c r="D383" t="s">
        <v>284</v>
      </c>
      <c r="E383" t="s">
        <v>285</v>
      </c>
      <c r="F383" t="s">
        <v>285</v>
      </c>
      <c r="G383" t="s">
        <v>285</v>
      </c>
      <c r="H383" t="s">
        <v>5</v>
      </c>
      <c r="I383" t="s">
        <v>172</v>
      </c>
      <c r="J383" t="s">
        <v>780</v>
      </c>
      <c r="K383" t="s">
        <v>780</v>
      </c>
      <c r="L383" t="s">
        <v>195</v>
      </c>
      <c r="M383" t="s">
        <v>3168</v>
      </c>
      <c r="N383" t="s">
        <v>3172</v>
      </c>
      <c r="O383" t="s">
        <v>1654</v>
      </c>
    </row>
    <row r="384" spans="1:15" x14ac:dyDescent="0.25">
      <c r="A384" t="s">
        <v>1498</v>
      </c>
      <c r="B384" t="s">
        <v>2683</v>
      </c>
      <c r="C384" t="s">
        <v>2450</v>
      </c>
      <c r="D384" t="s">
        <v>285</v>
      </c>
      <c r="E384" t="s">
        <v>285</v>
      </c>
      <c r="F384" t="s">
        <v>285</v>
      </c>
      <c r="G384" t="s">
        <v>284</v>
      </c>
      <c r="H384" t="s">
        <v>5</v>
      </c>
      <c r="I384" t="s">
        <v>172</v>
      </c>
      <c r="J384" t="s">
        <v>1504</v>
      </c>
      <c r="K384" t="s">
        <v>839</v>
      </c>
      <c r="L384" t="s">
        <v>1498</v>
      </c>
      <c r="M384" t="s">
        <v>3168</v>
      </c>
      <c r="N384" t="s">
        <v>1527</v>
      </c>
      <c r="O384" t="s">
        <v>1654</v>
      </c>
    </row>
    <row r="385" spans="1:15" x14ac:dyDescent="0.25">
      <c r="A385" t="s">
        <v>988</v>
      </c>
      <c r="B385" t="s">
        <v>2684</v>
      </c>
      <c r="C385" t="s">
        <v>1510</v>
      </c>
      <c r="D385" t="s">
        <v>285</v>
      </c>
      <c r="E385" t="s">
        <v>285</v>
      </c>
      <c r="F385" t="s">
        <v>285</v>
      </c>
      <c r="G385" t="s">
        <v>285</v>
      </c>
      <c r="H385" t="s">
        <v>1408</v>
      </c>
      <c r="I385" t="s">
        <v>172</v>
      </c>
      <c r="J385" t="s">
        <v>2685</v>
      </c>
      <c r="K385" t="s">
        <v>788</v>
      </c>
      <c r="L385" t="s">
        <v>988</v>
      </c>
      <c r="M385" t="s">
        <v>3168</v>
      </c>
      <c r="N385" t="s">
        <v>1527</v>
      </c>
      <c r="O385" t="s">
        <v>789</v>
      </c>
    </row>
    <row r="386" spans="1:15" x14ac:dyDescent="0.25">
      <c r="A386" t="s">
        <v>677</v>
      </c>
      <c r="B386" t="s">
        <v>2686</v>
      </c>
      <c r="C386" t="s">
        <v>2428</v>
      </c>
      <c r="D386" t="s">
        <v>284</v>
      </c>
      <c r="E386" t="s">
        <v>285</v>
      </c>
      <c r="F386" t="s">
        <v>285</v>
      </c>
      <c r="G386" t="s">
        <v>285</v>
      </c>
      <c r="H386" t="s">
        <v>5</v>
      </c>
      <c r="I386" t="s">
        <v>172</v>
      </c>
      <c r="J386" t="s">
        <v>780</v>
      </c>
      <c r="K386" t="s">
        <v>780</v>
      </c>
      <c r="L386" t="s">
        <v>677</v>
      </c>
      <c r="M386" t="s">
        <v>3168</v>
      </c>
      <c r="N386" t="s">
        <v>3172</v>
      </c>
      <c r="O386" t="s">
        <v>789</v>
      </c>
    </row>
    <row r="387" spans="1:15" x14ac:dyDescent="0.25">
      <c r="A387" t="s">
        <v>1164</v>
      </c>
      <c r="B387" t="s">
        <v>2687</v>
      </c>
      <c r="C387" t="s">
        <v>2160</v>
      </c>
      <c r="D387" t="s">
        <v>285</v>
      </c>
      <c r="E387" t="s">
        <v>285</v>
      </c>
      <c r="F387" t="s">
        <v>285</v>
      </c>
      <c r="G387" t="s">
        <v>284</v>
      </c>
      <c r="H387" t="s">
        <v>5</v>
      </c>
      <c r="I387" t="s">
        <v>172</v>
      </c>
      <c r="J387" t="s">
        <v>780</v>
      </c>
      <c r="K387" t="s">
        <v>780</v>
      </c>
      <c r="L387" t="s">
        <v>1164</v>
      </c>
      <c r="M387" t="s">
        <v>3168</v>
      </c>
      <c r="N387" t="s">
        <v>3172</v>
      </c>
      <c r="O387" t="s">
        <v>1654</v>
      </c>
    </row>
    <row r="388" spans="1:15" x14ac:dyDescent="0.25">
      <c r="A388" t="s">
        <v>15</v>
      </c>
      <c r="B388" t="s">
        <v>2688</v>
      </c>
      <c r="C388" t="s">
        <v>1508</v>
      </c>
      <c r="D388" t="s">
        <v>285</v>
      </c>
      <c r="E388" t="s">
        <v>285</v>
      </c>
      <c r="F388" t="s">
        <v>285</v>
      </c>
      <c r="G388" t="s">
        <v>285</v>
      </c>
      <c r="H388" t="s">
        <v>1408</v>
      </c>
      <c r="I388" t="s">
        <v>172</v>
      </c>
      <c r="J388" t="s">
        <v>2606</v>
      </c>
      <c r="K388" t="s">
        <v>788</v>
      </c>
      <c r="L388" t="s">
        <v>15</v>
      </c>
      <c r="M388" t="s">
        <v>3168</v>
      </c>
      <c r="N388" t="s">
        <v>802</v>
      </c>
      <c r="O388" t="s">
        <v>789</v>
      </c>
    </row>
    <row r="389" spans="1:15" x14ac:dyDescent="0.25">
      <c r="A389" t="s">
        <v>945</v>
      </c>
      <c r="B389" t="s">
        <v>2689</v>
      </c>
      <c r="C389" t="s">
        <v>1510</v>
      </c>
      <c r="D389" t="s">
        <v>285</v>
      </c>
      <c r="E389" t="s">
        <v>285</v>
      </c>
      <c r="F389" t="s">
        <v>285</v>
      </c>
      <c r="G389" t="s">
        <v>285</v>
      </c>
      <c r="H389" t="s">
        <v>1408</v>
      </c>
      <c r="I389" t="s">
        <v>172</v>
      </c>
      <c r="J389" t="s">
        <v>1841</v>
      </c>
      <c r="K389" t="s">
        <v>101</v>
      </c>
      <c r="L389" t="s">
        <v>945</v>
      </c>
      <c r="M389" t="s">
        <v>3167</v>
      </c>
      <c r="N389" t="s">
        <v>802</v>
      </c>
      <c r="O389" t="s">
        <v>789</v>
      </c>
    </row>
    <row r="390" spans="1:15" x14ac:dyDescent="0.25">
      <c r="A390" t="s">
        <v>622</v>
      </c>
      <c r="B390" t="s">
        <v>2690</v>
      </c>
      <c r="C390" t="s">
        <v>2227</v>
      </c>
      <c r="D390" t="s">
        <v>284</v>
      </c>
      <c r="E390" t="s">
        <v>285</v>
      </c>
      <c r="F390" t="s">
        <v>285</v>
      </c>
      <c r="G390" t="s">
        <v>285</v>
      </c>
      <c r="H390" t="s">
        <v>5</v>
      </c>
      <c r="I390" t="s">
        <v>172</v>
      </c>
      <c r="J390" t="s">
        <v>788</v>
      </c>
      <c r="K390" t="s">
        <v>788</v>
      </c>
      <c r="L390" t="s">
        <v>622</v>
      </c>
      <c r="M390" t="s">
        <v>3167</v>
      </c>
      <c r="N390" t="s">
        <v>802</v>
      </c>
      <c r="O390" t="s">
        <v>1654</v>
      </c>
    </row>
    <row r="391" spans="1:15" x14ac:dyDescent="0.25">
      <c r="A391" t="s">
        <v>836</v>
      </c>
      <c r="B391" t="s">
        <v>2691</v>
      </c>
      <c r="C391" t="s">
        <v>1510</v>
      </c>
      <c r="D391" t="s">
        <v>285</v>
      </c>
      <c r="E391" t="s">
        <v>285</v>
      </c>
      <c r="F391" t="s">
        <v>285</v>
      </c>
      <c r="G391" t="s">
        <v>285</v>
      </c>
      <c r="H391" t="s">
        <v>2665</v>
      </c>
      <c r="I391" t="s">
        <v>168</v>
      </c>
      <c r="J391" t="s">
        <v>2312</v>
      </c>
      <c r="K391" t="s">
        <v>800</v>
      </c>
      <c r="L391" t="s">
        <v>836</v>
      </c>
      <c r="M391" t="s">
        <v>1527</v>
      </c>
      <c r="N391" t="s">
        <v>1527</v>
      </c>
      <c r="O391" t="s">
        <v>1654</v>
      </c>
    </row>
    <row r="392" spans="1:15" x14ac:dyDescent="0.25">
      <c r="A392" t="s">
        <v>1343</v>
      </c>
      <c r="B392" t="s">
        <v>2692</v>
      </c>
      <c r="C392" t="s">
        <v>1510</v>
      </c>
      <c r="D392" t="s">
        <v>285</v>
      </c>
      <c r="E392" t="s">
        <v>285</v>
      </c>
      <c r="F392" t="s">
        <v>285</v>
      </c>
      <c r="G392" t="s">
        <v>285</v>
      </c>
      <c r="H392" t="s">
        <v>1408</v>
      </c>
      <c r="I392" t="s">
        <v>172</v>
      </c>
      <c r="J392" t="s">
        <v>2193</v>
      </c>
      <c r="K392" t="s">
        <v>788</v>
      </c>
      <c r="L392" t="s">
        <v>1343</v>
      </c>
      <c r="M392" t="s">
        <v>3168</v>
      </c>
      <c r="N392" t="s">
        <v>802</v>
      </c>
      <c r="O392" t="s">
        <v>789</v>
      </c>
    </row>
    <row r="393" spans="1:15" x14ac:dyDescent="0.25">
      <c r="A393" t="s">
        <v>108</v>
      </c>
      <c r="B393" t="s">
        <v>2693</v>
      </c>
      <c r="C393" t="s">
        <v>1510</v>
      </c>
      <c r="D393" t="s">
        <v>285</v>
      </c>
      <c r="E393" t="s">
        <v>285</v>
      </c>
      <c r="F393" t="s">
        <v>285</v>
      </c>
      <c r="G393" t="s">
        <v>285</v>
      </c>
      <c r="H393" t="s">
        <v>1408</v>
      </c>
      <c r="I393" t="s">
        <v>172</v>
      </c>
      <c r="J393" t="s">
        <v>2163</v>
      </c>
      <c r="K393" t="s">
        <v>788</v>
      </c>
      <c r="L393" t="s">
        <v>108</v>
      </c>
      <c r="M393" t="s">
        <v>3167</v>
      </c>
      <c r="N393" t="s">
        <v>1527</v>
      </c>
      <c r="O393" t="s">
        <v>1654</v>
      </c>
    </row>
    <row r="394" spans="1:15" x14ac:dyDescent="0.25">
      <c r="A394" t="s">
        <v>1713</v>
      </c>
      <c r="B394" t="s">
        <v>2694</v>
      </c>
      <c r="C394" t="s">
        <v>1510</v>
      </c>
      <c r="D394" t="s">
        <v>285</v>
      </c>
      <c r="E394" t="s">
        <v>285</v>
      </c>
      <c r="F394" t="s">
        <v>285</v>
      </c>
      <c r="G394" t="s">
        <v>285</v>
      </c>
      <c r="H394" t="s">
        <v>1408</v>
      </c>
      <c r="I394" t="s">
        <v>172</v>
      </c>
      <c r="J394" t="s">
        <v>2163</v>
      </c>
      <c r="K394" t="s">
        <v>788</v>
      </c>
      <c r="L394" t="s">
        <v>1713</v>
      </c>
      <c r="M394" t="s">
        <v>3167</v>
      </c>
      <c r="N394" t="s">
        <v>121</v>
      </c>
      <c r="O394" t="s">
        <v>1654</v>
      </c>
    </row>
    <row r="395" spans="1:15" x14ac:dyDescent="0.25">
      <c r="A395" t="s">
        <v>986</v>
      </c>
      <c r="B395" t="s">
        <v>2676</v>
      </c>
      <c r="C395" t="s">
        <v>1510</v>
      </c>
      <c r="D395" t="s">
        <v>285</v>
      </c>
      <c r="E395" t="s">
        <v>285</v>
      </c>
      <c r="F395" t="s">
        <v>285</v>
      </c>
      <c r="G395" t="s">
        <v>285</v>
      </c>
      <c r="H395" t="s">
        <v>1408</v>
      </c>
      <c r="I395" t="s">
        <v>172</v>
      </c>
      <c r="J395" t="s">
        <v>2163</v>
      </c>
      <c r="K395" t="s">
        <v>788</v>
      </c>
      <c r="L395" t="s">
        <v>986</v>
      </c>
      <c r="M395" t="s">
        <v>3168</v>
      </c>
      <c r="N395" t="s">
        <v>1527</v>
      </c>
      <c r="O395" t="s">
        <v>1654</v>
      </c>
    </row>
    <row r="396" spans="1:15" x14ac:dyDescent="0.25">
      <c r="A396" t="s">
        <v>402</v>
      </c>
      <c r="B396" t="s">
        <v>2695</v>
      </c>
      <c r="C396" t="s">
        <v>2491</v>
      </c>
      <c r="D396" t="s">
        <v>284</v>
      </c>
      <c r="E396" t="s">
        <v>285</v>
      </c>
      <c r="F396" t="s">
        <v>285</v>
      </c>
      <c r="G396" t="s">
        <v>285</v>
      </c>
      <c r="H396" t="s">
        <v>5</v>
      </c>
      <c r="I396" t="s">
        <v>172</v>
      </c>
      <c r="J396" t="s">
        <v>788</v>
      </c>
      <c r="K396" t="s">
        <v>788</v>
      </c>
      <c r="L396" t="s">
        <v>402</v>
      </c>
      <c r="M396" t="s">
        <v>3168</v>
      </c>
      <c r="N396" t="s">
        <v>802</v>
      </c>
      <c r="O396" t="s">
        <v>1654</v>
      </c>
    </row>
    <row r="397" spans="1:15" x14ac:dyDescent="0.25">
      <c r="A397" t="s">
        <v>1479</v>
      </c>
      <c r="B397" t="s">
        <v>2696</v>
      </c>
      <c r="C397" t="s">
        <v>1214</v>
      </c>
      <c r="D397" t="s">
        <v>285</v>
      </c>
      <c r="E397" t="s">
        <v>284</v>
      </c>
      <c r="F397" t="s">
        <v>285</v>
      </c>
      <c r="G397" t="s">
        <v>284</v>
      </c>
      <c r="H397" t="s">
        <v>5</v>
      </c>
      <c r="I397" t="s">
        <v>172</v>
      </c>
      <c r="J397" t="s">
        <v>1214</v>
      </c>
      <c r="K397" t="s">
        <v>101</v>
      </c>
      <c r="L397" t="s">
        <v>1479</v>
      </c>
      <c r="M397" t="s">
        <v>3167</v>
      </c>
      <c r="N397" t="s">
        <v>121</v>
      </c>
      <c r="O397" t="s">
        <v>1654</v>
      </c>
    </row>
    <row r="398" spans="1:15" x14ac:dyDescent="0.25">
      <c r="A398" t="s">
        <v>684</v>
      </c>
      <c r="B398" t="s">
        <v>2697</v>
      </c>
      <c r="C398" t="s">
        <v>2698</v>
      </c>
      <c r="D398" t="s">
        <v>284</v>
      </c>
      <c r="E398" t="s">
        <v>284</v>
      </c>
      <c r="F398" t="s">
        <v>285</v>
      </c>
      <c r="G398" t="s">
        <v>285</v>
      </c>
      <c r="H398" t="s">
        <v>5</v>
      </c>
      <c r="I398" t="s">
        <v>172</v>
      </c>
      <c r="J398" t="s">
        <v>788</v>
      </c>
      <c r="K398" t="s">
        <v>788</v>
      </c>
      <c r="L398" t="s">
        <v>684</v>
      </c>
      <c r="M398" t="s">
        <v>3167</v>
      </c>
      <c r="N398" t="s">
        <v>802</v>
      </c>
      <c r="O398" t="s">
        <v>1654</v>
      </c>
    </row>
    <row r="399" spans="1:15" x14ac:dyDescent="0.25">
      <c r="A399" t="s">
        <v>403</v>
      </c>
      <c r="B399" t="s">
        <v>2699</v>
      </c>
      <c r="C399" t="s">
        <v>2207</v>
      </c>
      <c r="D399" t="s">
        <v>285</v>
      </c>
      <c r="E399" t="s">
        <v>284</v>
      </c>
      <c r="F399" t="s">
        <v>285</v>
      </c>
      <c r="G399" t="s">
        <v>284</v>
      </c>
      <c r="H399" t="s">
        <v>5</v>
      </c>
      <c r="I399" t="s">
        <v>172</v>
      </c>
      <c r="J399" t="s">
        <v>1503</v>
      </c>
      <c r="K399" t="s">
        <v>788</v>
      </c>
      <c r="L399" t="s">
        <v>403</v>
      </c>
      <c r="M399" t="s">
        <v>3167</v>
      </c>
      <c r="N399" t="s">
        <v>121</v>
      </c>
      <c r="O399" t="s">
        <v>1654</v>
      </c>
    </row>
    <row r="400" spans="1:15" x14ac:dyDescent="0.25">
      <c r="A400" t="s">
        <v>775</v>
      </c>
      <c r="B400" t="s">
        <v>2700</v>
      </c>
      <c r="C400" t="s">
        <v>1510</v>
      </c>
      <c r="D400" t="s">
        <v>285</v>
      </c>
      <c r="E400" t="s">
        <v>285</v>
      </c>
      <c r="F400" t="s">
        <v>285</v>
      </c>
      <c r="G400" t="s">
        <v>285</v>
      </c>
      <c r="H400" t="s">
        <v>1408</v>
      </c>
      <c r="I400" t="s">
        <v>172</v>
      </c>
      <c r="J400" t="s">
        <v>1503</v>
      </c>
      <c r="K400" t="s">
        <v>788</v>
      </c>
      <c r="L400" t="s">
        <v>775</v>
      </c>
      <c r="M400" t="s">
        <v>3167</v>
      </c>
      <c r="N400" t="s">
        <v>1527</v>
      </c>
      <c r="O400" t="s">
        <v>1654</v>
      </c>
    </row>
    <row r="401" spans="1:15" x14ac:dyDescent="0.25">
      <c r="A401" t="s">
        <v>594</v>
      </c>
      <c r="B401" t="s">
        <v>2701</v>
      </c>
      <c r="C401" t="s">
        <v>1505</v>
      </c>
      <c r="D401" t="s">
        <v>284</v>
      </c>
      <c r="E401" t="s">
        <v>285</v>
      </c>
      <c r="F401" t="s">
        <v>284</v>
      </c>
      <c r="G401" t="s">
        <v>285</v>
      </c>
      <c r="H401" t="s">
        <v>5</v>
      </c>
      <c r="I401" t="s">
        <v>172</v>
      </c>
      <c r="J401" t="s">
        <v>1407</v>
      </c>
      <c r="K401" t="s">
        <v>1616</v>
      </c>
      <c r="L401" t="s">
        <v>594</v>
      </c>
      <c r="M401" t="s">
        <v>3168</v>
      </c>
      <c r="N401" t="s">
        <v>3172</v>
      </c>
      <c r="O401" t="s">
        <v>1654</v>
      </c>
    </row>
    <row r="402" spans="1:15" x14ac:dyDescent="0.25">
      <c r="A402" t="s">
        <v>106</v>
      </c>
      <c r="B402" t="s">
        <v>2702</v>
      </c>
      <c r="C402" t="s">
        <v>1510</v>
      </c>
      <c r="D402" t="s">
        <v>285</v>
      </c>
      <c r="E402" t="s">
        <v>285</v>
      </c>
      <c r="F402" t="s">
        <v>285</v>
      </c>
      <c r="G402" t="s">
        <v>285</v>
      </c>
      <c r="H402" t="s">
        <v>1408</v>
      </c>
      <c r="I402" t="s">
        <v>168</v>
      </c>
      <c r="J402" t="s">
        <v>793</v>
      </c>
      <c r="K402" t="s">
        <v>800</v>
      </c>
      <c r="L402" t="s">
        <v>106</v>
      </c>
      <c r="M402" t="s">
        <v>1527</v>
      </c>
      <c r="N402" t="s">
        <v>3172</v>
      </c>
      <c r="O402" t="s">
        <v>1654</v>
      </c>
    </row>
    <row r="403" spans="1:15" x14ac:dyDescent="0.25">
      <c r="A403" t="s">
        <v>1334</v>
      </c>
      <c r="B403" t="s">
        <v>2703</v>
      </c>
      <c r="C403" t="s">
        <v>1508</v>
      </c>
      <c r="D403" t="s">
        <v>285</v>
      </c>
      <c r="E403" t="s">
        <v>285</v>
      </c>
      <c r="F403" t="s">
        <v>285</v>
      </c>
      <c r="G403" t="s">
        <v>284</v>
      </c>
      <c r="H403" t="s">
        <v>5</v>
      </c>
      <c r="I403" t="s">
        <v>172</v>
      </c>
      <c r="J403" t="s">
        <v>2219</v>
      </c>
      <c r="K403" t="s">
        <v>788</v>
      </c>
      <c r="L403" t="s">
        <v>1334</v>
      </c>
      <c r="M403" t="s">
        <v>3168</v>
      </c>
      <c r="N403" t="s">
        <v>1527</v>
      </c>
      <c r="O403" t="s">
        <v>1654</v>
      </c>
    </row>
    <row r="404" spans="1:15" x14ac:dyDescent="0.25">
      <c r="A404" t="s">
        <v>579</v>
      </c>
      <c r="B404" t="s">
        <v>2704</v>
      </c>
      <c r="C404" t="s">
        <v>780</v>
      </c>
      <c r="D404" t="s">
        <v>285</v>
      </c>
      <c r="E404" t="s">
        <v>285</v>
      </c>
      <c r="F404" t="s">
        <v>285</v>
      </c>
      <c r="G404" t="s">
        <v>284</v>
      </c>
      <c r="H404" t="s">
        <v>5</v>
      </c>
      <c r="I404" t="s">
        <v>172</v>
      </c>
      <c r="J404" t="s">
        <v>780</v>
      </c>
      <c r="K404" t="s">
        <v>780</v>
      </c>
      <c r="L404" t="s">
        <v>579</v>
      </c>
      <c r="M404" t="s">
        <v>3168</v>
      </c>
      <c r="N404" t="s">
        <v>1527</v>
      </c>
      <c r="O404" t="s">
        <v>1654</v>
      </c>
    </row>
    <row r="405" spans="1:15" x14ac:dyDescent="0.25">
      <c r="A405" t="s">
        <v>882</v>
      </c>
      <c r="B405" t="s">
        <v>2705</v>
      </c>
      <c r="C405" t="s">
        <v>1510</v>
      </c>
      <c r="D405" t="s">
        <v>285</v>
      </c>
      <c r="E405" t="s">
        <v>285</v>
      </c>
      <c r="F405" t="s">
        <v>285</v>
      </c>
      <c r="G405" t="s">
        <v>285</v>
      </c>
      <c r="H405" t="s">
        <v>1408</v>
      </c>
      <c r="I405" t="s">
        <v>172</v>
      </c>
      <c r="J405" t="s">
        <v>2193</v>
      </c>
      <c r="K405" t="s">
        <v>788</v>
      </c>
      <c r="L405" t="s">
        <v>882</v>
      </c>
      <c r="M405" t="s">
        <v>3167</v>
      </c>
      <c r="N405" t="s">
        <v>121</v>
      </c>
      <c r="O405" t="s">
        <v>1654</v>
      </c>
    </row>
    <row r="406" spans="1:15" x14ac:dyDescent="0.25">
      <c r="A406" t="s">
        <v>310</v>
      </c>
      <c r="B406" t="s">
        <v>2706</v>
      </c>
      <c r="C406" t="s">
        <v>1519</v>
      </c>
      <c r="D406" t="s">
        <v>284</v>
      </c>
      <c r="E406" t="s">
        <v>285</v>
      </c>
      <c r="F406" t="s">
        <v>284</v>
      </c>
      <c r="G406" t="s">
        <v>285</v>
      </c>
      <c r="H406" t="s">
        <v>5</v>
      </c>
      <c r="I406" t="s">
        <v>172</v>
      </c>
      <c r="J406" t="s">
        <v>2277</v>
      </c>
      <c r="K406" t="s">
        <v>800</v>
      </c>
      <c r="L406" t="s">
        <v>310</v>
      </c>
      <c r="M406" t="s">
        <v>3167</v>
      </c>
      <c r="N406" t="s">
        <v>802</v>
      </c>
      <c r="O406" t="s">
        <v>789</v>
      </c>
    </row>
    <row r="407" spans="1:15" x14ac:dyDescent="0.25">
      <c r="A407" t="s">
        <v>1316</v>
      </c>
      <c r="B407" t="s">
        <v>2707</v>
      </c>
      <c r="C407" t="s">
        <v>1510</v>
      </c>
      <c r="D407" t="s">
        <v>285</v>
      </c>
      <c r="E407" t="s">
        <v>285</v>
      </c>
      <c r="F407" t="s">
        <v>285</v>
      </c>
      <c r="G407" t="s">
        <v>285</v>
      </c>
      <c r="H407" t="s">
        <v>1408</v>
      </c>
      <c r="I407" t="s">
        <v>172</v>
      </c>
      <c r="J407" t="s">
        <v>2178</v>
      </c>
      <c r="K407" t="s">
        <v>788</v>
      </c>
      <c r="L407" t="s">
        <v>1316</v>
      </c>
      <c r="M407" t="s">
        <v>3167</v>
      </c>
      <c r="N407" t="s">
        <v>1527</v>
      </c>
      <c r="O407" t="s">
        <v>789</v>
      </c>
    </row>
    <row r="408" spans="1:15" x14ac:dyDescent="0.25">
      <c r="A408" t="s">
        <v>1639</v>
      </c>
      <c r="B408" t="s">
        <v>2708</v>
      </c>
      <c r="C408" t="s">
        <v>1529</v>
      </c>
      <c r="D408" t="s">
        <v>285</v>
      </c>
      <c r="E408" t="s">
        <v>285</v>
      </c>
      <c r="F408" t="s">
        <v>285</v>
      </c>
      <c r="G408" t="s">
        <v>285</v>
      </c>
      <c r="H408" t="s">
        <v>1529</v>
      </c>
      <c r="I408" t="s">
        <v>812</v>
      </c>
      <c r="J408" t="s">
        <v>2709</v>
      </c>
      <c r="K408" t="s">
        <v>800</v>
      </c>
      <c r="L408" t="s">
        <v>1639</v>
      </c>
      <c r="M408" t="s">
        <v>1527</v>
      </c>
      <c r="N408" t="s">
        <v>1527</v>
      </c>
      <c r="O408" t="s">
        <v>1654</v>
      </c>
    </row>
    <row r="409" spans="1:15" x14ac:dyDescent="0.25">
      <c r="A409" t="s">
        <v>1042</v>
      </c>
      <c r="B409" t="s">
        <v>2710</v>
      </c>
      <c r="C409" t="s">
        <v>1516</v>
      </c>
      <c r="D409" t="s">
        <v>285</v>
      </c>
      <c r="E409" t="s">
        <v>284</v>
      </c>
      <c r="F409" t="s">
        <v>285</v>
      </c>
      <c r="G409" t="s">
        <v>284</v>
      </c>
      <c r="H409" t="s">
        <v>5</v>
      </c>
      <c r="I409" t="s">
        <v>172</v>
      </c>
      <c r="J409" t="s">
        <v>1407</v>
      </c>
      <c r="K409" t="s">
        <v>1616</v>
      </c>
      <c r="L409" t="s">
        <v>1042</v>
      </c>
      <c r="M409" t="s">
        <v>3168</v>
      </c>
      <c r="N409" t="s">
        <v>121</v>
      </c>
      <c r="O409" t="s">
        <v>1654</v>
      </c>
    </row>
    <row r="410" spans="1:15" x14ac:dyDescent="0.25">
      <c r="A410" t="s">
        <v>675</v>
      </c>
      <c r="B410" t="s">
        <v>2711</v>
      </c>
      <c r="C410" t="s">
        <v>2317</v>
      </c>
      <c r="D410" t="s">
        <v>284</v>
      </c>
      <c r="E410" t="s">
        <v>285</v>
      </c>
      <c r="F410" t="s">
        <v>285</v>
      </c>
      <c r="G410" t="s">
        <v>285</v>
      </c>
      <c r="H410" t="s">
        <v>5</v>
      </c>
      <c r="I410" t="s">
        <v>172</v>
      </c>
      <c r="J410" t="s">
        <v>2295</v>
      </c>
      <c r="K410" t="s">
        <v>98</v>
      </c>
      <c r="L410" t="s">
        <v>675</v>
      </c>
      <c r="M410" t="s">
        <v>3168</v>
      </c>
      <c r="N410" t="s">
        <v>3172</v>
      </c>
      <c r="O410" t="s">
        <v>1654</v>
      </c>
    </row>
    <row r="411" spans="1:15" x14ac:dyDescent="0.25">
      <c r="A411" t="s">
        <v>1152</v>
      </c>
      <c r="B411" t="s">
        <v>2712</v>
      </c>
      <c r="C411" t="s">
        <v>1510</v>
      </c>
      <c r="D411" t="s">
        <v>285</v>
      </c>
      <c r="E411" t="s">
        <v>285</v>
      </c>
      <c r="F411" t="s">
        <v>285</v>
      </c>
      <c r="G411" t="s">
        <v>285</v>
      </c>
      <c r="H411" t="s">
        <v>1408</v>
      </c>
      <c r="I411" t="s">
        <v>172</v>
      </c>
      <c r="J411" t="s">
        <v>2178</v>
      </c>
      <c r="K411" t="s">
        <v>800</v>
      </c>
      <c r="L411" t="s">
        <v>1152</v>
      </c>
      <c r="M411" t="s">
        <v>3167</v>
      </c>
      <c r="N411" t="s">
        <v>121</v>
      </c>
      <c r="O411" t="s">
        <v>1654</v>
      </c>
    </row>
    <row r="412" spans="1:15" x14ac:dyDescent="0.25">
      <c r="A412" t="s">
        <v>833</v>
      </c>
      <c r="B412" t="s">
        <v>2713</v>
      </c>
      <c r="C412" t="s">
        <v>1510</v>
      </c>
      <c r="D412" t="s">
        <v>285</v>
      </c>
      <c r="E412" t="s">
        <v>285</v>
      </c>
      <c r="F412" t="s">
        <v>285</v>
      </c>
      <c r="G412" t="s">
        <v>285</v>
      </c>
      <c r="H412" t="s">
        <v>1408</v>
      </c>
      <c r="I412" t="s">
        <v>172</v>
      </c>
      <c r="J412" t="s">
        <v>1534</v>
      </c>
      <c r="K412" t="s">
        <v>800</v>
      </c>
      <c r="L412" t="s">
        <v>833</v>
      </c>
      <c r="M412" t="s">
        <v>3167</v>
      </c>
      <c r="N412" t="s">
        <v>1527</v>
      </c>
      <c r="O412" t="s">
        <v>1654</v>
      </c>
    </row>
    <row r="413" spans="1:15" x14ac:dyDescent="0.25">
      <c r="A413" t="s">
        <v>1438</v>
      </c>
      <c r="B413" t="s">
        <v>2714</v>
      </c>
      <c r="C413" t="s">
        <v>1510</v>
      </c>
      <c r="D413" t="s">
        <v>285</v>
      </c>
      <c r="E413" t="s">
        <v>285</v>
      </c>
      <c r="F413" t="s">
        <v>285</v>
      </c>
      <c r="G413" t="s">
        <v>285</v>
      </c>
      <c r="H413" t="s">
        <v>1408</v>
      </c>
      <c r="I413" t="s">
        <v>172</v>
      </c>
      <c r="J413" t="s">
        <v>2589</v>
      </c>
      <c r="K413" t="s">
        <v>800</v>
      </c>
      <c r="L413" t="s">
        <v>1438</v>
      </c>
      <c r="M413" t="s">
        <v>3167</v>
      </c>
      <c r="N413" t="s">
        <v>1527</v>
      </c>
      <c r="O413" t="s">
        <v>789</v>
      </c>
    </row>
    <row r="414" spans="1:15" x14ac:dyDescent="0.25">
      <c r="A414" t="s">
        <v>656</v>
      </c>
      <c r="B414" t="s">
        <v>2715</v>
      </c>
      <c r="C414" t="s">
        <v>1523</v>
      </c>
      <c r="D414" t="s">
        <v>284</v>
      </c>
      <c r="E414" t="s">
        <v>284</v>
      </c>
      <c r="F414" t="s">
        <v>285</v>
      </c>
      <c r="G414" t="s">
        <v>285</v>
      </c>
      <c r="H414" t="s">
        <v>5</v>
      </c>
      <c r="I414" t="s">
        <v>172</v>
      </c>
      <c r="J414" t="s">
        <v>2295</v>
      </c>
      <c r="K414" t="s">
        <v>98</v>
      </c>
      <c r="L414" t="s">
        <v>656</v>
      </c>
      <c r="M414" t="s">
        <v>3168</v>
      </c>
      <c r="N414" t="s">
        <v>3172</v>
      </c>
      <c r="O414" t="s">
        <v>1654</v>
      </c>
    </row>
    <row r="415" spans="1:15" x14ac:dyDescent="0.25">
      <c r="A415" t="s">
        <v>984</v>
      </c>
      <c r="B415" t="s">
        <v>2716</v>
      </c>
      <c r="C415" t="s">
        <v>1510</v>
      </c>
      <c r="D415" t="s">
        <v>285</v>
      </c>
      <c r="E415" t="s">
        <v>285</v>
      </c>
      <c r="F415" t="s">
        <v>285</v>
      </c>
      <c r="G415" t="s">
        <v>285</v>
      </c>
      <c r="H415" t="s">
        <v>1408</v>
      </c>
      <c r="I415" t="s">
        <v>172</v>
      </c>
      <c r="J415" t="s">
        <v>2482</v>
      </c>
      <c r="K415" t="s">
        <v>839</v>
      </c>
      <c r="L415" t="s">
        <v>984</v>
      </c>
      <c r="M415" t="s">
        <v>3167</v>
      </c>
      <c r="N415" t="s">
        <v>121</v>
      </c>
      <c r="O415" t="s">
        <v>1654</v>
      </c>
    </row>
    <row r="416" spans="1:15" x14ac:dyDescent="0.25">
      <c r="A416" t="s">
        <v>650</v>
      </c>
      <c r="B416" t="s">
        <v>2717</v>
      </c>
      <c r="C416" t="s">
        <v>2317</v>
      </c>
      <c r="D416" t="s">
        <v>284</v>
      </c>
      <c r="E416" t="s">
        <v>284</v>
      </c>
      <c r="F416" t="s">
        <v>285</v>
      </c>
      <c r="G416" t="s">
        <v>285</v>
      </c>
      <c r="H416" t="s">
        <v>5</v>
      </c>
      <c r="I416" t="s">
        <v>172</v>
      </c>
      <c r="J416" t="s">
        <v>2295</v>
      </c>
      <c r="K416" t="s">
        <v>98</v>
      </c>
      <c r="L416" t="s">
        <v>650</v>
      </c>
      <c r="M416" t="s">
        <v>3168</v>
      </c>
      <c r="N416" t="s">
        <v>3172</v>
      </c>
      <c r="O416" t="s">
        <v>1654</v>
      </c>
    </row>
    <row r="417" spans="1:15" x14ac:dyDescent="0.25">
      <c r="A417" t="s">
        <v>404</v>
      </c>
      <c r="B417" t="s">
        <v>2718</v>
      </c>
      <c r="C417" t="s">
        <v>1513</v>
      </c>
      <c r="D417" t="s">
        <v>284</v>
      </c>
      <c r="E417" t="s">
        <v>284</v>
      </c>
      <c r="F417" t="s">
        <v>285</v>
      </c>
      <c r="G417" t="s">
        <v>285</v>
      </c>
      <c r="H417" t="s">
        <v>5</v>
      </c>
      <c r="I417" t="s">
        <v>172</v>
      </c>
      <c r="J417" t="s">
        <v>1514</v>
      </c>
      <c r="K417" t="s">
        <v>839</v>
      </c>
      <c r="L417" t="s">
        <v>404</v>
      </c>
      <c r="M417" t="s">
        <v>3168</v>
      </c>
      <c r="N417" t="s">
        <v>802</v>
      </c>
      <c r="O417" t="s">
        <v>789</v>
      </c>
    </row>
    <row r="418" spans="1:15" x14ac:dyDescent="0.25">
      <c r="A418" t="s">
        <v>819</v>
      </c>
      <c r="B418" t="s">
        <v>2719</v>
      </c>
      <c r="C418" t="s">
        <v>2317</v>
      </c>
      <c r="D418" t="s">
        <v>285</v>
      </c>
      <c r="E418" t="s">
        <v>285</v>
      </c>
      <c r="F418" t="s">
        <v>285</v>
      </c>
      <c r="G418" t="s">
        <v>284</v>
      </c>
      <c r="H418" t="s">
        <v>5</v>
      </c>
      <c r="I418" t="s">
        <v>172</v>
      </c>
      <c r="J418" t="s">
        <v>2295</v>
      </c>
      <c r="K418" t="s">
        <v>98</v>
      </c>
      <c r="L418" t="s">
        <v>819</v>
      </c>
      <c r="M418" t="s">
        <v>3168</v>
      </c>
      <c r="N418" t="s">
        <v>3172</v>
      </c>
      <c r="O418" t="s">
        <v>1654</v>
      </c>
    </row>
    <row r="419" spans="1:15" x14ac:dyDescent="0.25">
      <c r="A419" t="s">
        <v>688</v>
      </c>
      <c r="B419" t="s">
        <v>2720</v>
      </c>
      <c r="C419" t="s">
        <v>1518</v>
      </c>
      <c r="D419" t="s">
        <v>284</v>
      </c>
      <c r="E419" t="s">
        <v>285</v>
      </c>
      <c r="F419" t="s">
        <v>285</v>
      </c>
      <c r="G419" t="s">
        <v>285</v>
      </c>
      <c r="H419" t="s">
        <v>5</v>
      </c>
      <c r="I419" t="s">
        <v>172</v>
      </c>
      <c r="J419" t="s">
        <v>103</v>
      </c>
      <c r="K419" t="s">
        <v>101</v>
      </c>
      <c r="L419" t="s">
        <v>688</v>
      </c>
      <c r="M419" t="s">
        <v>3167</v>
      </c>
      <c r="N419" t="s">
        <v>121</v>
      </c>
      <c r="O419" t="s">
        <v>1654</v>
      </c>
    </row>
    <row r="420" spans="1:15" x14ac:dyDescent="0.25">
      <c r="A420" t="s">
        <v>551</v>
      </c>
      <c r="B420" t="s">
        <v>2721</v>
      </c>
      <c r="C420" t="s">
        <v>2698</v>
      </c>
      <c r="D420" t="s">
        <v>285</v>
      </c>
      <c r="E420" t="s">
        <v>285</v>
      </c>
      <c r="F420" t="s">
        <v>285</v>
      </c>
      <c r="G420" t="s">
        <v>284</v>
      </c>
      <c r="H420" t="s">
        <v>5</v>
      </c>
      <c r="I420" t="s">
        <v>172</v>
      </c>
      <c r="J420" t="s">
        <v>788</v>
      </c>
      <c r="K420" t="s">
        <v>788</v>
      </c>
      <c r="L420" t="s">
        <v>551</v>
      </c>
      <c r="M420" t="s">
        <v>3167</v>
      </c>
      <c r="N420" t="s">
        <v>121</v>
      </c>
      <c r="O420" t="s">
        <v>1654</v>
      </c>
    </row>
    <row r="421" spans="1:15" x14ac:dyDescent="0.25">
      <c r="A421" t="s">
        <v>405</v>
      </c>
      <c r="B421" t="s">
        <v>2722</v>
      </c>
      <c r="C421" t="s">
        <v>1523</v>
      </c>
      <c r="D421" t="s">
        <v>284</v>
      </c>
      <c r="E421" t="s">
        <v>285</v>
      </c>
      <c r="F421" t="s">
        <v>284</v>
      </c>
      <c r="G421" t="s">
        <v>285</v>
      </c>
      <c r="H421" t="s">
        <v>5</v>
      </c>
      <c r="I421" t="s">
        <v>172</v>
      </c>
      <c r="J421" t="s">
        <v>2295</v>
      </c>
      <c r="K421" t="s">
        <v>98</v>
      </c>
      <c r="L421" t="s">
        <v>405</v>
      </c>
      <c r="M421" t="s">
        <v>3168</v>
      </c>
      <c r="N421" t="s">
        <v>3172</v>
      </c>
      <c r="O421" t="s">
        <v>1654</v>
      </c>
    </row>
    <row r="422" spans="1:15" x14ac:dyDescent="0.25">
      <c r="A422" t="s">
        <v>648</v>
      </c>
      <c r="B422" t="s">
        <v>2723</v>
      </c>
      <c r="C422" t="s">
        <v>2298</v>
      </c>
      <c r="D422" t="s">
        <v>284</v>
      </c>
      <c r="E422" t="s">
        <v>285</v>
      </c>
      <c r="F422" t="s">
        <v>285</v>
      </c>
      <c r="G422" t="s">
        <v>285</v>
      </c>
      <c r="H422" t="s">
        <v>5</v>
      </c>
      <c r="I422" t="s">
        <v>172</v>
      </c>
      <c r="J422" t="s">
        <v>103</v>
      </c>
      <c r="K422" t="s">
        <v>98</v>
      </c>
      <c r="L422" t="s">
        <v>648</v>
      </c>
      <c r="M422" t="s">
        <v>3168</v>
      </c>
      <c r="N422" t="s">
        <v>121</v>
      </c>
      <c r="O422" t="s">
        <v>789</v>
      </c>
    </row>
    <row r="423" spans="1:15" x14ac:dyDescent="0.25">
      <c r="A423" t="s">
        <v>115</v>
      </c>
      <c r="B423" t="s">
        <v>2724</v>
      </c>
      <c r="C423" t="s">
        <v>1510</v>
      </c>
      <c r="D423" t="s">
        <v>285</v>
      </c>
      <c r="E423" t="s">
        <v>285</v>
      </c>
      <c r="F423" t="s">
        <v>285</v>
      </c>
      <c r="G423" t="s">
        <v>285</v>
      </c>
      <c r="H423" t="s">
        <v>1408</v>
      </c>
      <c r="I423" t="s">
        <v>172</v>
      </c>
      <c r="J423" t="s">
        <v>2725</v>
      </c>
      <c r="K423" t="s">
        <v>800</v>
      </c>
      <c r="L423" t="s">
        <v>115</v>
      </c>
      <c r="M423" t="s">
        <v>3167</v>
      </c>
      <c r="N423" t="s">
        <v>121</v>
      </c>
      <c r="O423" t="s">
        <v>1654</v>
      </c>
    </row>
    <row r="424" spans="1:15" x14ac:dyDescent="0.25">
      <c r="A424" t="s">
        <v>983</v>
      </c>
      <c r="B424" t="s">
        <v>2726</v>
      </c>
      <c r="C424" t="s">
        <v>1510</v>
      </c>
      <c r="D424" t="s">
        <v>285</v>
      </c>
      <c r="E424" t="s">
        <v>285</v>
      </c>
      <c r="F424" t="s">
        <v>285</v>
      </c>
      <c r="G424" t="s">
        <v>285</v>
      </c>
      <c r="H424" t="s">
        <v>1408</v>
      </c>
      <c r="I424" t="s">
        <v>172</v>
      </c>
      <c r="J424" t="s">
        <v>2178</v>
      </c>
      <c r="K424" t="s">
        <v>800</v>
      </c>
      <c r="L424" t="s">
        <v>983</v>
      </c>
      <c r="M424" t="s">
        <v>3167</v>
      </c>
      <c r="N424" t="s">
        <v>121</v>
      </c>
      <c r="O424" t="s">
        <v>1654</v>
      </c>
    </row>
    <row r="425" spans="1:15" x14ac:dyDescent="0.25">
      <c r="A425" t="s">
        <v>734</v>
      </c>
      <c r="B425" t="s">
        <v>2727</v>
      </c>
      <c r="C425" t="s">
        <v>2248</v>
      </c>
      <c r="D425" t="s">
        <v>285</v>
      </c>
      <c r="E425" t="s">
        <v>285</v>
      </c>
      <c r="F425" t="s">
        <v>285</v>
      </c>
      <c r="G425" t="s">
        <v>284</v>
      </c>
      <c r="H425" t="s">
        <v>5</v>
      </c>
      <c r="I425" t="s">
        <v>172</v>
      </c>
      <c r="J425" t="s">
        <v>103</v>
      </c>
      <c r="K425" t="s">
        <v>101</v>
      </c>
      <c r="L425" t="s">
        <v>734</v>
      </c>
      <c r="M425" t="s">
        <v>3167</v>
      </c>
      <c r="N425" t="s">
        <v>121</v>
      </c>
      <c r="O425" t="s">
        <v>1654</v>
      </c>
    </row>
    <row r="426" spans="1:15" x14ac:dyDescent="0.25">
      <c r="A426" t="s">
        <v>530</v>
      </c>
      <c r="B426" t="s">
        <v>2728</v>
      </c>
      <c r="C426" t="s">
        <v>1539</v>
      </c>
      <c r="D426" t="s">
        <v>284</v>
      </c>
      <c r="E426" t="s">
        <v>285</v>
      </c>
      <c r="F426" t="s">
        <v>285</v>
      </c>
      <c r="G426" t="s">
        <v>285</v>
      </c>
      <c r="H426" t="s">
        <v>5</v>
      </c>
      <c r="I426" t="s">
        <v>172</v>
      </c>
      <c r="J426" t="s">
        <v>2295</v>
      </c>
      <c r="K426" t="s">
        <v>98</v>
      </c>
      <c r="L426" t="s">
        <v>530</v>
      </c>
      <c r="M426" t="s">
        <v>3168</v>
      </c>
      <c r="N426" t="s">
        <v>3172</v>
      </c>
      <c r="O426" t="s">
        <v>1654</v>
      </c>
    </row>
    <row r="427" spans="1:15" x14ac:dyDescent="0.25">
      <c r="A427" t="s">
        <v>1038</v>
      </c>
      <c r="B427" t="s">
        <v>2729</v>
      </c>
      <c r="C427" t="s">
        <v>780</v>
      </c>
      <c r="D427" t="s">
        <v>285</v>
      </c>
      <c r="E427" t="s">
        <v>285</v>
      </c>
      <c r="F427" t="s">
        <v>285</v>
      </c>
      <c r="G427" t="s">
        <v>284</v>
      </c>
      <c r="H427" t="s">
        <v>5</v>
      </c>
      <c r="I427" t="s">
        <v>172</v>
      </c>
      <c r="J427" t="s">
        <v>780</v>
      </c>
      <c r="K427" t="s">
        <v>780</v>
      </c>
      <c r="L427" t="s">
        <v>1038</v>
      </c>
      <c r="M427" t="s">
        <v>3167</v>
      </c>
      <c r="N427" t="s">
        <v>121</v>
      </c>
      <c r="O427" t="s">
        <v>1654</v>
      </c>
    </row>
    <row r="428" spans="1:15" x14ac:dyDescent="0.25">
      <c r="A428" t="s">
        <v>96</v>
      </c>
      <c r="B428" t="s">
        <v>2730</v>
      </c>
      <c r="C428" t="s">
        <v>1510</v>
      </c>
      <c r="D428" t="s">
        <v>285</v>
      </c>
      <c r="E428" t="s">
        <v>285</v>
      </c>
      <c r="F428" t="s">
        <v>285</v>
      </c>
      <c r="G428" t="s">
        <v>285</v>
      </c>
      <c r="H428" t="s">
        <v>1408</v>
      </c>
      <c r="I428" t="s">
        <v>172</v>
      </c>
      <c r="J428" t="s">
        <v>2178</v>
      </c>
      <c r="K428" t="s">
        <v>840</v>
      </c>
      <c r="L428" t="s">
        <v>96</v>
      </c>
      <c r="M428" t="s">
        <v>3168</v>
      </c>
      <c r="N428" t="s">
        <v>121</v>
      </c>
      <c r="O428" t="s">
        <v>789</v>
      </c>
    </row>
    <row r="429" spans="1:15" x14ac:dyDescent="0.25">
      <c r="A429" t="s">
        <v>406</v>
      </c>
      <c r="B429" t="s">
        <v>2731</v>
      </c>
      <c r="C429" t="s">
        <v>1535</v>
      </c>
      <c r="D429" t="s">
        <v>285</v>
      </c>
      <c r="E429" t="s">
        <v>285</v>
      </c>
      <c r="F429" t="s">
        <v>285</v>
      </c>
      <c r="G429" t="s">
        <v>284</v>
      </c>
      <c r="H429" t="s">
        <v>5</v>
      </c>
      <c r="I429" t="s">
        <v>172</v>
      </c>
      <c r="J429" t="s">
        <v>801</v>
      </c>
      <c r="K429" t="s">
        <v>801</v>
      </c>
      <c r="L429" t="s">
        <v>406</v>
      </c>
      <c r="M429" t="s">
        <v>3167</v>
      </c>
      <c r="N429" t="s">
        <v>1527</v>
      </c>
      <c r="O429" t="s">
        <v>1654</v>
      </c>
    </row>
    <row r="430" spans="1:15" x14ac:dyDescent="0.25">
      <c r="A430" t="s">
        <v>750</v>
      </c>
      <c r="B430" t="s">
        <v>2732</v>
      </c>
      <c r="C430" t="s">
        <v>2428</v>
      </c>
      <c r="D430" t="s">
        <v>285</v>
      </c>
      <c r="E430" t="s">
        <v>285</v>
      </c>
      <c r="F430" t="s">
        <v>285</v>
      </c>
      <c r="G430" t="s">
        <v>284</v>
      </c>
      <c r="H430" t="s">
        <v>5</v>
      </c>
      <c r="I430" t="s">
        <v>172</v>
      </c>
      <c r="J430" t="s">
        <v>780</v>
      </c>
      <c r="K430" t="s">
        <v>780</v>
      </c>
      <c r="L430" t="s">
        <v>750</v>
      </c>
      <c r="M430" t="s">
        <v>3168</v>
      </c>
      <c r="N430" t="s">
        <v>3172</v>
      </c>
      <c r="O430" t="s">
        <v>1654</v>
      </c>
    </row>
    <row r="431" spans="1:15" x14ac:dyDescent="0.25">
      <c r="A431" t="s">
        <v>407</v>
      </c>
      <c r="B431" t="s">
        <v>2733</v>
      </c>
      <c r="C431" t="s">
        <v>2338</v>
      </c>
      <c r="D431" t="s">
        <v>285</v>
      </c>
      <c r="E431" t="s">
        <v>284</v>
      </c>
      <c r="F431" t="s">
        <v>285</v>
      </c>
      <c r="G431" t="s">
        <v>285</v>
      </c>
      <c r="H431" t="s">
        <v>5</v>
      </c>
      <c r="I431" t="s">
        <v>172</v>
      </c>
      <c r="J431" t="s">
        <v>2339</v>
      </c>
      <c r="K431" t="s">
        <v>101</v>
      </c>
      <c r="L431" t="s">
        <v>407</v>
      </c>
      <c r="M431" t="s">
        <v>3168</v>
      </c>
      <c r="N431" t="s">
        <v>1527</v>
      </c>
      <c r="O431" t="s">
        <v>1654</v>
      </c>
    </row>
    <row r="432" spans="1:15" x14ac:dyDescent="0.25">
      <c r="A432" t="s">
        <v>570</v>
      </c>
      <c r="B432" t="s">
        <v>2734</v>
      </c>
      <c r="C432" t="s">
        <v>1518</v>
      </c>
      <c r="D432" t="s">
        <v>285</v>
      </c>
      <c r="E432" t="s">
        <v>284</v>
      </c>
      <c r="F432" t="s">
        <v>285</v>
      </c>
      <c r="G432" t="s">
        <v>284</v>
      </c>
      <c r="H432" t="s">
        <v>5</v>
      </c>
      <c r="I432" t="s">
        <v>172</v>
      </c>
      <c r="J432" t="s">
        <v>103</v>
      </c>
      <c r="K432" t="s">
        <v>101</v>
      </c>
      <c r="L432" t="s">
        <v>570</v>
      </c>
      <c r="M432" t="s">
        <v>3168</v>
      </c>
      <c r="N432" t="s">
        <v>121</v>
      </c>
      <c r="O432" t="s">
        <v>1654</v>
      </c>
    </row>
    <row r="433" spans="1:15" x14ac:dyDescent="0.25">
      <c r="A433" t="s">
        <v>954</v>
      </c>
      <c r="B433" t="s">
        <v>2735</v>
      </c>
      <c r="C433" t="s">
        <v>2294</v>
      </c>
      <c r="D433" t="s">
        <v>285</v>
      </c>
      <c r="E433" t="s">
        <v>285</v>
      </c>
      <c r="F433" t="s">
        <v>285</v>
      </c>
      <c r="G433" t="s">
        <v>284</v>
      </c>
      <c r="H433" t="s">
        <v>5</v>
      </c>
      <c r="I433" t="s">
        <v>172</v>
      </c>
      <c r="J433" t="s">
        <v>2614</v>
      </c>
      <c r="K433" t="s">
        <v>101</v>
      </c>
      <c r="L433" t="s">
        <v>954</v>
      </c>
      <c r="M433" t="s">
        <v>3167</v>
      </c>
      <c r="N433" t="s">
        <v>121</v>
      </c>
      <c r="O433" t="s">
        <v>1654</v>
      </c>
    </row>
    <row r="434" spans="1:15" x14ac:dyDescent="0.25">
      <c r="A434" t="s">
        <v>512</v>
      </c>
      <c r="B434" t="s">
        <v>2736</v>
      </c>
      <c r="C434" t="s">
        <v>2267</v>
      </c>
      <c r="D434" t="s">
        <v>285</v>
      </c>
      <c r="E434" t="s">
        <v>284</v>
      </c>
      <c r="F434" t="s">
        <v>285</v>
      </c>
      <c r="G434" t="s">
        <v>284</v>
      </c>
      <c r="H434" t="s">
        <v>5</v>
      </c>
      <c r="I434" t="s">
        <v>172</v>
      </c>
      <c r="J434" t="s">
        <v>2268</v>
      </c>
      <c r="K434" t="s">
        <v>1616</v>
      </c>
      <c r="L434" t="s">
        <v>512</v>
      </c>
      <c r="M434" t="s">
        <v>3168</v>
      </c>
      <c r="N434" t="s">
        <v>121</v>
      </c>
      <c r="O434" t="s">
        <v>1654</v>
      </c>
    </row>
    <row r="435" spans="1:15" x14ac:dyDescent="0.25">
      <c r="A435" t="s">
        <v>666</v>
      </c>
      <c r="B435" t="s">
        <v>2737</v>
      </c>
      <c r="C435" t="s">
        <v>1516</v>
      </c>
      <c r="D435" t="s">
        <v>284</v>
      </c>
      <c r="E435" t="s">
        <v>285</v>
      </c>
      <c r="F435" t="s">
        <v>285</v>
      </c>
      <c r="G435" t="s">
        <v>285</v>
      </c>
      <c r="H435" t="s">
        <v>5</v>
      </c>
      <c r="I435" t="s">
        <v>172</v>
      </c>
      <c r="J435" t="s">
        <v>1407</v>
      </c>
      <c r="K435" t="s">
        <v>1616</v>
      </c>
      <c r="L435" t="s">
        <v>666</v>
      </c>
      <c r="M435" t="s">
        <v>3168</v>
      </c>
      <c r="N435" t="s">
        <v>802</v>
      </c>
      <c r="O435" t="s">
        <v>1654</v>
      </c>
    </row>
    <row r="436" spans="1:15" x14ac:dyDescent="0.25">
      <c r="A436" t="s">
        <v>408</v>
      </c>
      <c r="B436" t="s">
        <v>2738</v>
      </c>
      <c r="C436" t="s">
        <v>2338</v>
      </c>
      <c r="D436" t="s">
        <v>285</v>
      </c>
      <c r="E436" t="s">
        <v>284</v>
      </c>
      <c r="F436" t="s">
        <v>285</v>
      </c>
      <c r="G436" t="s">
        <v>285</v>
      </c>
      <c r="H436" t="s">
        <v>2230</v>
      </c>
      <c r="I436" t="s">
        <v>172</v>
      </c>
      <c r="J436" t="s">
        <v>2339</v>
      </c>
      <c r="K436" t="s">
        <v>101</v>
      </c>
      <c r="L436" t="s">
        <v>408</v>
      </c>
      <c r="M436" t="s">
        <v>3168</v>
      </c>
      <c r="N436" t="s">
        <v>121</v>
      </c>
      <c r="O436" t="s">
        <v>1654</v>
      </c>
    </row>
    <row r="437" spans="1:15" x14ac:dyDescent="0.25">
      <c r="A437" t="s">
        <v>599</v>
      </c>
      <c r="B437" t="s">
        <v>2739</v>
      </c>
      <c r="C437" t="s">
        <v>2232</v>
      </c>
      <c r="D437" t="s">
        <v>284</v>
      </c>
      <c r="E437" t="s">
        <v>285</v>
      </c>
      <c r="F437" t="s">
        <v>285</v>
      </c>
      <c r="G437" t="s">
        <v>285</v>
      </c>
      <c r="H437" t="s">
        <v>5</v>
      </c>
      <c r="I437" t="s">
        <v>172</v>
      </c>
      <c r="J437" t="s">
        <v>801</v>
      </c>
      <c r="K437" t="s">
        <v>801</v>
      </c>
      <c r="L437" t="s">
        <v>599</v>
      </c>
      <c r="M437" t="s">
        <v>3168</v>
      </c>
      <c r="N437" t="s">
        <v>802</v>
      </c>
      <c r="O437" t="s">
        <v>789</v>
      </c>
    </row>
    <row r="438" spans="1:15" x14ac:dyDescent="0.25">
      <c r="A438" t="s">
        <v>1342</v>
      </c>
      <c r="B438" t="s">
        <v>2740</v>
      </c>
      <c r="C438" t="s">
        <v>1510</v>
      </c>
      <c r="D438" t="s">
        <v>285</v>
      </c>
      <c r="E438" t="s">
        <v>285</v>
      </c>
      <c r="F438" t="s">
        <v>285</v>
      </c>
      <c r="G438" t="s">
        <v>285</v>
      </c>
      <c r="H438" t="s">
        <v>1408</v>
      </c>
      <c r="I438" t="s">
        <v>172</v>
      </c>
      <c r="J438" t="s">
        <v>2741</v>
      </c>
      <c r="K438" t="s">
        <v>801</v>
      </c>
      <c r="L438" t="s">
        <v>1342</v>
      </c>
      <c r="M438" t="s">
        <v>3167</v>
      </c>
      <c r="N438" t="s">
        <v>1527</v>
      </c>
      <c r="O438" t="s">
        <v>1654</v>
      </c>
    </row>
    <row r="439" spans="1:15" x14ac:dyDescent="0.25">
      <c r="A439" t="s">
        <v>596</v>
      </c>
      <c r="B439" t="s">
        <v>2742</v>
      </c>
      <c r="C439" t="s">
        <v>1505</v>
      </c>
      <c r="D439" t="s">
        <v>284</v>
      </c>
      <c r="E439" t="s">
        <v>285</v>
      </c>
      <c r="F439" t="s">
        <v>285</v>
      </c>
      <c r="G439" t="s">
        <v>285</v>
      </c>
      <c r="H439" t="s">
        <v>5</v>
      </c>
      <c r="I439" t="s">
        <v>172</v>
      </c>
      <c r="J439" t="s">
        <v>2743</v>
      </c>
      <c r="K439" t="s">
        <v>1616</v>
      </c>
      <c r="L439" t="s">
        <v>596</v>
      </c>
      <c r="M439" t="s">
        <v>3168</v>
      </c>
      <c r="N439" t="s">
        <v>802</v>
      </c>
      <c r="O439" t="s">
        <v>789</v>
      </c>
    </row>
    <row r="440" spans="1:15" x14ac:dyDescent="0.25">
      <c r="A440" t="s">
        <v>409</v>
      </c>
      <c r="B440" t="s">
        <v>2744</v>
      </c>
      <c r="C440" t="s">
        <v>1534</v>
      </c>
      <c r="D440" t="s">
        <v>285</v>
      </c>
      <c r="E440" t="s">
        <v>284</v>
      </c>
      <c r="F440" t="s">
        <v>285</v>
      </c>
      <c r="G440" t="s">
        <v>284</v>
      </c>
      <c r="H440" t="s">
        <v>5</v>
      </c>
      <c r="I440" t="s">
        <v>172</v>
      </c>
      <c r="J440" t="s">
        <v>2745</v>
      </c>
      <c r="K440" t="s">
        <v>800</v>
      </c>
      <c r="L440" t="s">
        <v>409</v>
      </c>
      <c r="M440" t="s">
        <v>3168</v>
      </c>
      <c r="N440" t="s">
        <v>1527</v>
      </c>
      <c r="O440" t="s">
        <v>789</v>
      </c>
    </row>
    <row r="441" spans="1:15" x14ac:dyDescent="0.25">
      <c r="A441" t="s">
        <v>612</v>
      </c>
      <c r="B441" t="s">
        <v>2746</v>
      </c>
      <c r="C441" t="s">
        <v>1508</v>
      </c>
      <c r="D441" t="s">
        <v>284</v>
      </c>
      <c r="E441" t="s">
        <v>285</v>
      </c>
      <c r="F441" t="s">
        <v>285</v>
      </c>
      <c r="G441" t="s">
        <v>285</v>
      </c>
      <c r="H441" t="s">
        <v>5</v>
      </c>
      <c r="I441" t="s">
        <v>172</v>
      </c>
      <c r="J441" t="s">
        <v>2606</v>
      </c>
      <c r="K441" t="s">
        <v>788</v>
      </c>
      <c r="L441" t="s">
        <v>612</v>
      </c>
      <c r="M441" t="s">
        <v>3168</v>
      </c>
      <c r="N441" t="s">
        <v>802</v>
      </c>
      <c r="O441" t="s">
        <v>789</v>
      </c>
    </row>
    <row r="442" spans="1:15" x14ac:dyDescent="0.25">
      <c r="A442" t="s">
        <v>410</v>
      </c>
      <c r="B442" t="s">
        <v>2747</v>
      </c>
      <c r="C442" t="s">
        <v>2253</v>
      </c>
      <c r="D442" t="s">
        <v>285</v>
      </c>
      <c r="E442" t="s">
        <v>285</v>
      </c>
      <c r="F442" t="s">
        <v>285</v>
      </c>
      <c r="G442" t="s">
        <v>285</v>
      </c>
      <c r="H442" t="s">
        <v>5</v>
      </c>
      <c r="I442" t="s">
        <v>172</v>
      </c>
      <c r="J442" t="s">
        <v>769</v>
      </c>
      <c r="K442" t="s">
        <v>769</v>
      </c>
      <c r="L442" t="s">
        <v>410</v>
      </c>
      <c r="M442" t="s">
        <v>3168</v>
      </c>
      <c r="N442" t="s">
        <v>121</v>
      </c>
      <c r="O442" t="s">
        <v>1654</v>
      </c>
    </row>
    <row r="443" spans="1:15" x14ac:dyDescent="0.25">
      <c r="A443" t="s">
        <v>499</v>
      </c>
      <c r="B443" t="s">
        <v>2748</v>
      </c>
      <c r="C443" t="s">
        <v>2749</v>
      </c>
      <c r="D443" t="s">
        <v>285</v>
      </c>
      <c r="E443" t="s">
        <v>284</v>
      </c>
      <c r="F443" t="s">
        <v>285</v>
      </c>
      <c r="G443" t="s">
        <v>285</v>
      </c>
      <c r="H443" t="s">
        <v>5</v>
      </c>
      <c r="I443" t="s">
        <v>172</v>
      </c>
      <c r="J443" t="s">
        <v>1504</v>
      </c>
      <c r="K443" t="s">
        <v>839</v>
      </c>
      <c r="L443" t="s">
        <v>499</v>
      </c>
      <c r="M443" t="s">
        <v>3168</v>
      </c>
      <c r="N443" t="s">
        <v>802</v>
      </c>
      <c r="O443" t="s">
        <v>1654</v>
      </c>
    </row>
    <row r="444" spans="1:15" x14ac:dyDescent="0.25">
      <c r="A444" t="s">
        <v>207</v>
      </c>
      <c r="B444" t="s">
        <v>2750</v>
      </c>
      <c r="C444" t="s">
        <v>1518</v>
      </c>
      <c r="D444" t="s">
        <v>284</v>
      </c>
      <c r="E444" t="s">
        <v>285</v>
      </c>
      <c r="F444" t="s">
        <v>285</v>
      </c>
      <c r="G444" t="s">
        <v>285</v>
      </c>
      <c r="H444" t="s">
        <v>5</v>
      </c>
      <c r="I444" t="s">
        <v>172</v>
      </c>
      <c r="J444" t="s">
        <v>103</v>
      </c>
      <c r="K444" t="s">
        <v>101</v>
      </c>
      <c r="L444" t="s">
        <v>207</v>
      </c>
      <c r="M444" t="s">
        <v>3168</v>
      </c>
      <c r="N444" t="s">
        <v>802</v>
      </c>
      <c r="O444" t="s">
        <v>1654</v>
      </c>
    </row>
    <row r="445" spans="1:15" x14ac:dyDescent="0.25">
      <c r="A445" t="s">
        <v>1129</v>
      </c>
      <c r="B445" t="s">
        <v>2751</v>
      </c>
      <c r="C445" t="s">
        <v>1510</v>
      </c>
      <c r="D445" t="s">
        <v>285</v>
      </c>
      <c r="E445" t="s">
        <v>285</v>
      </c>
      <c r="F445" t="s">
        <v>285</v>
      </c>
      <c r="G445" t="s">
        <v>285</v>
      </c>
      <c r="H445" t="s">
        <v>1408</v>
      </c>
      <c r="I445" t="s">
        <v>168</v>
      </c>
      <c r="J445" t="s">
        <v>798</v>
      </c>
      <c r="K445" t="s">
        <v>800</v>
      </c>
      <c r="L445" t="s">
        <v>1129</v>
      </c>
      <c r="M445" t="s">
        <v>1527</v>
      </c>
      <c r="N445" t="s">
        <v>3172</v>
      </c>
      <c r="O445" t="s">
        <v>1654</v>
      </c>
    </row>
    <row r="446" spans="1:15" x14ac:dyDescent="0.25">
      <c r="A446" t="s">
        <v>615</v>
      </c>
      <c r="B446" t="s">
        <v>2752</v>
      </c>
      <c r="C446" t="s">
        <v>1513</v>
      </c>
      <c r="D446" t="s">
        <v>284</v>
      </c>
      <c r="E446" t="s">
        <v>284</v>
      </c>
      <c r="F446" t="s">
        <v>285</v>
      </c>
      <c r="G446" t="s">
        <v>285</v>
      </c>
      <c r="H446" t="s">
        <v>5</v>
      </c>
      <c r="I446" t="s">
        <v>172</v>
      </c>
      <c r="J446" t="s">
        <v>1514</v>
      </c>
      <c r="K446" t="s">
        <v>839</v>
      </c>
      <c r="L446" t="s">
        <v>615</v>
      </c>
      <c r="M446" t="s">
        <v>3168</v>
      </c>
      <c r="N446" t="s">
        <v>802</v>
      </c>
      <c r="O446" t="s">
        <v>789</v>
      </c>
    </row>
    <row r="447" spans="1:15" x14ac:dyDescent="0.25">
      <c r="A447" t="s">
        <v>411</v>
      </c>
      <c r="B447" t="s">
        <v>2753</v>
      </c>
      <c r="C447" t="s">
        <v>2207</v>
      </c>
      <c r="D447" t="s">
        <v>284</v>
      </c>
      <c r="E447" t="s">
        <v>285</v>
      </c>
      <c r="F447" t="s">
        <v>285</v>
      </c>
      <c r="G447" t="s">
        <v>285</v>
      </c>
      <c r="H447" t="s">
        <v>5</v>
      </c>
      <c r="I447" t="s">
        <v>172</v>
      </c>
      <c r="J447" t="s">
        <v>1503</v>
      </c>
      <c r="K447" t="s">
        <v>788</v>
      </c>
      <c r="L447" t="s">
        <v>411</v>
      </c>
      <c r="M447" t="s">
        <v>3167</v>
      </c>
      <c r="N447" t="s">
        <v>121</v>
      </c>
      <c r="O447" t="s">
        <v>1654</v>
      </c>
    </row>
    <row r="448" spans="1:15" x14ac:dyDescent="0.25">
      <c r="A448" t="s">
        <v>1770</v>
      </c>
      <c r="B448" t="s">
        <v>2754</v>
      </c>
      <c r="C448" t="s">
        <v>1510</v>
      </c>
      <c r="D448" t="s">
        <v>285</v>
      </c>
      <c r="E448" t="s">
        <v>285</v>
      </c>
      <c r="F448" t="s">
        <v>285</v>
      </c>
      <c r="G448" t="s">
        <v>285</v>
      </c>
      <c r="H448" t="s">
        <v>1408</v>
      </c>
      <c r="I448" t="s">
        <v>172</v>
      </c>
      <c r="J448" t="s">
        <v>2415</v>
      </c>
      <c r="K448" t="s">
        <v>101</v>
      </c>
      <c r="L448" t="s">
        <v>1770</v>
      </c>
      <c r="M448" t="s">
        <v>3168</v>
      </c>
      <c r="N448" t="s">
        <v>1527</v>
      </c>
      <c r="O448" t="s">
        <v>1654</v>
      </c>
    </row>
    <row r="449" spans="1:15" x14ac:dyDescent="0.25">
      <c r="A449" t="s">
        <v>412</v>
      </c>
      <c r="B449" t="s">
        <v>2755</v>
      </c>
      <c r="C449" t="s">
        <v>2335</v>
      </c>
      <c r="D449" t="s">
        <v>284</v>
      </c>
      <c r="E449" t="s">
        <v>285</v>
      </c>
      <c r="F449" t="s">
        <v>285</v>
      </c>
      <c r="G449" t="s">
        <v>285</v>
      </c>
      <c r="H449" t="s">
        <v>5</v>
      </c>
      <c r="I449" t="s">
        <v>172</v>
      </c>
      <c r="J449" t="s">
        <v>2336</v>
      </c>
      <c r="K449" t="s">
        <v>101</v>
      </c>
      <c r="L449" t="s">
        <v>412</v>
      </c>
      <c r="M449" t="s">
        <v>3167</v>
      </c>
      <c r="N449" t="s">
        <v>121</v>
      </c>
      <c r="O449" t="s">
        <v>1654</v>
      </c>
    </row>
    <row r="450" spans="1:15" x14ac:dyDescent="0.25">
      <c r="A450" t="s">
        <v>678</v>
      </c>
      <c r="B450" t="s">
        <v>2756</v>
      </c>
      <c r="C450" t="s">
        <v>2317</v>
      </c>
      <c r="D450" t="s">
        <v>284</v>
      </c>
      <c r="E450" t="s">
        <v>285</v>
      </c>
      <c r="F450" t="s">
        <v>285</v>
      </c>
      <c r="G450" t="s">
        <v>285</v>
      </c>
      <c r="H450" t="s">
        <v>5</v>
      </c>
      <c r="I450" t="s">
        <v>172</v>
      </c>
      <c r="J450" t="s">
        <v>2463</v>
      </c>
      <c r="K450" t="s">
        <v>98</v>
      </c>
      <c r="L450" t="s">
        <v>678</v>
      </c>
      <c r="M450" t="s">
        <v>3168</v>
      </c>
      <c r="N450" t="s">
        <v>121</v>
      </c>
      <c r="O450" t="s">
        <v>1654</v>
      </c>
    </row>
    <row r="451" spans="1:15" x14ac:dyDescent="0.25">
      <c r="A451" t="s">
        <v>662</v>
      </c>
      <c r="B451" t="s">
        <v>2757</v>
      </c>
      <c r="C451" t="s">
        <v>2232</v>
      </c>
      <c r="D451" t="s">
        <v>284</v>
      </c>
      <c r="E451" t="s">
        <v>285</v>
      </c>
      <c r="F451" t="s">
        <v>285</v>
      </c>
      <c r="G451" t="s">
        <v>285</v>
      </c>
      <c r="H451" t="s">
        <v>5</v>
      </c>
      <c r="I451" t="s">
        <v>172</v>
      </c>
      <c r="J451" t="s">
        <v>801</v>
      </c>
      <c r="K451" t="s">
        <v>801</v>
      </c>
      <c r="L451" t="s">
        <v>662</v>
      </c>
      <c r="M451" t="s">
        <v>3167</v>
      </c>
      <c r="N451" t="s">
        <v>3172</v>
      </c>
      <c r="O451" t="s">
        <v>1654</v>
      </c>
    </row>
    <row r="452" spans="1:15" x14ac:dyDescent="0.25">
      <c r="A452" t="s">
        <v>413</v>
      </c>
      <c r="B452" t="s">
        <v>2758</v>
      </c>
      <c r="C452" t="s">
        <v>1509</v>
      </c>
      <c r="D452" t="s">
        <v>285</v>
      </c>
      <c r="E452" t="s">
        <v>284</v>
      </c>
      <c r="F452" t="s">
        <v>285</v>
      </c>
      <c r="G452" t="s">
        <v>284</v>
      </c>
      <c r="H452" t="s">
        <v>5</v>
      </c>
      <c r="I452" t="s">
        <v>172</v>
      </c>
      <c r="J452" t="s">
        <v>2455</v>
      </c>
      <c r="K452" t="s">
        <v>788</v>
      </c>
      <c r="L452" t="s">
        <v>413</v>
      </c>
      <c r="M452" t="s">
        <v>3168</v>
      </c>
      <c r="N452" t="s">
        <v>121</v>
      </c>
      <c r="O452" t="s">
        <v>789</v>
      </c>
    </row>
    <row r="453" spans="1:15" x14ac:dyDescent="0.25">
      <c r="A453" t="s">
        <v>690</v>
      </c>
      <c r="B453" t="s">
        <v>2759</v>
      </c>
      <c r="C453" t="s">
        <v>2240</v>
      </c>
      <c r="D453" t="s">
        <v>284</v>
      </c>
      <c r="E453" t="s">
        <v>285</v>
      </c>
      <c r="F453" t="s">
        <v>285</v>
      </c>
      <c r="G453" t="s">
        <v>285</v>
      </c>
      <c r="H453" t="s">
        <v>5</v>
      </c>
      <c r="I453" t="s">
        <v>172</v>
      </c>
      <c r="J453" t="s">
        <v>2240</v>
      </c>
      <c r="K453" t="s">
        <v>840</v>
      </c>
      <c r="L453" t="s">
        <v>690</v>
      </c>
      <c r="M453" t="s">
        <v>3168</v>
      </c>
      <c r="N453" t="s">
        <v>802</v>
      </c>
      <c r="O453" t="s">
        <v>789</v>
      </c>
    </row>
    <row r="454" spans="1:15" x14ac:dyDescent="0.25">
      <c r="A454" t="s">
        <v>722</v>
      </c>
      <c r="B454" t="s">
        <v>2760</v>
      </c>
      <c r="C454" t="s">
        <v>2248</v>
      </c>
      <c r="D454" t="s">
        <v>285</v>
      </c>
      <c r="E454" t="s">
        <v>285</v>
      </c>
      <c r="F454" t="s">
        <v>285</v>
      </c>
      <c r="G454" t="s">
        <v>284</v>
      </c>
      <c r="H454" t="s">
        <v>5</v>
      </c>
      <c r="I454" t="s">
        <v>172</v>
      </c>
      <c r="J454" t="s">
        <v>103</v>
      </c>
      <c r="K454" t="s">
        <v>101</v>
      </c>
      <c r="L454" t="s">
        <v>722</v>
      </c>
      <c r="M454" t="s">
        <v>3167</v>
      </c>
      <c r="N454" t="s">
        <v>121</v>
      </c>
      <c r="O454" t="s">
        <v>1654</v>
      </c>
    </row>
    <row r="455" spans="1:15" x14ac:dyDescent="0.25">
      <c r="A455" t="s">
        <v>597</v>
      </c>
      <c r="B455" t="s">
        <v>2761</v>
      </c>
      <c r="C455" t="s">
        <v>2402</v>
      </c>
      <c r="D455" t="s">
        <v>284</v>
      </c>
      <c r="E455" t="s">
        <v>285</v>
      </c>
      <c r="F455" t="s">
        <v>285</v>
      </c>
      <c r="G455" t="s">
        <v>285</v>
      </c>
      <c r="H455" t="s">
        <v>5</v>
      </c>
      <c r="I455" t="s">
        <v>172</v>
      </c>
      <c r="J455" t="s">
        <v>800</v>
      </c>
      <c r="K455" t="s">
        <v>800</v>
      </c>
      <c r="L455" t="s">
        <v>597</v>
      </c>
      <c r="M455" t="s">
        <v>3168</v>
      </c>
      <c r="N455" t="s">
        <v>802</v>
      </c>
      <c r="O455" t="s">
        <v>789</v>
      </c>
    </row>
    <row r="456" spans="1:15" x14ac:dyDescent="0.25">
      <c r="A456" t="s">
        <v>1409</v>
      </c>
      <c r="B456" t="s">
        <v>2762</v>
      </c>
      <c r="C456" t="s">
        <v>2581</v>
      </c>
      <c r="D456" t="s">
        <v>285</v>
      </c>
      <c r="E456" t="s">
        <v>285</v>
      </c>
      <c r="F456" t="s">
        <v>285</v>
      </c>
      <c r="G456" t="s">
        <v>284</v>
      </c>
      <c r="H456" t="s">
        <v>5</v>
      </c>
      <c r="I456" t="s">
        <v>172</v>
      </c>
      <c r="J456" t="s">
        <v>780</v>
      </c>
      <c r="K456" t="s">
        <v>780</v>
      </c>
      <c r="L456" t="s">
        <v>1409</v>
      </c>
      <c r="M456" t="s">
        <v>3167</v>
      </c>
      <c r="N456" t="s">
        <v>3172</v>
      </c>
      <c r="O456" t="s">
        <v>1654</v>
      </c>
    </row>
    <row r="457" spans="1:15" x14ac:dyDescent="0.25">
      <c r="A457" t="s">
        <v>500</v>
      </c>
      <c r="B457" t="s">
        <v>2763</v>
      </c>
      <c r="C457" t="s">
        <v>2359</v>
      </c>
      <c r="D457" t="s">
        <v>284</v>
      </c>
      <c r="E457" t="s">
        <v>284</v>
      </c>
      <c r="F457" t="s">
        <v>285</v>
      </c>
      <c r="G457" t="s">
        <v>285</v>
      </c>
      <c r="H457" t="s">
        <v>5</v>
      </c>
      <c r="I457" t="s">
        <v>172</v>
      </c>
      <c r="J457" t="s">
        <v>2374</v>
      </c>
      <c r="K457" t="s">
        <v>101</v>
      </c>
      <c r="L457" t="s">
        <v>500</v>
      </c>
      <c r="M457" t="s">
        <v>3168</v>
      </c>
      <c r="N457" t="s">
        <v>802</v>
      </c>
      <c r="O457" t="s">
        <v>789</v>
      </c>
    </row>
    <row r="458" spans="1:15" x14ac:dyDescent="0.25">
      <c r="A458" t="s">
        <v>501</v>
      </c>
      <c r="B458" t="s">
        <v>2764</v>
      </c>
      <c r="C458" t="s">
        <v>1509</v>
      </c>
      <c r="D458" t="s">
        <v>285</v>
      </c>
      <c r="E458" t="s">
        <v>284</v>
      </c>
      <c r="F458" t="s">
        <v>285</v>
      </c>
      <c r="G458" t="s">
        <v>284</v>
      </c>
      <c r="H458" t="s">
        <v>5</v>
      </c>
      <c r="I458" t="s">
        <v>2164</v>
      </c>
      <c r="J458" t="s">
        <v>2765</v>
      </c>
      <c r="K458" t="s">
        <v>1699</v>
      </c>
      <c r="L458" t="s">
        <v>501</v>
      </c>
      <c r="M458" t="s">
        <v>3168</v>
      </c>
      <c r="N458" t="s">
        <v>1527</v>
      </c>
      <c r="O458" t="s">
        <v>789</v>
      </c>
    </row>
    <row r="459" spans="1:15" x14ac:dyDescent="0.25">
      <c r="A459" t="s">
        <v>414</v>
      </c>
      <c r="B459" t="s">
        <v>2766</v>
      </c>
      <c r="C459" t="s">
        <v>1214</v>
      </c>
      <c r="D459" t="s">
        <v>284</v>
      </c>
      <c r="E459" t="s">
        <v>285</v>
      </c>
      <c r="F459" t="s">
        <v>284</v>
      </c>
      <c r="G459" t="s">
        <v>285</v>
      </c>
      <c r="H459" t="s">
        <v>5</v>
      </c>
      <c r="I459" t="s">
        <v>172</v>
      </c>
      <c r="J459" t="s">
        <v>1214</v>
      </c>
      <c r="K459" t="s">
        <v>101</v>
      </c>
      <c r="L459" t="s">
        <v>414</v>
      </c>
      <c r="M459" t="s">
        <v>3168</v>
      </c>
      <c r="N459" t="s">
        <v>802</v>
      </c>
      <c r="O459" t="s">
        <v>1654</v>
      </c>
    </row>
    <row r="460" spans="1:15" x14ac:dyDescent="0.25">
      <c r="A460" t="s">
        <v>574</v>
      </c>
      <c r="B460" t="s">
        <v>2767</v>
      </c>
      <c r="C460" t="s">
        <v>1514</v>
      </c>
      <c r="D460" t="s">
        <v>284</v>
      </c>
      <c r="E460" t="s">
        <v>284</v>
      </c>
      <c r="F460" t="s">
        <v>285</v>
      </c>
      <c r="G460" t="s">
        <v>285</v>
      </c>
      <c r="H460" t="s">
        <v>5</v>
      </c>
      <c r="I460" t="s">
        <v>172</v>
      </c>
      <c r="J460" t="s">
        <v>1514</v>
      </c>
      <c r="K460" t="s">
        <v>839</v>
      </c>
      <c r="L460" t="s">
        <v>574</v>
      </c>
      <c r="M460" t="s">
        <v>3168</v>
      </c>
      <c r="N460" t="s">
        <v>802</v>
      </c>
      <c r="O460" t="s">
        <v>1654</v>
      </c>
    </row>
    <row r="461" spans="1:15" x14ac:dyDescent="0.25">
      <c r="A461" t="s">
        <v>625</v>
      </c>
      <c r="B461" t="s">
        <v>2768</v>
      </c>
      <c r="C461" t="s">
        <v>1530</v>
      </c>
      <c r="D461" t="s">
        <v>284</v>
      </c>
      <c r="E461" t="s">
        <v>285</v>
      </c>
      <c r="F461" t="s">
        <v>285</v>
      </c>
      <c r="G461" t="s">
        <v>285</v>
      </c>
      <c r="H461" t="s">
        <v>5</v>
      </c>
      <c r="I461" t="s">
        <v>172</v>
      </c>
      <c r="J461" t="s">
        <v>1407</v>
      </c>
      <c r="K461" t="s">
        <v>1616</v>
      </c>
      <c r="L461" t="s">
        <v>625</v>
      </c>
      <c r="M461" t="s">
        <v>3168</v>
      </c>
      <c r="N461" t="s">
        <v>802</v>
      </c>
      <c r="O461" t="s">
        <v>789</v>
      </c>
    </row>
    <row r="462" spans="1:15" x14ac:dyDescent="0.25">
      <c r="A462" t="s">
        <v>626</v>
      </c>
      <c r="B462" t="s">
        <v>2769</v>
      </c>
      <c r="C462" t="s">
        <v>2402</v>
      </c>
      <c r="D462" t="s">
        <v>284</v>
      </c>
      <c r="E462" t="s">
        <v>285</v>
      </c>
      <c r="F462" t="s">
        <v>285</v>
      </c>
      <c r="G462" t="s">
        <v>285</v>
      </c>
      <c r="H462" t="s">
        <v>5</v>
      </c>
      <c r="I462" t="s">
        <v>172</v>
      </c>
      <c r="J462" t="s">
        <v>800</v>
      </c>
      <c r="K462" t="s">
        <v>800</v>
      </c>
      <c r="L462" t="s">
        <v>626</v>
      </c>
      <c r="M462" t="s">
        <v>3168</v>
      </c>
      <c r="N462" t="s">
        <v>802</v>
      </c>
      <c r="O462" t="s">
        <v>789</v>
      </c>
    </row>
    <row r="463" spans="1:15" x14ac:dyDescent="0.25">
      <c r="A463" t="s">
        <v>536</v>
      </c>
      <c r="B463" t="s">
        <v>2770</v>
      </c>
      <c r="C463" t="s">
        <v>2160</v>
      </c>
      <c r="D463" t="s">
        <v>285</v>
      </c>
      <c r="E463" t="s">
        <v>285</v>
      </c>
      <c r="F463" t="s">
        <v>285</v>
      </c>
      <c r="G463" t="s">
        <v>284</v>
      </c>
      <c r="H463" t="s">
        <v>5</v>
      </c>
      <c r="I463" t="s">
        <v>172</v>
      </c>
      <c r="J463" t="s">
        <v>780</v>
      </c>
      <c r="K463" t="s">
        <v>780</v>
      </c>
      <c r="L463" t="s">
        <v>536</v>
      </c>
      <c r="M463" t="s">
        <v>1527</v>
      </c>
      <c r="N463" t="s">
        <v>3172</v>
      </c>
      <c r="O463" t="s">
        <v>1654</v>
      </c>
    </row>
    <row r="464" spans="1:15" x14ac:dyDescent="0.25">
      <c r="A464" t="s">
        <v>136</v>
      </c>
      <c r="B464" t="s">
        <v>2771</v>
      </c>
      <c r="C464" t="s">
        <v>1509</v>
      </c>
      <c r="D464" t="s">
        <v>285</v>
      </c>
      <c r="E464" t="s">
        <v>284</v>
      </c>
      <c r="F464" t="s">
        <v>285</v>
      </c>
      <c r="G464" t="s">
        <v>285</v>
      </c>
      <c r="H464" t="s">
        <v>5</v>
      </c>
      <c r="I464" t="s">
        <v>172</v>
      </c>
      <c r="J464" t="s">
        <v>1509</v>
      </c>
      <c r="K464" t="s">
        <v>839</v>
      </c>
      <c r="L464" t="s">
        <v>136</v>
      </c>
      <c r="M464" t="s">
        <v>3168</v>
      </c>
      <c r="N464" t="s">
        <v>1527</v>
      </c>
      <c r="O464" t="s">
        <v>1654</v>
      </c>
    </row>
    <row r="465" spans="1:15" x14ac:dyDescent="0.25">
      <c r="A465" t="s">
        <v>614</v>
      </c>
      <c r="B465" t="s">
        <v>2772</v>
      </c>
      <c r="C465" t="s">
        <v>2317</v>
      </c>
      <c r="D465" t="s">
        <v>284</v>
      </c>
      <c r="E465" t="s">
        <v>284</v>
      </c>
      <c r="F465" t="s">
        <v>285</v>
      </c>
      <c r="G465" t="s">
        <v>285</v>
      </c>
      <c r="H465" t="s">
        <v>5</v>
      </c>
      <c r="I465" t="s">
        <v>172</v>
      </c>
      <c r="J465" t="s">
        <v>2295</v>
      </c>
      <c r="K465" t="s">
        <v>98</v>
      </c>
      <c r="L465" t="s">
        <v>614</v>
      </c>
      <c r="M465" t="s">
        <v>3168</v>
      </c>
      <c r="N465" t="s">
        <v>802</v>
      </c>
      <c r="O465" t="s">
        <v>1654</v>
      </c>
    </row>
    <row r="466" spans="1:15" x14ac:dyDescent="0.25">
      <c r="A466" t="s">
        <v>415</v>
      </c>
      <c r="B466" t="s">
        <v>2773</v>
      </c>
      <c r="C466" t="s">
        <v>2248</v>
      </c>
      <c r="D466" t="s">
        <v>285</v>
      </c>
      <c r="E466" t="s">
        <v>284</v>
      </c>
      <c r="F466" t="s">
        <v>285</v>
      </c>
      <c r="G466" t="s">
        <v>285</v>
      </c>
      <c r="H466" t="s">
        <v>5</v>
      </c>
      <c r="I466" t="s">
        <v>172</v>
      </c>
      <c r="J466" t="s">
        <v>1521</v>
      </c>
      <c r="K466" t="s">
        <v>101</v>
      </c>
      <c r="L466" t="s">
        <v>415</v>
      </c>
      <c r="M466" t="s">
        <v>3168</v>
      </c>
      <c r="N466" t="s">
        <v>802</v>
      </c>
      <c r="O466" t="s">
        <v>789</v>
      </c>
    </row>
    <row r="467" spans="1:15" x14ac:dyDescent="0.25">
      <c r="A467" t="s">
        <v>2</v>
      </c>
      <c r="B467" t="s">
        <v>2774</v>
      </c>
      <c r="C467" t="s">
        <v>2309</v>
      </c>
      <c r="D467" t="s">
        <v>284</v>
      </c>
      <c r="E467" t="s">
        <v>284</v>
      </c>
      <c r="F467" t="s">
        <v>285</v>
      </c>
      <c r="G467" t="s">
        <v>285</v>
      </c>
      <c r="H467" t="s">
        <v>5</v>
      </c>
      <c r="I467" t="s">
        <v>172</v>
      </c>
      <c r="J467" t="s">
        <v>1504</v>
      </c>
      <c r="K467" t="s">
        <v>840</v>
      </c>
      <c r="L467" t="s">
        <v>2</v>
      </c>
      <c r="M467" t="s">
        <v>3168</v>
      </c>
      <c r="N467" t="s">
        <v>802</v>
      </c>
      <c r="O467" t="s">
        <v>789</v>
      </c>
    </row>
    <row r="468" spans="1:15" x14ac:dyDescent="0.25">
      <c r="A468" t="s">
        <v>197</v>
      </c>
      <c r="B468" t="s">
        <v>2775</v>
      </c>
      <c r="C468" t="s">
        <v>2335</v>
      </c>
      <c r="D468" t="s">
        <v>284</v>
      </c>
      <c r="E468" t="s">
        <v>285</v>
      </c>
      <c r="F468" t="s">
        <v>285</v>
      </c>
      <c r="G468" t="s">
        <v>285</v>
      </c>
      <c r="H468" t="s">
        <v>5</v>
      </c>
      <c r="I468" t="s">
        <v>172</v>
      </c>
      <c r="J468" t="s">
        <v>2336</v>
      </c>
      <c r="K468" t="s">
        <v>101</v>
      </c>
      <c r="L468" t="s">
        <v>197</v>
      </c>
      <c r="M468" t="s">
        <v>3167</v>
      </c>
      <c r="N468" t="s">
        <v>121</v>
      </c>
      <c r="O468" t="s">
        <v>1654</v>
      </c>
    </row>
    <row r="469" spans="1:15" x14ac:dyDescent="0.25">
      <c r="A469" t="s">
        <v>1420</v>
      </c>
      <c r="B469" t="s">
        <v>2776</v>
      </c>
      <c r="C469" t="s">
        <v>1523</v>
      </c>
      <c r="D469" t="s">
        <v>285</v>
      </c>
      <c r="E469" t="s">
        <v>284</v>
      </c>
      <c r="F469" t="s">
        <v>285</v>
      </c>
      <c r="G469" t="s">
        <v>284</v>
      </c>
      <c r="H469" t="s">
        <v>5</v>
      </c>
      <c r="I469" t="s">
        <v>172</v>
      </c>
      <c r="J469" t="s">
        <v>1523</v>
      </c>
      <c r="K469" t="s">
        <v>98</v>
      </c>
      <c r="L469" t="s">
        <v>1420</v>
      </c>
      <c r="M469" t="s">
        <v>3168</v>
      </c>
      <c r="N469" t="s">
        <v>121</v>
      </c>
      <c r="O469" t="s">
        <v>1654</v>
      </c>
    </row>
    <row r="470" spans="1:15" x14ac:dyDescent="0.25">
      <c r="A470" t="s">
        <v>1694</v>
      </c>
      <c r="B470" t="s">
        <v>2777</v>
      </c>
      <c r="C470" t="s">
        <v>1510</v>
      </c>
      <c r="D470" t="s">
        <v>285</v>
      </c>
      <c r="E470" t="s">
        <v>285</v>
      </c>
      <c r="F470" t="s">
        <v>285</v>
      </c>
      <c r="G470" t="s">
        <v>285</v>
      </c>
      <c r="H470" t="s">
        <v>1408</v>
      </c>
      <c r="I470" t="s">
        <v>172</v>
      </c>
      <c r="J470" t="s">
        <v>2178</v>
      </c>
      <c r="K470" t="s">
        <v>839</v>
      </c>
      <c r="L470" t="s">
        <v>1694</v>
      </c>
      <c r="M470" t="s">
        <v>3167</v>
      </c>
      <c r="N470" t="s">
        <v>121</v>
      </c>
      <c r="O470" t="s">
        <v>1654</v>
      </c>
    </row>
    <row r="471" spans="1:15" x14ac:dyDescent="0.25">
      <c r="A471" t="s">
        <v>1244</v>
      </c>
      <c r="B471" t="s">
        <v>2778</v>
      </c>
      <c r="C471" t="s">
        <v>2335</v>
      </c>
      <c r="D471" t="s">
        <v>285</v>
      </c>
      <c r="E471" t="s">
        <v>284</v>
      </c>
      <c r="F471" t="s">
        <v>285</v>
      </c>
      <c r="G471" t="s">
        <v>285</v>
      </c>
      <c r="H471" t="s">
        <v>5</v>
      </c>
      <c r="I471" t="s">
        <v>172</v>
      </c>
      <c r="J471" t="s">
        <v>2336</v>
      </c>
      <c r="K471" t="s">
        <v>101</v>
      </c>
      <c r="L471" t="s">
        <v>1244</v>
      </c>
      <c r="M471" t="s">
        <v>3167</v>
      </c>
      <c r="N471" t="s">
        <v>121</v>
      </c>
      <c r="O471" t="s">
        <v>1654</v>
      </c>
    </row>
    <row r="472" spans="1:15" x14ac:dyDescent="0.25">
      <c r="A472" t="s">
        <v>659</v>
      </c>
      <c r="B472" t="s">
        <v>2779</v>
      </c>
      <c r="C472" t="s">
        <v>1520</v>
      </c>
      <c r="D472" t="s">
        <v>284</v>
      </c>
      <c r="E472" t="s">
        <v>285</v>
      </c>
      <c r="F472" t="s">
        <v>285</v>
      </c>
      <c r="G472" t="s">
        <v>285</v>
      </c>
      <c r="H472" t="s">
        <v>5</v>
      </c>
      <c r="I472" t="s">
        <v>172</v>
      </c>
      <c r="J472" t="s">
        <v>801</v>
      </c>
      <c r="K472" t="s">
        <v>801</v>
      </c>
      <c r="L472" t="s">
        <v>659</v>
      </c>
      <c r="M472" t="s">
        <v>3167</v>
      </c>
      <c r="N472" t="s">
        <v>802</v>
      </c>
      <c r="O472" t="s">
        <v>789</v>
      </c>
    </row>
    <row r="473" spans="1:15" x14ac:dyDescent="0.25">
      <c r="A473" t="s">
        <v>559</v>
      </c>
      <c r="B473" t="s">
        <v>2780</v>
      </c>
      <c r="C473" t="s">
        <v>1509</v>
      </c>
      <c r="D473" t="s">
        <v>285</v>
      </c>
      <c r="E473" t="s">
        <v>284</v>
      </c>
      <c r="F473" t="s">
        <v>285</v>
      </c>
      <c r="G473" t="s">
        <v>285</v>
      </c>
      <c r="H473" t="s">
        <v>5</v>
      </c>
      <c r="I473" t="s">
        <v>172</v>
      </c>
      <c r="J473" t="s">
        <v>1509</v>
      </c>
      <c r="K473" t="s">
        <v>839</v>
      </c>
      <c r="L473" t="s">
        <v>559</v>
      </c>
      <c r="M473" t="s">
        <v>3168</v>
      </c>
      <c r="N473" t="s">
        <v>1527</v>
      </c>
      <c r="O473" t="s">
        <v>789</v>
      </c>
    </row>
    <row r="474" spans="1:15" x14ac:dyDescent="0.25">
      <c r="A474" t="s">
        <v>871</v>
      </c>
      <c r="B474" t="s">
        <v>2781</v>
      </c>
      <c r="C474" t="s">
        <v>1518</v>
      </c>
      <c r="D474" t="s">
        <v>285</v>
      </c>
      <c r="E474" t="s">
        <v>285</v>
      </c>
      <c r="F474" t="s">
        <v>285</v>
      </c>
      <c r="G474" t="s">
        <v>285</v>
      </c>
      <c r="H474" t="s">
        <v>2230</v>
      </c>
      <c r="I474" t="s">
        <v>172</v>
      </c>
      <c r="J474" t="s">
        <v>103</v>
      </c>
      <c r="K474" t="s">
        <v>101</v>
      </c>
      <c r="L474" t="s">
        <v>871</v>
      </c>
      <c r="M474" t="s">
        <v>3168</v>
      </c>
      <c r="N474" t="s">
        <v>121</v>
      </c>
      <c r="O474" t="s">
        <v>1654</v>
      </c>
    </row>
    <row r="475" spans="1:15" x14ac:dyDescent="0.25">
      <c r="A475" t="s">
        <v>634</v>
      </c>
      <c r="B475" t="s">
        <v>2782</v>
      </c>
      <c r="C475" t="s">
        <v>1523</v>
      </c>
      <c r="D475" t="s">
        <v>284</v>
      </c>
      <c r="E475" t="s">
        <v>284</v>
      </c>
      <c r="F475" t="s">
        <v>285</v>
      </c>
      <c r="G475" t="s">
        <v>285</v>
      </c>
      <c r="H475" t="s">
        <v>5</v>
      </c>
      <c r="I475" t="s">
        <v>172</v>
      </c>
      <c r="J475" t="s">
        <v>1523</v>
      </c>
      <c r="K475" t="s">
        <v>98</v>
      </c>
      <c r="L475" t="s">
        <v>634</v>
      </c>
      <c r="M475" t="s">
        <v>3168</v>
      </c>
      <c r="N475" t="s">
        <v>802</v>
      </c>
      <c r="O475" t="s">
        <v>1654</v>
      </c>
    </row>
    <row r="476" spans="1:15" x14ac:dyDescent="0.25">
      <c r="A476" t="s">
        <v>618</v>
      </c>
      <c r="B476" t="s">
        <v>2783</v>
      </c>
      <c r="C476" t="s">
        <v>1548</v>
      </c>
      <c r="D476" t="s">
        <v>284</v>
      </c>
      <c r="E476" t="s">
        <v>285</v>
      </c>
      <c r="F476" t="s">
        <v>285</v>
      </c>
      <c r="G476" t="s">
        <v>285</v>
      </c>
      <c r="H476" t="s">
        <v>5</v>
      </c>
      <c r="I476" t="s">
        <v>172</v>
      </c>
      <c r="J476" t="s">
        <v>2295</v>
      </c>
      <c r="K476" t="s">
        <v>98</v>
      </c>
      <c r="L476" t="s">
        <v>618</v>
      </c>
      <c r="M476" t="s">
        <v>3168</v>
      </c>
      <c r="N476" t="s">
        <v>3172</v>
      </c>
      <c r="O476" t="s">
        <v>1654</v>
      </c>
    </row>
    <row r="477" spans="1:15" x14ac:dyDescent="0.25">
      <c r="A477" t="s">
        <v>869</v>
      </c>
      <c r="B477" t="s">
        <v>2784</v>
      </c>
      <c r="C477" t="s">
        <v>1544</v>
      </c>
      <c r="D477" t="s">
        <v>285</v>
      </c>
      <c r="E477" t="s">
        <v>285</v>
      </c>
      <c r="F477" t="s">
        <v>285</v>
      </c>
      <c r="G477" t="s">
        <v>284</v>
      </c>
      <c r="H477" t="s">
        <v>5</v>
      </c>
      <c r="I477" t="s">
        <v>172</v>
      </c>
      <c r="J477" t="s">
        <v>2295</v>
      </c>
      <c r="K477" t="s">
        <v>101</v>
      </c>
      <c r="L477" t="s">
        <v>869</v>
      </c>
      <c r="M477" t="s">
        <v>3167</v>
      </c>
      <c r="N477" t="s">
        <v>121</v>
      </c>
      <c r="O477" t="s">
        <v>1654</v>
      </c>
    </row>
    <row r="478" spans="1:15" x14ac:dyDescent="0.25">
      <c r="A478" t="s">
        <v>680</v>
      </c>
      <c r="B478" t="s">
        <v>2785</v>
      </c>
      <c r="C478" t="s">
        <v>2382</v>
      </c>
      <c r="D478" t="s">
        <v>284</v>
      </c>
      <c r="E478" t="s">
        <v>285</v>
      </c>
      <c r="F478" t="s">
        <v>285</v>
      </c>
      <c r="G478" t="s">
        <v>285</v>
      </c>
      <c r="H478" t="s">
        <v>5</v>
      </c>
      <c r="I478" t="s">
        <v>172</v>
      </c>
      <c r="J478" t="s">
        <v>1407</v>
      </c>
      <c r="K478" t="s">
        <v>1616</v>
      </c>
      <c r="L478" t="s">
        <v>680</v>
      </c>
      <c r="M478" t="s">
        <v>3168</v>
      </c>
      <c r="N478" t="s">
        <v>802</v>
      </c>
      <c r="O478" t="s">
        <v>1654</v>
      </c>
    </row>
    <row r="479" spans="1:15" x14ac:dyDescent="0.25">
      <c r="A479" t="s">
        <v>1663</v>
      </c>
      <c r="B479" t="s">
        <v>2786</v>
      </c>
      <c r="C479" t="s">
        <v>1510</v>
      </c>
      <c r="D479" t="s">
        <v>285</v>
      </c>
      <c r="E479" t="s">
        <v>285</v>
      </c>
      <c r="F479" t="s">
        <v>285</v>
      </c>
      <c r="G479" t="s">
        <v>285</v>
      </c>
      <c r="H479" t="s">
        <v>1408</v>
      </c>
      <c r="I479" t="s">
        <v>172</v>
      </c>
      <c r="J479" t="s">
        <v>2168</v>
      </c>
      <c r="K479" t="s">
        <v>801</v>
      </c>
      <c r="L479" t="s">
        <v>1663</v>
      </c>
      <c r="M479" t="s">
        <v>3167</v>
      </c>
      <c r="N479" t="s">
        <v>1527</v>
      </c>
      <c r="O479" t="s">
        <v>1654</v>
      </c>
    </row>
    <row r="480" spans="1:15" x14ac:dyDescent="0.25">
      <c r="A480" t="s">
        <v>515</v>
      </c>
      <c r="B480" t="s">
        <v>2787</v>
      </c>
      <c r="C480" t="s">
        <v>1535</v>
      </c>
      <c r="D480" t="s">
        <v>285</v>
      </c>
      <c r="E480" t="s">
        <v>285</v>
      </c>
      <c r="F480" t="s">
        <v>285</v>
      </c>
      <c r="G480" t="s">
        <v>284</v>
      </c>
      <c r="H480" t="s">
        <v>5</v>
      </c>
      <c r="I480" t="s">
        <v>172</v>
      </c>
      <c r="J480" t="s">
        <v>801</v>
      </c>
      <c r="K480" t="s">
        <v>801</v>
      </c>
      <c r="L480" t="s">
        <v>515</v>
      </c>
      <c r="M480" t="s">
        <v>3167</v>
      </c>
      <c r="N480" t="s">
        <v>121</v>
      </c>
      <c r="O480" t="s">
        <v>1654</v>
      </c>
    </row>
    <row r="481" spans="1:15" x14ac:dyDescent="0.25">
      <c r="A481" t="s">
        <v>416</v>
      </c>
      <c r="B481" t="s">
        <v>2788</v>
      </c>
      <c r="C481" t="s">
        <v>2253</v>
      </c>
      <c r="D481" t="s">
        <v>284</v>
      </c>
      <c r="E481" t="s">
        <v>285</v>
      </c>
      <c r="F481" t="s">
        <v>285</v>
      </c>
      <c r="G481" t="s">
        <v>285</v>
      </c>
      <c r="H481" t="s">
        <v>5</v>
      </c>
      <c r="I481" t="s">
        <v>172</v>
      </c>
      <c r="J481" t="s">
        <v>769</v>
      </c>
      <c r="K481" t="s">
        <v>769</v>
      </c>
      <c r="L481" t="s">
        <v>416</v>
      </c>
      <c r="M481" t="s">
        <v>3167</v>
      </c>
      <c r="N481" t="s">
        <v>121</v>
      </c>
      <c r="O481" t="s">
        <v>1654</v>
      </c>
    </row>
    <row r="482" spans="1:15" x14ac:dyDescent="0.25">
      <c r="A482" t="s">
        <v>1165</v>
      </c>
      <c r="B482" t="s">
        <v>2789</v>
      </c>
      <c r="C482" t="s">
        <v>2253</v>
      </c>
      <c r="D482" t="s">
        <v>285</v>
      </c>
      <c r="E482" t="s">
        <v>285</v>
      </c>
      <c r="F482" t="s">
        <v>285</v>
      </c>
      <c r="G482" t="s">
        <v>285</v>
      </c>
      <c r="H482" t="s">
        <v>2611</v>
      </c>
      <c r="I482" t="s">
        <v>172</v>
      </c>
      <c r="J482" t="s">
        <v>2790</v>
      </c>
      <c r="K482" t="s">
        <v>769</v>
      </c>
      <c r="L482" t="s">
        <v>1165</v>
      </c>
      <c r="M482" t="s">
        <v>3167</v>
      </c>
      <c r="N482" t="s">
        <v>3172</v>
      </c>
      <c r="O482" t="s">
        <v>1654</v>
      </c>
    </row>
    <row r="483" spans="1:15" x14ac:dyDescent="0.25">
      <c r="A483" t="s">
        <v>979</v>
      </c>
      <c r="B483" t="s">
        <v>2791</v>
      </c>
      <c r="C483" t="s">
        <v>2253</v>
      </c>
      <c r="D483" t="s">
        <v>285</v>
      </c>
      <c r="E483" t="s">
        <v>285</v>
      </c>
      <c r="F483" t="s">
        <v>285</v>
      </c>
      <c r="G483" t="s">
        <v>285</v>
      </c>
      <c r="H483" t="s">
        <v>2230</v>
      </c>
      <c r="I483" t="s">
        <v>172</v>
      </c>
      <c r="J483" t="s">
        <v>769</v>
      </c>
      <c r="K483" t="s">
        <v>769</v>
      </c>
      <c r="L483" t="s">
        <v>979</v>
      </c>
      <c r="M483" t="s">
        <v>3167</v>
      </c>
      <c r="N483" t="s">
        <v>121</v>
      </c>
      <c r="O483" t="s">
        <v>1654</v>
      </c>
    </row>
    <row r="484" spans="1:15" x14ac:dyDescent="0.25">
      <c r="A484" t="s">
        <v>417</v>
      </c>
      <c r="B484" t="s">
        <v>2792</v>
      </c>
      <c r="C484" t="s">
        <v>2465</v>
      </c>
      <c r="D484" t="s">
        <v>285</v>
      </c>
      <c r="E484" t="s">
        <v>285</v>
      </c>
      <c r="F484" t="s">
        <v>285</v>
      </c>
      <c r="G484" t="s">
        <v>284</v>
      </c>
      <c r="H484" t="s">
        <v>5</v>
      </c>
      <c r="I484" t="s">
        <v>172</v>
      </c>
      <c r="J484" t="s">
        <v>780</v>
      </c>
      <c r="K484" t="s">
        <v>780</v>
      </c>
      <c r="L484" t="s">
        <v>417</v>
      </c>
      <c r="M484" t="s">
        <v>3168</v>
      </c>
      <c r="N484" t="s">
        <v>3172</v>
      </c>
      <c r="O484" t="s">
        <v>1654</v>
      </c>
    </row>
    <row r="485" spans="1:15" x14ac:dyDescent="0.25">
      <c r="A485" t="s">
        <v>418</v>
      </c>
      <c r="B485" t="s">
        <v>2793</v>
      </c>
      <c r="C485" t="s">
        <v>1405</v>
      </c>
      <c r="D485" t="s">
        <v>284</v>
      </c>
      <c r="E485" t="s">
        <v>284</v>
      </c>
      <c r="F485" t="s">
        <v>285</v>
      </c>
      <c r="G485" t="s">
        <v>285</v>
      </c>
      <c r="H485" t="s">
        <v>5</v>
      </c>
      <c r="I485" t="s">
        <v>172</v>
      </c>
      <c r="J485" t="s">
        <v>2236</v>
      </c>
      <c r="K485" t="s">
        <v>1616</v>
      </c>
      <c r="L485" t="s">
        <v>418</v>
      </c>
      <c r="M485" t="s">
        <v>3168</v>
      </c>
      <c r="N485" t="s">
        <v>1527</v>
      </c>
      <c r="O485" t="s">
        <v>1654</v>
      </c>
    </row>
    <row r="486" spans="1:15" x14ac:dyDescent="0.25">
      <c r="A486" t="s">
        <v>419</v>
      </c>
      <c r="B486" t="s">
        <v>2794</v>
      </c>
      <c r="C486" t="s">
        <v>1514</v>
      </c>
      <c r="D486" t="s">
        <v>284</v>
      </c>
      <c r="E486" t="s">
        <v>284</v>
      </c>
      <c r="F486" t="s">
        <v>285</v>
      </c>
      <c r="G486" t="s">
        <v>285</v>
      </c>
      <c r="H486" t="s">
        <v>5</v>
      </c>
      <c r="I486" t="s">
        <v>172</v>
      </c>
      <c r="J486" t="s">
        <v>1514</v>
      </c>
      <c r="K486" t="s">
        <v>839</v>
      </c>
      <c r="L486" t="s">
        <v>419</v>
      </c>
      <c r="M486" t="s">
        <v>3168</v>
      </c>
      <c r="N486" t="s">
        <v>802</v>
      </c>
      <c r="O486" t="s">
        <v>789</v>
      </c>
    </row>
    <row r="487" spans="1:15" x14ac:dyDescent="0.25">
      <c r="A487" t="s">
        <v>22</v>
      </c>
      <c r="B487" t="s">
        <v>2795</v>
      </c>
      <c r="C487" t="s">
        <v>1509</v>
      </c>
      <c r="D487" t="s">
        <v>284</v>
      </c>
      <c r="E487" t="s">
        <v>284</v>
      </c>
      <c r="F487" t="s">
        <v>284</v>
      </c>
      <c r="G487" t="s">
        <v>285</v>
      </c>
      <c r="H487" t="s">
        <v>5</v>
      </c>
      <c r="I487" t="s">
        <v>172</v>
      </c>
      <c r="J487" t="s">
        <v>1504</v>
      </c>
      <c r="K487" t="s">
        <v>839</v>
      </c>
      <c r="L487" t="s">
        <v>22</v>
      </c>
      <c r="M487" t="s">
        <v>3168</v>
      </c>
      <c r="N487" t="s">
        <v>802</v>
      </c>
      <c r="O487" t="s">
        <v>789</v>
      </c>
    </row>
    <row r="488" spans="1:15" x14ac:dyDescent="0.25">
      <c r="A488" t="s">
        <v>733</v>
      </c>
      <c r="B488" t="s">
        <v>2796</v>
      </c>
      <c r="C488" t="s">
        <v>2240</v>
      </c>
      <c r="D488" t="s">
        <v>285</v>
      </c>
      <c r="E488" t="s">
        <v>285</v>
      </c>
      <c r="F488" t="s">
        <v>285</v>
      </c>
      <c r="G488" t="s">
        <v>284</v>
      </c>
      <c r="H488" t="s">
        <v>5</v>
      </c>
      <c r="I488" t="s">
        <v>172</v>
      </c>
      <c r="J488" t="s">
        <v>2240</v>
      </c>
      <c r="K488" t="s">
        <v>840</v>
      </c>
      <c r="L488" t="s">
        <v>733</v>
      </c>
      <c r="M488" t="s">
        <v>3168</v>
      </c>
      <c r="N488" t="s">
        <v>802</v>
      </c>
      <c r="O488" t="s">
        <v>1654</v>
      </c>
    </row>
    <row r="489" spans="1:15" x14ac:dyDescent="0.25">
      <c r="A489" t="s">
        <v>831</v>
      </c>
      <c r="B489" t="s">
        <v>2797</v>
      </c>
      <c r="C489" t="s">
        <v>1510</v>
      </c>
      <c r="D489" t="s">
        <v>285</v>
      </c>
      <c r="E489" t="s">
        <v>285</v>
      </c>
      <c r="F489" t="s">
        <v>285</v>
      </c>
      <c r="G489" t="s">
        <v>285</v>
      </c>
      <c r="H489" t="s">
        <v>2665</v>
      </c>
      <c r="I489" t="s">
        <v>172</v>
      </c>
      <c r="J489" t="s">
        <v>832</v>
      </c>
      <c r="K489" t="s">
        <v>832</v>
      </c>
      <c r="L489" t="s">
        <v>831</v>
      </c>
      <c r="M489" t="s">
        <v>3168</v>
      </c>
      <c r="N489" t="s">
        <v>1527</v>
      </c>
      <c r="O489" t="s">
        <v>1654</v>
      </c>
    </row>
    <row r="490" spans="1:15" x14ac:dyDescent="0.25">
      <c r="A490" t="s">
        <v>137</v>
      </c>
      <c r="B490" t="s">
        <v>2798</v>
      </c>
      <c r="C490" t="s">
        <v>1509</v>
      </c>
      <c r="D490" t="s">
        <v>285</v>
      </c>
      <c r="E490" t="s">
        <v>284</v>
      </c>
      <c r="F490" t="s">
        <v>285</v>
      </c>
      <c r="G490" t="s">
        <v>284</v>
      </c>
      <c r="H490" t="s">
        <v>5</v>
      </c>
      <c r="I490" t="s">
        <v>2164</v>
      </c>
      <c r="J490" t="s">
        <v>2799</v>
      </c>
      <c r="K490" t="s">
        <v>1699</v>
      </c>
      <c r="L490" t="s">
        <v>137</v>
      </c>
      <c r="M490" t="s">
        <v>3168</v>
      </c>
      <c r="N490" t="s">
        <v>1527</v>
      </c>
      <c r="O490" t="s">
        <v>789</v>
      </c>
    </row>
    <row r="491" spans="1:15" x14ac:dyDescent="0.25">
      <c r="A491" t="s">
        <v>420</v>
      </c>
      <c r="B491" t="s">
        <v>2800</v>
      </c>
      <c r="C491" t="s">
        <v>2309</v>
      </c>
      <c r="D491" t="s">
        <v>284</v>
      </c>
      <c r="E491" t="s">
        <v>284</v>
      </c>
      <c r="F491" t="s">
        <v>285</v>
      </c>
      <c r="G491" t="s">
        <v>285</v>
      </c>
      <c r="H491" t="s">
        <v>5</v>
      </c>
      <c r="I491" t="s">
        <v>172</v>
      </c>
      <c r="J491" t="s">
        <v>2310</v>
      </c>
      <c r="K491" t="s">
        <v>840</v>
      </c>
      <c r="L491" t="s">
        <v>420</v>
      </c>
      <c r="M491" t="s">
        <v>3168</v>
      </c>
      <c r="N491" t="s">
        <v>121</v>
      </c>
      <c r="O491" t="s">
        <v>1654</v>
      </c>
    </row>
    <row r="492" spans="1:15" x14ac:dyDescent="0.25">
      <c r="A492" t="s">
        <v>1615</v>
      </c>
      <c r="B492" t="s">
        <v>2801</v>
      </c>
      <c r="C492" t="s">
        <v>2253</v>
      </c>
      <c r="D492" t="s">
        <v>285</v>
      </c>
      <c r="E492" t="s">
        <v>285</v>
      </c>
      <c r="F492" t="s">
        <v>285</v>
      </c>
      <c r="G492" t="s">
        <v>284</v>
      </c>
      <c r="H492" t="s">
        <v>5</v>
      </c>
      <c r="I492" t="s">
        <v>172</v>
      </c>
      <c r="J492" t="s">
        <v>769</v>
      </c>
      <c r="K492" t="s">
        <v>769</v>
      </c>
      <c r="L492" t="s">
        <v>1615</v>
      </c>
      <c r="M492" t="s">
        <v>3167</v>
      </c>
      <c r="N492" t="s">
        <v>121</v>
      </c>
      <c r="O492" t="s">
        <v>1654</v>
      </c>
    </row>
    <row r="493" spans="1:15" x14ac:dyDescent="0.25">
      <c r="A493" t="s">
        <v>1749</v>
      </c>
      <c r="B493" t="s">
        <v>2802</v>
      </c>
      <c r="C493" t="s">
        <v>1510</v>
      </c>
      <c r="D493" t="s">
        <v>285</v>
      </c>
      <c r="E493" t="s">
        <v>285</v>
      </c>
      <c r="F493" t="s">
        <v>285</v>
      </c>
      <c r="G493" t="s">
        <v>285</v>
      </c>
      <c r="H493" t="s">
        <v>1408</v>
      </c>
      <c r="I493" t="s">
        <v>172</v>
      </c>
      <c r="J493" t="s">
        <v>2803</v>
      </c>
      <c r="K493" t="s">
        <v>788</v>
      </c>
      <c r="L493" t="s">
        <v>1749</v>
      </c>
      <c r="M493" t="s">
        <v>3168</v>
      </c>
      <c r="N493" t="s">
        <v>1527</v>
      </c>
      <c r="O493" t="s">
        <v>789</v>
      </c>
    </row>
    <row r="494" spans="1:15" x14ac:dyDescent="0.25">
      <c r="A494" t="s">
        <v>304</v>
      </c>
      <c r="B494" t="s">
        <v>2804</v>
      </c>
      <c r="C494" t="s">
        <v>1514</v>
      </c>
      <c r="D494" t="s">
        <v>284</v>
      </c>
      <c r="E494" t="s">
        <v>284</v>
      </c>
      <c r="F494" t="s">
        <v>285</v>
      </c>
      <c r="G494" t="s">
        <v>285</v>
      </c>
      <c r="H494" t="s">
        <v>5</v>
      </c>
      <c r="I494" t="s">
        <v>172</v>
      </c>
      <c r="J494" t="s">
        <v>1514</v>
      </c>
      <c r="K494" t="s">
        <v>839</v>
      </c>
      <c r="L494" t="s">
        <v>304</v>
      </c>
      <c r="M494" t="s">
        <v>3167</v>
      </c>
      <c r="N494" t="s">
        <v>802</v>
      </c>
      <c r="O494" t="s">
        <v>789</v>
      </c>
    </row>
    <row r="495" spans="1:15" x14ac:dyDescent="0.25">
      <c r="A495" t="s">
        <v>421</v>
      </c>
      <c r="B495" t="s">
        <v>2805</v>
      </c>
      <c r="C495" t="s">
        <v>2253</v>
      </c>
      <c r="D495" t="s">
        <v>285</v>
      </c>
      <c r="E495" t="s">
        <v>285</v>
      </c>
      <c r="F495" t="s">
        <v>285</v>
      </c>
      <c r="G495" t="s">
        <v>284</v>
      </c>
      <c r="H495" t="s">
        <v>5</v>
      </c>
      <c r="I495" t="s">
        <v>172</v>
      </c>
      <c r="J495" t="s">
        <v>769</v>
      </c>
      <c r="K495" t="s">
        <v>769</v>
      </c>
      <c r="L495" t="s">
        <v>421</v>
      </c>
      <c r="M495" t="s">
        <v>3167</v>
      </c>
      <c r="N495" t="s">
        <v>121</v>
      </c>
      <c r="O495" t="s">
        <v>1654</v>
      </c>
    </row>
    <row r="496" spans="1:15" x14ac:dyDescent="0.25">
      <c r="A496" t="s">
        <v>1478</v>
      </c>
      <c r="B496" t="s">
        <v>2806</v>
      </c>
      <c r="C496" t="s">
        <v>1405</v>
      </c>
      <c r="D496" t="s">
        <v>285</v>
      </c>
      <c r="E496" t="s">
        <v>284</v>
      </c>
      <c r="F496" t="s">
        <v>285</v>
      </c>
      <c r="G496" t="s">
        <v>284</v>
      </c>
      <c r="H496" t="s">
        <v>5</v>
      </c>
      <c r="I496" t="s">
        <v>172</v>
      </c>
      <c r="J496" t="s">
        <v>3169</v>
      </c>
      <c r="K496" s="138" t="s">
        <v>839</v>
      </c>
      <c r="L496" t="s">
        <v>1478</v>
      </c>
      <c r="M496" t="s">
        <v>1527</v>
      </c>
      <c r="N496" t="s">
        <v>1527</v>
      </c>
      <c r="O496" t="s">
        <v>1654</v>
      </c>
    </row>
    <row r="497" spans="1:15" x14ac:dyDescent="0.25">
      <c r="A497" t="s">
        <v>422</v>
      </c>
      <c r="B497" t="s">
        <v>2807</v>
      </c>
      <c r="C497" t="s">
        <v>1405</v>
      </c>
      <c r="D497" t="s">
        <v>285</v>
      </c>
      <c r="E497" t="s">
        <v>284</v>
      </c>
      <c r="F497" t="s">
        <v>285</v>
      </c>
      <c r="G497" t="s">
        <v>285</v>
      </c>
      <c r="H497" t="s">
        <v>5</v>
      </c>
      <c r="I497" t="s">
        <v>172</v>
      </c>
      <c r="J497" t="s">
        <v>2236</v>
      </c>
      <c r="K497" t="s">
        <v>1616</v>
      </c>
      <c r="L497" t="s">
        <v>422</v>
      </c>
      <c r="M497" t="s">
        <v>3168</v>
      </c>
      <c r="N497" t="s">
        <v>802</v>
      </c>
      <c r="O497" t="s">
        <v>1654</v>
      </c>
    </row>
    <row r="498" spans="1:15" x14ac:dyDescent="0.25">
      <c r="A498" t="s">
        <v>423</v>
      </c>
      <c r="B498" t="s">
        <v>2808</v>
      </c>
      <c r="C498" t="s">
        <v>2359</v>
      </c>
      <c r="D498" t="s">
        <v>284</v>
      </c>
      <c r="E498" t="s">
        <v>285</v>
      </c>
      <c r="F498" t="s">
        <v>285</v>
      </c>
      <c r="G498" t="s">
        <v>284</v>
      </c>
      <c r="H498" t="s">
        <v>5</v>
      </c>
      <c r="I498" t="s">
        <v>172</v>
      </c>
      <c r="J498" t="s">
        <v>2360</v>
      </c>
      <c r="K498" t="s">
        <v>101</v>
      </c>
      <c r="L498" t="s">
        <v>423</v>
      </c>
      <c r="M498" t="s">
        <v>3167</v>
      </c>
      <c r="N498" t="s">
        <v>121</v>
      </c>
      <c r="O498" t="s">
        <v>789</v>
      </c>
    </row>
    <row r="499" spans="1:15" x14ac:dyDescent="0.25">
      <c r="A499" t="s">
        <v>424</v>
      </c>
      <c r="B499" t="s">
        <v>2809</v>
      </c>
      <c r="C499" t="s">
        <v>2441</v>
      </c>
      <c r="D499" t="s">
        <v>284</v>
      </c>
      <c r="E499" t="s">
        <v>285</v>
      </c>
      <c r="F499" t="s">
        <v>285</v>
      </c>
      <c r="G499" t="s">
        <v>285</v>
      </c>
      <c r="H499" t="s">
        <v>5</v>
      </c>
      <c r="I499" t="s">
        <v>172</v>
      </c>
      <c r="J499" t="s">
        <v>89</v>
      </c>
      <c r="K499" t="s">
        <v>89</v>
      </c>
      <c r="L499" t="s">
        <v>424</v>
      </c>
      <c r="M499" t="s">
        <v>3168</v>
      </c>
      <c r="N499" t="s">
        <v>3172</v>
      </c>
      <c r="O499" t="s">
        <v>1654</v>
      </c>
    </row>
    <row r="500" spans="1:15" x14ac:dyDescent="0.25">
      <c r="A500" t="s">
        <v>645</v>
      </c>
      <c r="B500" t="s">
        <v>2810</v>
      </c>
      <c r="C500" t="s">
        <v>2273</v>
      </c>
      <c r="D500" t="s">
        <v>284</v>
      </c>
      <c r="E500" t="s">
        <v>285</v>
      </c>
      <c r="F500" t="s">
        <v>285</v>
      </c>
      <c r="G500" t="s">
        <v>285</v>
      </c>
      <c r="H500" t="s">
        <v>5</v>
      </c>
      <c r="I500" t="s">
        <v>814</v>
      </c>
      <c r="J500" t="s">
        <v>814</v>
      </c>
      <c r="K500" t="s">
        <v>801</v>
      </c>
      <c r="L500" t="s">
        <v>645</v>
      </c>
      <c r="M500" t="s">
        <v>3167</v>
      </c>
      <c r="N500" t="s">
        <v>3172</v>
      </c>
      <c r="O500" t="s">
        <v>789</v>
      </c>
    </row>
    <row r="501" spans="1:15" x14ac:dyDescent="0.25">
      <c r="A501" t="s">
        <v>146</v>
      </c>
      <c r="B501" t="s">
        <v>2811</v>
      </c>
      <c r="C501" t="s">
        <v>1509</v>
      </c>
      <c r="D501" t="s">
        <v>285</v>
      </c>
      <c r="E501" t="s">
        <v>284</v>
      </c>
      <c r="F501" t="s">
        <v>285</v>
      </c>
      <c r="G501" t="s">
        <v>285</v>
      </c>
      <c r="H501" t="s">
        <v>5</v>
      </c>
      <c r="I501" t="s">
        <v>172</v>
      </c>
      <c r="J501" t="s">
        <v>1467</v>
      </c>
      <c r="K501" t="s">
        <v>839</v>
      </c>
      <c r="L501" t="s">
        <v>146</v>
      </c>
      <c r="M501" t="s">
        <v>3168</v>
      </c>
      <c r="N501" t="s">
        <v>1527</v>
      </c>
      <c r="O501" t="s">
        <v>789</v>
      </c>
    </row>
    <row r="502" spans="1:15" x14ac:dyDescent="0.25">
      <c r="A502" t="s">
        <v>4</v>
      </c>
      <c r="B502" t="s">
        <v>2812</v>
      </c>
      <c r="C502" t="s">
        <v>2240</v>
      </c>
      <c r="D502" t="s">
        <v>284</v>
      </c>
      <c r="E502" t="s">
        <v>284</v>
      </c>
      <c r="F502" t="s">
        <v>285</v>
      </c>
      <c r="G502" t="s">
        <v>285</v>
      </c>
      <c r="H502" t="s">
        <v>5</v>
      </c>
      <c r="I502" t="s">
        <v>172</v>
      </c>
      <c r="J502" t="s">
        <v>2458</v>
      </c>
      <c r="K502" t="s">
        <v>840</v>
      </c>
      <c r="L502" t="s">
        <v>4</v>
      </c>
      <c r="M502" t="s">
        <v>3168</v>
      </c>
      <c r="N502" t="s">
        <v>802</v>
      </c>
      <c r="O502" t="s">
        <v>789</v>
      </c>
    </row>
    <row r="503" spans="1:15" x14ac:dyDescent="0.25">
      <c r="A503" t="s">
        <v>35</v>
      </c>
      <c r="B503" t="s">
        <v>2813</v>
      </c>
      <c r="C503" t="s">
        <v>100</v>
      </c>
      <c r="D503" t="s">
        <v>285</v>
      </c>
      <c r="E503" t="s">
        <v>285</v>
      </c>
      <c r="F503" t="s">
        <v>285</v>
      </c>
      <c r="G503" t="s">
        <v>285</v>
      </c>
      <c r="H503" t="s">
        <v>2345</v>
      </c>
      <c r="I503" t="s">
        <v>100</v>
      </c>
      <c r="J503" t="s">
        <v>2814</v>
      </c>
      <c r="K503" t="s">
        <v>769</v>
      </c>
      <c r="L503" t="s">
        <v>35</v>
      </c>
      <c r="M503" t="s">
        <v>3167</v>
      </c>
      <c r="N503" t="s">
        <v>1527</v>
      </c>
      <c r="O503" t="s">
        <v>1654</v>
      </c>
    </row>
    <row r="504" spans="1:15" x14ac:dyDescent="0.25">
      <c r="A504" t="s">
        <v>1084</v>
      </c>
      <c r="B504" t="s">
        <v>2815</v>
      </c>
      <c r="C504" t="s">
        <v>1510</v>
      </c>
      <c r="D504" t="s">
        <v>285</v>
      </c>
      <c r="E504" t="s">
        <v>285</v>
      </c>
      <c r="F504" t="s">
        <v>285</v>
      </c>
      <c r="G504" t="s">
        <v>285</v>
      </c>
      <c r="H504" t="s">
        <v>1408</v>
      </c>
      <c r="I504" t="s">
        <v>172</v>
      </c>
      <c r="J504" t="s">
        <v>2406</v>
      </c>
      <c r="K504" t="s">
        <v>801</v>
      </c>
      <c r="L504" t="s">
        <v>1084</v>
      </c>
      <c r="M504" t="s">
        <v>3167</v>
      </c>
      <c r="N504" t="s">
        <v>1527</v>
      </c>
      <c r="O504" t="s">
        <v>1654</v>
      </c>
    </row>
    <row r="505" spans="1:15" x14ac:dyDescent="0.25">
      <c r="A505" t="s">
        <v>425</v>
      </c>
      <c r="B505" t="s">
        <v>2816</v>
      </c>
      <c r="C505" t="s">
        <v>2338</v>
      </c>
      <c r="D505" t="s">
        <v>285</v>
      </c>
      <c r="E505" t="s">
        <v>284</v>
      </c>
      <c r="F505" t="s">
        <v>285</v>
      </c>
      <c r="G505" t="s">
        <v>285</v>
      </c>
      <c r="H505" t="s">
        <v>2230</v>
      </c>
      <c r="I505" t="s">
        <v>172</v>
      </c>
      <c r="J505" t="s">
        <v>2339</v>
      </c>
      <c r="K505" t="s">
        <v>101</v>
      </c>
      <c r="L505" t="s">
        <v>425</v>
      </c>
      <c r="M505" t="s">
        <v>3168</v>
      </c>
      <c r="N505" t="s">
        <v>1527</v>
      </c>
      <c r="O505" t="s">
        <v>1654</v>
      </c>
    </row>
    <row r="506" spans="1:15" x14ac:dyDescent="0.25">
      <c r="A506" t="s">
        <v>603</v>
      </c>
      <c r="B506" t="s">
        <v>2817</v>
      </c>
      <c r="C506" t="s">
        <v>2294</v>
      </c>
      <c r="D506" t="s">
        <v>284</v>
      </c>
      <c r="E506" t="s">
        <v>285</v>
      </c>
      <c r="F506" t="s">
        <v>284</v>
      </c>
      <c r="G506" t="s">
        <v>285</v>
      </c>
      <c r="H506" t="s">
        <v>5</v>
      </c>
      <c r="I506" t="s">
        <v>172</v>
      </c>
      <c r="J506" t="s">
        <v>2614</v>
      </c>
      <c r="K506" t="s">
        <v>101</v>
      </c>
      <c r="L506" t="s">
        <v>603</v>
      </c>
      <c r="M506" t="s">
        <v>3168</v>
      </c>
      <c r="N506" t="s">
        <v>802</v>
      </c>
      <c r="O506" t="s">
        <v>1654</v>
      </c>
    </row>
    <row r="507" spans="1:15" x14ac:dyDescent="0.25">
      <c r="A507" t="s">
        <v>763</v>
      </c>
      <c r="B507" t="s">
        <v>2818</v>
      </c>
      <c r="C507" t="s">
        <v>1510</v>
      </c>
      <c r="D507" t="s">
        <v>285</v>
      </c>
      <c r="E507" t="s">
        <v>285</v>
      </c>
      <c r="F507" t="s">
        <v>285</v>
      </c>
      <c r="G507" t="s">
        <v>285</v>
      </c>
      <c r="H507" t="s">
        <v>1408</v>
      </c>
      <c r="I507" t="s">
        <v>172</v>
      </c>
      <c r="J507" t="s">
        <v>2819</v>
      </c>
      <c r="K507" t="s">
        <v>89</v>
      </c>
      <c r="L507" t="s">
        <v>763</v>
      </c>
      <c r="M507" t="s">
        <v>3168</v>
      </c>
      <c r="N507" t="s">
        <v>3172</v>
      </c>
      <c r="O507" t="s">
        <v>1654</v>
      </c>
    </row>
    <row r="508" spans="1:15" x14ac:dyDescent="0.25">
      <c r="A508" t="s">
        <v>743</v>
      </c>
      <c r="B508" t="s">
        <v>2820</v>
      </c>
      <c r="C508" t="s">
        <v>2581</v>
      </c>
      <c r="D508" t="s">
        <v>285</v>
      </c>
      <c r="E508" t="s">
        <v>285</v>
      </c>
      <c r="F508" t="s">
        <v>285</v>
      </c>
      <c r="G508" t="s">
        <v>284</v>
      </c>
      <c r="H508" t="s">
        <v>5</v>
      </c>
      <c r="I508" t="s">
        <v>172</v>
      </c>
      <c r="J508" t="s">
        <v>780</v>
      </c>
      <c r="K508" t="s">
        <v>780</v>
      </c>
      <c r="L508" t="s">
        <v>743</v>
      </c>
      <c r="M508" t="s">
        <v>3168</v>
      </c>
      <c r="N508" t="s">
        <v>3172</v>
      </c>
      <c r="O508" t="s">
        <v>1654</v>
      </c>
    </row>
    <row r="509" spans="1:15" x14ac:dyDescent="0.25">
      <c r="A509" t="s">
        <v>826</v>
      </c>
      <c r="B509" t="s">
        <v>2821</v>
      </c>
      <c r="C509" t="s">
        <v>2402</v>
      </c>
      <c r="D509" t="s">
        <v>285</v>
      </c>
      <c r="E509" t="s">
        <v>285</v>
      </c>
      <c r="F509" t="s">
        <v>285</v>
      </c>
      <c r="G509" t="s">
        <v>285</v>
      </c>
      <c r="H509" t="s">
        <v>2230</v>
      </c>
      <c r="I509" t="s">
        <v>172</v>
      </c>
      <c r="J509" t="s">
        <v>800</v>
      </c>
      <c r="K509" t="s">
        <v>800</v>
      </c>
      <c r="L509" t="s">
        <v>826</v>
      </c>
      <c r="M509" t="s">
        <v>3168</v>
      </c>
      <c r="N509" t="s">
        <v>121</v>
      </c>
      <c r="O509" t="s">
        <v>1654</v>
      </c>
    </row>
    <row r="510" spans="1:15" x14ac:dyDescent="0.25">
      <c r="A510" t="s">
        <v>147</v>
      </c>
      <c r="B510" t="s">
        <v>2822</v>
      </c>
      <c r="C510" t="s">
        <v>1509</v>
      </c>
      <c r="D510" t="s">
        <v>284</v>
      </c>
      <c r="E510" t="s">
        <v>284</v>
      </c>
      <c r="F510" t="s">
        <v>285</v>
      </c>
      <c r="G510" t="s">
        <v>285</v>
      </c>
      <c r="H510" t="s">
        <v>5</v>
      </c>
      <c r="I510" t="s">
        <v>172</v>
      </c>
      <c r="J510" t="s">
        <v>1509</v>
      </c>
      <c r="K510" t="s">
        <v>839</v>
      </c>
      <c r="L510" t="s">
        <v>147</v>
      </c>
      <c r="M510" t="s">
        <v>3168</v>
      </c>
      <c r="N510" t="s">
        <v>802</v>
      </c>
      <c r="O510" t="s">
        <v>789</v>
      </c>
    </row>
    <row r="511" spans="1:15" x14ac:dyDescent="0.25">
      <c r="A511" t="s">
        <v>540</v>
      </c>
      <c r="B511" t="s">
        <v>2823</v>
      </c>
      <c r="C511" t="s">
        <v>2428</v>
      </c>
      <c r="D511" t="s">
        <v>285</v>
      </c>
      <c r="E511" t="s">
        <v>285</v>
      </c>
      <c r="F511" t="s">
        <v>285</v>
      </c>
      <c r="G511" t="s">
        <v>284</v>
      </c>
      <c r="H511" t="s">
        <v>5</v>
      </c>
      <c r="I511" t="s">
        <v>172</v>
      </c>
      <c r="J511" t="s">
        <v>780</v>
      </c>
      <c r="K511" t="s">
        <v>780</v>
      </c>
      <c r="L511" t="s">
        <v>540</v>
      </c>
      <c r="M511" t="s">
        <v>3168</v>
      </c>
      <c r="N511" t="s">
        <v>3172</v>
      </c>
      <c r="O511" t="s">
        <v>1654</v>
      </c>
    </row>
    <row r="512" spans="1:15" x14ac:dyDescent="0.25">
      <c r="A512" t="s">
        <v>628</v>
      </c>
      <c r="B512" t="s">
        <v>2824</v>
      </c>
      <c r="C512" t="s">
        <v>2698</v>
      </c>
      <c r="D512" t="s">
        <v>284</v>
      </c>
      <c r="E512" t="s">
        <v>285</v>
      </c>
      <c r="F512" t="s">
        <v>285</v>
      </c>
      <c r="G512" t="s">
        <v>285</v>
      </c>
      <c r="H512" t="s">
        <v>5</v>
      </c>
      <c r="I512" t="s">
        <v>172</v>
      </c>
      <c r="J512" t="s">
        <v>788</v>
      </c>
      <c r="K512" t="s">
        <v>788</v>
      </c>
      <c r="L512" t="s">
        <v>628</v>
      </c>
      <c r="M512" t="s">
        <v>3167</v>
      </c>
      <c r="N512" t="s">
        <v>802</v>
      </c>
      <c r="O512" t="s">
        <v>1654</v>
      </c>
    </row>
    <row r="513" spans="1:15" x14ac:dyDescent="0.25">
      <c r="A513" t="s">
        <v>1641</v>
      </c>
      <c r="B513" t="s">
        <v>2825</v>
      </c>
      <c r="C513" t="s">
        <v>2491</v>
      </c>
      <c r="D513" t="s">
        <v>285</v>
      </c>
      <c r="E513" t="s">
        <v>285</v>
      </c>
      <c r="F513" t="s">
        <v>285</v>
      </c>
      <c r="G513" t="s">
        <v>284</v>
      </c>
      <c r="H513" t="s">
        <v>5</v>
      </c>
      <c r="I513" t="s">
        <v>172</v>
      </c>
      <c r="J513" t="s">
        <v>788</v>
      </c>
      <c r="K513" s="138" t="s">
        <v>788</v>
      </c>
      <c r="L513" t="s">
        <v>1641</v>
      </c>
      <c r="M513" t="s">
        <v>3168</v>
      </c>
      <c r="N513" t="s">
        <v>802</v>
      </c>
      <c r="O513" t="s">
        <v>1654</v>
      </c>
    </row>
    <row r="514" spans="1:15" x14ac:dyDescent="0.25">
      <c r="A514" t="s">
        <v>426</v>
      </c>
      <c r="B514" t="s">
        <v>2826</v>
      </c>
      <c r="C514" t="s">
        <v>1545</v>
      </c>
      <c r="D514" t="s">
        <v>285</v>
      </c>
      <c r="E514" t="s">
        <v>284</v>
      </c>
      <c r="F514" t="s">
        <v>285</v>
      </c>
      <c r="G514" t="s">
        <v>284</v>
      </c>
      <c r="H514" t="s">
        <v>5</v>
      </c>
      <c r="I514" t="s">
        <v>172</v>
      </c>
      <c r="J514" t="s">
        <v>788</v>
      </c>
      <c r="K514" s="138" t="s">
        <v>839</v>
      </c>
      <c r="L514" t="s">
        <v>426</v>
      </c>
      <c r="M514" t="s">
        <v>3168</v>
      </c>
      <c r="N514" t="s">
        <v>802</v>
      </c>
      <c r="O514" t="s">
        <v>1654</v>
      </c>
    </row>
    <row r="515" spans="1:15" x14ac:dyDescent="0.25">
      <c r="A515" t="s">
        <v>427</v>
      </c>
      <c r="B515" t="s">
        <v>2827</v>
      </c>
      <c r="C515" t="s">
        <v>1405</v>
      </c>
      <c r="D515" t="s">
        <v>285</v>
      </c>
      <c r="E515" t="s">
        <v>284</v>
      </c>
      <c r="F515" t="s">
        <v>285</v>
      </c>
      <c r="G515" t="s">
        <v>284</v>
      </c>
      <c r="H515" t="s">
        <v>5</v>
      </c>
      <c r="I515" t="s">
        <v>172</v>
      </c>
      <c r="J515" t="s">
        <v>2236</v>
      </c>
      <c r="K515" t="s">
        <v>1616</v>
      </c>
      <c r="L515" t="s">
        <v>427</v>
      </c>
      <c r="M515" t="s">
        <v>3168</v>
      </c>
      <c r="N515" t="s">
        <v>1527</v>
      </c>
      <c r="O515" t="s">
        <v>1654</v>
      </c>
    </row>
    <row r="516" spans="1:15" x14ac:dyDescent="0.25">
      <c r="A516" t="s">
        <v>565</v>
      </c>
      <c r="B516" t="s">
        <v>2828</v>
      </c>
      <c r="C516" t="s">
        <v>2232</v>
      </c>
      <c r="D516" t="s">
        <v>285</v>
      </c>
      <c r="E516" t="s">
        <v>285</v>
      </c>
      <c r="F516" t="s">
        <v>285</v>
      </c>
      <c r="G516" t="s">
        <v>285</v>
      </c>
      <c r="H516" t="s">
        <v>5</v>
      </c>
      <c r="I516" t="s">
        <v>172</v>
      </c>
      <c r="J516" t="s">
        <v>801</v>
      </c>
      <c r="K516" t="s">
        <v>801</v>
      </c>
      <c r="L516" t="s">
        <v>565</v>
      </c>
      <c r="M516" t="s">
        <v>3167</v>
      </c>
      <c r="N516" t="s">
        <v>121</v>
      </c>
      <c r="O516" t="s">
        <v>1654</v>
      </c>
    </row>
    <row r="517" spans="1:15" x14ac:dyDescent="0.25">
      <c r="A517" t="s">
        <v>306</v>
      </c>
      <c r="B517" t="s">
        <v>2829</v>
      </c>
      <c r="C517" t="s">
        <v>1546</v>
      </c>
      <c r="D517" t="s">
        <v>284</v>
      </c>
      <c r="E517" t="s">
        <v>285</v>
      </c>
      <c r="F517" t="s">
        <v>285</v>
      </c>
      <c r="G517" t="s">
        <v>285</v>
      </c>
      <c r="H517" t="s">
        <v>5</v>
      </c>
      <c r="I517" t="s">
        <v>172</v>
      </c>
      <c r="J517" t="s">
        <v>801</v>
      </c>
      <c r="K517" t="s">
        <v>801</v>
      </c>
      <c r="L517" t="s">
        <v>306</v>
      </c>
      <c r="M517" t="s">
        <v>3167</v>
      </c>
      <c r="N517" t="s">
        <v>121</v>
      </c>
      <c r="O517" t="s">
        <v>1654</v>
      </c>
    </row>
    <row r="518" spans="1:15" x14ac:dyDescent="0.25">
      <c r="A518" t="s">
        <v>138</v>
      </c>
      <c r="B518" t="s">
        <v>2830</v>
      </c>
      <c r="C518" t="s">
        <v>1514</v>
      </c>
      <c r="D518" t="s">
        <v>284</v>
      </c>
      <c r="E518" t="s">
        <v>284</v>
      </c>
      <c r="F518" t="s">
        <v>285</v>
      </c>
      <c r="G518" t="s">
        <v>285</v>
      </c>
      <c r="H518" t="s">
        <v>5</v>
      </c>
      <c r="I518" t="s">
        <v>172</v>
      </c>
      <c r="J518" t="s">
        <v>1514</v>
      </c>
      <c r="K518" t="s">
        <v>839</v>
      </c>
      <c r="L518" t="s">
        <v>138</v>
      </c>
      <c r="M518" t="s">
        <v>3168</v>
      </c>
      <c r="N518" t="s">
        <v>802</v>
      </c>
      <c r="O518" t="s">
        <v>789</v>
      </c>
    </row>
    <row r="519" spans="1:15" x14ac:dyDescent="0.25">
      <c r="A519" t="s">
        <v>1041</v>
      </c>
      <c r="B519" t="s">
        <v>2831</v>
      </c>
      <c r="C519" t="s">
        <v>1505</v>
      </c>
      <c r="D519" t="s">
        <v>285</v>
      </c>
      <c r="E519" t="s">
        <v>285</v>
      </c>
      <c r="F519" t="s">
        <v>285</v>
      </c>
      <c r="G519" t="s">
        <v>285</v>
      </c>
      <c r="H519" t="s">
        <v>5</v>
      </c>
      <c r="I519" t="s">
        <v>172</v>
      </c>
      <c r="J519" t="s">
        <v>2743</v>
      </c>
      <c r="K519" t="s">
        <v>1616</v>
      </c>
      <c r="L519" t="s">
        <v>1041</v>
      </c>
      <c r="M519" t="s">
        <v>3168</v>
      </c>
      <c r="N519" t="s">
        <v>802</v>
      </c>
      <c r="O519" t="s">
        <v>789</v>
      </c>
    </row>
    <row r="520" spans="1:15" x14ac:dyDescent="0.25">
      <c r="A520" t="s">
        <v>502</v>
      </c>
      <c r="B520" t="s">
        <v>2832</v>
      </c>
      <c r="C520" t="s">
        <v>1514</v>
      </c>
      <c r="D520" t="s">
        <v>284</v>
      </c>
      <c r="E520" t="s">
        <v>284</v>
      </c>
      <c r="F520" t="s">
        <v>285</v>
      </c>
      <c r="G520" t="s">
        <v>285</v>
      </c>
      <c r="H520" t="s">
        <v>5</v>
      </c>
      <c r="I520" t="s">
        <v>172</v>
      </c>
      <c r="J520" t="s">
        <v>1514</v>
      </c>
      <c r="K520" t="s">
        <v>839</v>
      </c>
      <c r="L520" t="s">
        <v>502</v>
      </c>
      <c r="M520" t="s">
        <v>3168</v>
      </c>
      <c r="N520" t="s">
        <v>802</v>
      </c>
      <c r="O520" t="s">
        <v>789</v>
      </c>
    </row>
    <row r="521" spans="1:15" x14ac:dyDescent="0.25">
      <c r="A521" t="s">
        <v>716</v>
      </c>
      <c r="B521" t="s">
        <v>2833</v>
      </c>
      <c r="C521" t="s">
        <v>2378</v>
      </c>
      <c r="D521" t="s">
        <v>285</v>
      </c>
      <c r="E521" t="s">
        <v>285</v>
      </c>
      <c r="F521" t="s">
        <v>285</v>
      </c>
      <c r="G521" t="s">
        <v>284</v>
      </c>
      <c r="H521" t="s">
        <v>5</v>
      </c>
      <c r="I521" t="s">
        <v>172</v>
      </c>
      <c r="J521" t="s">
        <v>2378</v>
      </c>
      <c r="K521" t="s">
        <v>840</v>
      </c>
      <c r="L521" t="s">
        <v>716</v>
      </c>
      <c r="M521" t="s">
        <v>3168</v>
      </c>
      <c r="N521" t="s">
        <v>802</v>
      </c>
      <c r="O521" t="s">
        <v>789</v>
      </c>
    </row>
    <row r="522" spans="1:15" x14ac:dyDescent="0.25">
      <c r="A522" t="s">
        <v>639</v>
      </c>
      <c r="B522" t="s">
        <v>2834</v>
      </c>
      <c r="C522" t="s">
        <v>2581</v>
      </c>
      <c r="D522" t="s">
        <v>284</v>
      </c>
      <c r="E522" t="s">
        <v>285</v>
      </c>
      <c r="F522" t="s">
        <v>285</v>
      </c>
      <c r="G522" t="s">
        <v>285</v>
      </c>
      <c r="H522" t="s">
        <v>5</v>
      </c>
      <c r="I522" t="s">
        <v>172</v>
      </c>
      <c r="J522" t="s">
        <v>780</v>
      </c>
      <c r="K522" t="s">
        <v>780</v>
      </c>
      <c r="L522" t="s">
        <v>639</v>
      </c>
      <c r="M522" t="s">
        <v>3168</v>
      </c>
      <c r="N522" t="s">
        <v>3172</v>
      </c>
      <c r="O522" t="s">
        <v>1654</v>
      </c>
    </row>
    <row r="523" spans="1:15" x14ac:dyDescent="0.25">
      <c r="A523" t="s">
        <v>541</v>
      </c>
      <c r="B523" t="s">
        <v>2835</v>
      </c>
      <c r="C523" t="s">
        <v>1524</v>
      </c>
      <c r="D523" t="s">
        <v>284</v>
      </c>
      <c r="E523" t="s">
        <v>285</v>
      </c>
      <c r="F523" t="s">
        <v>285</v>
      </c>
      <c r="G523" t="s">
        <v>285</v>
      </c>
      <c r="H523" t="s">
        <v>5</v>
      </c>
      <c r="I523" t="s">
        <v>172</v>
      </c>
      <c r="J523" t="s">
        <v>788</v>
      </c>
      <c r="K523" t="s">
        <v>788</v>
      </c>
      <c r="L523" t="s">
        <v>541</v>
      </c>
      <c r="M523" t="s">
        <v>3167</v>
      </c>
      <c r="N523" t="s">
        <v>121</v>
      </c>
      <c r="O523" t="s">
        <v>789</v>
      </c>
    </row>
    <row r="524" spans="1:15" x14ac:dyDescent="0.25">
      <c r="A524" t="s">
        <v>655</v>
      </c>
      <c r="B524" t="s">
        <v>2836</v>
      </c>
      <c r="C524" t="s">
        <v>2253</v>
      </c>
      <c r="D524" t="s">
        <v>284</v>
      </c>
      <c r="E524" t="s">
        <v>285</v>
      </c>
      <c r="F524" t="s">
        <v>285</v>
      </c>
      <c r="G524" t="s">
        <v>285</v>
      </c>
      <c r="H524" t="s">
        <v>5</v>
      </c>
      <c r="I524" t="s">
        <v>172</v>
      </c>
      <c r="J524" t="s">
        <v>2790</v>
      </c>
      <c r="K524" t="s">
        <v>769</v>
      </c>
      <c r="L524" t="s">
        <v>655</v>
      </c>
      <c r="M524" t="s">
        <v>3167</v>
      </c>
      <c r="N524" t="s">
        <v>3172</v>
      </c>
      <c r="O524" t="s">
        <v>789</v>
      </c>
    </row>
    <row r="525" spans="1:15" x14ac:dyDescent="0.25">
      <c r="A525" t="s">
        <v>1735</v>
      </c>
      <c r="B525" t="s">
        <v>2837</v>
      </c>
      <c r="C525" t="s">
        <v>2838</v>
      </c>
      <c r="D525" t="s">
        <v>285</v>
      </c>
      <c r="E525" t="s">
        <v>285</v>
      </c>
      <c r="F525" t="s">
        <v>285</v>
      </c>
      <c r="G525" t="s">
        <v>284</v>
      </c>
      <c r="H525" t="s">
        <v>5</v>
      </c>
      <c r="I525" t="s">
        <v>172</v>
      </c>
      <c r="J525" t="s">
        <v>2839</v>
      </c>
      <c r="K525" t="s">
        <v>89</v>
      </c>
      <c r="L525" t="s">
        <v>1735</v>
      </c>
      <c r="M525" t="s">
        <v>3168</v>
      </c>
      <c r="N525" t="s">
        <v>1527</v>
      </c>
      <c r="O525" t="s">
        <v>789</v>
      </c>
    </row>
    <row r="526" spans="1:15" x14ac:dyDescent="0.25">
      <c r="A526" t="s">
        <v>139</v>
      </c>
      <c r="B526" t="s">
        <v>2840</v>
      </c>
      <c r="C526" t="s">
        <v>1509</v>
      </c>
      <c r="D526" t="s">
        <v>285</v>
      </c>
      <c r="E526" t="s">
        <v>284</v>
      </c>
      <c r="F526" t="s">
        <v>285</v>
      </c>
      <c r="G526" t="s">
        <v>285</v>
      </c>
      <c r="H526" t="s">
        <v>5</v>
      </c>
      <c r="I526" t="s">
        <v>172</v>
      </c>
      <c r="J526" t="s">
        <v>1467</v>
      </c>
      <c r="K526" t="s">
        <v>839</v>
      </c>
      <c r="L526" t="s">
        <v>139</v>
      </c>
      <c r="M526" t="s">
        <v>3168</v>
      </c>
      <c r="N526" t="s">
        <v>1527</v>
      </c>
      <c r="O526" t="s">
        <v>1654</v>
      </c>
    </row>
    <row r="527" spans="1:15" x14ac:dyDescent="0.25">
      <c r="A527" t="s">
        <v>746</v>
      </c>
      <c r="B527" t="s">
        <v>2841</v>
      </c>
      <c r="C527" t="s">
        <v>1518</v>
      </c>
      <c r="D527" t="s">
        <v>285</v>
      </c>
      <c r="E527" t="s">
        <v>284</v>
      </c>
      <c r="F527" t="s">
        <v>285</v>
      </c>
      <c r="G527" t="s">
        <v>284</v>
      </c>
      <c r="H527" t="s">
        <v>5</v>
      </c>
      <c r="I527" t="s">
        <v>172</v>
      </c>
      <c r="J527" t="s">
        <v>103</v>
      </c>
      <c r="K527" t="s">
        <v>101</v>
      </c>
      <c r="L527" t="s">
        <v>746</v>
      </c>
      <c r="M527" t="s">
        <v>3168</v>
      </c>
      <c r="N527" t="s">
        <v>802</v>
      </c>
      <c r="O527" t="s">
        <v>789</v>
      </c>
    </row>
    <row r="528" spans="1:15" x14ac:dyDescent="0.25">
      <c r="A528" t="s">
        <v>752</v>
      </c>
      <c r="B528" t="s">
        <v>2842</v>
      </c>
      <c r="C528" t="s">
        <v>1511</v>
      </c>
      <c r="D528" t="s">
        <v>285</v>
      </c>
      <c r="E528" t="s">
        <v>285</v>
      </c>
      <c r="F528" t="s">
        <v>285</v>
      </c>
      <c r="G528" t="s">
        <v>284</v>
      </c>
      <c r="H528" t="s">
        <v>5</v>
      </c>
      <c r="I528" t="s">
        <v>172</v>
      </c>
      <c r="J528" t="s">
        <v>1511</v>
      </c>
      <c r="K528" t="s">
        <v>800</v>
      </c>
      <c r="L528" t="s">
        <v>752</v>
      </c>
      <c r="M528" t="s">
        <v>3167</v>
      </c>
      <c r="N528" t="s">
        <v>3172</v>
      </c>
      <c r="O528" t="s">
        <v>1654</v>
      </c>
    </row>
    <row r="529" spans="1:15" x14ac:dyDescent="0.25">
      <c r="A529" t="s">
        <v>428</v>
      </c>
      <c r="B529" t="s">
        <v>2843</v>
      </c>
      <c r="C529" t="s">
        <v>1514</v>
      </c>
      <c r="D529" t="s">
        <v>284</v>
      </c>
      <c r="E529" t="s">
        <v>284</v>
      </c>
      <c r="F529" t="s">
        <v>285</v>
      </c>
      <c r="G529" t="s">
        <v>285</v>
      </c>
      <c r="H529" t="s">
        <v>5</v>
      </c>
      <c r="I529" t="s">
        <v>172</v>
      </c>
      <c r="J529" t="s">
        <v>1514</v>
      </c>
      <c r="K529" t="s">
        <v>839</v>
      </c>
      <c r="L529" t="s">
        <v>428</v>
      </c>
      <c r="M529" t="s">
        <v>3168</v>
      </c>
      <c r="N529" t="s">
        <v>121</v>
      </c>
      <c r="O529" t="s">
        <v>1654</v>
      </c>
    </row>
    <row r="530" spans="1:15" x14ac:dyDescent="0.25">
      <c r="A530" t="s">
        <v>191</v>
      </c>
      <c r="B530" t="s">
        <v>2844</v>
      </c>
      <c r="C530" t="s">
        <v>1518</v>
      </c>
      <c r="D530" t="s">
        <v>285</v>
      </c>
      <c r="E530" t="s">
        <v>284</v>
      </c>
      <c r="F530" t="s">
        <v>285</v>
      </c>
      <c r="G530" t="s">
        <v>284</v>
      </c>
      <c r="H530" t="s">
        <v>5</v>
      </c>
      <c r="I530" t="s">
        <v>172</v>
      </c>
      <c r="J530" t="s">
        <v>103</v>
      </c>
      <c r="K530" t="s">
        <v>101</v>
      </c>
      <c r="L530" t="s">
        <v>191</v>
      </c>
      <c r="M530" t="s">
        <v>3167</v>
      </c>
      <c r="N530" t="s">
        <v>121</v>
      </c>
      <c r="O530" t="s">
        <v>1654</v>
      </c>
    </row>
    <row r="531" spans="1:15" x14ac:dyDescent="0.25">
      <c r="A531" t="s">
        <v>550</v>
      </c>
      <c r="B531" t="s">
        <v>2845</v>
      </c>
      <c r="C531" t="s">
        <v>2294</v>
      </c>
      <c r="D531" t="s">
        <v>285</v>
      </c>
      <c r="E531" t="s">
        <v>285</v>
      </c>
      <c r="F531" t="s">
        <v>285</v>
      </c>
      <c r="G531" t="s">
        <v>285</v>
      </c>
      <c r="H531" t="s">
        <v>5</v>
      </c>
      <c r="I531" t="s">
        <v>172</v>
      </c>
      <c r="J531" t="s">
        <v>2614</v>
      </c>
      <c r="K531" t="s">
        <v>101</v>
      </c>
      <c r="L531" t="s">
        <v>550</v>
      </c>
      <c r="M531" t="s">
        <v>3168</v>
      </c>
      <c r="N531" t="s">
        <v>802</v>
      </c>
      <c r="O531" t="s">
        <v>789</v>
      </c>
    </row>
    <row r="532" spans="1:15" x14ac:dyDescent="0.25">
      <c r="A532" t="s">
        <v>1785</v>
      </c>
      <c r="B532" t="s">
        <v>2846</v>
      </c>
      <c r="C532" t="s">
        <v>1513</v>
      </c>
      <c r="D532" t="s">
        <v>285</v>
      </c>
      <c r="E532" t="s">
        <v>284</v>
      </c>
      <c r="F532" t="s">
        <v>285</v>
      </c>
      <c r="G532" t="s">
        <v>284</v>
      </c>
      <c r="H532" t="s">
        <v>5</v>
      </c>
      <c r="I532" t="s">
        <v>172</v>
      </c>
      <c r="J532" t="s">
        <v>1514</v>
      </c>
      <c r="K532" t="s">
        <v>839</v>
      </c>
      <c r="L532" t="s">
        <v>1785</v>
      </c>
      <c r="M532" t="s">
        <v>3168</v>
      </c>
      <c r="N532" t="s">
        <v>802</v>
      </c>
      <c r="O532" t="s">
        <v>789</v>
      </c>
    </row>
    <row r="533" spans="1:15" x14ac:dyDescent="0.25">
      <c r="A533" t="s">
        <v>193</v>
      </c>
      <c r="B533" t="s">
        <v>2847</v>
      </c>
      <c r="C533" t="s">
        <v>1509</v>
      </c>
      <c r="D533" t="s">
        <v>284</v>
      </c>
      <c r="E533" t="s">
        <v>285</v>
      </c>
      <c r="F533" t="s">
        <v>285</v>
      </c>
      <c r="G533" t="s">
        <v>285</v>
      </c>
      <c r="H533" t="s">
        <v>5</v>
      </c>
      <c r="I533" t="s">
        <v>172</v>
      </c>
      <c r="J533" t="s">
        <v>1509</v>
      </c>
      <c r="K533" t="s">
        <v>839</v>
      </c>
      <c r="L533" t="s">
        <v>193</v>
      </c>
      <c r="M533" t="s">
        <v>3168</v>
      </c>
      <c r="N533" t="s">
        <v>802</v>
      </c>
      <c r="O533" t="s">
        <v>789</v>
      </c>
    </row>
    <row r="534" spans="1:15" x14ac:dyDescent="0.25">
      <c r="A534" t="s">
        <v>624</v>
      </c>
      <c r="B534" t="s">
        <v>2848</v>
      </c>
      <c r="C534" t="s">
        <v>1518</v>
      </c>
      <c r="D534" t="s">
        <v>284</v>
      </c>
      <c r="E534" t="s">
        <v>284</v>
      </c>
      <c r="F534" t="s">
        <v>285</v>
      </c>
      <c r="G534" t="s">
        <v>285</v>
      </c>
      <c r="H534" t="s">
        <v>5</v>
      </c>
      <c r="I534" t="s">
        <v>172</v>
      </c>
      <c r="J534" t="s">
        <v>103</v>
      </c>
      <c r="K534" t="s">
        <v>101</v>
      </c>
      <c r="L534" t="s">
        <v>624</v>
      </c>
      <c r="M534" t="s">
        <v>3168</v>
      </c>
      <c r="N534" t="s">
        <v>802</v>
      </c>
      <c r="O534" t="s">
        <v>789</v>
      </c>
    </row>
    <row r="535" spans="1:15" x14ac:dyDescent="0.25">
      <c r="A535" t="s">
        <v>749</v>
      </c>
      <c r="B535" t="s">
        <v>2849</v>
      </c>
      <c r="C535" t="s">
        <v>2227</v>
      </c>
      <c r="D535" t="s">
        <v>285</v>
      </c>
      <c r="E535" t="s">
        <v>285</v>
      </c>
      <c r="F535" t="s">
        <v>285</v>
      </c>
      <c r="G535" t="s">
        <v>284</v>
      </c>
      <c r="H535" t="s">
        <v>5</v>
      </c>
      <c r="I535" t="s">
        <v>172</v>
      </c>
      <c r="J535" t="s">
        <v>788</v>
      </c>
      <c r="K535" t="s">
        <v>788</v>
      </c>
      <c r="L535" t="s">
        <v>749</v>
      </c>
      <c r="M535" t="s">
        <v>3167</v>
      </c>
      <c r="N535" t="s">
        <v>121</v>
      </c>
      <c r="O535" t="s">
        <v>1654</v>
      </c>
    </row>
    <row r="536" spans="1:15" x14ac:dyDescent="0.25">
      <c r="A536" t="s">
        <v>961</v>
      </c>
      <c r="B536" t="s">
        <v>2850</v>
      </c>
      <c r="C536" t="s">
        <v>2317</v>
      </c>
      <c r="D536" t="s">
        <v>285</v>
      </c>
      <c r="E536" t="s">
        <v>284</v>
      </c>
      <c r="F536" t="s">
        <v>285</v>
      </c>
      <c r="G536" t="s">
        <v>285</v>
      </c>
      <c r="H536" t="s">
        <v>5</v>
      </c>
      <c r="I536" t="s">
        <v>172</v>
      </c>
      <c r="J536" t="s">
        <v>2295</v>
      </c>
      <c r="K536" t="s">
        <v>98</v>
      </c>
      <c r="L536" t="s">
        <v>961</v>
      </c>
      <c r="M536" t="s">
        <v>3168</v>
      </c>
      <c r="N536" t="s">
        <v>1527</v>
      </c>
      <c r="O536" t="s">
        <v>1654</v>
      </c>
    </row>
    <row r="537" spans="1:15" x14ac:dyDescent="0.25">
      <c r="A537" t="s">
        <v>777</v>
      </c>
      <c r="B537" t="s">
        <v>2851</v>
      </c>
      <c r="C537" t="s">
        <v>1515</v>
      </c>
      <c r="D537" t="s">
        <v>285</v>
      </c>
      <c r="E537" t="s">
        <v>285</v>
      </c>
      <c r="F537" t="s">
        <v>285</v>
      </c>
      <c r="G537" t="s">
        <v>285</v>
      </c>
      <c r="H537" t="s">
        <v>2853</v>
      </c>
      <c r="I537" t="s">
        <v>168</v>
      </c>
      <c r="J537" t="s">
        <v>2852</v>
      </c>
      <c r="K537" t="s">
        <v>800</v>
      </c>
      <c r="L537" t="s">
        <v>777</v>
      </c>
      <c r="M537" t="s">
        <v>1527</v>
      </c>
      <c r="N537" t="s">
        <v>3172</v>
      </c>
      <c r="O537" t="s">
        <v>1654</v>
      </c>
    </row>
    <row r="538" spans="1:15" x14ac:dyDescent="0.25">
      <c r="A538" t="s">
        <v>1435</v>
      </c>
      <c r="B538" t="s">
        <v>2854</v>
      </c>
      <c r="C538" t="s">
        <v>2294</v>
      </c>
      <c r="D538" t="s">
        <v>285</v>
      </c>
      <c r="E538" t="s">
        <v>285</v>
      </c>
      <c r="F538" t="s">
        <v>285</v>
      </c>
      <c r="G538" t="s">
        <v>284</v>
      </c>
      <c r="H538" t="s">
        <v>5</v>
      </c>
      <c r="I538" t="s">
        <v>172</v>
      </c>
      <c r="J538" t="s">
        <v>2614</v>
      </c>
      <c r="K538" t="s">
        <v>101</v>
      </c>
      <c r="L538" t="s">
        <v>1435</v>
      </c>
      <c r="M538" t="s">
        <v>3167</v>
      </c>
      <c r="N538" t="s">
        <v>121</v>
      </c>
      <c r="O538" t="s">
        <v>1654</v>
      </c>
    </row>
    <row r="539" spans="1:15" x14ac:dyDescent="0.25">
      <c r="A539" t="s">
        <v>429</v>
      </c>
      <c r="B539" t="s">
        <v>2855</v>
      </c>
      <c r="C539" t="s">
        <v>2253</v>
      </c>
      <c r="D539" t="s">
        <v>284</v>
      </c>
      <c r="E539" t="s">
        <v>285</v>
      </c>
      <c r="F539" t="s">
        <v>285</v>
      </c>
      <c r="G539" t="s">
        <v>285</v>
      </c>
      <c r="H539" t="s">
        <v>5</v>
      </c>
      <c r="I539" t="s">
        <v>172</v>
      </c>
      <c r="J539" t="s">
        <v>769</v>
      </c>
      <c r="K539" t="s">
        <v>769</v>
      </c>
      <c r="L539" t="s">
        <v>429</v>
      </c>
      <c r="M539" t="s">
        <v>3167</v>
      </c>
      <c r="N539" t="s">
        <v>121</v>
      </c>
      <c r="O539" t="s">
        <v>1654</v>
      </c>
    </row>
    <row r="540" spans="1:15" x14ac:dyDescent="0.25">
      <c r="A540" t="s">
        <v>715</v>
      </c>
      <c r="B540" t="s">
        <v>2856</v>
      </c>
      <c r="C540" t="s">
        <v>1518</v>
      </c>
      <c r="D540" t="s">
        <v>285</v>
      </c>
      <c r="E540" t="s">
        <v>285</v>
      </c>
      <c r="F540" t="s">
        <v>285</v>
      </c>
      <c r="G540" t="s">
        <v>284</v>
      </c>
      <c r="H540" t="s">
        <v>5</v>
      </c>
      <c r="I540" t="s">
        <v>172</v>
      </c>
      <c r="J540" t="s">
        <v>103</v>
      </c>
      <c r="K540" t="s">
        <v>101</v>
      </c>
      <c r="L540" t="s">
        <v>715</v>
      </c>
      <c r="M540" t="s">
        <v>3167</v>
      </c>
      <c r="N540" t="s">
        <v>121</v>
      </c>
      <c r="O540" t="s">
        <v>1654</v>
      </c>
    </row>
    <row r="541" spans="1:15" x14ac:dyDescent="0.25">
      <c r="A541" t="s">
        <v>1680</v>
      </c>
      <c r="B541" t="s">
        <v>2857</v>
      </c>
      <c r="C541" t="s">
        <v>1510</v>
      </c>
      <c r="D541" t="s">
        <v>285</v>
      </c>
      <c r="E541" t="s">
        <v>285</v>
      </c>
      <c r="F541" t="s">
        <v>285</v>
      </c>
      <c r="G541" t="s">
        <v>285</v>
      </c>
      <c r="H541" t="s">
        <v>2620</v>
      </c>
      <c r="I541" t="s">
        <v>100</v>
      </c>
      <c r="J541" t="s">
        <v>1542</v>
      </c>
      <c r="K541" t="s">
        <v>801</v>
      </c>
      <c r="L541" t="s">
        <v>1680</v>
      </c>
      <c r="M541" t="s">
        <v>3167</v>
      </c>
      <c r="N541" t="s">
        <v>1527</v>
      </c>
      <c r="O541" t="s">
        <v>1654</v>
      </c>
    </row>
    <row r="542" spans="1:15" x14ac:dyDescent="0.25">
      <c r="A542" t="s">
        <v>1483</v>
      </c>
      <c r="B542" t="s">
        <v>2858</v>
      </c>
      <c r="C542" t="s">
        <v>2441</v>
      </c>
      <c r="D542" t="s">
        <v>285</v>
      </c>
      <c r="E542" t="s">
        <v>285</v>
      </c>
      <c r="F542" t="s">
        <v>285</v>
      </c>
      <c r="G542" t="s">
        <v>285</v>
      </c>
      <c r="H542" t="s">
        <v>2230</v>
      </c>
      <c r="I542" t="s">
        <v>172</v>
      </c>
      <c r="J542" t="s">
        <v>2859</v>
      </c>
      <c r="K542" s="138" t="s">
        <v>89</v>
      </c>
      <c r="L542" t="s">
        <v>1483</v>
      </c>
      <c r="M542" t="s">
        <v>3167</v>
      </c>
      <c r="N542" t="s">
        <v>121</v>
      </c>
      <c r="O542" t="s">
        <v>789</v>
      </c>
    </row>
    <row r="543" spans="1:15" x14ac:dyDescent="0.25">
      <c r="A543" t="s">
        <v>430</v>
      </c>
      <c r="B543" t="s">
        <v>2860</v>
      </c>
      <c r="C543" t="s">
        <v>1509</v>
      </c>
      <c r="D543" t="s">
        <v>285</v>
      </c>
      <c r="E543" t="s">
        <v>284</v>
      </c>
      <c r="F543" t="s">
        <v>285</v>
      </c>
      <c r="G543" t="s">
        <v>285</v>
      </c>
      <c r="H543" t="s">
        <v>5</v>
      </c>
      <c r="I543" t="s">
        <v>172</v>
      </c>
      <c r="J543" t="s">
        <v>2861</v>
      </c>
      <c r="K543" t="s">
        <v>839</v>
      </c>
      <c r="L543" t="s">
        <v>430</v>
      </c>
      <c r="M543" t="s">
        <v>3168</v>
      </c>
      <c r="N543" t="s">
        <v>1527</v>
      </c>
      <c r="O543" t="s">
        <v>1654</v>
      </c>
    </row>
    <row r="544" spans="1:15" x14ac:dyDescent="0.25">
      <c r="A544" t="s">
        <v>891</v>
      </c>
      <c r="B544" t="s">
        <v>2862</v>
      </c>
      <c r="C544" t="s">
        <v>1510</v>
      </c>
      <c r="D544" t="s">
        <v>285</v>
      </c>
      <c r="E544" t="s">
        <v>285</v>
      </c>
      <c r="F544" t="s">
        <v>285</v>
      </c>
      <c r="G544" t="s">
        <v>285</v>
      </c>
      <c r="H544" t="s">
        <v>1408</v>
      </c>
      <c r="I544" t="s">
        <v>172</v>
      </c>
      <c r="J544" t="s">
        <v>2863</v>
      </c>
      <c r="K544" t="s">
        <v>89</v>
      </c>
      <c r="L544" t="s">
        <v>891</v>
      </c>
      <c r="M544" t="s">
        <v>3168</v>
      </c>
      <c r="N544" t="s">
        <v>1527</v>
      </c>
      <c r="O544" t="s">
        <v>1654</v>
      </c>
    </row>
    <row r="545" spans="1:15" x14ac:dyDescent="0.25">
      <c r="A545" t="s">
        <v>1485</v>
      </c>
      <c r="B545" t="s">
        <v>2864</v>
      </c>
      <c r="C545" t="s">
        <v>1539</v>
      </c>
      <c r="D545" t="s">
        <v>285</v>
      </c>
      <c r="E545" t="s">
        <v>285</v>
      </c>
      <c r="F545" t="s">
        <v>285</v>
      </c>
      <c r="G545" t="s">
        <v>284</v>
      </c>
      <c r="H545" t="s">
        <v>5</v>
      </c>
      <c r="I545" t="s">
        <v>172</v>
      </c>
      <c r="J545" t="s">
        <v>2295</v>
      </c>
      <c r="K545" s="138" t="s">
        <v>841</v>
      </c>
      <c r="L545" t="s">
        <v>1485</v>
      </c>
      <c r="M545" t="s">
        <v>3168</v>
      </c>
      <c r="N545" t="s">
        <v>121</v>
      </c>
      <c r="O545" t="s">
        <v>789</v>
      </c>
    </row>
    <row r="546" spans="1:15" x14ac:dyDescent="0.25">
      <c r="A546" t="s">
        <v>1613</v>
      </c>
      <c r="B546" t="s">
        <v>2865</v>
      </c>
      <c r="C546" t="s">
        <v>1214</v>
      </c>
      <c r="D546" t="s">
        <v>285</v>
      </c>
      <c r="E546" t="s">
        <v>284</v>
      </c>
      <c r="F546" t="s">
        <v>285</v>
      </c>
      <c r="G546" t="s">
        <v>284</v>
      </c>
      <c r="H546" t="s">
        <v>5</v>
      </c>
      <c r="I546" t="s">
        <v>172</v>
      </c>
      <c r="J546" t="s">
        <v>1214</v>
      </c>
      <c r="K546" t="s">
        <v>101</v>
      </c>
      <c r="L546" t="s">
        <v>1613</v>
      </c>
      <c r="M546" t="s">
        <v>3167</v>
      </c>
      <c r="N546" t="s">
        <v>121</v>
      </c>
      <c r="O546" t="s">
        <v>1654</v>
      </c>
    </row>
    <row r="547" spans="1:15" x14ac:dyDescent="0.25">
      <c r="A547" t="s">
        <v>1432</v>
      </c>
      <c r="B547" t="s">
        <v>2866</v>
      </c>
      <c r="C547" t="s">
        <v>2253</v>
      </c>
      <c r="D547" t="s">
        <v>285</v>
      </c>
      <c r="E547" t="s">
        <v>285</v>
      </c>
      <c r="F547" t="s">
        <v>285</v>
      </c>
      <c r="G547" t="s">
        <v>285</v>
      </c>
      <c r="H547" t="s">
        <v>2230</v>
      </c>
      <c r="I547" t="s">
        <v>172</v>
      </c>
      <c r="J547" t="s">
        <v>769</v>
      </c>
      <c r="K547" t="s">
        <v>769</v>
      </c>
      <c r="L547" t="s">
        <v>1432</v>
      </c>
      <c r="M547" t="s">
        <v>3167</v>
      </c>
      <c r="N547" t="s">
        <v>3172</v>
      </c>
      <c r="O547" t="s">
        <v>789</v>
      </c>
    </row>
    <row r="548" spans="1:15" x14ac:dyDescent="0.25">
      <c r="A548" t="s">
        <v>635</v>
      </c>
      <c r="B548" t="s">
        <v>2867</v>
      </c>
      <c r="C548" t="s">
        <v>2227</v>
      </c>
      <c r="D548" t="s">
        <v>284</v>
      </c>
      <c r="E548" t="s">
        <v>284</v>
      </c>
      <c r="F548" t="s">
        <v>285</v>
      </c>
      <c r="G548" t="s">
        <v>285</v>
      </c>
      <c r="H548" t="s">
        <v>5</v>
      </c>
      <c r="I548" t="s">
        <v>172</v>
      </c>
      <c r="J548" t="s">
        <v>788</v>
      </c>
      <c r="K548" t="s">
        <v>788</v>
      </c>
      <c r="L548" t="s">
        <v>635</v>
      </c>
      <c r="M548" t="s">
        <v>3167</v>
      </c>
      <c r="N548" t="s">
        <v>802</v>
      </c>
      <c r="O548" t="s">
        <v>1654</v>
      </c>
    </row>
    <row r="549" spans="1:15" x14ac:dyDescent="0.25">
      <c r="A549" t="s">
        <v>431</v>
      </c>
      <c r="B549" t="s">
        <v>2868</v>
      </c>
      <c r="C549" t="s">
        <v>1509</v>
      </c>
      <c r="D549" t="s">
        <v>285</v>
      </c>
      <c r="E549" t="s">
        <v>284</v>
      </c>
      <c r="F549" t="s">
        <v>285</v>
      </c>
      <c r="G549" t="s">
        <v>284</v>
      </c>
      <c r="H549" t="s">
        <v>5</v>
      </c>
      <c r="I549" t="s">
        <v>172</v>
      </c>
      <c r="J549" t="s">
        <v>1509</v>
      </c>
      <c r="K549" t="s">
        <v>839</v>
      </c>
      <c r="L549" t="s">
        <v>431</v>
      </c>
      <c r="M549" t="s">
        <v>3168</v>
      </c>
      <c r="N549" t="s">
        <v>1527</v>
      </c>
      <c r="O549" t="s">
        <v>789</v>
      </c>
    </row>
    <row r="550" spans="1:15" x14ac:dyDescent="0.25">
      <c r="A550" t="s">
        <v>698</v>
      </c>
      <c r="B550" t="s">
        <v>2869</v>
      </c>
      <c r="C550" t="s">
        <v>2248</v>
      </c>
      <c r="D550" t="s">
        <v>285</v>
      </c>
      <c r="E550" t="s">
        <v>284</v>
      </c>
      <c r="F550" t="s">
        <v>285</v>
      </c>
      <c r="G550" t="s">
        <v>285</v>
      </c>
      <c r="H550" t="s">
        <v>2230</v>
      </c>
      <c r="I550" t="s">
        <v>172</v>
      </c>
      <c r="J550" t="s">
        <v>1521</v>
      </c>
      <c r="K550" t="s">
        <v>101</v>
      </c>
      <c r="L550" t="s">
        <v>698</v>
      </c>
      <c r="M550" t="s">
        <v>3168</v>
      </c>
      <c r="N550" t="s">
        <v>121</v>
      </c>
      <c r="O550" t="s">
        <v>789</v>
      </c>
    </row>
    <row r="551" spans="1:15" x14ac:dyDescent="0.25">
      <c r="A551" t="s">
        <v>432</v>
      </c>
      <c r="B551" t="s">
        <v>2870</v>
      </c>
      <c r="C551" t="s">
        <v>2871</v>
      </c>
      <c r="D551" t="s">
        <v>285</v>
      </c>
      <c r="E551" t="s">
        <v>285</v>
      </c>
      <c r="F551" t="s">
        <v>285</v>
      </c>
      <c r="G551" t="s">
        <v>284</v>
      </c>
      <c r="H551" t="s">
        <v>5</v>
      </c>
      <c r="I551" t="s">
        <v>172</v>
      </c>
      <c r="J551" t="s">
        <v>780</v>
      </c>
      <c r="K551" t="s">
        <v>780</v>
      </c>
      <c r="L551" t="s">
        <v>432</v>
      </c>
      <c r="M551" t="s">
        <v>3167</v>
      </c>
      <c r="N551" t="s">
        <v>3172</v>
      </c>
      <c r="O551" t="s">
        <v>1654</v>
      </c>
    </row>
    <row r="552" spans="1:15" x14ac:dyDescent="0.25">
      <c r="A552" t="s">
        <v>1436</v>
      </c>
      <c r="B552" t="s">
        <v>2872</v>
      </c>
      <c r="C552" t="s">
        <v>2581</v>
      </c>
      <c r="D552" t="s">
        <v>285</v>
      </c>
      <c r="E552" t="s">
        <v>285</v>
      </c>
      <c r="F552" t="s">
        <v>285</v>
      </c>
      <c r="G552" t="s">
        <v>284</v>
      </c>
      <c r="H552" t="s">
        <v>5</v>
      </c>
      <c r="I552" t="s">
        <v>172</v>
      </c>
      <c r="J552" t="s">
        <v>780</v>
      </c>
      <c r="K552" t="s">
        <v>780</v>
      </c>
      <c r="L552" t="s">
        <v>1436</v>
      </c>
      <c r="M552" t="s">
        <v>3168</v>
      </c>
      <c r="N552" t="s">
        <v>3172</v>
      </c>
      <c r="O552" t="s">
        <v>1654</v>
      </c>
    </row>
    <row r="553" spans="1:15" x14ac:dyDescent="0.25">
      <c r="A553" t="s">
        <v>532</v>
      </c>
      <c r="B553" t="s">
        <v>2873</v>
      </c>
      <c r="C553" t="s">
        <v>2335</v>
      </c>
      <c r="D553" t="s">
        <v>285</v>
      </c>
      <c r="E553" t="s">
        <v>284</v>
      </c>
      <c r="F553" t="s">
        <v>285</v>
      </c>
      <c r="G553" t="s">
        <v>284</v>
      </c>
      <c r="H553" t="s">
        <v>5</v>
      </c>
      <c r="I553" t="s">
        <v>172</v>
      </c>
      <c r="J553" t="s">
        <v>2336</v>
      </c>
      <c r="K553" t="s">
        <v>101</v>
      </c>
      <c r="L553" t="s">
        <v>532</v>
      </c>
      <c r="M553" t="s">
        <v>3167</v>
      </c>
      <c r="N553" t="s">
        <v>121</v>
      </c>
      <c r="O553" t="s">
        <v>1654</v>
      </c>
    </row>
    <row r="554" spans="1:15" x14ac:dyDescent="0.25">
      <c r="A554" t="s">
        <v>433</v>
      </c>
      <c r="B554" t="s">
        <v>2874</v>
      </c>
      <c r="C554" t="s">
        <v>1523</v>
      </c>
      <c r="D554" t="s">
        <v>284</v>
      </c>
      <c r="E554" t="s">
        <v>284</v>
      </c>
      <c r="F554" t="s">
        <v>285</v>
      </c>
      <c r="G554" t="s">
        <v>285</v>
      </c>
      <c r="H554" t="s">
        <v>5</v>
      </c>
      <c r="I554" t="s">
        <v>172</v>
      </c>
      <c r="J554" t="s">
        <v>2295</v>
      </c>
      <c r="K554" t="s">
        <v>98</v>
      </c>
      <c r="L554" t="s">
        <v>433</v>
      </c>
      <c r="M554" t="s">
        <v>3168</v>
      </c>
      <c r="N554" t="s">
        <v>802</v>
      </c>
      <c r="O554" t="s">
        <v>1654</v>
      </c>
    </row>
    <row r="555" spans="1:15" x14ac:dyDescent="0.25">
      <c r="A555" t="s">
        <v>434</v>
      </c>
      <c r="B555" t="s">
        <v>2875</v>
      </c>
      <c r="C555" t="s">
        <v>1505</v>
      </c>
      <c r="D555" t="s">
        <v>284</v>
      </c>
      <c r="E555" t="s">
        <v>285</v>
      </c>
      <c r="F555" t="s">
        <v>285</v>
      </c>
      <c r="G555" t="s">
        <v>285</v>
      </c>
      <c r="H555" t="s">
        <v>5</v>
      </c>
      <c r="I555" t="s">
        <v>172</v>
      </c>
      <c r="J555" t="s">
        <v>2743</v>
      </c>
      <c r="K555" t="s">
        <v>1616</v>
      </c>
      <c r="L555" t="s">
        <v>434</v>
      </c>
      <c r="M555" t="s">
        <v>3168</v>
      </c>
      <c r="N555" t="s">
        <v>3172</v>
      </c>
      <c r="O555" t="s">
        <v>1654</v>
      </c>
    </row>
    <row r="556" spans="1:15" x14ac:dyDescent="0.25">
      <c r="A556" t="s">
        <v>987</v>
      </c>
      <c r="B556" t="s">
        <v>2876</v>
      </c>
      <c r="C556" t="s">
        <v>1510</v>
      </c>
      <c r="D556" t="s">
        <v>285</v>
      </c>
      <c r="E556" t="s">
        <v>285</v>
      </c>
      <c r="F556" t="s">
        <v>285</v>
      </c>
      <c r="G556" t="s">
        <v>285</v>
      </c>
      <c r="H556" t="s">
        <v>1408</v>
      </c>
      <c r="I556" t="s">
        <v>168</v>
      </c>
      <c r="J556" t="s">
        <v>809</v>
      </c>
      <c r="K556" t="s">
        <v>800</v>
      </c>
      <c r="L556" t="s">
        <v>987</v>
      </c>
      <c r="M556" t="s">
        <v>1527</v>
      </c>
      <c r="N556" t="s">
        <v>3172</v>
      </c>
      <c r="O556" t="s">
        <v>1654</v>
      </c>
    </row>
    <row r="557" spans="1:15" x14ac:dyDescent="0.25">
      <c r="A557" t="s">
        <v>435</v>
      </c>
      <c r="B557" t="s">
        <v>2877</v>
      </c>
      <c r="C557" t="s">
        <v>1534</v>
      </c>
      <c r="D557" t="s">
        <v>284</v>
      </c>
      <c r="E557" t="s">
        <v>285</v>
      </c>
      <c r="F557" t="s">
        <v>285</v>
      </c>
      <c r="G557" t="s">
        <v>285</v>
      </c>
      <c r="H557" t="s">
        <v>5</v>
      </c>
      <c r="I557" t="s">
        <v>172</v>
      </c>
      <c r="J557" t="s">
        <v>800</v>
      </c>
      <c r="K557" t="s">
        <v>800</v>
      </c>
      <c r="L557" t="s">
        <v>435</v>
      </c>
      <c r="M557" t="s">
        <v>3167</v>
      </c>
      <c r="N557" t="s">
        <v>121</v>
      </c>
      <c r="O557" t="s">
        <v>1654</v>
      </c>
    </row>
    <row r="558" spans="1:15" x14ac:dyDescent="0.25">
      <c r="A558" t="s">
        <v>586</v>
      </c>
      <c r="B558" t="s">
        <v>2878</v>
      </c>
      <c r="C558" t="s">
        <v>1510</v>
      </c>
      <c r="D558" t="s">
        <v>285</v>
      </c>
      <c r="E558" t="s">
        <v>285</v>
      </c>
      <c r="F558" t="s">
        <v>285</v>
      </c>
      <c r="G558" t="s">
        <v>285</v>
      </c>
      <c r="H558" t="s">
        <v>1408</v>
      </c>
      <c r="I558" t="s">
        <v>168</v>
      </c>
      <c r="J558" t="s">
        <v>798</v>
      </c>
      <c r="K558" t="s">
        <v>800</v>
      </c>
      <c r="L558" t="s">
        <v>586</v>
      </c>
      <c r="M558" t="s">
        <v>1527</v>
      </c>
      <c r="N558" t="s">
        <v>1527</v>
      </c>
      <c r="O558" t="s">
        <v>1654</v>
      </c>
    </row>
    <row r="559" spans="1:15" x14ac:dyDescent="0.25">
      <c r="A559" t="s">
        <v>1289</v>
      </c>
      <c r="B559" t="s">
        <v>2879</v>
      </c>
      <c r="C559" t="s">
        <v>1510</v>
      </c>
      <c r="D559" t="s">
        <v>285</v>
      </c>
      <c r="E559" t="s">
        <v>285</v>
      </c>
      <c r="F559" t="s">
        <v>285</v>
      </c>
      <c r="G559" t="s">
        <v>285</v>
      </c>
      <c r="H559" t="s">
        <v>2665</v>
      </c>
      <c r="I559" t="s">
        <v>168</v>
      </c>
      <c r="J559" t="s">
        <v>168</v>
      </c>
      <c r="K559" t="s">
        <v>800</v>
      </c>
      <c r="L559" t="s">
        <v>1289</v>
      </c>
      <c r="M559" t="s">
        <v>1527</v>
      </c>
      <c r="N559" t="s">
        <v>1527</v>
      </c>
      <c r="O559" t="s">
        <v>1654</v>
      </c>
    </row>
    <row r="560" spans="1:15" x14ac:dyDescent="0.25">
      <c r="A560" t="s">
        <v>548</v>
      </c>
      <c r="B560" t="s">
        <v>2880</v>
      </c>
      <c r="C560" t="s">
        <v>1516</v>
      </c>
      <c r="D560" t="s">
        <v>285</v>
      </c>
      <c r="E560" t="s">
        <v>284</v>
      </c>
      <c r="F560" t="s">
        <v>285</v>
      </c>
      <c r="G560" t="s">
        <v>284</v>
      </c>
      <c r="H560" t="s">
        <v>5</v>
      </c>
      <c r="I560" t="s">
        <v>172</v>
      </c>
      <c r="J560" t="s">
        <v>1407</v>
      </c>
      <c r="K560" t="s">
        <v>1616</v>
      </c>
      <c r="L560" t="s">
        <v>548</v>
      </c>
      <c r="M560" t="s">
        <v>3168</v>
      </c>
      <c r="N560" t="s">
        <v>802</v>
      </c>
      <c r="O560" t="s">
        <v>1654</v>
      </c>
    </row>
    <row r="561" spans="1:15" x14ac:dyDescent="0.25">
      <c r="A561" t="s">
        <v>590</v>
      </c>
      <c r="B561" t="s">
        <v>2881</v>
      </c>
      <c r="C561" t="s">
        <v>1510</v>
      </c>
      <c r="D561" t="s">
        <v>285</v>
      </c>
      <c r="E561" t="s">
        <v>285</v>
      </c>
      <c r="F561" t="s">
        <v>285</v>
      </c>
      <c r="G561" t="s">
        <v>285</v>
      </c>
      <c r="H561" t="s">
        <v>2665</v>
      </c>
      <c r="I561" t="s">
        <v>172</v>
      </c>
      <c r="J561" t="s">
        <v>1407</v>
      </c>
      <c r="K561" t="s">
        <v>1616</v>
      </c>
      <c r="L561" t="s">
        <v>590</v>
      </c>
      <c r="M561" t="s">
        <v>3168</v>
      </c>
      <c r="N561" t="s">
        <v>1527</v>
      </c>
      <c r="O561" t="s">
        <v>1654</v>
      </c>
    </row>
    <row r="562" spans="1:15" x14ac:dyDescent="0.25">
      <c r="A562" t="s">
        <v>436</v>
      </c>
      <c r="B562" t="s">
        <v>2882</v>
      </c>
      <c r="C562" t="s">
        <v>2309</v>
      </c>
      <c r="D562" t="s">
        <v>285</v>
      </c>
      <c r="E562" t="s">
        <v>284</v>
      </c>
      <c r="F562" t="s">
        <v>285</v>
      </c>
      <c r="G562" t="s">
        <v>285</v>
      </c>
      <c r="H562" t="s">
        <v>5</v>
      </c>
      <c r="I562" t="s">
        <v>172</v>
      </c>
      <c r="J562" t="s">
        <v>2310</v>
      </c>
      <c r="K562" t="s">
        <v>840</v>
      </c>
      <c r="L562" t="s">
        <v>436</v>
      </c>
      <c r="M562" t="s">
        <v>3168</v>
      </c>
      <c r="N562" t="s">
        <v>1527</v>
      </c>
      <c r="O562" t="s">
        <v>789</v>
      </c>
    </row>
    <row r="563" spans="1:15" x14ac:dyDescent="0.25">
      <c r="A563" t="s">
        <v>940</v>
      </c>
      <c r="B563" t="s">
        <v>2883</v>
      </c>
      <c r="C563" t="s">
        <v>1510</v>
      </c>
      <c r="D563" t="s">
        <v>285</v>
      </c>
      <c r="E563" t="s">
        <v>285</v>
      </c>
      <c r="F563" t="s">
        <v>285</v>
      </c>
      <c r="G563" t="s">
        <v>285</v>
      </c>
      <c r="H563" t="s">
        <v>1408</v>
      </c>
      <c r="I563" t="s">
        <v>172</v>
      </c>
      <c r="J563" t="s">
        <v>2743</v>
      </c>
      <c r="K563" t="s">
        <v>1616</v>
      </c>
      <c r="L563" t="s">
        <v>940</v>
      </c>
      <c r="M563" t="s">
        <v>3168</v>
      </c>
      <c r="N563" t="s">
        <v>1527</v>
      </c>
      <c r="O563" t="s">
        <v>1654</v>
      </c>
    </row>
    <row r="564" spans="1:15" x14ac:dyDescent="0.25">
      <c r="A564" t="s">
        <v>554</v>
      </c>
      <c r="B564" t="s">
        <v>2884</v>
      </c>
      <c r="C564" t="s">
        <v>2871</v>
      </c>
      <c r="D564" t="s">
        <v>285</v>
      </c>
      <c r="E564" t="s">
        <v>285</v>
      </c>
      <c r="F564" t="s">
        <v>285</v>
      </c>
      <c r="G564" t="s">
        <v>284</v>
      </c>
      <c r="H564" t="s">
        <v>5</v>
      </c>
      <c r="I564" t="s">
        <v>172</v>
      </c>
      <c r="J564" t="s">
        <v>780</v>
      </c>
      <c r="K564" t="s">
        <v>780</v>
      </c>
      <c r="L564" t="s">
        <v>554</v>
      </c>
      <c r="M564" t="s">
        <v>3167</v>
      </c>
      <c r="N564" t="s">
        <v>3172</v>
      </c>
      <c r="O564" t="s">
        <v>1654</v>
      </c>
    </row>
    <row r="565" spans="1:15" x14ac:dyDescent="0.25">
      <c r="A565" t="s">
        <v>1695</v>
      </c>
      <c r="B565" t="s">
        <v>2885</v>
      </c>
      <c r="C565" t="s">
        <v>1510</v>
      </c>
      <c r="D565" t="s">
        <v>285</v>
      </c>
      <c r="E565" t="s">
        <v>285</v>
      </c>
      <c r="F565" t="s">
        <v>285</v>
      </c>
      <c r="G565" t="s">
        <v>285</v>
      </c>
      <c r="H565" t="s">
        <v>1408</v>
      </c>
      <c r="I565" t="s">
        <v>172</v>
      </c>
      <c r="J565" t="s">
        <v>1841</v>
      </c>
      <c r="K565" t="s">
        <v>101</v>
      </c>
      <c r="L565" t="s">
        <v>1695</v>
      </c>
      <c r="M565" t="s">
        <v>3167</v>
      </c>
      <c r="N565" t="s">
        <v>1527</v>
      </c>
      <c r="O565" t="s">
        <v>789</v>
      </c>
    </row>
    <row r="566" spans="1:15" x14ac:dyDescent="0.25">
      <c r="A566" t="s">
        <v>437</v>
      </c>
      <c r="B566" t="s">
        <v>2886</v>
      </c>
      <c r="C566" t="s">
        <v>1214</v>
      </c>
      <c r="D566" t="s">
        <v>285</v>
      </c>
      <c r="E566" t="s">
        <v>284</v>
      </c>
      <c r="F566" t="s">
        <v>285</v>
      </c>
      <c r="G566" t="s">
        <v>284</v>
      </c>
      <c r="H566" t="s">
        <v>5</v>
      </c>
      <c r="I566" t="s">
        <v>172</v>
      </c>
      <c r="J566" t="s">
        <v>2336</v>
      </c>
      <c r="K566" t="s">
        <v>101</v>
      </c>
      <c r="L566" t="s">
        <v>437</v>
      </c>
      <c r="M566" t="s">
        <v>3167</v>
      </c>
      <c r="N566" t="s">
        <v>121</v>
      </c>
      <c r="O566" t="s">
        <v>1654</v>
      </c>
    </row>
    <row r="567" spans="1:15" x14ac:dyDescent="0.25">
      <c r="A567" t="s">
        <v>519</v>
      </c>
      <c r="B567" t="s">
        <v>2887</v>
      </c>
      <c r="C567" t="s">
        <v>1544</v>
      </c>
      <c r="D567" t="s">
        <v>285</v>
      </c>
      <c r="E567" t="s">
        <v>284</v>
      </c>
      <c r="F567" t="s">
        <v>285</v>
      </c>
      <c r="G567" t="s">
        <v>284</v>
      </c>
      <c r="H567" t="s">
        <v>5</v>
      </c>
      <c r="I567" t="s">
        <v>172</v>
      </c>
      <c r="J567" t="s">
        <v>2295</v>
      </c>
      <c r="K567" t="s">
        <v>101</v>
      </c>
      <c r="L567" t="s">
        <v>519</v>
      </c>
      <c r="M567" t="s">
        <v>3168</v>
      </c>
      <c r="N567" t="s">
        <v>1527</v>
      </c>
      <c r="O567" t="s">
        <v>1654</v>
      </c>
    </row>
    <row r="568" spans="1:15" x14ac:dyDescent="0.25">
      <c r="A568" t="s">
        <v>959</v>
      </c>
      <c r="B568" t="s">
        <v>2888</v>
      </c>
      <c r="C568" t="s">
        <v>1518</v>
      </c>
      <c r="D568" t="s">
        <v>285</v>
      </c>
      <c r="E568" t="s">
        <v>284</v>
      </c>
      <c r="F568" t="s">
        <v>285</v>
      </c>
      <c r="G568" t="s">
        <v>284</v>
      </c>
      <c r="H568" t="s">
        <v>5</v>
      </c>
      <c r="I568" t="s">
        <v>172</v>
      </c>
      <c r="J568" t="s">
        <v>103</v>
      </c>
      <c r="K568" t="s">
        <v>101</v>
      </c>
      <c r="L568" t="s">
        <v>959</v>
      </c>
      <c r="M568" t="s">
        <v>3167</v>
      </c>
      <c r="N568" t="s">
        <v>121</v>
      </c>
      <c r="O568" t="s">
        <v>1654</v>
      </c>
    </row>
    <row r="569" spans="1:15" x14ac:dyDescent="0.25">
      <c r="A569" t="s">
        <v>609</v>
      </c>
      <c r="B569" t="s">
        <v>2889</v>
      </c>
      <c r="C569" t="s">
        <v>2493</v>
      </c>
      <c r="D569" t="s">
        <v>284</v>
      </c>
      <c r="E569" t="s">
        <v>285</v>
      </c>
      <c r="F569" t="s">
        <v>285</v>
      </c>
      <c r="G569" t="s">
        <v>285</v>
      </c>
      <c r="H569" t="s">
        <v>5</v>
      </c>
      <c r="I569" t="s">
        <v>172</v>
      </c>
      <c r="J569" t="s">
        <v>780</v>
      </c>
      <c r="K569" t="s">
        <v>780</v>
      </c>
      <c r="L569" t="s">
        <v>609</v>
      </c>
      <c r="M569" t="s">
        <v>3168</v>
      </c>
      <c r="N569" t="s">
        <v>3172</v>
      </c>
      <c r="O569" t="s">
        <v>1654</v>
      </c>
    </row>
    <row r="570" spans="1:15" x14ac:dyDescent="0.25">
      <c r="A570" t="s">
        <v>748</v>
      </c>
      <c r="B570" t="s">
        <v>2890</v>
      </c>
      <c r="C570" t="s">
        <v>2652</v>
      </c>
      <c r="D570" t="s">
        <v>285</v>
      </c>
      <c r="E570" t="s">
        <v>284</v>
      </c>
      <c r="F570" t="s">
        <v>285</v>
      </c>
      <c r="G570" t="s">
        <v>284</v>
      </c>
      <c r="H570" t="s">
        <v>5</v>
      </c>
      <c r="I570" t="s">
        <v>172</v>
      </c>
      <c r="J570" t="s">
        <v>2891</v>
      </c>
      <c r="K570" t="s">
        <v>101</v>
      </c>
      <c r="L570" t="s">
        <v>748</v>
      </c>
      <c r="M570" t="s">
        <v>3168</v>
      </c>
      <c r="N570" t="s">
        <v>802</v>
      </c>
      <c r="O570" t="s">
        <v>1654</v>
      </c>
    </row>
    <row r="571" spans="1:15" x14ac:dyDescent="0.25">
      <c r="A571" t="s">
        <v>438</v>
      </c>
      <c r="B571" t="s">
        <v>2892</v>
      </c>
      <c r="C571" t="s">
        <v>1509</v>
      </c>
      <c r="D571" t="s">
        <v>284</v>
      </c>
      <c r="E571" t="s">
        <v>285</v>
      </c>
      <c r="F571" t="s">
        <v>285</v>
      </c>
      <c r="G571" t="s">
        <v>285</v>
      </c>
      <c r="H571" t="s">
        <v>5</v>
      </c>
      <c r="I571" t="s">
        <v>172</v>
      </c>
      <c r="J571" t="s">
        <v>2861</v>
      </c>
      <c r="K571" t="s">
        <v>839</v>
      </c>
      <c r="L571" t="s">
        <v>438</v>
      </c>
      <c r="M571" t="s">
        <v>3168</v>
      </c>
      <c r="N571" t="s">
        <v>802</v>
      </c>
      <c r="O571" t="s">
        <v>789</v>
      </c>
    </row>
    <row r="572" spans="1:15" x14ac:dyDescent="0.25">
      <c r="A572" t="s">
        <v>439</v>
      </c>
      <c r="B572" t="s">
        <v>2893</v>
      </c>
      <c r="C572" t="s">
        <v>1517</v>
      </c>
      <c r="D572" t="s">
        <v>285</v>
      </c>
      <c r="E572" t="s">
        <v>284</v>
      </c>
      <c r="F572" t="s">
        <v>285</v>
      </c>
      <c r="G572" t="s">
        <v>284</v>
      </c>
      <c r="H572" t="s">
        <v>5</v>
      </c>
      <c r="I572" t="s">
        <v>172</v>
      </c>
      <c r="J572" t="s">
        <v>2863</v>
      </c>
      <c r="K572" t="s">
        <v>788</v>
      </c>
      <c r="L572" t="s">
        <v>439</v>
      </c>
      <c r="M572" t="s">
        <v>3168</v>
      </c>
      <c r="N572" t="s">
        <v>1527</v>
      </c>
      <c r="O572" t="s">
        <v>1654</v>
      </c>
    </row>
    <row r="573" spans="1:15" x14ac:dyDescent="0.25">
      <c r="A573" t="s">
        <v>602</v>
      </c>
      <c r="B573" t="s">
        <v>2894</v>
      </c>
      <c r="C573" t="s">
        <v>1548</v>
      </c>
      <c r="D573" t="s">
        <v>284</v>
      </c>
      <c r="E573" t="s">
        <v>285</v>
      </c>
      <c r="F573" t="s">
        <v>285</v>
      </c>
      <c r="G573" t="s">
        <v>285</v>
      </c>
      <c r="H573" t="s">
        <v>5</v>
      </c>
      <c r="I573" t="s">
        <v>172</v>
      </c>
      <c r="J573" t="s">
        <v>2295</v>
      </c>
      <c r="K573" t="s">
        <v>98</v>
      </c>
      <c r="L573" t="s">
        <v>602</v>
      </c>
      <c r="M573" t="s">
        <v>3168</v>
      </c>
      <c r="N573" t="s">
        <v>3172</v>
      </c>
      <c r="O573" t="s">
        <v>789</v>
      </c>
    </row>
    <row r="574" spans="1:15" x14ac:dyDescent="0.25">
      <c r="A574" t="s">
        <v>440</v>
      </c>
      <c r="B574" t="s">
        <v>2895</v>
      </c>
      <c r="C574" t="s">
        <v>1519</v>
      </c>
      <c r="D574" t="s">
        <v>284</v>
      </c>
      <c r="E574" t="s">
        <v>285</v>
      </c>
      <c r="F574" t="s">
        <v>285</v>
      </c>
      <c r="G574" t="s">
        <v>285</v>
      </c>
      <c r="H574" t="s">
        <v>5</v>
      </c>
      <c r="I574" t="s">
        <v>172</v>
      </c>
      <c r="J574" t="s">
        <v>2277</v>
      </c>
      <c r="K574" t="s">
        <v>800</v>
      </c>
      <c r="L574" t="s">
        <v>440</v>
      </c>
      <c r="M574" t="s">
        <v>3167</v>
      </c>
      <c r="N574" t="s">
        <v>121</v>
      </c>
      <c r="O574" t="s">
        <v>1654</v>
      </c>
    </row>
    <row r="575" spans="1:15" x14ac:dyDescent="0.25">
      <c r="A575" t="s">
        <v>686</v>
      </c>
      <c r="B575" t="s">
        <v>2896</v>
      </c>
      <c r="C575" t="s">
        <v>1549</v>
      </c>
      <c r="D575" t="s">
        <v>284</v>
      </c>
      <c r="E575" t="s">
        <v>284</v>
      </c>
      <c r="F575" t="s">
        <v>285</v>
      </c>
      <c r="G575" t="s">
        <v>285</v>
      </c>
      <c r="H575" t="s">
        <v>5</v>
      </c>
      <c r="I575" t="s">
        <v>172</v>
      </c>
      <c r="J575" t="s">
        <v>2897</v>
      </c>
      <c r="K575" t="s">
        <v>101</v>
      </c>
      <c r="L575" t="s">
        <v>686</v>
      </c>
      <c r="M575" t="s">
        <v>3168</v>
      </c>
      <c r="N575" t="s">
        <v>802</v>
      </c>
      <c r="O575" t="s">
        <v>1654</v>
      </c>
    </row>
    <row r="576" spans="1:15" x14ac:dyDescent="0.25">
      <c r="A576" t="s">
        <v>87</v>
      </c>
      <c r="B576" t="s">
        <v>2898</v>
      </c>
      <c r="C576" t="s">
        <v>1510</v>
      </c>
      <c r="D576" t="s">
        <v>285</v>
      </c>
      <c r="E576" t="s">
        <v>285</v>
      </c>
      <c r="F576" t="s">
        <v>285</v>
      </c>
      <c r="G576" t="s">
        <v>285</v>
      </c>
      <c r="H576" t="s">
        <v>2620</v>
      </c>
      <c r="I576" t="s">
        <v>100</v>
      </c>
      <c r="J576" t="s">
        <v>1542</v>
      </c>
      <c r="K576" t="s">
        <v>801</v>
      </c>
      <c r="L576" t="s">
        <v>87</v>
      </c>
      <c r="M576" t="s">
        <v>3167</v>
      </c>
      <c r="N576" t="s">
        <v>1527</v>
      </c>
      <c r="O576" t="s">
        <v>1654</v>
      </c>
    </row>
    <row r="577" spans="1:15" x14ac:dyDescent="0.25">
      <c r="A577" t="s">
        <v>1434</v>
      </c>
      <c r="B577" t="s">
        <v>2801</v>
      </c>
      <c r="C577" t="s">
        <v>2253</v>
      </c>
      <c r="D577" t="s">
        <v>285</v>
      </c>
      <c r="E577" t="s">
        <v>284</v>
      </c>
      <c r="F577" t="s">
        <v>285</v>
      </c>
      <c r="G577" t="s">
        <v>284</v>
      </c>
      <c r="H577" t="s">
        <v>5</v>
      </c>
      <c r="I577" t="s">
        <v>172</v>
      </c>
      <c r="J577" t="s">
        <v>769</v>
      </c>
      <c r="K577" t="s">
        <v>769</v>
      </c>
      <c r="L577" t="s">
        <v>1434</v>
      </c>
      <c r="M577" t="s">
        <v>3167</v>
      </c>
      <c r="N577" t="s">
        <v>121</v>
      </c>
      <c r="O577" t="s">
        <v>1654</v>
      </c>
    </row>
    <row r="578" spans="1:15" x14ac:dyDescent="0.25">
      <c r="A578" t="s">
        <v>976</v>
      </c>
      <c r="B578" t="s">
        <v>2483</v>
      </c>
      <c r="C578" t="s">
        <v>1511</v>
      </c>
      <c r="D578" t="s">
        <v>285</v>
      </c>
      <c r="E578" t="s">
        <v>284</v>
      </c>
      <c r="F578" t="s">
        <v>285</v>
      </c>
      <c r="G578" t="s">
        <v>284</v>
      </c>
      <c r="H578" t="s">
        <v>5</v>
      </c>
      <c r="I578" t="s">
        <v>172</v>
      </c>
      <c r="J578" t="s">
        <v>800</v>
      </c>
      <c r="K578" t="s">
        <v>800</v>
      </c>
      <c r="L578" t="s">
        <v>976</v>
      </c>
      <c r="M578" t="s">
        <v>3167</v>
      </c>
      <c r="N578" t="s">
        <v>121</v>
      </c>
      <c r="O578" t="s">
        <v>1654</v>
      </c>
    </row>
    <row r="579" spans="1:15" x14ac:dyDescent="0.25">
      <c r="A579" t="s">
        <v>517</v>
      </c>
      <c r="B579" t="s">
        <v>2899</v>
      </c>
      <c r="C579" t="s">
        <v>1505</v>
      </c>
      <c r="D579" t="s">
        <v>285</v>
      </c>
      <c r="E579" t="s">
        <v>285</v>
      </c>
      <c r="F579" t="s">
        <v>285</v>
      </c>
      <c r="G579" t="s">
        <v>284</v>
      </c>
      <c r="H579" t="s">
        <v>5</v>
      </c>
      <c r="I579" t="s">
        <v>172</v>
      </c>
      <c r="J579" t="s">
        <v>1407</v>
      </c>
      <c r="K579" t="s">
        <v>1616</v>
      </c>
      <c r="L579" t="s">
        <v>517</v>
      </c>
      <c r="M579" t="s">
        <v>3168</v>
      </c>
      <c r="N579" t="s">
        <v>121</v>
      </c>
      <c r="O579" t="s">
        <v>1654</v>
      </c>
    </row>
    <row r="580" spans="1:15" x14ac:dyDescent="0.25">
      <c r="A580" t="s">
        <v>524</v>
      </c>
      <c r="B580" t="s">
        <v>2900</v>
      </c>
      <c r="C580" t="s">
        <v>2648</v>
      </c>
      <c r="D580" t="s">
        <v>285</v>
      </c>
      <c r="E580" t="s">
        <v>284</v>
      </c>
      <c r="F580" t="s">
        <v>285</v>
      </c>
      <c r="G580" t="s">
        <v>284</v>
      </c>
      <c r="H580" t="s">
        <v>5</v>
      </c>
      <c r="I580" t="s">
        <v>172</v>
      </c>
      <c r="J580" t="s">
        <v>2295</v>
      </c>
      <c r="K580" t="s">
        <v>101</v>
      </c>
      <c r="L580" t="s">
        <v>524</v>
      </c>
      <c r="M580" t="s">
        <v>3168</v>
      </c>
      <c r="N580" t="s">
        <v>1527</v>
      </c>
      <c r="O580" t="s">
        <v>1654</v>
      </c>
    </row>
    <row r="581" spans="1:15" x14ac:dyDescent="0.25">
      <c r="A581" t="s">
        <v>1784</v>
      </c>
      <c r="B581" t="s">
        <v>2901</v>
      </c>
      <c r="C581" t="s">
        <v>1516</v>
      </c>
      <c r="D581" t="s">
        <v>285</v>
      </c>
      <c r="E581" t="s">
        <v>284</v>
      </c>
      <c r="F581" t="s">
        <v>285</v>
      </c>
      <c r="G581" t="s">
        <v>284</v>
      </c>
      <c r="H581" t="s">
        <v>5</v>
      </c>
      <c r="I581" t="s">
        <v>172</v>
      </c>
      <c r="J581" t="s">
        <v>1407</v>
      </c>
      <c r="K581" t="s">
        <v>1616</v>
      </c>
      <c r="L581" t="s">
        <v>1784</v>
      </c>
      <c r="M581" t="s">
        <v>3168</v>
      </c>
      <c r="N581" t="s">
        <v>1527</v>
      </c>
      <c r="O581" t="s">
        <v>1654</v>
      </c>
    </row>
    <row r="582" spans="1:15" x14ac:dyDescent="0.25">
      <c r="A582" t="s">
        <v>633</v>
      </c>
      <c r="B582" t="s">
        <v>2902</v>
      </c>
      <c r="C582" t="s">
        <v>2428</v>
      </c>
      <c r="D582" t="s">
        <v>284</v>
      </c>
      <c r="E582" t="s">
        <v>285</v>
      </c>
      <c r="F582" t="s">
        <v>285</v>
      </c>
      <c r="G582" t="s">
        <v>285</v>
      </c>
      <c r="H582" t="s">
        <v>5</v>
      </c>
      <c r="I582" t="s">
        <v>172</v>
      </c>
      <c r="J582" t="s">
        <v>780</v>
      </c>
      <c r="K582" t="s">
        <v>780</v>
      </c>
      <c r="L582" t="s">
        <v>633</v>
      </c>
      <c r="M582" t="s">
        <v>3168</v>
      </c>
      <c r="N582" t="s">
        <v>3172</v>
      </c>
      <c r="O582" t="s">
        <v>1654</v>
      </c>
    </row>
    <row r="583" spans="1:15" x14ac:dyDescent="0.25">
      <c r="A583" t="s">
        <v>771</v>
      </c>
      <c r="B583" t="s">
        <v>2903</v>
      </c>
      <c r="C583" t="s">
        <v>1510</v>
      </c>
      <c r="D583" t="s">
        <v>285</v>
      </c>
      <c r="E583" t="s">
        <v>285</v>
      </c>
      <c r="F583" t="s">
        <v>285</v>
      </c>
      <c r="G583" t="s">
        <v>285</v>
      </c>
      <c r="H583" t="s">
        <v>1408</v>
      </c>
      <c r="I583" t="s">
        <v>172</v>
      </c>
      <c r="J583" t="s">
        <v>769</v>
      </c>
      <c r="K583" t="s">
        <v>769</v>
      </c>
      <c r="L583" t="s">
        <v>771</v>
      </c>
      <c r="M583" t="s">
        <v>3167</v>
      </c>
      <c r="N583" t="s">
        <v>121</v>
      </c>
      <c r="O583" t="s">
        <v>1654</v>
      </c>
    </row>
    <row r="584" spans="1:15" x14ac:dyDescent="0.25">
      <c r="A584" t="s">
        <v>1502</v>
      </c>
      <c r="B584" t="s">
        <v>2904</v>
      </c>
      <c r="C584" t="s">
        <v>1510</v>
      </c>
      <c r="D584" t="s">
        <v>285</v>
      </c>
      <c r="E584" t="s">
        <v>285</v>
      </c>
      <c r="F584" t="s">
        <v>285</v>
      </c>
      <c r="G584" t="s">
        <v>285</v>
      </c>
      <c r="H584" t="s">
        <v>1408</v>
      </c>
      <c r="I584" t="s">
        <v>172</v>
      </c>
      <c r="J584" t="s">
        <v>788</v>
      </c>
      <c r="K584" t="s">
        <v>788</v>
      </c>
      <c r="L584" t="s">
        <v>1502</v>
      </c>
      <c r="M584" t="s">
        <v>3167</v>
      </c>
      <c r="N584" t="s">
        <v>121</v>
      </c>
      <c r="O584" t="s">
        <v>789</v>
      </c>
    </row>
    <row r="585" spans="1:15" x14ac:dyDescent="0.25">
      <c r="A585" t="s">
        <v>1242</v>
      </c>
      <c r="B585" t="s">
        <v>2905</v>
      </c>
      <c r="C585" t="s">
        <v>1510</v>
      </c>
      <c r="D585" t="s">
        <v>285</v>
      </c>
      <c r="E585" t="s">
        <v>285</v>
      </c>
      <c r="F585" t="s">
        <v>285</v>
      </c>
      <c r="G585" t="s">
        <v>285</v>
      </c>
      <c r="H585" t="s">
        <v>1408</v>
      </c>
      <c r="I585" t="s">
        <v>172</v>
      </c>
      <c r="J585" t="s">
        <v>89</v>
      </c>
      <c r="K585" t="s">
        <v>89</v>
      </c>
      <c r="L585" t="s">
        <v>1242</v>
      </c>
      <c r="M585" t="s">
        <v>3168</v>
      </c>
      <c r="N585" t="s">
        <v>3172</v>
      </c>
      <c r="O585" t="s">
        <v>1654</v>
      </c>
    </row>
    <row r="586" spans="1:15" x14ac:dyDescent="0.25">
      <c r="A586" t="s">
        <v>442</v>
      </c>
      <c r="B586" t="s">
        <v>2906</v>
      </c>
      <c r="C586" t="s">
        <v>1510</v>
      </c>
      <c r="D586" t="s">
        <v>285</v>
      </c>
      <c r="E586" t="s">
        <v>285</v>
      </c>
      <c r="F586" t="s">
        <v>285</v>
      </c>
      <c r="G586" t="s">
        <v>285</v>
      </c>
      <c r="H586" t="s">
        <v>1408</v>
      </c>
      <c r="I586" t="s">
        <v>168</v>
      </c>
      <c r="J586" t="s">
        <v>2907</v>
      </c>
      <c r="K586" t="s">
        <v>800</v>
      </c>
      <c r="L586" t="s">
        <v>442</v>
      </c>
      <c r="M586" t="s">
        <v>3167</v>
      </c>
      <c r="N586" t="s">
        <v>1527</v>
      </c>
      <c r="O586" t="s">
        <v>1654</v>
      </c>
    </row>
    <row r="587" spans="1:15" x14ac:dyDescent="0.25">
      <c r="A587" t="s">
        <v>443</v>
      </c>
      <c r="B587" t="s">
        <v>2908</v>
      </c>
      <c r="C587" t="s">
        <v>2253</v>
      </c>
      <c r="D587" t="s">
        <v>284</v>
      </c>
      <c r="E587" t="s">
        <v>285</v>
      </c>
      <c r="F587" t="s">
        <v>285</v>
      </c>
      <c r="G587" t="s">
        <v>285</v>
      </c>
      <c r="H587" t="s">
        <v>5</v>
      </c>
      <c r="I587" t="s">
        <v>172</v>
      </c>
      <c r="J587" t="s">
        <v>769</v>
      </c>
      <c r="K587" t="s">
        <v>769</v>
      </c>
      <c r="L587" t="s">
        <v>443</v>
      </c>
      <c r="M587" t="s">
        <v>3167</v>
      </c>
      <c r="N587" t="s">
        <v>121</v>
      </c>
      <c r="O587" t="s">
        <v>1654</v>
      </c>
    </row>
    <row r="588" spans="1:15" x14ac:dyDescent="0.25">
      <c r="A588" t="s">
        <v>1224</v>
      </c>
      <c r="B588" t="s">
        <v>2909</v>
      </c>
      <c r="C588" t="s">
        <v>1214</v>
      </c>
      <c r="D588" t="s">
        <v>285</v>
      </c>
      <c r="E588" t="s">
        <v>284</v>
      </c>
      <c r="F588" t="s">
        <v>285</v>
      </c>
      <c r="G588" t="s">
        <v>284</v>
      </c>
      <c r="H588" t="s">
        <v>5</v>
      </c>
      <c r="I588" t="s">
        <v>172</v>
      </c>
      <c r="J588" t="s">
        <v>1214</v>
      </c>
      <c r="K588" t="s">
        <v>101</v>
      </c>
      <c r="L588" t="s">
        <v>1224</v>
      </c>
      <c r="M588" t="s">
        <v>3168</v>
      </c>
      <c r="N588" t="s">
        <v>1527</v>
      </c>
      <c r="O588" t="s">
        <v>1654</v>
      </c>
    </row>
    <row r="589" spans="1:15" x14ac:dyDescent="0.25">
      <c r="A589" t="s">
        <v>444</v>
      </c>
      <c r="B589" t="s">
        <v>2910</v>
      </c>
      <c r="C589" t="s">
        <v>1544</v>
      </c>
      <c r="D589" t="s">
        <v>285</v>
      </c>
      <c r="E589" t="s">
        <v>284</v>
      </c>
      <c r="F589" t="s">
        <v>285</v>
      </c>
      <c r="G589" t="s">
        <v>284</v>
      </c>
      <c r="H589" t="s">
        <v>5</v>
      </c>
      <c r="I589" t="s">
        <v>172</v>
      </c>
      <c r="J589" t="s">
        <v>2911</v>
      </c>
      <c r="K589" t="s">
        <v>101</v>
      </c>
      <c r="L589" t="s">
        <v>444</v>
      </c>
      <c r="M589" t="s">
        <v>3168</v>
      </c>
      <c r="N589" t="s">
        <v>1527</v>
      </c>
      <c r="O589" t="s">
        <v>1654</v>
      </c>
    </row>
    <row r="590" spans="1:15" x14ac:dyDescent="0.25">
      <c r="A590" t="s">
        <v>719</v>
      </c>
      <c r="B590" t="s">
        <v>2912</v>
      </c>
      <c r="C590" t="s">
        <v>2294</v>
      </c>
      <c r="D590" t="s">
        <v>285</v>
      </c>
      <c r="E590" t="s">
        <v>285</v>
      </c>
      <c r="F590" t="s">
        <v>285</v>
      </c>
      <c r="G590" t="s">
        <v>284</v>
      </c>
      <c r="H590" t="s">
        <v>5</v>
      </c>
      <c r="I590" t="s">
        <v>172</v>
      </c>
      <c r="J590" t="s">
        <v>2614</v>
      </c>
      <c r="K590" t="s">
        <v>101</v>
      </c>
      <c r="L590" t="s">
        <v>719</v>
      </c>
      <c r="M590" t="s">
        <v>3167</v>
      </c>
      <c r="N590" t="s">
        <v>121</v>
      </c>
      <c r="O590" t="s">
        <v>1654</v>
      </c>
    </row>
    <row r="591" spans="1:15" x14ac:dyDescent="0.25">
      <c r="A591" t="s">
        <v>140</v>
      </c>
      <c r="B591" t="s">
        <v>2913</v>
      </c>
      <c r="C591" t="s">
        <v>2402</v>
      </c>
      <c r="D591" t="s">
        <v>284</v>
      </c>
      <c r="E591" t="s">
        <v>284</v>
      </c>
      <c r="F591" t="s">
        <v>285</v>
      </c>
      <c r="G591" t="s">
        <v>285</v>
      </c>
      <c r="H591" t="s">
        <v>5</v>
      </c>
      <c r="I591" t="s">
        <v>172</v>
      </c>
      <c r="J591" t="s">
        <v>2225</v>
      </c>
      <c r="K591" t="s">
        <v>800</v>
      </c>
      <c r="L591" t="s">
        <v>140</v>
      </c>
      <c r="M591" t="s">
        <v>3168</v>
      </c>
      <c r="N591" t="s">
        <v>121</v>
      </c>
      <c r="O591" t="s">
        <v>1654</v>
      </c>
    </row>
    <row r="592" spans="1:15" x14ac:dyDescent="0.25">
      <c r="A592" t="s">
        <v>1223</v>
      </c>
      <c r="B592" t="s">
        <v>2914</v>
      </c>
      <c r="C592" t="s">
        <v>1214</v>
      </c>
      <c r="D592" t="s">
        <v>285</v>
      </c>
      <c r="E592" t="s">
        <v>284</v>
      </c>
      <c r="F592" t="s">
        <v>285</v>
      </c>
      <c r="G592" t="s">
        <v>284</v>
      </c>
      <c r="H592" t="s">
        <v>5</v>
      </c>
      <c r="I592" t="s">
        <v>172</v>
      </c>
      <c r="J592" t="s">
        <v>1214</v>
      </c>
      <c r="K592" t="s">
        <v>101</v>
      </c>
      <c r="L592" t="s">
        <v>1223</v>
      </c>
      <c r="M592" t="s">
        <v>3168</v>
      </c>
      <c r="N592" t="s">
        <v>121</v>
      </c>
      <c r="O592" t="s">
        <v>1654</v>
      </c>
    </row>
    <row r="593" spans="1:15" x14ac:dyDescent="0.25">
      <c r="A593" t="s">
        <v>1315</v>
      </c>
      <c r="B593" t="s">
        <v>2915</v>
      </c>
      <c r="C593" t="s">
        <v>1510</v>
      </c>
      <c r="D593" t="s">
        <v>285</v>
      </c>
      <c r="E593" t="s">
        <v>285</v>
      </c>
      <c r="F593" t="s">
        <v>285</v>
      </c>
      <c r="G593" t="s">
        <v>285</v>
      </c>
      <c r="H593" t="s">
        <v>1408</v>
      </c>
      <c r="I593" t="s">
        <v>172</v>
      </c>
      <c r="J593" t="s">
        <v>2178</v>
      </c>
      <c r="K593" t="s">
        <v>800</v>
      </c>
      <c r="L593" t="s">
        <v>1315</v>
      </c>
      <c r="M593" t="s">
        <v>3167</v>
      </c>
      <c r="N593" t="s">
        <v>121</v>
      </c>
      <c r="O593" t="s">
        <v>1654</v>
      </c>
    </row>
    <row r="594" spans="1:15" x14ac:dyDescent="0.25">
      <c r="A594" t="s">
        <v>1455</v>
      </c>
      <c r="B594" t="s">
        <v>2916</v>
      </c>
      <c r="C594" t="s">
        <v>2450</v>
      </c>
      <c r="D594" t="s">
        <v>285</v>
      </c>
      <c r="E594" t="s">
        <v>284</v>
      </c>
      <c r="F594" t="s">
        <v>285</v>
      </c>
      <c r="G594" t="s">
        <v>284</v>
      </c>
      <c r="H594" t="s">
        <v>5</v>
      </c>
      <c r="I594" t="s">
        <v>172</v>
      </c>
      <c r="J594" t="s">
        <v>1778</v>
      </c>
      <c r="K594" t="s">
        <v>839</v>
      </c>
      <c r="L594" t="s">
        <v>1455</v>
      </c>
      <c r="M594" t="s">
        <v>3168</v>
      </c>
      <c r="N594" t="s">
        <v>1527</v>
      </c>
      <c r="O594" t="s">
        <v>1654</v>
      </c>
    </row>
    <row r="595" spans="1:15" x14ac:dyDescent="0.25">
      <c r="A595" t="s">
        <v>141</v>
      </c>
      <c r="B595" t="s">
        <v>2917</v>
      </c>
      <c r="C595" t="s">
        <v>1514</v>
      </c>
      <c r="D595" t="s">
        <v>284</v>
      </c>
      <c r="E595" t="s">
        <v>284</v>
      </c>
      <c r="F595" t="s">
        <v>285</v>
      </c>
      <c r="G595" t="s">
        <v>285</v>
      </c>
      <c r="H595" t="s">
        <v>5</v>
      </c>
      <c r="I595" t="s">
        <v>172</v>
      </c>
      <c r="J595" t="s">
        <v>1514</v>
      </c>
      <c r="K595" t="s">
        <v>839</v>
      </c>
      <c r="L595" t="s">
        <v>141</v>
      </c>
      <c r="M595" t="s">
        <v>3168</v>
      </c>
      <c r="N595" t="s">
        <v>802</v>
      </c>
      <c r="O595" t="s">
        <v>789</v>
      </c>
    </row>
    <row r="596" spans="1:15" x14ac:dyDescent="0.25">
      <c r="A596" t="s">
        <v>1681</v>
      </c>
      <c r="B596" t="s">
        <v>2918</v>
      </c>
      <c r="C596" t="s">
        <v>1510</v>
      </c>
      <c r="D596" t="s">
        <v>285</v>
      </c>
      <c r="E596" t="s">
        <v>285</v>
      </c>
      <c r="F596" t="s">
        <v>285</v>
      </c>
      <c r="G596" t="s">
        <v>285</v>
      </c>
      <c r="H596" t="s">
        <v>1408</v>
      </c>
      <c r="I596" t="s">
        <v>172</v>
      </c>
      <c r="J596" t="s">
        <v>2803</v>
      </c>
      <c r="K596" t="s">
        <v>788</v>
      </c>
      <c r="L596" t="s">
        <v>1681</v>
      </c>
      <c r="M596" t="s">
        <v>3168</v>
      </c>
      <c r="N596" t="s">
        <v>1527</v>
      </c>
      <c r="O596" t="s">
        <v>789</v>
      </c>
    </row>
    <row r="597" spans="1:15" x14ac:dyDescent="0.25">
      <c r="A597" t="s">
        <v>107</v>
      </c>
      <c r="B597" t="s">
        <v>2919</v>
      </c>
      <c r="C597" t="s">
        <v>1510</v>
      </c>
      <c r="D597" t="s">
        <v>285</v>
      </c>
      <c r="E597" t="s">
        <v>285</v>
      </c>
      <c r="F597" t="s">
        <v>285</v>
      </c>
      <c r="G597" t="s">
        <v>285</v>
      </c>
      <c r="H597" t="s">
        <v>1408</v>
      </c>
      <c r="I597" t="s">
        <v>172</v>
      </c>
      <c r="J597" t="s">
        <v>2193</v>
      </c>
      <c r="K597" t="s">
        <v>839</v>
      </c>
      <c r="L597" t="s">
        <v>107</v>
      </c>
      <c r="M597" t="s">
        <v>3168</v>
      </c>
      <c r="N597" t="s">
        <v>802</v>
      </c>
      <c r="O597" t="s">
        <v>789</v>
      </c>
    </row>
    <row r="598" spans="1:15" x14ac:dyDescent="0.25">
      <c r="A598" t="s">
        <v>126</v>
      </c>
      <c r="B598" t="s">
        <v>2920</v>
      </c>
      <c r="C598" t="s">
        <v>1517</v>
      </c>
      <c r="D598" t="s">
        <v>285</v>
      </c>
      <c r="E598" t="s">
        <v>285</v>
      </c>
      <c r="F598" t="s">
        <v>285</v>
      </c>
      <c r="G598" t="s">
        <v>284</v>
      </c>
      <c r="H598" t="s">
        <v>5</v>
      </c>
      <c r="I598" t="s">
        <v>172</v>
      </c>
      <c r="J598" t="s">
        <v>2505</v>
      </c>
      <c r="K598" s="138" t="s">
        <v>788</v>
      </c>
      <c r="L598" t="s">
        <v>126</v>
      </c>
      <c r="M598" t="s">
        <v>3168</v>
      </c>
      <c r="N598" t="s">
        <v>1527</v>
      </c>
      <c r="O598" t="s">
        <v>1654</v>
      </c>
    </row>
    <row r="599" spans="1:15" x14ac:dyDescent="0.25">
      <c r="A599" t="s">
        <v>508</v>
      </c>
      <c r="B599" t="s">
        <v>2921</v>
      </c>
      <c r="C599" t="s">
        <v>1214</v>
      </c>
      <c r="D599" t="s">
        <v>285</v>
      </c>
      <c r="E599" t="s">
        <v>285</v>
      </c>
      <c r="F599" t="s">
        <v>285</v>
      </c>
      <c r="G599" t="s">
        <v>285</v>
      </c>
      <c r="H599" t="s">
        <v>5</v>
      </c>
      <c r="I599" t="s">
        <v>172</v>
      </c>
      <c r="J599" t="s">
        <v>1214</v>
      </c>
      <c r="K599" t="s">
        <v>101</v>
      </c>
      <c r="L599" t="s">
        <v>508</v>
      </c>
      <c r="M599" t="s">
        <v>3168</v>
      </c>
      <c r="N599" t="s">
        <v>3172</v>
      </c>
      <c r="O599" t="s">
        <v>1654</v>
      </c>
    </row>
    <row r="600" spans="1:15" x14ac:dyDescent="0.25">
      <c r="A600" t="s">
        <v>1461</v>
      </c>
      <c r="B600" t="s">
        <v>2922</v>
      </c>
      <c r="C600" t="s">
        <v>1510</v>
      </c>
      <c r="D600" t="s">
        <v>285</v>
      </c>
      <c r="E600" t="s">
        <v>285</v>
      </c>
      <c r="F600" t="s">
        <v>285</v>
      </c>
      <c r="G600" t="s">
        <v>285</v>
      </c>
      <c r="H600" t="s">
        <v>1408</v>
      </c>
      <c r="I600" t="s">
        <v>172</v>
      </c>
      <c r="J600" t="s">
        <v>2923</v>
      </c>
      <c r="K600" t="s">
        <v>839</v>
      </c>
      <c r="L600" t="s">
        <v>1461</v>
      </c>
      <c r="M600" t="s">
        <v>3168</v>
      </c>
      <c r="N600" t="s">
        <v>1527</v>
      </c>
      <c r="O600" t="s">
        <v>789</v>
      </c>
    </row>
    <row r="601" spans="1:15" x14ac:dyDescent="0.25">
      <c r="A601" t="s">
        <v>1457</v>
      </c>
      <c r="B601" t="s">
        <v>2924</v>
      </c>
      <c r="C601" t="s">
        <v>2450</v>
      </c>
      <c r="D601" t="s">
        <v>285</v>
      </c>
      <c r="E601" t="s">
        <v>284</v>
      </c>
      <c r="F601" t="s">
        <v>285</v>
      </c>
      <c r="G601" t="s">
        <v>284</v>
      </c>
      <c r="H601" t="s">
        <v>5</v>
      </c>
      <c r="I601" t="s">
        <v>172</v>
      </c>
      <c r="J601" t="s">
        <v>1778</v>
      </c>
      <c r="K601" t="s">
        <v>839</v>
      </c>
      <c r="L601" t="s">
        <v>1457</v>
      </c>
      <c r="M601" t="s">
        <v>3168</v>
      </c>
      <c r="N601" t="s">
        <v>1527</v>
      </c>
      <c r="O601" t="s">
        <v>1654</v>
      </c>
    </row>
    <row r="602" spans="1:15" x14ac:dyDescent="0.25">
      <c r="A602" t="s">
        <v>714</v>
      </c>
      <c r="B602" t="s">
        <v>2925</v>
      </c>
      <c r="C602" t="s">
        <v>2698</v>
      </c>
      <c r="D602" t="s">
        <v>285</v>
      </c>
      <c r="E602" t="s">
        <v>285</v>
      </c>
      <c r="F602" t="s">
        <v>285</v>
      </c>
      <c r="G602" t="s">
        <v>284</v>
      </c>
      <c r="H602" t="s">
        <v>5</v>
      </c>
      <c r="I602" t="s">
        <v>172</v>
      </c>
      <c r="J602" t="s">
        <v>788</v>
      </c>
      <c r="K602" t="s">
        <v>788</v>
      </c>
      <c r="L602" t="s">
        <v>714</v>
      </c>
      <c r="M602" t="s">
        <v>3167</v>
      </c>
      <c r="N602" t="s">
        <v>121</v>
      </c>
      <c r="O602" t="s">
        <v>1654</v>
      </c>
    </row>
    <row r="603" spans="1:15" x14ac:dyDescent="0.25">
      <c r="A603" t="s">
        <v>445</v>
      </c>
      <c r="B603" t="s">
        <v>2926</v>
      </c>
      <c r="C603" t="s">
        <v>2240</v>
      </c>
      <c r="D603" t="s">
        <v>285</v>
      </c>
      <c r="E603" t="s">
        <v>285</v>
      </c>
      <c r="F603" t="s">
        <v>285</v>
      </c>
      <c r="G603" t="s">
        <v>284</v>
      </c>
      <c r="H603" t="s">
        <v>5</v>
      </c>
      <c r="I603" t="s">
        <v>172</v>
      </c>
      <c r="J603" t="s">
        <v>2927</v>
      </c>
      <c r="K603" t="s">
        <v>840</v>
      </c>
      <c r="L603" t="s">
        <v>445</v>
      </c>
      <c r="M603" t="s">
        <v>3168</v>
      </c>
      <c r="N603" t="s">
        <v>1527</v>
      </c>
      <c r="O603" t="s">
        <v>789</v>
      </c>
    </row>
    <row r="604" spans="1:15" x14ac:dyDescent="0.25">
      <c r="A604" t="s">
        <v>446</v>
      </c>
      <c r="B604" t="s">
        <v>2928</v>
      </c>
      <c r="C604" t="s">
        <v>2359</v>
      </c>
      <c r="D604" t="s">
        <v>284</v>
      </c>
      <c r="E604" t="s">
        <v>285</v>
      </c>
      <c r="F604" t="s">
        <v>285</v>
      </c>
      <c r="G604" t="s">
        <v>285</v>
      </c>
      <c r="H604" t="s">
        <v>5</v>
      </c>
      <c r="I604" t="s">
        <v>172</v>
      </c>
      <c r="J604" t="s">
        <v>2360</v>
      </c>
      <c r="K604" t="s">
        <v>101</v>
      </c>
      <c r="L604" t="s">
        <v>446</v>
      </c>
      <c r="M604" t="s">
        <v>3167</v>
      </c>
      <c r="N604" t="s">
        <v>121</v>
      </c>
      <c r="O604" t="s">
        <v>789</v>
      </c>
    </row>
    <row r="605" spans="1:15" x14ac:dyDescent="0.25">
      <c r="A605" t="s">
        <v>830</v>
      </c>
      <c r="B605" t="s">
        <v>2929</v>
      </c>
      <c r="C605" t="s">
        <v>1507</v>
      </c>
      <c r="D605" t="s">
        <v>285</v>
      </c>
      <c r="E605" t="s">
        <v>284</v>
      </c>
      <c r="F605" t="s">
        <v>285</v>
      </c>
      <c r="G605" t="s">
        <v>284</v>
      </c>
      <c r="H605" t="s">
        <v>5</v>
      </c>
      <c r="I605" t="s">
        <v>172</v>
      </c>
      <c r="J605" t="s">
        <v>1407</v>
      </c>
      <c r="K605" t="s">
        <v>1616</v>
      </c>
      <c r="L605" t="s">
        <v>830</v>
      </c>
      <c r="M605" t="s">
        <v>3168</v>
      </c>
      <c r="N605" t="s">
        <v>121</v>
      </c>
      <c r="O605" t="s">
        <v>1654</v>
      </c>
    </row>
    <row r="606" spans="1:15" x14ac:dyDescent="0.25">
      <c r="A606" t="s">
        <v>527</v>
      </c>
      <c r="B606" t="s">
        <v>2930</v>
      </c>
      <c r="C606" t="s">
        <v>2248</v>
      </c>
      <c r="D606" t="s">
        <v>285</v>
      </c>
      <c r="E606" t="s">
        <v>284</v>
      </c>
      <c r="F606" t="s">
        <v>285</v>
      </c>
      <c r="G606" t="s">
        <v>284</v>
      </c>
      <c r="H606" t="s">
        <v>5</v>
      </c>
      <c r="I606" t="s">
        <v>172</v>
      </c>
      <c r="J606" t="s">
        <v>1521</v>
      </c>
      <c r="K606" t="s">
        <v>101</v>
      </c>
      <c r="L606" t="s">
        <v>527</v>
      </c>
      <c r="M606" t="s">
        <v>3168</v>
      </c>
      <c r="N606" t="s">
        <v>1527</v>
      </c>
      <c r="O606" t="s">
        <v>1654</v>
      </c>
    </row>
    <row r="607" spans="1:15" x14ac:dyDescent="0.25">
      <c r="A607" t="s">
        <v>616</v>
      </c>
      <c r="B607" t="s">
        <v>2931</v>
      </c>
      <c r="C607" t="s">
        <v>1405</v>
      </c>
      <c r="D607" t="s">
        <v>284</v>
      </c>
      <c r="E607" t="s">
        <v>284</v>
      </c>
      <c r="F607" t="s">
        <v>285</v>
      </c>
      <c r="G607" t="s">
        <v>285</v>
      </c>
      <c r="H607" t="s">
        <v>5</v>
      </c>
      <c r="I607" t="s">
        <v>172</v>
      </c>
      <c r="J607" t="s">
        <v>2236</v>
      </c>
      <c r="K607" t="s">
        <v>1616</v>
      </c>
      <c r="L607" t="s">
        <v>616</v>
      </c>
      <c r="M607" t="s">
        <v>3168</v>
      </c>
      <c r="N607" t="s">
        <v>802</v>
      </c>
      <c r="O607" t="s">
        <v>1654</v>
      </c>
    </row>
    <row r="608" spans="1:15" x14ac:dyDescent="0.25">
      <c r="A608" t="s">
        <v>718</v>
      </c>
      <c r="B608" t="s">
        <v>2932</v>
      </c>
      <c r="C608" t="s">
        <v>2493</v>
      </c>
      <c r="D608" t="s">
        <v>285</v>
      </c>
      <c r="E608" t="s">
        <v>285</v>
      </c>
      <c r="F608" t="s">
        <v>285</v>
      </c>
      <c r="G608" t="s">
        <v>284</v>
      </c>
      <c r="H608" t="s">
        <v>5</v>
      </c>
      <c r="I608" t="s">
        <v>172</v>
      </c>
      <c r="J608" t="s">
        <v>780</v>
      </c>
      <c r="K608" t="s">
        <v>780</v>
      </c>
      <c r="L608" t="s">
        <v>718</v>
      </c>
      <c r="M608" t="s">
        <v>3168</v>
      </c>
      <c r="N608" t="s">
        <v>3172</v>
      </c>
      <c r="O608" t="s">
        <v>1654</v>
      </c>
    </row>
    <row r="609" spans="1:15" x14ac:dyDescent="0.25">
      <c r="A609" t="s">
        <v>1631</v>
      </c>
      <c r="B609" t="s">
        <v>2933</v>
      </c>
      <c r="C609" t="s">
        <v>1510</v>
      </c>
      <c r="D609" t="s">
        <v>285</v>
      </c>
      <c r="E609" t="s">
        <v>285</v>
      </c>
      <c r="F609" t="s">
        <v>285</v>
      </c>
      <c r="G609" t="s">
        <v>285</v>
      </c>
      <c r="H609" t="s">
        <v>1408</v>
      </c>
      <c r="I609" t="s">
        <v>172</v>
      </c>
      <c r="J609" t="s">
        <v>780</v>
      </c>
      <c r="K609" t="s">
        <v>780</v>
      </c>
      <c r="L609" t="s">
        <v>1631</v>
      </c>
      <c r="M609" t="s">
        <v>3168</v>
      </c>
      <c r="N609" t="s">
        <v>3172</v>
      </c>
      <c r="O609" t="s">
        <v>1654</v>
      </c>
    </row>
    <row r="610" spans="1:15" x14ac:dyDescent="0.25">
      <c r="A610" t="s">
        <v>1456</v>
      </c>
      <c r="B610" t="s">
        <v>2934</v>
      </c>
      <c r="C610" t="s">
        <v>2450</v>
      </c>
      <c r="D610" t="s">
        <v>285</v>
      </c>
      <c r="E610" t="s">
        <v>284</v>
      </c>
      <c r="F610" t="s">
        <v>285</v>
      </c>
      <c r="G610" t="s">
        <v>284</v>
      </c>
      <c r="H610" t="s">
        <v>5</v>
      </c>
      <c r="I610" t="s">
        <v>172</v>
      </c>
      <c r="J610" t="s">
        <v>1778</v>
      </c>
      <c r="K610" t="s">
        <v>839</v>
      </c>
      <c r="L610" t="s">
        <v>1456</v>
      </c>
      <c r="M610" t="s">
        <v>3168</v>
      </c>
      <c r="N610" t="s">
        <v>1527</v>
      </c>
      <c r="O610" t="s">
        <v>1654</v>
      </c>
    </row>
    <row r="611" spans="1:15" x14ac:dyDescent="0.25">
      <c r="A611" t="s">
        <v>447</v>
      </c>
      <c r="B611" t="s">
        <v>2935</v>
      </c>
      <c r="C611" t="s">
        <v>1518</v>
      </c>
      <c r="D611" t="s">
        <v>285</v>
      </c>
      <c r="E611" t="s">
        <v>285</v>
      </c>
      <c r="F611" t="s">
        <v>285</v>
      </c>
      <c r="G611" t="s">
        <v>284</v>
      </c>
      <c r="H611" t="s">
        <v>5</v>
      </c>
      <c r="I611" t="s">
        <v>172</v>
      </c>
      <c r="J611" t="s">
        <v>103</v>
      </c>
      <c r="K611" t="s">
        <v>101</v>
      </c>
      <c r="L611" t="s">
        <v>447</v>
      </c>
      <c r="M611" t="s">
        <v>3167</v>
      </c>
      <c r="N611" t="s">
        <v>121</v>
      </c>
      <c r="O611" t="s">
        <v>1654</v>
      </c>
    </row>
    <row r="612" spans="1:15" x14ac:dyDescent="0.25">
      <c r="A612" t="s">
        <v>531</v>
      </c>
      <c r="B612" t="s">
        <v>2936</v>
      </c>
      <c r="C612" t="s">
        <v>2871</v>
      </c>
      <c r="D612" t="s">
        <v>285</v>
      </c>
      <c r="E612" t="s">
        <v>285</v>
      </c>
      <c r="F612" t="s">
        <v>285</v>
      </c>
      <c r="G612" t="s">
        <v>284</v>
      </c>
      <c r="H612" t="s">
        <v>5</v>
      </c>
      <c r="I612" t="s">
        <v>172</v>
      </c>
      <c r="J612" t="s">
        <v>780</v>
      </c>
      <c r="K612" t="s">
        <v>780</v>
      </c>
      <c r="L612" t="s">
        <v>531</v>
      </c>
      <c r="M612" t="s">
        <v>3167</v>
      </c>
      <c r="N612" t="s">
        <v>3172</v>
      </c>
      <c r="O612" t="s">
        <v>1654</v>
      </c>
    </row>
    <row r="613" spans="1:15" x14ac:dyDescent="0.25">
      <c r="A613" t="s">
        <v>1281</v>
      </c>
      <c r="B613" t="s">
        <v>2937</v>
      </c>
      <c r="C613" t="s">
        <v>1509</v>
      </c>
      <c r="D613" t="s">
        <v>285</v>
      </c>
      <c r="E613" t="s">
        <v>284</v>
      </c>
      <c r="F613" t="s">
        <v>285</v>
      </c>
      <c r="G613" t="s">
        <v>284</v>
      </c>
      <c r="H613" t="s">
        <v>5</v>
      </c>
      <c r="I613" t="s">
        <v>2164</v>
      </c>
      <c r="J613" t="s">
        <v>2765</v>
      </c>
      <c r="K613" t="s">
        <v>1699</v>
      </c>
      <c r="L613" t="s">
        <v>1281</v>
      </c>
      <c r="M613" t="s">
        <v>3168</v>
      </c>
      <c r="N613" t="s">
        <v>1527</v>
      </c>
      <c r="O613" t="s">
        <v>789</v>
      </c>
    </row>
    <row r="614" spans="1:15" x14ac:dyDescent="0.25">
      <c r="A614" t="s">
        <v>448</v>
      </c>
      <c r="B614" t="s">
        <v>2938</v>
      </c>
      <c r="C614" t="s">
        <v>2338</v>
      </c>
      <c r="D614" t="s">
        <v>285</v>
      </c>
      <c r="E614" t="s">
        <v>284</v>
      </c>
      <c r="F614" t="s">
        <v>285</v>
      </c>
      <c r="G614" t="s">
        <v>285</v>
      </c>
      <c r="H614" t="s">
        <v>5</v>
      </c>
      <c r="I614" t="s">
        <v>172</v>
      </c>
      <c r="J614" t="s">
        <v>2339</v>
      </c>
      <c r="K614" t="s">
        <v>101</v>
      </c>
      <c r="L614" t="s">
        <v>448</v>
      </c>
      <c r="M614" t="s">
        <v>3168</v>
      </c>
      <c r="N614" t="s">
        <v>1527</v>
      </c>
      <c r="O614" t="s">
        <v>1654</v>
      </c>
    </row>
    <row r="615" spans="1:15" x14ac:dyDescent="0.25">
      <c r="A615" t="s">
        <v>644</v>
      </c>
      <c r="B615" t="s">
        <v>2939</v>
      </c>
      <c r="C615" t="s">
        <v>1517</v>
      </c>
      <c r="D615" t="s">
        <v>284</v>
      </c>
      <c r="E615" t="s">
        <v>285</v>
      </c>
      <c r="F615" t="s">
        <v>285</v>
      </c>
      <c r="G615" t="s">
        <v>285</v>
      </c>
      <c r="H615" t="s">
        <v>5</v>
      </c>
      <c r="I615" t="s">
        <v>172</v>
      </c>
      <c r="J615" t="s">
        <v>788</v>
      </c>
      <c r="K615" t="s">
        <v>788</v>
      </c>
      <c r="L615" t="s">
        <v>644</v>
      </c>
      <c r="M615" t="s">
        <v>3167</v>
      </c>
      <c r="N615" t="s">
        <v>802</v>
      </c>
      <c r="O615" t="s">
        <v>1654</v>
      </c>
    </row>
    <row r="616" spans="1:15" x14ac:dyDescent="0.25">
      <c r="A616" t="s">
        <v>148</v>
      </c>
      <c r="B616" t="s">
        <v>2940</v>
      </c>
      <c r="C616" t="s">
        <v>2240</v>
      </c>
      <c r="D616" t="s">
        <v>285</v>
      </c>
      <c r="E616" t="s">
        <v>284</v>
      </c>
      <c r="F616" t="s">
        <v>285</v>
      </c>
      <c r="G616" t="s">
        <v>285</v>
      </c>
      <c r="H616" t="s">
        <v>5</v>
      </c>
      <c r="I616" t="s">
        <v>172</v>
      </c>
      <c r="J616" t="s">
        <v>2587</v>
      </c>
      <c r="K616" t="s">
        <v>840</v>
      </c>
      <c r="L616" t="s">
        <v>148</v>
      </c>
      <c r="M616" t="s">
        <v>3168</v>
      </c>
      <c r="N616" t="s">
        <v>1527</v>
      </c>
      <c r="O616" t="s">
        <v>1654</v>
      </c>
    </row>
    <row r="617" spans="1:15" x14ac:dyDescent="0.25">
      <c r="A617" t="s">
        <v>641</v>
      </c>
      <c r="B617" t="s">
        <v>2941</v>
      </c>
      <c r="C617" t="s">
        <v>1518</v>
      </c>
      <c r="D617" t="s">
        <v>284</v>
      </c>
      <c r="E617" t="s">
        <v>284</v>
      </c>
      <c r="F617" t="s">
        <v>285</v>
      </c>
      <c r="G617" t="s">
        <v>285</v>
      </c>
      <c r="H617" t="s">
        <v>5</v>
      </c>
      <c r="I617" t="s">
        <v>172</v>
      </c>
      <c r="J617" t="s">
        <v>103</v>
      </c>
      <c r="K617" t="s">
        <v>101</v>
      </c>
      <c r="L617" t="s">
        <v>641</v>
      </c>
      <c r="M617" t="s">
        <v>3168</v>
      </c>
      <c r="N617" t="s">
        <v>802</v>
      </c>
      <c r="O617" t="s">
        <v>789</v>
      </c>
    </row>
    <row r="618" spans="1:15" x14ac:dyDescent="0.25">
      <c r="A618" t="s">
        <v>710</v>
      </c>
      <c r="B618" t="s">
        <v>2942</v>
      </c>
      <c r="C618" t="s">
        <v>2253</v>
      </c>
      <c r="D618" t="s">
        <v>285</v>
      </c>
      <c r="E618" t="s">
        <v>285</v>
      </c>
      <c r="F618" t="s">
        <v>285</v>
      </c>
      <c r="G618" t="s">
        <v>284</v>
      </c>
      <c r="H618" t="s">
        <v>5</v>
      </c>
      <c r="I618" t="s">
        <v>172</v>
      </c>
      <c r="J618" t="s">
        <v>769</v>
      </c>
      <c r="K618" t="s">
        <v>769</v>
      </c>
      <c r="L618" t="s">
        <v>710</v>
      </c>
      <c r="M618" t="s">
        <v>3167</v>
      </c>
      <c r="N618" t="s">
        <v>121</v>
      </c>
      <c r="O618" t="s">
        <v>1654</v>
      </c>
    </row>
    <row r="619" spans="1:15" x14ac:dyDescent="0.25">
      <c r="A619" t="s">
        <v>864</v>
      </c>
      <c r="B619" t="s">
        <v>2943</v>
      </c>
      <c r="C619" t="s">
        <v>1214</v>
      </c>
      <c r="D619" t="s">
        <v>285</v>
      </c>
      <c r="E619" t="s">
        <v>284</v>
      </c>
      <c r="F619" t="s">
        <v>285</v>
      </c>
      <c r="G619" t="s">
        <v>284</v>
      </c>
      <c r="H619" t="s">
        <v>5</v>
      </c>
      <c r="I619" t="s">
        <v>172</v>
      </c>
      <c r="J619" t="s">
        <v>1214</v>
      </c>
      <c r="K619" t="s">
        <v>101</v>
      </c>
      <c r="L619" t="s">
        <v>864</v>
      </c>
      <c r="M619" t="s">
        <v>3167</v>
      </c>
      <c r="N619" t="s">
        <v>121</v>
      </c>
      <c r="O619" t="s">
        <v>1654</v>
      </c>
    </row>
    <row r="620" spans="1:15" x14ac:dyDescent="0.25">
      <c r="A620" t="s">
        <v>829</v>
      </c>
      <c r="B620" t="s">
        <v>2944</v>
      </c>
      <c r="C620" t="s">
        <v>2335</v>
      </c>
      <c r="D620" t="s">
        <v>285</v>
      </c>
      <c r="E620" t="s">
        <v>285</v>
      </c>
      <c r="F620" t="s">
        <v>285</v>
      </c>
      <c r="G620" t="s">
        <v>284</v>
      </c>
      <c r="H620" t="s">
        <v>5</v>
      </c>
      <c r="I620" t="s">
        <v>172</v>
      </c>
      <c r="J620" t="s">
        <v>2336</v>
      </c>
      <c r="K620" t="s">
        <v>101</v>
      </c>
      <c r="L620" t="s">
        <v>829</v>
      </c>
      <c r="M620" t="s">
        <v>3167</v>
      </c>
      <c r="N620" t="s">
        <v>121</v>
      </c>
      <c r="O620" t="s">
        <v>1654</v>
      </c>
    </row>
    <row r="621" spans="1:15" x14ac:dyDescent="0.25">
      <c r="A621" t="s">
        <v>181</v>
      </c>
      <c r="B621" t="s">
        <v>2945</v>
      </c>
      <c r="C621" t="s">
        <v>2335</v>
      </c>
      <c r="D621" t="s">
        <v>285</v>
      </c>
      <c r="E621" t="s">
        <v>284</v>
      </c>
      <c r="F621" t="s">
        <v>285</v>
      </c>
      <c r="G621" t="s">
        <v>284</v>
      </c>
      <c r="H621" t="s">
        <v>5</v>
      </c>
      <c r="I621" t="s">
        <v>172</v>
      </c>
      <c r="J621" t="s">
        <v>2336</v>
      </c>
      <c r="K621" t="s">
        <v>101</v>
      </c>
      <c r="L621" t="s">
        <v>181</v>
      </c>
      <c r="M621" t="s">
        <v>3168</v>
      </c>
      <c r="N621" t="s">
        <v>121</v>
      </c>
      <c r="O621" t="s">
        <v>789</v>
      </c>
    </row>
    <row r="622" spans="1:15" x14ac:dyDescent="0.25">
      <c r="A622" t="s">
        <v>881</v>
      </c>
      <c r="B622" t="s">
        <v>2946</v>
      </c>
      <c r="C622" t="s">
        <v>1510</v>
      </c>
      <c r="D622" t="s">
        <v>285</v>
      </c>
      <c r="E622" t="s">
        <v>285</v>
      </c>
      <c r="F622" t="s">
        <v>285</v>
      </c>
      <c r="G622" t="s">
        <v>285</v>
      </c>
      <c r="H622" t="s">
        <v>1408</v>
      </c>
      <c r="I622" t="s">
        <v>172</v>
      </c>
      <c r="J622" t="s">
        <v>2193</v>
      </c>
      <c r="K622" t="s">
        <v>788</v>
      </c>
      <c r="L622" t="s">
        <v>881</v>
      </c>
      <c r="M622" t="s">
        <v>3167</v>
      </c>
      <c r="N622" t="s">
        <v>121</v>
      </c>
      <c r="O622" t="s">
        <v>1654</v>
      </c>
    </row>
    <row r="623" spans="1:15" x14ac:dyDescent="0.25">
      <c r="A623" t="s">
        <v>1575</v>
      </c>
      <c r="B623" t="s">
        <v>2947</v>
      </c>
      <c r="C623" t="s">
        <v>1510</v>
      </c>
      <c r="D623" t="s">
        <v>285</v>
      </c>
      <c r="E623" t="s">
        <v>285</v>
      </c>
      <c r="F623" t="s">
        <v>285</v>
      </c>
      <c r="G623" t="s">
        <v>285</v>
      </c>
      <c r="H623" t="s">
        <v>1408</v>
      </c>
      <c r="I623" t="s">
        <v>172</v>
      </c>
      <c r="J623" t="s">
        <v>2193</v>
      </c>
      <c r="K623" t="s">
        <v>839</v>
      </c>
      <c r="L623" t="s">
        <v>1575</v>
      </c>
      <c r="M623" t="s">
        <v>3168</v>
      </c>
      <c r="N623" t="s">
        <v>1527</v>
      </c>
      <c r="O623" t="s">
        <v>789</v>
      </c>
    </row>
    <row r="624" spans="1:15" x14ac:dyDescent="0.25">
      <c r="A624" t="s">
        <v>588</v>
      </c>
      <c r="B624" t="s">
        <v>2948</v>
      </c>
      <c r="C624" t="s">
        <v>1510</v>
      </c>
      <c r="D624" t="s">
        <v>285</v>
      </c>
      <c r="E624" t="s">
        <v>285</v>
      </c>
      <c r="F624" t="s">
        <v>285</v>
      </c>
      <c r="G624" t="s">
        <v>285</v>
      </c>
      <c r="H624" t="s">
        <v>1408</v>
      </c>
      <c r="I624" t="s">
        <v>172</v>
      </c>
      <c r="J624" t="s">
        <v>89</v>
      </c>
      <c r="K624" t="s">
        <v>89</v>
      </c>
      <c r="L624" t="s">
        <v>588</v>
      </c>
      <c r="M624" t="s">
        <v>3168</v>
      </c>
      <c r="N624" t="s">
        <v>3172</v>
      </c>
      <c r="O624" t="s">
        <v>1654</v>
      </c>
    </row>
    <row r="625" spans="1:15" x14ac:dyDescent="0.25">
      <c r="A625" t="s">
        <v>893</v>
      </c>
      <c r="B625" t="s">
        <v>2949</v>
      </c>
      <c r="C625" t="s">
        <v>1524</v>
      </c>
      <c r="D625" t="s">
        <v>285</v>
      </c>
      <c r="E625" t="s">
        <v>285</v>
      </c>
      <c r="F625" t="s">
        <v>285</v>
      </c>
      <c r="G625" t="s">
        <v>285</v>
      </c>
      <c r="H625" t="s">
        <v>5</v>
      </c>
      <c r="I625" t="s">
        <v>172</v>
      </c>
      <c r="J625" t="s">
        <v>788</v>
      </c>
      <c r="K625" t="s">
        <v>788</v>
      </c>
      <c r="L625" t="s">
        <v>893</v>
      </c>
      <c r="M625" t="s">
        <v>3167</v>
      </c>
      <c r="N625" t="s">
        <v>121</v>
      </c>
      <c r="O625" t="s">
        <v>1654</v>
      </c>
    </row>
    <row r="626" spans="1:15" x14ac:dyDescent="0.25">
      <c r="A626" t="s">
        <v>449</v>
      </c>
      <c r="B626" t="s">
        <v>2950</v>
      </c>
      <c r="C626" t="s">
        <v>2248</v>
      </c>
      <c r="D626" t="s">
        <v>285</v>
      </c>
      <c r="E626" t="s">
        <v>284</v>
      </c>
      <c r="F626" t="s">
        <v>285</v>
      </c>
      <c r="G626" t="s">
        <v>284</v>
      </c>
      <c r="H626" t="s">
        <v>5</v>
      </c>
      <c r="I626" t="s">
        <v>172</v>
      </c>
      <c r="J626" t="s">
        <v>2951</v>
      </c>
      <c r="K626" t="s">
        <v>101</v>
      </c>
      <c r="L626" t="s">
        <v>449</v>
      </c>
      <c r="M626" t="s">
        <v>3168</v>
      </c>
      <c r="N626" t="s">
        <v>802</v>
      </c>
      <c r="O626" t="s">
        <v>1654</v>
      </c>
    </row>
    <row r="627" spans="1:15" x14ac:dyDescent="0.25">
      <c r="A627" t="s">
        <v>450</v>
      </c>
      <c r="B627" t="s">
        <v>2952</v>
      </c>
      <c r="C627" t="s">
        <v>1533</v>
      </c>
      <c r="D627" t="s">
        <v>285</v>
      </c>
      <c r="E627" t="s">
        <v>285</v>
      </c>
      <c r="F627" t="s">
        <v>285</v>
      </c>
      <c r="G627" t="s">
        <v>284</v>
      </c>
      <c r="H627" t="s">
        <v>5</v>
      </c>
      <c r="I627" t="s">
        <v>172</v>
      </c>
      <c r="J627" t="s">
        <v>2263</v>
      </c>
      <c r="K627" s="138" t="s">
        <v>839</v>
      </c>
      <c r="L627" t="s">
        <v>450</v>
      </c>
      <c r="M627" t="s">
        <v>3168</v>
      </c>
      <c r="N627" t="s">
        <v>121</v>
      </c>
      <c r="O627" t="s">
        <v>1654</v>
      </c>
    </row>
    <row r="628" spans="1:15" x14ac:dyDescent="0.25">
      <c r="A628" t="s">
        <v>660</v>
      </c>
      <c r="B628" t="s">
        <v>2953</v>
      </c>
      <c r="C628" t="s">
        <v>2428</v>
      </c>
      <c r="D628" t="s">
        <v>284</v>
      </c>
      <c r="E628" t="s">
        <v>284</v>
      </c>
      <c r="F628" t="s">
        <v>285</v>
      </c>
      <c r="G628" t="s">
        <v>285</v>
      </c>
      <c r="H628" t="s">
        <v>5</v>
      </c>
      <c r="I628" t="s">
        <v>172</v>
      </c>
      <c r="J628" t="s">
        <v>780</v>
      </c>
      <c r="K628" t="s">
        <v>780</v>
      </c>
      <c r="L628" t="s">
        <v>660</v>
      </c>
      <c r="M628" t="s">
        <v>3168</v>
      </c>
      <c r="N628" t="s">
        <v>3172</v>
      </c>
      <c r="O628" t="s">
        <v>1654</v>
      </c>
    </row>
    <row r="629" spans="1:15" x14ac:dyDescent="0.25">
      <c r="A629" t="s">
        <v>503</v>
      </c>
      <c r="B629" t="s">
        <v>2954</v>
      </c>
      <c r="C629" t="s">
        <v>1214</v>
      </c>
      <c r="D629" t="s">
        <v>284</v>
      </c>
      <c r="E629" t="s">
        <v>284</v>
      </c>
      <c r="F629" t="s">
        <v>285</v>
      </c>
      <c r="G629" t="s">
        <v>285</v>
      </c>
      <c r="H629" t="s">
        <v>5</v>
      </c>
      <c r="I629" t="s">
        <v>172</v>
      </c>
      <c r="J629" t="s">
        <v>1214</v>
      </c>
      <c r="K629" t="s">
        <v>101</v>
      </c>
      <c r="L629" t="s">
        <v>503</v>
      </c>
      <c r="M629" t="s">
        <v>3168</v>
      </c>
      <c r="N629" t="s">
        <v>802</v>
      </c>
      <c r="O629" t="s">
        <v>1654</v>
      </c>
    </row>
    <row r="630" spans="1:15" x14ac:dyDescent="0.25">
      <c r="A630" t="s">
        <v>587</v>
      </c>
      <c r="B630" t="s">
        <v>2955</v>
      </c>
      <c r="C630" t="s">
        <v>1510</v>
      </c>
      <c r="D630" t="s">
        <v>285</v>
      </c>
      <c r="E630" t="s">
        <v>285</v>
      </c>
      <c r="F630" t="s">
        <v>285</v>
      </c>
      <c r="G630" t="s">
        <v>285</v>
      </c>
      <c r="H630" t="s">
        <v>1408</v>
      </c>
      <c r="I630" t="s">
        <v>172</v>
      </c>
      <c r="J630" t="s">
        <v>2178</v>
      </c>
      <c r="K630" t="s">
        <v>788</v>
      </c>
      <c r="L630" t="s">
        <v>587</v>
      </c>
      <c r="M630" t="s">
        <v>3167</v>
      </c>
      <c r="N630" t="s">
        <v>121</v>
      </c>
      <c r="O630" t="s">
        <v>1654</v>
      </c>
    </row>
    <row r="631" spans="1:15" x14ac:dyDescent="0.25">
      <c r="A631" t="s">
        <v>451</v>
      </c>
      <c r="B631" t="s">
        <v>2956</v>
      </c>
      <c r="C631" t="s">
        <v>2248</v>
      </c>
      <c r="D631" t="s">
        <v>285</v>
      </c>
      <c r="E631" t="s">
        <v>285</v>
      </c>
      <c r="F631" t="s">
        <v>285</v>
      </c>
      <c r="G631" t="s">
        <v>285</v>
      </c>
      <c r="H631" t="s">
        <v>5</v>
      </c>
      <c r="I631" t="s">
        <v>172</v>
      </c>
      <c r="J631" t="s">
        <v>2957</v>
      </c>
      <c r="K631" t="s">
        <v>101</v>
      </c>
      <c r="L631" t="s">
        <v>451</v>
      </c>
      <c r="M631" t="s">
        <v>3168</v>
      </c>
      <c r="N631" t="s">
        <v>1527</v>
      </c>
      <c r="O631" t="s">
        <v>789</v>
      </c>
    </row>
    <row r="632" spans="1:15" x14ac:dyDescent="0.25">
      <c r="A632" t="s">
        <v>1474</v>
      </c>
      <c r="B632" t="s">
        <v>2958</v>
      </c>
      <c r="C632" t="s">
        <v>2317</v>
      </c>
      <c r="D632" t="s">
        <v>285</v>
      </c>
      <c r="E632" t="s">
        <v>285</v>
      </c>
      <c r="F632" t="s">
        <v>285</v>
      </c>
      <c r="G632" t="s">
        <v>284</v>
      </c>
      <c r="H632" t="s">
        <v>5</v>
      </c>
      <c r="I632" t="s">
        <v>172</v>
      </c>
      <c r="J632" t="s">
        <v>2295</v>
      </c>
      <c r="K632" t="s">
        <v>98</v>
      </c>
      <c r="L632" t="s">
        <v>1474</v>
      </c>
      <c r="M632" t="s">
        <v>3168</v>
      </c>
      <c r="N632" t="s">
        <v>3172</v>
      </c>
      <c r="O632" t="s">
        <v>1654</v>
      </c>
    </row>
    <row r="633" spans="1:15" x14ac:dyDescent="0.25">
      <c r="A633" t="s">
        <v>576</v>
      </c>
      <c r="B633" t="s">
        <v>2959</v>
      </c>
      <c r="C633" t="s">
        <v>2221</v>
      </c>
      <c r="D633" t="s">
        <v>285</v>
      </c>
      <c r="E633" t="s">
        <v>284</v>
      </c>
      <c r="F633" t="s">
        <v>285</v>
      </c>
      <c r="G633" t="s">
        <v>284</v>
      </c>
      <c r="H633" t="s">
        <v>5</v>
      </c>
      <c r="I633" t="s">
        <v>172</v>
      </c>
      <c r="J633" t="s">
        <v>2221</v>
      </c>
      <c r="K633" t="s">
        <v>98</v>
      </c>
      <c r="L633" t="s">
        <v>576</v>
      </c>
      <c r="M633" t="s">
        <v>3168</v>
      </c>
      <c r="N633" t="s">
        <v>802</v>
      </c>
      <c r="O633" t="s">
        <v>789</v>
      </c>
    </row>
    <row r="634" spans="1:15" x14ac:dyDescent="0.25">
      <c r="A634" t="s">
        <v>1418</v>
      </c>
      <c r="B634" t="s">
        <v>2960</v>
      </c>
      <c r="C634" t="s">
        <v>1214</v>
      </c>
      <c r="D634" t="s">
        <v>285</v>
      </c>
      <c r="E634" t="s">
        <v>285</v>
      </c>
      <c r="F634" t="s">
        <v>285</v>
      </c>
      <c r="G634" t="s">
        <v>284</v>
      </c>
      <c r="H634" t="s">
        <v>5</v>
      </c>
      <c r="I634" t="s">
        <v>172</v>
      </c>
      <c r="J634" t="s">
        <v>1214</v>
      </c>
      <c r="K634" t="s">
        <v>101</v>
      </c>
      <c r="L634" t="s">
        <v>1418</v>
      </c>
      <c r="M634" t="s">
        <v>3168</v>
      </c>
      <c r="N634" t="s">
        <v>1527</v>
      </c>
      <c r="O634" t="s">
        <v>789</v>
      </c>
    </row>
    <row r="635" spans="1:15" x14ac:dyDescent="0.25">
      <c r="A635" t="s">
        <v>553</v>
      </c>
      <c r="B635" t="s">
        <v>2961</v>
      </c>
      <c r="C635" t="s">
        <v>1214</v>
      </c>
      <c r="D635" t="s">
        <v>285</v>
      </c>
      <c r="E635" t="s">
        <v>284</v>
      </c>
      <c r="F635" t="s">
        <v>285</v>
      </c>
      <c r="G635" t="s">
        <v>284</v>
      </c>
      <c r="H635" t="s">
        <v>5</v>
      </c>
      <c r="I635" t="s">
        <v>172</v>
      </c>
      <c r="J635" t="s">
        <v>1214</v>
      </c>
      <c r="K635" t="s">
        <v>101</v>
      </c>
      <c r="L635" t="s">
        <v>553</v>
      </c>
      <c r="M635" t="s">
        <v>3168</v>
      </c>
      <c r="N635" t="s">
        <v>802</v>
      </c>
      <c r="O635" t="s">
        <v>789</v>
      </c>
    </row>
    <row r="636" spans="1:15" x14ac:dyDescent="0.25">
      <c r="A636" t="s">
        <v>452</v>
      </c>
      <c r="B636" t="s">
        <v>2962</v>
      </c>
      <c r="C636" t="s">
        <v>2253</v>
      </c>
      <c r="D636" t="s">
        <v>285</v>
      </c>
      <c r="E636" t="s">
        <v>285</v>
      </c>
      <c r="F636" t="s">
        <v>285</v>
      </c>
      <c r="G636" t="s">
        <v>285</v>
      </c>
      <c r="H636" t="s">
        <v>2230</v>
      </c>
      <c r="I636" t="s">
        <v>172</v>
      </c>
      <c r="J636" t="s">
        <v>769</v>
      </c>
      <c r="K636" t="s">
        <v>769</v>
      </c>
      <c r="L636" t="s">
        <v>452</v>
      </c>
      <c r="M636" t="s">
        <v>3167</v>
      </c>
      <c r="N636" t="s">
        <v>3172</v>
      </c>
      <c r="O636" t="s">
        <v>1654</v>
      </c>
    </row>
    <row r="637" spans="1:15" x14ac:dyDescent="0.25">
      <c r="A637" t="s">
        <v>1431</v>
      </c>
      <c r="B637" t="s">
        <v>2963</v>
      </c>
      <c r="C637" t="s">
        <v>2871</v>
      </c>
      <c r="D637" t="s">
        <v>285</v>
      </c>
      <c r="E637" t="s">
        <v>285</v>
      </c>
      <c r="F637" t="s">
        <v>285</v>
      </c>
      <c r="G637" t="s">
        <v>284</v>
      </c>
      <c r="H637" t="s">
        <v>5</v>
      </c>
      <c r="I637" t="s">
        <v>172</v>
      </c>
      <c r="J637" t="s">
        <v>780</v>
      </c>
      <c r="K637" t="s">
        <v>780</v>
      </c>
      <c r="L637" t="s">
        <v>1431</v>
      </c>
      <c r="M637" t="s">
        <v>3167</v>
      </c>
      <c r="N637" t="s">
        <v>3172</v>
      </c>
      <c r="O637" t="s">
        <v>1654</v>
      </c>
    </row>
    <row r="638" spans="1:15" x14ac:dyDescent="0.25">
      <c r="A638" t="s">
        <v>1226</v>
      </c>
      <c r="B638" t="s">
        <v>2964</v>
      </c>
      <c r="C638" t="s">
        <v>1510</v>
      </c>
      <c r="D638" t="s">
        <v>285</v>
      </c>
      <c r="E638" t="s">
        <v>285</v>
      </c>
      <c r="F638" t="s">
        <v>285</v>
      </c>
      <c r="G638" t="s">
        <v>285</v>
      </c>
      <c r="H638" t="s">
        <v>1408</v>
      </c>
      <c r="I638" t="s">
        <v>172</v>
      </c>
      <c r="J638" t="s">
        <v>1504</v>
      </c>
      <c r="K638" t="s">
        <v>839</v>
      </c>
      <c r="L638" t="s">
        <v>1226</v>
      </c>
      <c r="M638" t="s">
        <v>3168</v>
      </c>
      <c r="N638" t="s">
        <v>1527</v>
      </c>
      <c r="O638" t="s">
        <v>789</v>
      </c>
    </row>
    <row r="639" spans="1:15" x14ac:dyDescent="0.25">
      <c r="A639" t="s">
        <v>1769</v>
      </c>
      <c r="B639" t="s">
        <v>2965</v>
      </c>
      <c r="C639" t="s">
        <v>2294</v>
      </c>
      <c r="D639" t="s">
        <v>285</v>
      </c>
      <c r="E639" t="s">
        <v>284</v>
      </c>
      <c r="F639" t="s">
        <v>285</v>
      </c>
      <c r="G639" t="s">
        <v>284</v>
      </c>
      <c r="H639" t="s">
        <v>5</v>
      </c>
      <c r="I639" t="s">
        <v>172</v>
      </c>
      <c r="J639" t="s">
        <v>2614</v>
      </c>
      <c r="K639" t="s">
        <v>101</v>
      </c>
      <c r="L639" t="s">
        <v>1769</v>
      </c>
      <c r="M639" t="s">
        <v>3168</v>
      </c>
      <c r="N639" t="s">
        <v>802</v>
      </c>
      <c r="O639" t="s">
        <v>1654</v>
      </c>
    </row>
    <row r="640" spans="1:15" x14ac:dyDescent="0.25">
      <c r="A640" t="s">
        <v>123</v>
      </c>
      <c r="B640" t="s">
        <v>2966</v>
      </c>
      <c r="C640" t="s">
        <v>1509</v>
      </c>
      <c r="D640" t="s">
        <v>285</v>
      </c>
      <c r="E640" t="s">
        <v>284</v>
      </c>
      <c r="F640" t="s">
        <v>285</v>
      </c>
      <c r="G640" t="s">
        <v>285</v>
      </c>
      <c r="H640" t="s">
        <v>5</v>
      </c>
      <c r="I640" t="s">
        <v>172</v>
      </c>
      <c r="J640" t="s">
        <v>1521</v>
      </c>
      <c r="K640" t="s">
        <v>839</v>
      </c>
      <c r="L640" t="s">
        <v>123</v>
      </c>
      <c r="M640" t="s">
        <v>3168</v>
      </c>
      <c r="N640" t="s">
        <v>802</v>
      </c>
      <c r="O640" t="s">
        <v>789</v>
      </c>
    </row>
    <row r="641" spans="1:15" x14ac:dyDescent="0.25">
      <c r="A641" t="s">
        <v>875</v>
      </c>
      <c r="B641" t="s">
        <v>2967</v>
      </c>
      <c r="C641" t="s">
        <v>1510</v>
      </c>
      <c r="D641" t="s">
        <v>285</v>
      </c>
      <c r="E641" t="s">
        <v>285</v>
      </c>
      <c r="F641" t="s">
        <v>285</v>
      </c>
      <c r="G641" t="s">
        <v>285</v>
      </c>
      <c r="H641" t="s">
        <v>1408</v>
      </c>
      <c r="I641" t="s">
        <v>168</v>
      </c>
      <c r="J641" t="s">
        <v>2332</v>
      </c>
      <c r="K641" t="s">
        <v>800</v>
      </c>
      <c r="L641" t="s">
        <v>875</v>
      </c>
      <c r="M641" t="s">
        <v>1527</v>
      </c>
      <c r="N641" t="s">
        <v>1527</v>
      </c>
      <c r="O641" t="s">
        <v>1654</v>
      </c>
    </row>
    <row r="642" spans="1:15" x14ac:dyDescent="0.25">
      <c r="A642" t="s">
        <v>1444</v>
      </c>
      <c r="B642" t="s">
        <v>2968</v>
      </c>
      <c r="C642" t="s">
        <v>1510</v>
      </c>
      <c r="D642" t="s">
        <v>285</v>
      </c>
      <c r="E642" t="s">
        <v>285</v>
      </c>
      <c r="F642" t="s">
        <v>285</v>
      </c>
      <c r="G642" t="s">
        <v>285</v>
      </c>
      <c r="H642" t="s">
        <v>1408</v>
      </c>
      <c r="I642" t="s">
        <v>168</v>
      </c>
      <c r="J642" t="s">
        <v>168</v>
      </c>
      <c r="K642" t="s">
        <v>800</v>
      </c>
      <c r="L642" t="s">
        <v>1444</v>
      </c>
      <c r="M642" t="s">
        <v>1527</v>
      </c>
      <c r="N642" t="s">
        <v>3172</v>
      </c>
      <c r="O642" t="s">
        <v>1654</v>
      </c>
    </row>
    <row r="643" spans="1:15" x14ac:dyDescent="0.25">
      <c r="A643" t="s">
        <v>33</v>
      </c>
      <c r="B643" t="s">
        <v>2969</v>
      </c>
      <c r="C643" t="s">
        <v>100</v>
      </c>
      <c r="D643" t="s">
        <v>285</v>
      </c>
      <c r="E643" t="s">
        <v>285</v>
      </c>
      <c r="F643" t="s">
        <v>285</v>
      </c>
      <c r="G643" t="s">
        <v>285</v>
      </c>
      <c r="H643" t="s">
        <v>2345</v>
      </c>
      <c r="I643" t="s">
        <v>100</v>
      </c>
      <c r="J643" t="s">
        <v>1542</v>
      </c>
      <c r="K643" t="s">
        <v>801</v>
      </c>
      <c r="L643" t="s">
        <v>33</v>
      </c>
      <c r="M643" t="s">
        <v>3167</v>
      </c>
      <c r="N643" t="s">
        <v>1527</v>
      </c>
      <c r="O643" t="s">
        <v>789</v>
      </c>
    </row>
    <row r="644" spans="1:15" x14ac:dyDescent="0.25">
      <c r="A644" t="s">
        <v>93</v>
      </c>
      <c r="B644" t="s">
        <v>2970</v>
      </c>
      <c r="C644" t="s">
        <v>1510</v>
      </c>
      <c r="D644" t="s">
        <v>285</v>
      </c>
      <c r="E644" t="s">
        <v>285</v>
      </c>
      <c r="F644" t="s">
        <v>285</v>
      </c>
      <c r="G644" t="s">
        <v>285</v>
      </c>
      <c r="H644" t="s">
        <v>1408</v>
      </c>
      <c r="I644" t="s">
        <v>172</v>
      </c>
      <c r="J644" t="s">
        <v>100</v>
      </c>
      <c r="K644" t="s">
        <v>801</v>
      </c>
      <c r="L644" t="s">
        <v>93</v>
      </c>
      <c r="M644" t="s">
        <v>3167</v>
      </c>
      <c r="N644" t="s">
        <v>1527</v>
      </c>
      <c r="O644" t="s">
        <v>789</v>
      </c>
    </row>
    <row r="645" spans="1:15" x14ac:dyDescent="0.25">
      <c r="A645" t="s">
        <v>92</v>
      </c>
      <c r="B645" t="s">
        <v>2971</v>
      </c>
      <c r="C645" t="s">
        <v>1510</v>
      </c>
      <c r="D645" t="s">
        <v>285</v>
      </c>
      <c r="E645" t="s">
        <v>285</v>
      </c>
      <c r="F645" t="s">
        <v>285</v>
      </c>
      <c r="G645" t="s">
        <v>285</v>
      </c>
      <c r="H645" t="s">
        <v>1408</v>
      </c>
      <c r="I645" t="s">
        <v>172</v>
      </c>
      <c r="J645" t="s">
        <v>100</v>
      </c>
      <c r="K645" t="s">
        <v>801</v>
      </c>
      <c r="L645" t="s">
        <v>92</v>
      </c>
      <c r="M645" t="s">
        <v>3167</v>
      </c>
      <c r="N645" t="s">
        <v>1527</v>
      </c>
      <c r="O645" t="s">
        <v>789</v>
      </c>
    </row>
    <row r="646" spans="1:15" x14ac:dyDescent="0.25">
      <c r="A646" t="s">
        <v>1650</v>
      </c>
      <c r="B646" t="s">
        <v>2972</v>
      </c>
      <c r="C646" t="s">
        <v>1514</v>
      </c>
      <c r="D646" t="s">
        <v>285</v>
      </c>
      <c r="E646" t="s">
        <v>284</v>
      </c>
      <c r="F646" t="s">
        <v>285</v>
      </c>
      <c r="G646" t="s">
        <v>284</v>
      </c>
      <c r="H646" t="s">
        <v>5</v>
      </c>
      <c r="I646" t="s">
        <v>172</v>
      </c>
      <c r="J646" t="s">
        <v>1514</v>
      </c>
      <c r="K646" t="s">
        <v>839</v>
      </c>
      <c r="L646" t="s">
        <v>1650</v>
      </c>
      <c r="M646" t="s">
        <v>3168</v>
      </c>
      <c r="N646" t="s">
        <v>802</v>
      </c>
      <c r="O646" t="s">
        <v>1654</v>
      </c>
    </row>
    <row r="647" spans="1:15" x14ac:dyDescent="0.25">
      <c r="A647" t="s">
        <v>890</v>
      </c>
      <c r="B647" t="s">
        <v>2973</v>
      </c>
      <c r="C647" t="s">
        <v>1510</v>
      </c>
      <c r="D647" t="s">
        <v>285</v>
      </c>
      <c r="E647" t="s">
        <v>285</v>
      </c>
      <c r="F647" t="s">
        <v>285</v>
      </c>
      <c r="G647" t="s">
        <v>285</v>
      </c>
      <c r="H647" t="s">
        <v>1408</v>
      </c>
      <c r="I647" t="s">
        <v>100</v>
      </c>
      <c r="J647" t="s">
        <v>100</v>
      </c>
      <c r="K647" t="s">
        <v>814</v>
      </c>
      <c r="L647" t="s">
        <v>890</v>
      </c>
      <c r="M647" t="s">
        <v>1527</v>
      </c>
      <c r="N647" t="s">
        <v>1527</v>
      </c>
      <c r="O647" t="s">
        <v>789</v>
      </c>
    </row>
    <row r="648" spans="1:15" x14ac:dyDescent="0.25">
      <c r="A648" t="s">
        <v>679</v>
      </c>
      <c r="B648" t="s">
        <v>2974</v>
      </c>
      <c r="C648" t="s">
        <v>2317</v>
      </c>
      <c r="D648" t="s">
        <v>284</v>
      </c>
      <c r="E648" t="s">
        <v>285</v>
      </c>
      <c r="F648" t="s">
        <v>285</v>
      </c>
      <c r="G648" t="s">
        <v>285</v>
      </c>
      <c r="H648" t="s">
        <v>5</v>
      </c>
      <c r="I648" t="s">
        <v>172</v>
      </c>
      <c r="J648" t="s">
        <v>2295</v>
      </c>
      <c r="K648" t="s">
        <v>98</v>
      </c>
      <c r="L648" t="s">
        <v>679</v>
      </c>
      <c r="M648" t="s">
        <v>3168</v>
      </c>
      <c r="N648" t="s">
        <v>3172</v>
      </c>
      <c r="O648" t="s">
        <v>1654</v>
      </c>
    </row>
    <row r="649" spans="1:15" x14ac:dyDescent="0.25">
      <c r="A649" t="s">
        <v>114</v>
      </c>
      <c r="B649" t="s">
        <v>2975</v>
      </c>
      <c r="C649" t="s">
        <v>1510</v>
      </c>
      <c r="D649" t="s">
        <v>285</v>
      </c>
      <c r="E649" t="s">
        <v>285</v>
      </c>
      <c r="F649" t="s">
        <v>285</v>
      </c>
      <c r="G649" t="s">
        <v>285</v>
      </c>
      <c r="H649" t="s">
        <v>1408</v>
      </c>
      <c r="I649" t="s">
        <v>172</v>
      </c>
      <c r="J649" t="s">
        <v>2080</v>
      </c>
      <c r="K649" t="s">
        <v>839</v>
      </c>
      <c r="L649" t="s">
        <v>114</v>
      </c>
      <c r="M649" t="s">
        <v>3168</v>
      </c>
      <c r="N649" t="s">
        <v>1527</v>
      </c>
      <c r="O649" t="s">
        <v>789</v>
      </c>
    </row>
    <row r="650" spans="1:15" x14ac:dyDescent="0.25">
      <c r="A650" t="s">
        <v>742</v>
      </c>
      <c r="B650" t="s">
        <v>2976</v>
      </c>
      <c r="C650" t="s">
        <v>2255</v>
      </c>
      <c r="D650" t="s">
        <v>285</v>
      </c>
      <c r="E650" t="s">
        <v>285</v>
      </c>
      <c r="F650" t="s">
        <v>285</v>
      </c>
      <c r="G650" t="s">
        <v>284</v>
      </c>
      <c r="H650" t="s">
        <v>5</v>
      </c>
      <c r="I650" t="s">
        <v>172</v>
      </c>
      <c r="J650" t="s">
        <v>780</v>
      </c>
      <c r="K650" t="s">
        <v>780</v>
      </c>
      <c r="L650" t="s">
        <v>742</v>
      </c>
      <c r="M650" t="s">
        <v>3167</v>
      </c>
      <c r="N650" t="s">
        <v>3172</v>
      </c>
      <c r="O650" t="s">
        <v>1654</v>
      </c>
    </row>
    <row r="651" spans="1:15" x14ac:dyDescent="0.25">
      <c r="A651" t="s">
        <v>88</v>
      </c>
      <c r="B651" t="s">
        <v>2973</v>
      </c>
      <c r="C651" t="s">
        <v>1510</v>
      </c>
      <c r="D651" t="s">
        <v>285</v>
      </c>
      <c r="E651" t="s">
        <v>285</v>
      </c>
      <c r="F651" t="s">
        <v>285</v>
      </c>
      <c r="G651" t="s">
        <v>285</v>
      </c>
      <c r="H651" t="s">
        <v>1408</v>
      </c>
      <c r="I651" t="s">
        <v>100</v>
      </c>
      <c r="J651" t="s">
        <v>100</v>
      </c>
      <c r="K651" t="s">
        <v>814</v>
      </c>
      <c r="L651" t="s">
        <v>88</v>
      </c>
      <c r="M651" t="s">
        <v>1527</v>
      </c>
      <c r="N651" t="s">
        <v>1527</v>
      </c>
      <c r="O651" t="s">
        <v>789</v>
      </c>
    </row>
    <row r="652" spans="1:15" x14ac:dyDescent="0.25">
      <c r="A652" t="s">
        <v>1692</v>
      </c>
      <c r="B652" t="s">
        <v>2977</v>
      </c>
      <c r="C652" t="s">
        <v>1510</v>
      </c>
      <c r="D652" t="s">
        <v>285</v>
      </c>
      <c r="E652" t="s">
        <v>285</v>
      </c>
      <c r="F652" t="s">
        <v>285</v>
      </c>
      <c r="G652" t="s">
        <v>285</v>
      </c>
      <c r="H652" t="s">
        <v>1408</v>
      </c>
      <c r="I652" t="s">
        <v>172</v>
      </c>
      <c r="J652" t="s">
        <v>1546</v>
      </c>
      <c r="K652" t="s">
        <v>801</v>
      </c>
      <c r="L652" t="s">
        <v>1692</v>
      </c>
      <c r="M652" t="s">
        <v>3167</v>
      </c>
      <c r="N652" t="s">
        <v>1527</v>
      </c>
      <c r="O652" t="s">
        <v>789</v>
      </c>
    </row>
    <row r="653" spans="1:15" x14ac:dyDescent="0.25">
      <c r="A653" t="s">
        <v>1029</v>
      </c>
      <c r="B653" t="s">
        <v>2978</v>
      </c>
      <c r="C653" t="s">
        <v>2450</v>
      </c>
      <c r="D653" t="s">
        <v>284</v>
      </c>
      <c r="E653" t="s">
        <v>284</v>
      </c>
      <c r="F653" t="s">
        <v>285</v>
      </c>
      <c r="G653" t="s">
        <v>285</v>
      </c>
      <c r="H653" t="s">
        <v>5</v>
      </c>
      <c r="I653" t="s">
        <v>172</v>
      </c>
      <c r="J653" t="s">
        <v>1504</v>
      </c>
      <c r="K653" t="s">
        <v>839</v>
      </c>
      <c r="L653" t="s">
        <v>1029</v>
      </c>
      <c r="M653" t="s">
        <v>3168</v>
      </c>
      <c r="N653" t="s">
        <v>121</v>
      </c>
      <c r="O653" t="s">
        <v>789</v>
      </c>
    </row>
    <row r="654" spans="1:15" x14ac:dyDescent="0.25">
      <c r="A654" t="s">
        <v>779</v>
      </c>
      <c r="B654" t="s">
        <v>2979</v>
      </c>
      <c r="C654" t="s">
        <v>1510</v>
      </c>
      <c r="D654" t="s">
        <v>285</v>
      </c>
      <c r="E654" t="s">
        <v>285</v>
      </c>
      <c r="F654" t="s">
        <v>285</v>
      </c>
      <c r="G654" t="s">
        <v>285</v>
      </c>
      <c r="H654" t="s">
        <v>1408</v>
      </c>
      <c r="I654" t="s">
        <v>172</v>
      </c>
      <c r="J654" t="s">
        <v>1514</v>
      </c>
      <c r="K654" t="s">
        <v>839</v>
      </c>
      <c r="L654" t="s">
        <v>779</v>
      </c>
      <c r="M654" t="s">
        <v>3168</v>
      </c>
      <c r="N654" t="s">
        <v>802</v>
      </c>
      <c r="O654" t="s">
        <v>789</v>
      </c>
    </row>
    <row r="655" spans="1:15" x14ac:dyDescent="0.25">
      <c r="A655" t="s">
        <v>782</v>
      </c>
      <c r="B655" t="s">
        <v>2980</v>
      </c>
      <c r="C655" t="s">
        <v>1510</v>
      </c>
      <c r="D655" t="s">
        <v>285</v>
      </c>
      <c r="E655" t="s">
        <v>285</v>
      </c>
      <c r="F655" t="s">
        <v>285</v>
      </c>
      <c r="G655" t="s">
        <v>285</v>
      </c>
      <c r="H655" t="s">
        <v>1408</v>
      </c>
      <c r="I655" t="s">
        <v>172</v>
      </c>
      <c r="J655" t="s">
        <v>2178</v>
      </c>
      <c r="K655" t="s">
        <v>800</v>
      </c>
      <c r="L655" t="s">
        <v>782</v>
      </c>
      <c r="M655" t="s">
        <v>3167</v>
      </c>
      <c r="N655" t="s">
        <v>121</v>
      </c>
      <c r="O655" t="s">
        <v>789</v>
      </c>
    </row>
    <row r="656" spans="1:15" x14ac:dyDescent="0.25">
      <c r="A656" t="s">
        <v>1466</v>
      </c>
      <c r="B656" t="s">
        <v>2981</v>
      </c>
      <c r="C656" t="s">
        <v>2317</v>
      </c>
      <c r="D656" t="s">
        <v>285</v>
      </c>
      <c r="E656" t="s">
        <v>284</v>
      </c>
      <c r="F656" t="s">
        <v>285</v>
      </c>
      <c r="G656" t="s">
        <v>284</v>
      </c>
      <c r="H656" t="s">
        <v>5</v>
      </c>
      <c r="I656" t="s">
        <v>172</v>
      </c>
      <c r="J656" t="s">
        <v>2295</v>
      </c>
      <c r="K656" t="s">
        <v>98</v>
      </c>
      <c r="L656" t="s">
        <v>1466</v>
      </c>
      <c r="M656" t="s">
        <v>3168</v>
      </c>
      <c r="N656" t="s">
        <v>802</v>
      </c>
      <c r="O656" t="s">
        <v>1654</v>
      </c>
    </row>
    <row r="657" spans="1:15" x14ac:dyDescent="0.25">
      <c r="A657" t="s">
        <v>889</v>
      </c>
      <c r="B657" t="s">
        <v>2982</v>
      </c>
      <c r="C657" t="s">
        <v>2253</v>
      </c>
      <c r="D657" t="s">
        <v>285</v>
      </c>
      <c r="E657" t="s">
        <v>285</v>
      </c>
      <c r="F657" t="s">
        <v>285</v>
      </c>
      <c r="G657" t="s">
        <v>284</v>
      </c>
      <c r="H657" t="s">
        <v>5</v>
      </c>
      <c r="I657" t="s">
        <v>172</v>
      </c>
      <c r="J657" t="s">
        <v>769</v>
      </c>
      <c r="K657" s="138" t="s">
        <v>101</v>
      </c>
      <c r="L657" t="s">
        <v>889</v>
      </c>
      <c r="M657" t="s">
        <v>3167</v>
      </c>
      <c r="N657" t="s">
        <v>121</v>
      </c>
      <c r="O657" t="s">
        <v>1654</v>
      </c>
    </row>
    <row r="658" spans="1:15" x14ac:dyDescent="0.25">
      <c r="A658" t="s">
        <v>453</v>
      </c>
      <c r="B658" t="s">
        <v>2983</v>
      </c>
      <c r="C658" t="s">
        <v>2309</v>
      </c>
      <c r="D658" t="s">
        <v>285</v>
      </c>
      <c r="E658" t="s">
        <v>284</v>
      </c>
      <c r="F658" t="s">
        <v>285</v>
      </c>
      <c r="G658" t="s">
        <v>285</v>
      </c>
      <c r="H658" t="s">
        <v>5</v>
      </c>
      <c r="I658" t="s">
        <v>172</v>
      </c>
      <c r="J658" t="s">
        <v>2310</v>
      </c>
      <c r="K658" t="s">
        <v>840</v>
      </c>
      <c r="L658" t="s">
        <v>453</v>
      </c>
      <c r="M658" t="s">
        <v>3168</v>
      </c>
      <c r="N658" t="s">
        <v>1527</v>
      </c>
      <c r="O658" t="s">
        <v>1654</v>
      </c>
    </row>
    <row r="659" spans="1:15" x14ac:dyDescent="0.25">
      <c r="A659" t="s">
        <v>552</v>
      </c>
      <c r="B659" t="s">
        <v>2984</v>
      </c>
      <c r="C659" t="s">
        <v>2698</v>
      </c>
      <c r="D659" t="s">
        <v>285</v>
      </c>
      <c r="E659" t="s">
        <v>285</v>
      </c>
      <c r="F659" t="s">
        <v>285</v>
      </c>
      <c r="G659" t="s">
        <v>284</v>
      </c>
      <c r="H659" t="s">
        <v>5</v>
      </c>
      <c r="I659" t="s">
        <v>172</v>
      </c>
      <c r="J659" t="s">
        <v>2985</v>
      </c>
      <c r="K659" t="s">
        <v>788</v>
      </c>
      <c r="L659" t="s">
        <v>552</v>
      </c>
      <c r="M659" t="s">
        <v>3167</v>
      </c>
      <c r="N659" t="s">
        <v>121</v>
      </c>
      <c r="O659" t="s">
        <v>1654</v>
      </c>
    </row>
    <row r="660" spans="1:15" x14ac:dyDescent="0.25">
      <c r="A660" t="s">
        <v>142</v>
      </c>
      <c r="B660" t="s">
        <v>2986</v>
      </c>
      <c r="C660" t="s">
        <v>1509</v>
      </c>
      <c r="D660" t="s">
        <v>285</v>
      </c>
      <c r="E660" t="s">
        <v>284</v>
      </c>
      <c r="F660" t="s">
        <v>285</v>
      </c>
      <c r="G660" t="s">
        <v>285</v>
      </c>
      <c r="H660" t="s">
        <v>5</v>
      </c>
      <c r="I660" t="s">
        <v>172</v>
      </c>
      <c r="J660" t="s">
        <v>1509</v>
      </c>
      <c r="K660" t="s">
        <v>839</v>
      </c>
      <c r="L660" t="s">
        <v>142</v>
      </c>
      <c r="M660" t="s">
        <v>3168</v>
      </c>
      <c r="N660" t="s">
        <v>1527</v>
      </c>
      <c r="O660" t="s">
        <v>1654</v>
      </c>
    </row>
    <row r="661" spans="1:15" x14ac:dyDescent="0.25">
      <c r="A661" t="s">
        <v>454</v>
      </c>
      <c r="B661" t="s">
        <v>2987</v>
      </c>
      <c r="C661" t="s">
        <v>2402</v>
      </c>
      <c r="D661" t="s">
        <v>285</v>
      </c>
      <c r="E661" t="s">
        <v>284</v>
      </c>
      <c r="F661" t="s">
        <v>285</v>
      </c>
      <c r="G661" t="s">
        <v>284</v>
      </c>
      <c r="H661" t="s">
        <v>5</v>
      </c>
      <c r="I661" t="s">
        <v>172</v>
      </c>
      <c r="J661" t="s">
        <v>2225</v>
      </c>
      <c r="K661" t="s">
        <v>800</v>
      </c>
      <c r="L661" t="s">
        <v>454</v>
      </c>
      <c r="M661" t="s">
        <v>3168</v>
      </c>
      <c r="N661" t="s">
        <v>1527</v>
      </c>
      <c r="O661" t="s">
        <v>789</v>
      </c>
    </row>
    <row r="662" spans="1:15" x14ac:dyDescent="0.25">
      <c r="A662" t="s">
        <v>1678</v>
      </c>
      <c r="B662" t="s">
        <v>2988</v>
      </c>
      <c r="C662" t="s">
        <v>1510</v>
      </c>
      <c r="D662" t="s">
        <v>285</v>
      </c>
      <c r="E662" t="s">
        <v>285</v>
      </c>
      <c r="F662" t="s">
        <v>285</v>
      </c>
      <c r="G662" t="s">
        <v>285</v>
      </c>
      <c r="H662" t="s">
        <v>1408</v>
      </c>
      <c r="I662" t="s">
        <v>172</v>
      </c>
      <c r="J662" t="s">
        <v>89</v>
      </c>
      <c r="K662" t="s">
        <v>89</v>
      </c>
      <c r="L662" t="s">
        <v>1678</v>
      </c>
      <c r="M662" t="s">
        <v>3168</v>
      </c>
      <c r="N662" t="s">
        <v>1527</v>
      </c>
      <c r="O662" t="s">
        <v>1654</v>
      </c>
    </row>
    <row r="663" spans="1:15" x14ac:dyDescent="0.25">
      <c r="A663" t="s">
        <v>1401</v>
      </c>
      <c r="B663" t="s">
        <v>2989</v>
      </c>
      <c r="C663" t="s">
        <v>1510</v>
      </c>
      <c r="D663" t="s">
        <v>285</v>
      </c>
      <c r="E663" t="s">
        <v>285</v>
      </c>
      <c r="F663" t="s">
        <v>285</v>
      </c>
      <c r="G663" t="s">
        <v>285</v>
      </c>
      <c r="H663" t="s">
        <v>1408</v>
      </c>
      <c r="I663" t="s">
        <v>100</v>
      </c>
      <c r="J663" t="s">
        <v>100</v>
      </c>
      <c r="K663" t="s">
        <v>801</v>
      </c>
      <c r="L663" t="s">
        <v>1401</v>
      </c>
      <c r="M663" t="s">
        <v>3167</v>
      </c>
      <c r="N663" t="s">
        <v>1527</v>
      </c>
      <c r="O663" t="s">
        <v>1654</v>
      </c>
    </row>
    <row r="664" spans="1:15" x14ac:dyDescent="0.25">
      <c r="A664" t="s">
        <v>642</v>
      </c>
      <c r="B664" t="s">
        <v>2990</v>
      </c>
      <c r="C664" t="s">
        <v>2581</v>
      </c>
      <c r="D664" t="s">
        <v>284</v>
      </c>
      <c r="E664" t="s">
        <v>285</v>
      </c>
      <c r="F664" t="s">
        <v>285</v>
      </c>
      <c r="G664" t="s">
        <v>285</v>
      </c>
      <c r="H664" t="s">
        <v>5</v>
      </c>
      <c r="I664" t="s">
        <v>172</v>
      </c>
      <c r="J664" t="s">
        <v>780</v>
      </c>
      <c r="K664" t="s">
        <v>780</v>
      </c>
      <c r="L664" t="s">
        <v>642</v>
      </c>
      <c r="M664" t="s">
        <v>3167</v>
      </c>
      <c r="N664" t="s">
        <v>3172</v>
      </c>
      <c r="O664" t="s">
        <v>1654</v>
      </c>
    </row>
    <row r="665" spans="1:15" x14ac:dyDescent="0.25">
      <c r="A665" t="s">
        <v>604</v>
      </c>
      <c r="B665" t="s">
        <v>2991</v>
      </c>
      <c r="C665" t="s">
        <v>2402</v>
      </c>
      <c r="D665" t="s">
        <v>284</v>
      </c>
      <c r="E665" t="s">
        <v>285</v>
      </c>
      <c r="F665" t="s">
        <v>285</v>
      </c>
      <c r="G665" t="s">
        <v>285</v>
      </c>
      <c r="H665" t="s">
        <v>5</v>
      </c>
      <c r="I665" t="s">
        <v>172</v>
      </c>
      <c r="J665" t="s">
        <v>800</v>
      </c>
      <c r="K665" t="s">
        <v>800</v>
      </c>
      <c r="L665" t="s">
        <v>604</v>
      </c>
      <c r="M665" t="s">
        <v>3168</v>
      </c>
      <c r="N665" t="s">
        <v>802</v>
      </c>
      <c r="O665" t="s">
        <v>789</v>
      </c>
    </row>
    <row r="666" spans="1:15" x14ac:dyDescent="0.25">
      <c r="A666" t="s">
        <v>1271</v>
      </c>
      <c r="B666" t="s">
        <v>2992</v>
      </c>
      <c r="C666" t="s">
        <v>1510</v>
      </c>
      <c r="D666" t="s">
        <v>285</v>
      </c>
      <c r="E666" t="s">
        <v>285</v>
      </c>
      <c r="F666" t="s">
        <v>285</v>
      </c>
      <c r="G666" t="s">
        <v>285</v>
      </c>
      <c r="H666" t="s">
        <v>1408</v>
      </c>
      <c r="I666" t="s">
        <v>172</v>
      </c>
      <c r="J666" t="s">
        <v>2193</v>
      </c>
      <c r="K666" t="s">
        <v>800</v>
      </c>
      <c r="L666" t="s">
        <v>1271</v>
      </c>
      <c r="M666" t="s">
        <v>121</v>
      </c>
      <c r="N666" t="s">
        <v>3172</v>
      </c>
      <c r="O666" t="s">
        <v>1654</v>
      </c>
    </row>
    <row r="667" spans="1:15" x14ac:dyDescent="0.25">
      <c r="A667" t="s">
        <v>965</v>
      </c>
      <c r="B667" t="s">
        <v>2993</v>
      </c>
      <c r="C667" t="s">
        <v>2240</v>
      </c>
      <c r="D667" t="s">
        <v>285</v>
      </c>
      <c r="E667" t="s">
        <v>285</v>
      </c>
      <c r="F667" t="s">
        <v>285</v>
      </c>
      <c r="G667" t="s">
        <v>284</v>
      </c>
      <c r="H667" t="s">
        <v>5</v>
      </c>
      <c r="I667" t="s">
        <v>172</v>
      </c>
      <c r="J667" t="s">
        <v>2240</v>
      </c>
      <c r="K667" t="s">
        <v>840</v>
      </c>
      <c r="L667" t="s">
        <v>965</v>
      </c>
      <c r="M667" t="s">
        <v>3168</v>
      </c>
      <c r="N667" t="s">
        <v>1527</v>
      </c>
      <c r="O667" t="s">
        <v>1654</v>
      </c>
    </row>
    <row r="668" spans="1:15" x14ac:dyDescent="0.25">
      <c r="A668" t="s">
        <v>91</v>
      </c>
      <c r="B668" t="s">
        <v>2994</v>
      </c>
      <c r="C668" t="s">
        <v>1510</v>
      </c>
      <c r="D668" t="s">
        <v>285</v>
      </c>
      <c r="E668" t="s">
        <v>285</v>
      </c>
      <c r="F668" t="s">
        <v>285</v>
      </c>
      <c r="G668" t="s">
        <v>285</v>
      </c>
      <c r="H668" t="s">
        <v>1408</v>
      </c>
      <c r="I668" t="s">
        <v>172</v>
      </c>
      <c r="J668" t="s">
        <v>2193</v>
      </c>
      <c r="K668" t="s">
        <v>800</v>
      </c>
      <c r="L668" t="s">
        <v>91</v>
      </c>
      <c r="M668" t="s">
        <v>804</v>
      </c>
      <c r="N668" t="s">
        <v>1527</v>
      </c>
      <c r="O668" t="s">
        <v>1654</v>
      </c>
    </row>
    <row r="669" spans="1:15" x14ac:dyDescent="0.25">
      <c r="A669" t="s">
        <v>880</v>
      </c>
      <c r="B669" t="s">
        <v>2995</v>
      </c>
      <c r="C669" t="s">
        <v>1510</v>
      </c>
      <c r="D669" t="s">
        <v>285</v>
      </c>
      <c r="E669" t="s">
        <v>285</v>
      </c>
      <c r="F669" t="s">
        <v>285</v>
      </c>
      <c r="G669" t="s">
        <v>285</v>
      </c>
      <c r="H669" t="s">
        <v>1408</v>
      </c>
      <c r="I669" t="s">
        <v>172</v>
      </c>
      <c r="J669" t="s">
        <v>2193</v>
      </c>
      <c r="K669" t="s">
        <v>788</v>
      </c>
      <c r="L669" t="s">
        <v>880</v>
      </c>
      <c r="M669" t="s">
        <v>3168</v>
      </c>
      <c r="N669" t="s">
        <v>1527</v>
      </c>
      <c r="O669" t="s">
        <v>789</v>
      </c>
    </row>
    <row r="670" spans="1:15" x14ac:dyDescent="0.25">
      <c r="A670" t="s">
        <v>455</v>
      </c>
      <c r="B670" t="s">
        <v>2996</v>
      </c>
      <c r="C670" t="s">
        <v>2378</v>
      </c>
      <c r="D670" t="s">
        <v>285</v>
      </c>
      <c r="E670" t="s">
        <v>285</v>
      </c>
      <c r="F670" t="s">
        <v>285</v>
      </c>
      <c r="G670" t="s">
        <v>285</v>
      </c>
      <c r="H670" t="s">
        <v>5</v>
      </c>
      <c r="I670" t="s">
        <v>172</v>
      </c>
      <c r="J670" t="s">
        <v>2587</v>
      </c>
      <c r="K670" t="s">
        <v>840</v>
      </c>
      <c r="L670" t="s">
        <v>455</v>
      </c>
      <c r="M670" t="s">
        <v>3168</v>
      </c>
      <c r="N670" t="s">
        <v>802</v>
      </c>
      <c r="O670" t="s">
        <v>789</v>
      </c>
    </row>
    <row r="671" spans="1:15" x14ac:dyDescent="0.25">
      <c r="A671" t="s">
        <v>143</v>
      </c>
      <c r="B671" t="s">
        <v>2997</v>
      </c>
      <c r="C671" t="s">
        <v>1510</v>
      </c>
      <c r="D671" t="s">
        <v>285</v>
      </c>
      <c r="E671" t="s">
        <v>285</v>
      </c>
      <c r="F671" t="s">
        <v>285</v>
      </c>
      <c r="G671" t="s">
        <v>285</v>
      </c>
      <c r="H671" t="s">
        <v>1408</v>
      </c>
      <c r="I671" t="s">
        <v>172</v>
      </c>
      <c r="J671" t="s">
        <v>2193</v>
      </c>
      <c r="K671" t="s">
        <v>788</v>
      </c>
      <c r="L671" t="s">
        <v>143</v>
      </c>
      <c r="M671" t="s">
        <v>3168</v>
      </c>
      <c r="N671" t="s">
        <v>802</v>
      </c>
      <c r="O671" t="s">
        <v>789</v>
      </c>
    </row>
    <row r="672" spans="1:15" x14ac:dyDescent="0.25">
      <c r="A672" t="s">
        <v>823</v>
      </c>
      <c r="B672" t="s">
        <v>2998</v>
      </c>
      <c r="C672" t="s">
        <v>2317</v>
      </c>
      <c r="D672" t="s">
        <v>285</v>
      </c>
      <c r="E672" t="s">
        <v>284</v>
      </c>
      <c r="F672" t="s">
        <v>285</v>
      </c>
      <c r="G672" t="s">
        <v>284</v>
      </c>
      <c r="H672" t="s">
        <v>5</v>
      </c>
      <c r="I672" t="s">
        <v>172</v>
      </c>
      <c r="J672" t="s">
        <v>2999</v>
      </c>
      <c r="K672" t="s">
        <v>98</v>
      </c>
      <c r="L672" t="s">
        <v>823</v>
      </c>
      <c r="M672" t="s">
        <v>3168</v>
      </c>
      <c r="N672" t="s">
        <v>121</v>
      </c>
      <c r="O672" t="s">
        <v>1654</v>
      </c>
    </row>
    <row r="673" spans="1:15" x14ac:dyDescent="0.25">
      <c r="A673" t="s">
        <v>305</v>
      </c>
      <c r="B673" t="s">
        <v>3000</v>
      </c>
      <c r="C673" t="s">
        <v>1546</v>
      </c>
      <c r="D673" t="s">
        <v>284</v>
      </c>
      <c r="E673" t="s">
        <v>284</v>
      </c>
      <c r="F673" t="s">
        <v>285</v>
      </c>
      <c r="G673" t="s">
        <v>285</v>
      </c>
      <c r="H673" t="s">
        <v>5</v>
      </c>
      <c r="I673" t="s">
        <v>172</v>
      </c>
      <c r="J673" t="s">
        <v>1546</v>
      </c>
      <c r="K673" t="s">
        <v>801</v>
      </c>
      <c r="L673" t="s">
        <v>305</v>
      </c>
      <c r="M673" t="s">
        <v>3167</v>
      </c>
      <c r="N673" t="s">
        <v>121</v>
      </c>
      <c r="O673" t="s">
        <v>1654</v>
      </c>
    </row>
    <row r="674" spans="1:15" x14ac:dyDescent="0.25">
      <c r="A674" t="s">
        <v>636</v>
      </c>
      <c r="B674" t="s">
        <v>3001</v>
      </c>
      <c r="C674" t="s">
        <v>1523</v>
      </c>
      <c r="D674" t="s">
        <v>284</v>
      </c>
      <c r="E674" t="s">
        <v>285</v>
      </c>
      <c r="F674" t="s">
        <v>285</v>
      </c>
      <c r="G674" t="s">
        <v>285</v>
      </c>
      <c r="H674" t="s">
        <v>5</v>
      </c>
      <c r="I674" t="s">
        <v>172</v>
      </c>
      <c r="J674" t="s">
        <v>2295</v>
      </c>
      <c r="K674" t="s">
        <v>98</v>
      </c>
      <c r="L674" t="s">
        <v>636</v>
      </c>
      <c r="M674" t="s">
        <v>3168</v>
      </c>
      <c r="N674" t="s">
        <v>802</v>
      </c>
      <c r="O674" t="s">
        <v>1654</v>
      </c>
    </row>
    <row r="675" spans="1:15" x14ac:dyDescent="0.25">
      <c r="A675" t="s">
        <v>456</v>
      </c>
      <c r="B675" t="s">
        <v>3002</v>
      </c>
      <c r="C675" t="s">
        <v>2253</v>
      </c>
      <c r="D675" t="s">
        <v>285</v>
      </c>
      <c r="E675" t="s">
        <v>285</v>
      </c>
      <c r="F675" t="s">
        <v>285</v>
      </c>
      <c r="G675" t="s">
        <v>285</v>
      </c>
      <c r="H675" t="s">
        <v>5</v>
      </c>
      <c r="I675" t="s">
        <v>172</v>
      </c>
      <c r="J675" t="s">
        <v>769</v>
      </c>
      <c r="K675" t="s">
        <v>769</v>
      </c>
      <c r="L675" t="s">
        <v>456</v>
      </c>
      <c r="M675" t="s">
        <v>3167</v>
      </c>
      <c r="N675" t="s">
        <v>121</v>
      </c>
      <c r="O675" t="s">
        <v>1654</v>
      </c>
    </row>
    <row r="676" spans="1:15" x14ac:dyDescent="0.25">
      <c r="A676" t="s">
        <v>822</v>
      </c>
      <c r="B676" t="s">
        <v>3003</v>
      </c>
      <c r="C676" t="s">
        <v>1518</v>
      </c>
      <c r="D676" t="s">
        <v>285</v>
      </c>
      <c r="E676" t="s">
        <v>285</v>
      </c>
      <c r="F676" t="s">
        <v>285</v>
      </c>
      <c r="G676" t="s">
        <v>284</v>
      </c>
      <c r="H676" t="s">
        <v>5</v>
      </c>
      <c r="I676" t="s">
        <v>172</v>
      </c>
      <c r="J676" t="s">
        <v>103</v>
      </c>
      <c r="K676" t="s">
        <v>101</v>
      </c>
      <c r="L676" t="s">
        <v>822</v>
      </c>
      <c r="M676" t="s">
        <v>3167</v>
      </c>
      <c r="N676" t="s">
        <v>121</v>
      </c>
      <c r="O676" t="s">
        <v>1654</v>
      </c>
    </row>
    <row r="677" spans="1:15" x14ac:dyDescent="0.25">
      <c r="A677" t="s">
        <v>457</v>
      </c>
      <c r="B677" t="s">
        <v>3004</v>
      </c>
      <c r="C677" t="s">
        <v>1514</v>
      </c>
      <c r="D677" t="s">
        <v>284</v>
      </c>
      <c r="E677" t="s">
        <v>284</v>
      </c>
      <c r="F677" t="s">
        <v>285</v>
      </c>
      <c r="G677" t="s">
        <v>285</v>
      </c>
      <c r="H677" t="s">
        <v>5</v>
      </c>
      <c r="I677" t="s">
        <v>172</v>
      </c>
      <c r="J677" t="s">
        <v>1514</v>
      </c>
      <c r="K677" t="s">
        <v>839</v>
      </c>
      <c r="L677" t="s">
        <v>457</v>
      </c>
      <c r="M677" t="s">
        <v>3168</v>
      </c>
      <c r="N677" t="s">
        <v>121</v>
      </c>
      <c r="O677" t="s">
        <v>1654</v>
      </c>
    </row>
    <row r="678" spans="1:15" x14ac:dyDescent="0.25">
      <c r="A678" t="s">
        <v>683</v>
      </c>
      <c r="B678" t="s">
        <v>3005</v>
      </c>
      <c r="C678" t="s">
        <v>1511</v>
      </c>
      <c r="D678" t="s">
        <v>284</v>
      </c>
      <c r="E678" t="s">
        <v>285</v>
      </c>
      <c r="F678" t="s">
        <v>285</v>
      </c>
      <c r="G678" t="s">
        <v>285</v>
      </c>
      <c r="H678" t="s">
        <v>5</v>
      </c>
      <c r="I678" t="s">
        <v>172</v>
      </c>
      <c r="J678" t="s">
        <v>800</v>
      </c>
      <c r="K678" t="s">
        <v>800</v>
      </c>
      <c r="L678" t="s">
        <v>683</v>
      </c>
      <c r="M678" t="s">
        <v>3167</v>
      </c>
      <c r="N678" t="s">
        <v>121</v>
      </c>
      <c r="O678" t="s">
        <v>1654</v>
      </c>
    </row>
    <row r="679" spans="1:15" x14ac:dyDescent="0.25">
      <c r="A679" t="s">
        <v>557</v>
      </c>
      <c r="B679" t="s">
        <v>3006</v>
      </c>
      <c r="C679" t="s">
        <v>2372</v>
      </c>
      <c r="D679" t="s">
        <v>284</v>
      </c>
      <c r="E679" t="s">
        <v>285</v>
      </c>
      <c r="F679" t="s">
        <v>285</v>
      </c>
      <c r="G679" t="s">
        <v>285</v>
      </c>
      <c r="H679" t="s">
        <v>5</v>
      </c>
      <c r="I679" t="s">
        <v>172</v>
      </c>
      <c r="J679" t="s">
        <v>2295</v>
      </c>
      <c r="K679" t="s">
        <v>98</v>
      </c>
      <c r="L679" t="s">
        <v>557</v>
      </c>
      <c r="M679" t="s">
        <v>3168</v>
      </c>
      <c r="N679" t="s">
        <v>3172</v>
      </c>
      <c r="O679" t="s">
        <v>1654</v>
      </c>
    </row>
    <row r="680" spans="1:15" x14ac:dyDescent="0.25">
      <c r="A680" t="s">
        <v>458</v>
      </c>
      <c r="B680" t="s">
        <v>3007</v>
      </c>
      <c r="C680" t="s">
        <v>1533</v>
      </c>
      <c r="D680" t="s">
        <v>284</v>
      </c>
      <c r="E680" t="s">
        <v>285</v>
      </c>
      <c r="F680" t="s">
        <v>284</v>
      </c>
      <c r="G680" t="s">
        <v>285</v>
      </c>
      <c r="H680" t="s">
        <v>5</v>
      </c>
      <c r="I680" t="s">
        <v>172</v>
      </c>
      <c r="J680" t="s">
        <v>2263</v>
      </c>
      <c r="K680" t="s">
        <v>840</v>
      </c>
      <c r="L680" t="s">
        <v>458</v>
      </c>
      <c r="M680" t="s">
        <v>3168</v>
      </c>
      <c r="N680" t="s">
        <v>3172</v>
      </c>
      <c r="O680" t="s">
        <v>789</v>
      </c>
    </row>
    <row r="681" spans="1:15" x14ac:dyDescent="0.25">
      <c r="A681" t="s">
        <v>1400</v>
      </c>
      <c r="B681" t="s">
        <v>3008</v>
      </c>
      <c r="C681" t="s">
        <v>1510</v>
      </c>
      <c r="D681" t="s">
        <v>285</v>
      </c>
      <c r="E681" t="s">
        <v>285</v>
      </c>
      <c r="F681" t="s">
        <v>285</v>
      </c>
      <c r="G681" t="s">
        <v>285</v>
      </c>
      <c r="H681" t="s">
        <v>1408</v>
      </c>
      <c r="I681" t="s">
        <v>172</v>
      </c>
      <c r="J681" t="s">
        <v>3009</v>
      </c>
      <c r="K681" s="138" t="s">
        <v>89</v>
      </c>
      <c r="L681" t="s">
        <v>1400</v>
      </c>
      <c r="M681" t="s">
        <v>3168</v>
      </c>
      <c r="N681" t="s">
        <v>1527</v>
      </c>
      <c r="O681" t="s">
        <v>1654</v>
      </c>
    </row>
    <row r="682" spans="1:15" x14ac:dyDescent="0.25">
      <c r="A682" t="s">
        <v>689</v>
      </c>
      <c r="B682" t="s">
        <v>3010</v>
      </c>
      <c r="C682" t="s">
        <v>1523</v>
      </c>
      <c r="D682" t="s">
        <v>284</v>
      </c>
      <c r="E682" t="s">
        <v>285</v>
      </c>
      <c r="F682" t="s">
        <v>285</v>
      </c>
      <c r="G682" t="s">
        <v>285</v>
      </c>
      <c r="H682" t="s">
        <v>5</v>
      </c>
      <c r="I682" t="s">
        <v>172</v>
      </c>
      <c r="J682" t="s">
        <v>2295</v>
      </c>
      <c r="K682" t="s">
        <v>98</v>
      </c>
      <c r="L682" t="s">
        <v>689</v>
      </c>
      <c r="M682" t="s">
        <v>3168</v>
      </c>
      <c r="N682" t="s">
        <v>121</v>
      </c>
      <c r="O682" t="s">
        <v>1654</v>
      </c>
    </row>
    <row r="683" spans="1:15" x14ac:dyDescent="0.25">
      <c r="A683" t="s">
        <v>766</v>
      </c>
      <c r="B683" t="s">
        <v>3011</v>
      </c>
      <c r="C683" t="s">
        <v>1510</v>
      </c>
      <c r="D683" t="s">
        <v>285</v>
      </c>
      <c r="E683" t="s">
        <v>285</v>
      </c>
      <c r="F683" t="s">
        <v>285</v>
      </c>
      <c r="G683" t="s">
        <v>285</v>
      </c>
      <c r="H683" t="s">
        <v>1408</v>
      </c>
      <c r="I683" t="s">
        <v>168</v>
      </c>
      <c r="J683" t="s">
        <v>168</v>
      </c>
      <c r="K683" t="s">
        <v>813</v>
      </c>
      <c r="L683" t="s">
        <v>766</v>
      </c>
      <c r="M683" t="s">
        <v>1527</v>
      </c>
      <c r="N683" t="s">
        <v>1527</v>
      </c>
      <c r="O683" t="s">
        <v>1654</v>
      </c>
    </row>
    <row r="684" spans="1:15" x14ac:dyDescent="0.25">
      <c r="A684" t="s">
        <v>1037</v>
      </c>
      <c r="B684" t="s">
        <v>3012</v>
      </c>
      <c r="C684" t="s">
        <v>2309</v>
      </c>
      <c r="D684" t="s">
        <v>285</v>
      </c>
      <c r="E684" t="s">
        <v>285</v>
      </c>
      <c r="F684" t="s">
        <v>285</v>
      </c>
      <c r="G684" t="s">
        <v>285</v>
      </c>
      <c r="H684" t="s">
        <v>2230</v>
      </c>
      <c r="I684" t="s">
        <v>172</v>
      </c>
      <c r="J684" t="s">
        <v>1504</v>
      </c>
      <c r="K684" t="s">
        <v>840</v>
      </c>
      <c r="L684" t="s">
        <v>1037</v>
      </c>
      <c r="M684" t="s">
        <v>3168</v>
      </c>
      <c r="N684" t="s">
        <v>121</v>
      </c>
      <c r="O684" t="s">
        <v>789</v>
      </c>
    </row>
    <row r="685" spans="1:15" x14ac:dyDescent="0.25">
      <c r="A685" t="s">
        <v>932</v>
      </c>
      <c r="B685" t="s">
        <v>3013</v>
      </c>
      <c r="C685" t="s">
        <v>1505</v>
      </c>
      <c r="D685" t="s">
        <v>285</v>
      </c>
      <c r="E685" t="s">
        <v>285</v>
      </c>
      <c r="F685" t="s">
        <v>285</v>
      </c>
      <c r="G685" t="s">
        <v>285</v>
      </c>
      <c r="H685" t="s">
        <v>2340</v>
      </c>
      <c r="I685" t="s">
        <v>172</v>
      </c>
      <c r="J685" t="s">
        <v>832</v>
      </c>
      <c r="K685" t="s">
        <v>832</v>
      </c>
      <c r="L685" t="s">
        <v>932</v>
      </c>
      <c r="M685" t="s">
        <v>3168</v>
      </c>
      <c r="N685" t="s">
        <v>121</v>
      </c>
      <c r="O685" t="s">
        <v>1654</v>
      </c>
    </row>
    <row r="686" spans="1:15" x14ac:dyDescent="0.25">
      <c r="A686" t="s">
        <v>459</v>
      </c>
      <c r="B686" t="s">
        <v>3014</v>
      </c>
      <c r="C686" t="s">
        <v>1516</v>
      </c>
      <c r="D686" t="s">
        <v>285</v>
      </c>
      <c r="E686" t="s">
        <v>284</v>
      </c>
      <c r="F686" t="s">
        <v>285</v>
      </c>
      <c r="G686" t="s">
        <v>284</v>
      </c>
      <c r="H686" t="s">
        <v>5</v>
      </c>
      <c r="I686" t="s">
        <v>172</v>
      </c>
      <c r="J686" t="s">
        <v>3015</v>
      </c>
      <c r="K686" t="s">
        <v>1616</v>
      </c>
      <c r="L686" t="s">
        <v>459</v>
      </c>
      <c r="M686" t="s">
        <v>3168</v>
      </c>
      <c r="N686" t="s">
        <v>1527</v>
      </c>
      <c r="O686" t="s">
        <v>1654</v>
      </c>
    </row>
    <row r="687" spans="1:15" x14ac:dyDescent="0.25">
      <c r="A687" t="s">
        <v>149</v>
      </c>
      <c r="B687" t="s">
        <v>3016</v>
      </c>
      <c r="C687" t="s">
        <v>1509</v>
      </c>
      <c r="D687" t="s">
        <v>285</v>
      </c>
      <c r="E687" t="s">
        <v>284</v>
      </c>
      <c r="F687" t="s">
        <v>285</v>
      </c>
      <c r="G687" t="s">
        <v>285</v>
      </c>
      <c r="H687" t="s">
        <v>5</v>
      </c>
      <c r="I687" t="s">
        <v>172</v>
      </c>
      <c r="J687" t="s">
        <v>1509</v>
      </c>
      <c r="K687" t="s">
        <v>839</v>
      </c>
      <c r="L687" t="s">
        <v>149</v>
      </c>
      <c r="M687" t="s">
        <v>3168</v>
      </c>
      <c r="N687" t="s">
        <v>802</v>
      </c>
      <c r="O687" t="s">
        <v>1654</v>
      </c>
    </row>
    <row r="688" spans="1:15" x14ac:dyDescent="0.25">
      <c r="A688" t="s">
        <v>460</v>
      </c>
      <c r="B688" t="s">
        <v>3017</v>
      </c>
      <c r="C688" t="s">
        <v>1505</v>
      </c>
      <c r="D688" t="s">
        <v>285</v>
      </c>
      <c r="E688" t="s">
        <v>285</v>
      </c>
      <c r="F688" t="s">
        <v>285</v>
      </c>
      <c r="G688" t="s">
        <v>285</v>
      </c>
      <c r="H688" t="s">
        <v>2230</v>
      </c>
      <c r="I688" t="s">
        <v>172</v>
      </c>
      <c r="J688" t="s">
        <v>1505</v>
      </c>
      <c r="K688" t="s">
        <v>1616</v>
      </c>
      <c r="L688" t="s">
        <v>460</v>
      </c>
      <c r="M688" t="s">
        <v>3168</v>
      </c>
      <c r="N688" t="s">
        <v>121</v>
      </c>
      <c r="O688" t="s">
        <v>789</v>
      </c>
    </row>
    <row r="689" spans="1:15" x14ac:dyDescent="0.25">
      <c r="A689" t="s">
        <v>768</v>
      </c>
      <c r="B689" t="s">
        <v>3018</v>
      </c>
      <c r="C689" t="s">
        <v>1510</v>
      </c>
      <c r="D689" t="s">
        <v>285</v>
      </c>
      <c r="E689" t="s">
        <v>285</v>
      </c>
      <c r="F689" t="s">
        <v>285</v>
      </c>
      <c r="G689" t="s">
        <v>285</v>
      </c>
      <c r="H689" t="s">
        <v>1408</v>
      </c>
      <c r="I689" t="s">
        <v>168</v>
      </c>
      <c r="J689" t="s">
        <v>168</v>
      </c>
      <c r="K689" t="s">
        <v>813</v>
      </c>
      <c r="L689" t="s">
        <v>768</v>
      </c>
      <c r="M689" t="s">
        <v>1527</v>
      </c>
      <c r="N689" t="s">
        <v>1527</v>
      </c>
      <c r="O689" t="s">
        <v>1654</v>
      </c>
    </row>
    <row r="690" spans="1:15" x14ac:dyDescent="0.25">
      <c r="A690" t="s">
        <v>1482</v>
      </c>
      <c r="B690" t="s">
        <v>3019</v>
      </c>
      <c r="C690" t="s">
        <v>89</v>
      </c>
      <c r="D690" t="s">
        <v>285</v>
      </c>
      <c r="E690" t="s">
        <v>285</v>
      </c>
      <c r="F690" t="s">
        <v>285</v>
      </c>
      <c r="G690" t="s">
        <v>285</v>
      </c>
      <c r="H690" t="s">
        <v>2230</v>
      </c>
      <c r="I690" t="s">
        <v>172</v>
      </c>
      <c r="J690" t="s">
        <v>89</v>
      </c>
      <c r="K690" s="138" t="s">
        <v>769</v>
      </c>
      <c r="L690" t="s">
        <v>1482</v>
      </c>
      <c r="M690" t="s">
        <v>3167</v>
      </c>
      <c r="N690" t="s">
        <v>121</v>
      </c>
      <c r="O690" t="s">
        <v>789</v>
      </c>
    </row>
    <row r="691" spans="1:15" x14ac:dyDescent="0.25">
      <c r="A691" t="s">
        <v>549</v>
      </c>
      <c r="B691" t="s">
        <v>3020</v>
      </c>
      <c r="C691" t="s">
        <v>2248</v>
      </c>
      <c r="D691" t="s">
        <v>284</v>
      </c>
      <c r="E691" t="s">
        <v>285</v>
      </c>
      <c r="F691" t="s">
        <v>285</v>
      </c>
      <c r="G691" t="s">
        <v>285</v>
      </c>
      <c r="H691" t="s">
        <v>5</v>
      </c>
      <c r="I691" t="s">
        <v>172</v>
      </c>
      <c r="J691" t="s">
        <v>103</v>
      </c>
      <c r="K691" s="138" t="s">
        <v>98</v>
      </c>
      <c r="L691" t="s">
        <v>549</v>
      </c>
      <c r="M691" t="s">
        <v>3168</v>
      </c>
      <c r="N691" t="s">
        <v>121</v>
      </c>
      <c r="O691" t="s">
        <v>1654</v>
      </c>
    </row>
    <row r="692" spans="1:15" x14ac:dyDescent="0.25">
      <c r="A692" t="s">
        <v>542</v>
      </c>
      <c r="B692" t="s">
        <v>3021</v>
      </c>
      <c r="C692" t="s">
        <v>1507</v>
      </c>
      <c r="D692" t="s">
        <v>285</v>
      </c>
      <c r="E692" t="s">
        <v>285</v>
      </c>
      <c r="F692" t="s">
        <v>285</v>
      </c>
      <c r="G692" t="s">
        <v>284</v>
      </c>
      <c r="H692" t="s">
        <v>5</v>
      </c>
      <c r="I692" t="s">
        <v>172</v>
      </c>
      <c r="J692" t="s">
        <v>1407</v>
      </c>
      <c r="K692" t="s">
        <v>1616</v>
      </c>
      <c r="L692" t="s">
        <v>542</v>
      </c>
      <c r="M692" t="s">
        <v>3168</v>
      </c>
      <c r="N692" t="s">
        <v>121</v>
      </c>
      <c r="O692" t="s">
        <v>789</v>
      </c>
    </row>
    <row r="693" spans="1:15" x14ac:dyDescent="0.25">
      <c r="A693" t="s">
        <v>1240</v>
      </c>
      <c r="B693" t="s">
        <v>3022</v>
      </c>
      <c r="C693" t="s">
        <v>1510</v>
      </c>
      <c r="D693" t="s">
        <v>285</v>
      </c>
      <c r="E693" t="s">
        <v>285</v>
      </c>
      <c r="F693" t="s">
        <v>285</v>
      </c>
      <c r="G693" t="s">
        <v>285</v>
      </c>
      <c r="H693" t="s">
        <v>1408</v>
      </c>
      <c r="I693" t="s">
        <v>172</v>
      </c>
      <c r="J693" t="s">
        <v>2178</v>
      </c>
      <c r="K693" t="s">
        <v>800</v>
      </c>
      <c r="L693" t="s">
        <v>1240</v>
      </c>
      <c r="M693" t="s">
        <v>3167</v>
      </c>
      <c r="N693" t="s">
        <v>121</v>
      </c>
      <c r="O693" t="s">
        <v>1654</v>
      </c>
    </row>
    <row r="694" spans="1:15" x14ac:dyDescent="0.25">
      <c r="A694" t="s">
        <v>1417</v>
      </c>
      <c r="B694" t="s">
        <v>3023</v>
      </c>
      <c r="C694" t="s">
        <v>2317</v>
      </c>
      <c r="D694" t="s">
        <v>285</v>
      </c>
      <c r="E694" t="s">
        <v>285</v>
      </c>
      <c r="F694" t="s">
        <v>285</v>
      </c>
      <c r="G694" t="s">
        <v>284</v>
      </c>
      <c r="H694" t="s">
        <v>5</v>
      </c>
      <c r="I694" t="s">
        <v>172</v>
      </c>
      <c r="J694" t="s">
        <v>2999</v>
      </c>
      <c r="K694" t="s">
        <v>98</v>
      </c>
      <c r="L694" t="s">
        <v>1417</v>
      </c>
      <c r="M694" t="s">
        <v>3168</v>
      </c>
      <c r="N694" t="s">
        <v>121</v>
      </c>
      <c r="O694" t="s">
        <v>1654</v>
      </c>
    </row>
    <row r="695" spans="1:15" x14ac:dyDescent="0.25">
      <c r="A695" t="s">
        <v>828</v>
      </c>
      <c r="B695" t="s">
        <v>3024</v>
      </c>
      <c r="C695" t="s">
        <v>2589</v>
      </c>
      <c r="D695" t="s">
        <v>285</v>
      </c>
      <c r="E695" t="s">
        <v>284</v>
      </c>
      <c r="F695" t="s">
        <v>285</v>
      </c>
      <c r="G695" t="s">
        <v>285</v>
      </c>
      <c r="H695" t="s">
        <v>2230</v>
      </c>
      <c r="I695" t="s">
        <v>172</v>
      </c>
      <c r="J695" t="s">
        <v>800</v>
      </c>
      <c r="K695" t="s">
        <v>800</v>
      </c>
      <c r="L695" t="s">
        <v>828</v>
      </c>
      <c r="M695" t="s">
        <v>3168</v>
      </c>
      <c r="N695" t="s">
        <v>1527</v>
      </c>
      <c r="O695" t="s">
        <v>789</v>
      </c>
    </row>
    <row r="696" spans="1:15" x14ac:dyDescent="0.25">
      <c r="A696" t="s">
        <v>1486</v>
      </c>
      <c r="B696" t="s">
        <v>3025</v>
      </c>
      <c r="C696" t="s">
        <v>1510</v>
      </c>
      <c r="D696" t="s">
        <v>285</v>
      </c>
      <c r="E696" t="s">
        <v>285</v>
      </c>
      <c r="F696" t="s">
        <v>285</v>
      </c>
      <c r="G696" t="s">
        <v>285</v>
      </c>
      <c r="H696" t="s">
        <v>1408</v>
      </c>
      <c r="I696" t="s">
        <v>168</v>
      </c>
      <c r="J696" t="s">
        <v>168</v>
      </c>
      <c r="K696" t="s">
        <v>813</v>
      </c>
      <c r="L696" t="s">
        <v>1486</v>
      </c>
      <c r="M696" t="s">
        <v>1527</v>
      </c>
      <c r="N696" t="s">
        <v>1527</v>
      </c>
      <c r="O696" t="s">
        <v>1654</v>
      </c>
    </row>
    <row r="697" spans="1:15" x14ac:dyDescent="0.25">
      <c r="A697" t="s">
        <v>511</v>
      </c>
      <c r="B697" t="s">
        <v>3026</v>
      </c>
      <c r="C697" t="s">
        <v>1518</v>
      </c>
      <c r="D697" t="s">
        <v>284</v>
      </c>
      <c r="E697" t="s">
        <v>285</v>
      </c>
      <c r="F697" t="s">
        <v>285</v>
      </c>
      <c r="G697" t="s">
        <v>285</v>
      </c>
      <c r="H697" t="s">
        <v>5</v>
      </c>
      <c r="I697" t="s">
        <v>172</v>
      </c>
      <c r="J697" t="s">
        <v>103</v>
      </c>
      <c r="K697" t="s">
        <v>101</v>
      </c>
      <c r="L697" t="s">
        <v>511</v>
      </c>
      <c r="M697" t="s">
        <v>3168</v>
      </c>
      <c r="N697" t="s">
        <v>802</v>
      </c>
      <c r="O697" t="s">
        <v>789</v>
      </c>
    </row>
    <row r="698" spans="1:15" x14ac:dyDescent="0.25">
      <c r="A698" t="s">
        <v>898</v>
      </c>
      <c r="B698" t="s">
        <v>3027</v>
      </c>
      <c r="C698" t="s">
        <v>2378</v>
      </c>
      <c r="D698" t="s">
        <v>285</v>
      </c>
      <c r="E698" t="s">
        <v>285</v>
      </c>
      <c r="F698" t="s">
        <v>285</v>
      </c>
      <c r="G698" t="s">
        <v>285</v>
      </c>
      <c r="H698" t="s">
        <v>5</v>
      </c>
      <c r="I698" t="s">
        <v>172</v>
      </c>
      <c r="J698" t="s">
        <v>2378</v>
      </c>
      <c r="K698" t="s">
        <v>840</v>
      </c>
      <c r="L698" t="s">
        <v>898</v>
      </c>
      <c r="M698" t="s">
        <v>3168</v>
      </c>
      <c r="N698" t="s">
        <v>802</v>
      </c>
      <c r="O698" t="s">
        <v>789</v>
      </c>
    </row>
    <row r="699" spans="1:15" x14ac:dyDescent="0.25">
      <c r="A699" t="s">
        <v>461</v>
      </c>
      <c r="B699" t="s">
        <v>3028</v>
      </c>
      <c r="C699" t="s">
        <v>2227</v>
      </c>
      <c r="D699" t="s">
        <v>285</v>
      </c>
      <c r="E699" t="s">
        <v>285</v>
      </c>
      <c r="F699" t="s">
        <v>285</v>
      </c>
      <c r="G699" t="s">
        <v>284</v>
      </c>
      <c r="H699" t="s">
        <v>5</v>
      </c>
      <c r="I699" t="s">
        <v>172</v>
      </c>
      <c r="J699" t="s">
        <v>2227</v>
      </c>
      <c r="K699" t="s">
        <v>788</v>
      </c>
      <c r="L699" t="s">
        <v>461</v>
      </c>
      <c r="M699" t="s">
        <v>3167</v>
      </c>
      <c r="N699" t="s">
        <v>802</v>
      </c>
      <c r="O699" t="s">
        <v>1654</v>
      </c>
    </row>
    <row r="700" spans="1:15" x14ac:dyDescent="0.25">
      <c r="A700" t="s">
        <v>941</v>
      </c>
      <c r="B700" t="s">
        <v>3029</v>
      </c>
      <c r="C700" t="s">
        <v>1510</v>
      </c>
      <c r="D700" t="s">
        <v>285</v>
      </c>
      <c r="E700" t="s">
        <v>285</v>
      </c>
      <c r="F700" t="s">
        <v>285</v>
      </c>
      <c r="G700" t="s">
        <v>285</v>
      </c>
      <c r="H700" t="s">
        <v>1408</v>
      </c>
      <c r="I700" t="s">
        <v>168</v>
      </c>
      <c r="J700" t="s">
        <v>806</v>
      </c>
      <c r="K700" t="s">
        <v>800</v>
      </c>
      <c r="L700" t="s">
        <v>941</v>
      </c>
      <c r="M700" t="s">
        <v>1527</v>
      </c>
      <c r="N700" t="s">
        <v>1527</v>
      </c>
      <c r="O700" t="s">
        <v>1654</v>
      </c>
    </row>
    <row r="701" spans="1:15" x14ac:dyDescent="0.25">
      <c r="A701" t="s">
        <v>546</v>
      </c>
      <c r="B701" t="s">
        <v>3030</v>
      </c>
      <c r="C701" t="s">
        <v>2240</v>
      </c>
      <c r="D701" t="s">
        <v>285</v>
      </c>
      <c r="E701" t="s">
        <v>285</v>
      </c>
      <c r="F701" t="s">
        <v>285</v>
      </c>
      <c r="G701" t="s">
        <v>285</v>
      </c>
      <c r="H701" t="s">
        <v>2230</v>
      </c>
      <c r="I701" t="s">
        <v>172</v>
      </c>
      <c r="J701" t="s">
        <v>2240</v>
      </c>
      <c r="K701" t="s">
        <v>840</v>
      </c>
      <c r="L701" t="s">
        <v>546</v>
      </c>
      <c r="M701" t="s">
        <v>3168</v>
      </c>
      <c r="N701" t="s">
        <v>121</v>
      </c>
      <c r="O701" t="s">
        <v>789</v>
      </c>
    </row>
    <row r="702" spans="1:15" x14ac:dyDescent="0.25">
      <c r="A702" t="s">
        <v>598</v>
      </c>
      <c r="B702" t="s">
        <v>3031</v>
      </c>
      <c r="C702" t="s">
        <v>2267</v>
      </c>
      <c r="D702" t="s">
        <v>284</v>
      </c>
      <c r="E702" t="s">
        <v>285</v>
      </c>
      <c r="F702" t="s">
        <v>285</v>
      </c>
      <c r="G702" t="s">
        <v>285</v>
      </c>
      <c r="H702" t="s">
        <v>5</v>
      </c>
      <c r="I702" t="s">
        <v>172</v>
      </c>
      <c r="J702" t="s">
        <v>2268</v>
      </c>
      <c r="K702" t="s">
        <v>1616</v>
      </c>
      <c r="L702" t="s">
        <v>598</v>
      </c>
      <c r="M702" t="s">
        <v>3168</v>
      </c>
      <c r="N702" t="s">
        <v>802</v>
      </c>
      <c r="O702" t="s">
        <v>1654</v>
      </c>
    </row>
    <row r="703" spans="1:15" x14ac:dyDescent="0.25">
      <c r="A703" t="s">
        <v>509</v>
      </c>
      <c r="B703" t="s">
        <v>3032</v>
      </c>
      <c r="C703" t="s">
        <v>1533</v>
      </c>
      <c r="D703" t="s">
        <v>284</v>
      </c>
      <c r="E703" t="s">
        <v>284</v>
      </c>
      <c r="F703" t="s">
        <v>285</v>
      </c>
      <c r="G703" t="s">
        <v>285</v>
      </c>
      <c r="H703" t="s">
        <v>5</v>
      </c>
      <c r="I703" t="s">
        <v>172</v>
      </c>
      <c r="J703" t="s">
        <v>2263</v>
      </c>
      <c r="K703" t="s">
        <v>840</v>
      </c>
      <c r="L703" t="s">
        <v>509</v>
      </c>
      <c r="M703" t="s">
        <v>3168</v>
      </c>
      <c r="N703" t="s">
        <v>802</v>
      </c>
      <c r="O703" t="s">
        <v>789</v>
      </c>
    </row>
    <row r="704" spans="1:15" x14ac:dyDescent="0.25">
      <c r="A704" t="s">
        <v>1642</v>
      </c>
      <c r="B704" t="s">
        <v>3033</v>
      </c>
      <c r="C704" t="s">
        <v>2491</v>
      </c>
      <c r="D704" t="s">
        <v>285</v>
      </c>
      <c r="E704" t="s">
        <v>285</v>
      </c>
      <c r="F704" t="s">
        <v>285</v>
      </c>
      <c r="G704" t="s">
        <v>284</v>
      </c>
      <c r="H704" t="s">
        <v>5</v>
      </c>
      <c r="I704" t="s">
        <v>172</v>
      </c>
      <c r="J704" t="s">
        <v>3034</v>
      </c>
      <c r="K704" t="s">
        <v>788</v>
      </c>
      <c r="L704" t="s">
        <v>1642</v>
      </c>
      <c r="M704" t="s">
        <v>3168</v>
      </c>
      <c r="N704" t="s">
        <v>802</v>
      </c>
      <c r="O704" t="s">
        <v>1654</v>
      </c>
    </row>
    <row r="705" spans="1:15" x14ac:dyDescent="0.25">
      <c r="A705" t="s">
        <v>1777</v>
      </c>
      <c r="B705" t="s">
        <v>3035</v>
      </c>
      <c r="C705" t="s">
        <v>1510</v>
      </c>
      <c r="D705" t="s">
        <v>285</v>
      </c>
      <c r="E705" t="s">
        <v>285</v>
      </c>
      <c r="F705" t="s">
        <v>285</v>
      </c>
      <c r="G705" t="s">
        <v>285</v>
      </c>
      <c r="H705" t="s">
        <v>1408</v>
      </c>
      <c r="I705" t="s">
        <v>172</v>
      </c>
      <c r="J705" t="s">
        <v>832</v>
      </c>
      <c r="K705" t="s">
        <v>832</v>
      </c>
      <c r="L705" t="s">
        <v>1777</v>
      </c>
      <c r="M705" t="s">
        <v>3168</v>
      </c>
      <c r="N705" t="s">
        <v>1527</v>
      </c>
      <c r="O705" t="s">
        <v>1654</v>
      </c>
    </row>
    <row r="706" spans="1:15" x14ac:dyDescent="0.25">
      <c r="A706" t="s">
        <v>462</v>
      </c>
      <c r="B706" t="s">
        <v>3036</v>
      </c>
      <c r="C706" t="s">
        <v>1509</v>
      </c>
      <c r="D706" t="s">
        <v>285</v>
      </c>
      <c r="E706" t="s">
        <v>285</v>
      </c>
      <c r="F706" t="s">
        <v>285</v>
      </c>
      <c r="G706" t="s">
        <v>284</v>
      </c>
      <c r="H706" t="s">
        <v>5</v>
      </c>
      <c r="I706" t="s">
        <v>172</v>
      </c>
      <c r="J706" t="s">
        <v>2225</v>
      </c>
      <c r="K706" t="s">
        <v>800</v>
      </c>
      <c r="L706" t="s">
        <v>462</v>
      </c>
      <c r="M706" t="s">
        <v>3168</v>
      </c>
      <c r="N706" t="s">
        <v>1527</v>
      </c>
      <c r="O706" t="s">
        <v>789</v>
      </c>
    </row>
    <row r="707" spans="1:15" x14ac:dyDescent="0.25">
      <c r="A707" t="s">
        <v>1163</v>
      </c>
      <c r="B707" t="s">
        <v>3037</v>
      </c>
      <c r="C707" t="s">
        <v>1548</v>
      </c>
      <c r="D707" t="s">
        <v>285</v>
      </c>
      <c r="E707" t="s">
        <v>285</v>
      </c>
      <c r="F707" t="s">
        <v>285</v>
      </c>
      <c r="G707" t="s">
        <v>284</v>
      </c>
      <c r="H707" t="s">
        <v>5</v>
      </c>
      <c r="I707" t="s">
        <v>172</v>
      </c>
      <c r="J707" t="s">
        <v>2295</v>
      </c>
      <c r="K707" t="s">
        <v>832</v>
      </c>
      <c r="L707" t="s">
        <v>1163</v>
      </c>
      <c r="M707" t="s">
        <v>3168</v>
      </c>
      <c r="N707" t="s">
        <v>121</v>
      </c>
      <c r="O707" t="s">
        <v>1654</v>
      </c>
    </row>
    <row r="708" spans="1:15" x14ac:dyDescent="0.25">
      <c r="A708" t="s">
        <v>705</v>
      </c>
      <c r="B708" t="s">
        <v>3038</v>
      </c>
      <c r="C708" t="s">
        <v>2253</v>
      </c>
      <c r="D708" t="s">
        <v>285</v>
      </c>
      <c r="E708" t="s">
        <v>285</v>
      </c>
      <c r="F708" t="s">
        <v>285</v>
      </c>
      <c r="G708" t="s">
        <v>284</v>
      </c>
      <c r="H708" t="s">
        <v>5</v>
      </c>
      <c r="I708" t="s">
        <v>172</v>
      </c>
      <c r="J708" t="s">
        <v>3039</v>
      </c>
      <c r="K708" t="s">
        <v>769</v>
      </c>
      <c r="L708" t="s">
        <v>705</v>
      </c>
      <c r="M708" t="s">
        <v>3167</v>
      </c>
      <c r="N708" t="s">
        <v>802</v>
      </c>
      <c r="O708" t="s">
        <v>789</v>
      </c>
    </row>
    <row r="709" spans="1:15" x14ac:dyDescent="0.25">
      <c r="A709" t="s">
        <v>563</v>
      </c>
      <c r="B709" t="s">
        <v>3040</v>
      </c>
      <c r="C709" t="s">
        <v>2294</v>
      </c>
      <c r="D709" t="s">
        <v>284</v>
      </c>
      <c r="E709" t="s">
        <v>285</v>
      </c>
      <c r="F709" t="s">
        <v>285</v>
      </c>
      <c r="G709" t="s">
        <v>285</v>
      </c>
      <c r="H709" t="s">
        <v>5</v>
      </c>
      <c r="I709" t="s">
        <v>172</v>
      </c>
      <c r="J709" t="s">
        <v>2415</v>
      </c>
      <c r="K709" t="s">
        <v>101</v>
      </c>
      <c r="L709" t="s">
        <v>563</v>
      </c>
      <c r="M709" t="s">
        <v>3167</v>
      </c>
      <c r="N709" t="s">
        <v>121</v>
      </c>
      <c r="O709" t="s">
        <v>789</v>
      </c>
    </row>
    <row r="710" spans="1:15" x14ac:dyDescent="0.25">
      <c r="A710" t="s">
        <v>569</v>
      </c>
      <c r="B710" t="s">
        <v>3041</v>
      </c>
      <c r="C710" t="s">
        <v>2212</v>
      </c>
      <c r="D710" t="s">
        <v>285</v>
      </c>
      <c r="E710" t="s">
        <v>284</v>
      </c>
      <c r="F710" t="s">
        <v>285</v>
      </c>
      <c r="G710" t="s">
        <v>284</v>
      </c>
      <c r="H710" t="s">
        <v>5</v>
      </c>
      <c r="I710" t="s">
        <v>172</v>
      </c>
      <c r="J710" t="s">
        <v>3042</v>
      </c>
      <c r="K710" t="s">
        <v>101</v>
      </c>
      <c r="L710" t="s">
        <v>569</v>
      </c>
      <c r="M710" t="s">
        <v>3168</v>
      </c>
      <c r="N710" t="s">
        <v>121</v>
      </c>
      <c r="O710" t="s">
        <v>1654</v>
      </c>
    </row>
    <row r="711" spans="1:15" x14ac:dyDescent="0.25">
      <c r="A711" t="s">
        <v>711</v>
      </c>
      <c r="B711" t="s">
        <v>3043</v>
      </c>
      <c r="C711" t="s">
        <v>2491</v>
      </c>
      <c r="D711" t="s">
        <v>284</v>
      </c>
      <c r="E711" t="s">
        <v>285</v>
      </c>
      <c r="F711" t="s">
        <v>285</v>
      </c>
      <c r="G711" t="s">
        <v>285</v>
      </c>
      <c r="H711" t="s">
        <v>5</v>
      </c>
      <c r="I711" t="s">
        <v>172</v>
      </c>
      <c r="J711" t="s">
        <v>800</v>
      </c>
      <c r="K711" t="s">
        <v>800</v>
      </c>
      <c r="L711" t="s">
        <v>711</v>
      </c>
      <c r="M711" t="s">
        <v>3168</v>
      </c>
      <c r="N711" t="s">
        <v>121</v>
      </c>
      <c r="O711" t="s">
        <v>1654</v>
      </c>
    </row>
    <row r="712" spans="1:15" x14ac:dyDescent="0.25">
      <c r="A712" t="s">
        <v>1788</v>
      </c>
      <c r="B712" t="s">
        <v>3044</v>
      </c>
      <c r="C712" t="s">
        <v>2273</v>
      </c>
      <c r="D712" t="s">
        <v>285</v>
      </c>
      <c r="E712" t="s">
        <v>285</v>
      </c>
      <c r="F712" t="s">
        <v>285</v>
      </c>
      <c r="G712" t="s">
        <v>285</v>
      </c>
      <c r="H712" t="s">
        <v>5</v>
      </c>
      <c r="I712" t="s">
        <v>172</v>
      </c>
      <c r="J712" t="s">
        <v>2273</v>
      </c>
      <c r="K712" t="s">
        <v>801</v>
      </c>
      <c r="L712" t="s">
        <v>1788</v>
      </c>
      <c r="M712" t="s">
        <v>3167</v>
      </c>
      <c r="N712" t="s">
        <v>1527</v>
      </c>
      <c r="O712" t="s">
        <v>789</v>
      </c>
    </row>
    <row r="713" spans="1:15" x14ac:dyDescent="0.25">
      <c r="A713" t="s">
        <v>0</v>
      </c>
      <c r="B713" t="s">
        <v>3045</v>
      </c>
      <c r="C713" t="s">
        <v>2338</v>
      </c>
      <c r="D713" t="s">
        <v>284</v>
      </c>
      <c r="E713" t="s">
        <v>284</v>
      </c>
      <c r="F713" t="s">
        <v>285</v>
      </c>
      <c r="G713" t="s">
        <v>285</v>
      </c>
      <c r="H713" t="s">
        <v>5</v>
      </c>
      <c r="I713" t="s">
        <v>172</v>
      </c>
      <c r="J713" t="s">
        <v>3046</v>
      </c>
      <c r="K713" t="s">
        <v>101</v>
      </c>
      <c r="L713" t="s">
        <v>0</v>
      </c>
      <c r="M713" t="s">
        <v>3168</v>
      </c>
      <c r="N713" t="s">
        <v>802</v>
      </c>
      <c r="O713" t="s">
        <v>1654</v>
      </c>
    </row>
    <row r="714" spans="1:15" x14ac:dyDescent="0.25">
      <c r="A714" t="s">
        <v>463</v>
      </c>
      <c r="B714" t="s">
        <v>3047</v>
      </c>
      <c r="C714" t="s">
        <v>1514</v>
      </c>
      <c r="D714" t="s">
        <v>285</v>
      </c>
      <c r="E714" t="s">
        <v>285</v>
      </c>
      <c r="F714" t="s">
        <v>285</v>
      </c>
      <c r="G714" t="s">
        <v>285</v>
      </c>
      <c r="H714" t="s">
        <v>2230</v>
      </c>
      <c r="I714" t="s">
        <v>172</v>
      </c>
      <c r="J714" t="s">
        <v>1514</v>
      </c>
      <c r="K714" t="s">
        <v>839</v>
      </c>
      <c r="L714" t="s">
        <v>463</v>
      </c>
      <c r="M714" t="s">
        <v>3168</v>
      </c>
      <c r="N714" t="s">
        <v>802</v>
      </c>
      <c r="O714" t="s">
        <v>789</v>
      </c>
    </row>
    <row r="715" spans="1:15" x14ac:dyDescent="0.25">
      <c r="A715" t="s">
        <v>464</v>
      </c>
      <c r="B715" t="s">
        <v>3048</v>
      </c>
      <c r="C715" t="s">
        <v>2317</v>
      </c>
      <c r="D715" t="s">
        <v>284</v>
      </c>
      <c r="E715" t="s">
        <v>285</v>
      </c>
      <c r="F715" t="s">
        <v>285</v>
      </c>
      <c r="G715" t="s">
        <v>285</v>
      </c>
      <c r="H715" t="s">
        <v>5</v>
      </c>
      <c r="I715" t="s">
        <v>172</v>
      </c>
      <c r="J715" t="s">
        <v>2295</v>
      </c>
      <c r="K715" t="s">
        <v>98</v>
      </c>
      <c r="L715" t="s">
        <v>464</v>
      </c>
      <c r="M715" t="s">
        <v>3168</v>
      </c>
      <c r="N715" t="s">
        <v>121</v>
      </c>
      <c r="O715" t="s">
        <v>1654</v>
      </c>
    </row>
    <row r="716" spans="1:15" x14ac:dyDescent="0.25">
      <c r="A716" t="s">
        <v>931</v>
      </c>
      <c r="B716" t="s">
        <v>3049</v>
      </c>
      <c r="C716" t="s">
        <v>1505</v>
      </c>
      <c r="D716" t="s">
        <v>285</v>
      </c>
      <c r="E716" t="s">
        <v>285</v>
      </c>
      <c r="F716" t="s">
        <v>285</v>
      </c>
      <c r="G716" t="s">
        <v>285</v>
      </c>
      <c r="H716" t="s">
        <v>2340</v>
      </c>
      <c r="I716" t="s">
        <v>172</v>
      </c>
      <c r="J716" t="s">
        <v>832</v>
      </c>
      <c r="K716" t="s">
        <v>832</v>
      </c>
      <c r="L716" t="s">
        <v>931</v>
      </c>
      <c r="M716" t="s">
        <v>3168</v>
      </c>
      <c r="N716" t="s">
        <v>121</v>
      </c>
      <c r="O716" t="s">
        <v>1654</v>
      </c>
    </row>
    <row r="717" spans="1:15" x14ac:dyDescent="0.25">
      <c r="A717" t="s">
        <v>465</v>
      </c>
      <c r="B717" t="s">
        <v>3050</v>
      </c>
      <c r="C717" t="s">
        <v>2378</v>
      </c>
      <c r="D717" t="s">
        <v>284</v>
      </c>
      <c r="E717" t="s">
        <v>284</v>
      </c>
      <c r="F717" t="s">
        <v>285</v>
      </c>
      <c r="G717" t="s">
        <v>285</v>
      </c>
      <c r="H717" t="s">
        <v>5</v>
      </c>
      <c r="I717" t="s">
        <v>172</v>
      </c>
      <c r="J717" t="s">
        <v>3051</v>
      </c>
      <c r="K717" t="s">
        <v>840</v>
      </c>
      <c r="L717" t="s">
        <v>465</v>
      </c>
      <c r="M717" t="s">
        <v>3168</v>
      </c>
      <c r="N717" t="s">
        <v>802</v>
      </c>
      <c r="O717" t="s">
        <v>789</v>
      </c>
    </row>
    <row r="718" spans="1:15" x14ac:dyDescent="0.25">
      <c r="A718" t="s">
        <v>466</v>
      </c>
      <c r="B718" t="s">
        <v>3052</v>
      </c>
      <c r="C718" t="s">
        <v>2253</v>
      </c>
      <c r="D718" t="s">
        <v>285</v>
      </c>
      <c r="E718" t="s">
        <v>285</v>
      </c>
      <c r="F718" t="s">
        <v>285</v>
      </c>
      <c r="G718" t="s">
        <v>285</v>
      </c>
      <c r="H718" t="s">
        <v>2230</v>
      </c>
      <c r="I718" t="s">
        <v>172</v>
      </c>
      <c r="J718" t="s">
        <v>769</v>
      </c>
      <c r="K718" t="s">
        <v>769</v>
      </c>
      <c r="L718" t="s">
        <v>466</v>
      </c>
      <c r="M718" t="s">
        <v>3167</v>
      </c>
      <c r="N718" t="s">
        <v>3172</v>
      </c>
      <c r="O718" t="s">
        <v>1654</v>
      </c>
    </row>
    <row r="719" spans="1:15" x14ac:dyDescent="0.25">
      <c r="A719" t="s">
        <v>467</v>
      </c>
      <c r="B719" t="s">
        <v>3053</v>
      </c>
      <c r="C719" t="s">
        <v>2477</v>
      </c>
      <c r="D719" t="s">
        <v>284</v>
      </c>
      <c r="E719" t="s">
        <v>284</v>
      </c>
      <c r="F719" t="s">
        <v>285</v>
      </c>
      <c r="G719" t="s">
        <v>285</v>
      </c>
      <c r="H719" t="s">
        <v>5</v>
      </c>
      <c r="I719" t="s">
        <v>172</v>
      </c>
      <c r="J719" t="s">
        <v>2478</v>
      </c>
      <c r="K719" t="s">
        <v>840</v>
      </c>
      <c r="L719" t="s">
        <v>467</v>
      </c>
      <c r="M719" t="s">
        <v>3168</v>
      </c>
      <c r="N719" t="s">
        <v>802</v>
      </c>
      <c r="O719" t="s">
        <v>1654</v>
      </c>
    </row>
    <row r="720" spans="1:15" x14ac:dyDescent="0.25">
      <c r="A720" t="s">
        <v>1200</v>
      </c>
      <c r="B720" t="s">
        <v>3054</v>
      </c>
      <c r="C720" t="s">
        <v>1510</v>
      </c>
      <c r="D720" t="s">
        <v>285</v>
      </c>
      <c r="E720" t="s">
        <v>285</v>
      </c>
      <c r="F720" t="s">
        <v>285</v>
      </c>
      <c r="G720" t="s">
        <v>285</v>
      </c>
      <c r="H720" t="s">
        <v>1408</v>
      </c>
      <c r="I720" t="s">
        <v>168</v>
      </c>
      <c r="J720" t="s">
        <v>168</v>
      </c>
      <c r="K720" t="s">
        <v>168</v>
      </c>
      <c r="L720" t="s">
        <v>1200</v>
      </c>
      <c r="M720" t="s">
        <v>1527</v>
      </c>
      <c r="N720" t="s">
        <v>1527</v>
      </c>
      <c r="O720" t="s">
        <v>1654</v>
      </c>
    </row>
    <row r="721" spans="1:15" x14ac:dyDescent="0.25">
      <c r="A721" t="s">
        <v>1399</v>
      </c>
      <c r="B721" t="s">
        <v>3055</v>
      </c>
      <c r="C721" t="s">
        <v>1510</v>
      </c>
      <c r="D721" t="s">
        <v>285</v>
      </c>
      <c r="E721" t="s">
        <v>285</v>
      </c>
      <c r="F721" t="s">
        <v>285</v>
      </c>
      <c r="G721" t="s">
        <v>285</v>
      </c>
      <c r="H721" t="s">
        <v>1408</v>
      </c>
      <c r="I721" t="s">
        <v>172</v>
      </c>
      <c r="J721" t="s">
        <v>2178</v>
      </c>
      <c r="K721" t="s">
        <v>800</v>
      </c>
      <c r="L721" t="s">
        <v>1399</v>
      </c>
      <c r="M721" t="s">
        <v>3167</v>
      </c>
      <c r="N721" t="s">
        <v>121</v>
      </c>
      <c r="O721" t="s">
        <v>789</v>
      </c>
    </row>
    <row r="722" spans="1:15" x14ac:dyDescent="0.25">
      <c r="A722" t="s">
        <v>150</v>
      </c>
      <c r="B722" t="s">
        <v>3056</v>
      </c>
      <c r="C722" t="s">
        <v>1509</v>
      </c>
      <c r="D722" t="s">
        <v>285</v>
      </c>
      <c r="E722" t="s">
        <v>284</v>
      </c>
      <c r="F722" t="s">
        <v>285</v>
      </c>
      <c r="G722" t="s">
        <v>285</v>
      </c>
      <c r="H722" t="s">
        <v>5</v>
      </c>
      <c r="I722" t="s">
        <v>172</v>
      </c>
      <c r="J722" t="s">
        <v>1509</v>
      </c>
      <c r="K722" t="s">
        <v>839</v>
      </c>
      <c r="L722" t="s">
        <v>150</v>
      </c>
      <c r="M722" t="s">
        <v>3168</v>
      </c>
      <c r="N722" t="s">
        <v>121</v>
      </c>
      <c r="O722" t="s">
        <v>1654</v>
      </c>
    </row>
    <row r="723" spans="1:15" x14ac:dyDescent="0.25">
      <c r="A723" t="s">
        <v>572</v>
      </c>
      <c r="B723" t="s">
        <v>3057</v>
      </c>
      <c r="C723" t="s">
        <v>2267</v>
      </c>
      <c r="D723" t="s">
        <v>285</v>
      </c>
      <c r="E723" t="s">
        <v>284</v>
      </c>
      <c r="F723" t="s">
        <v>285</v>
      </c>
      <c r="G723" t="s">
        <v>284</v>
      </c>
      <c r="H723" t="s">
        <v>5</v>
      </c>
      <c r="I723" t="s">
        <v>172</v>
      </c>
      <c r="J723" t="s">
        <v>2268</v>
      </c>
      <c r="K723" t="s">
        <v>1616</v>
      </c>
      <c r="L723" t="s">
        <v>572</v>
      </c>
      <c r="M723" t="s">
        <v>3168</v>
      </c>
      <c r="N723" t="s">
        <v>1527</v>
      </c>
      <c r="O723" t="s">
        <v>1654</v>
      </c>
    </row>
    <row r="724" spans="1:15" x14ac:dyDescent="0.25">
      <c r="A724" t="s">
        <v>852</v>
      </c>
      <c r="B724" t="s">
        <v>3058</v>
      </c>
      <c r="C724" t="s">
        <v>1214</v>
      </c>
      <c r="D724" t="s">
        <v>285</v>
      </c>
      <c r="E724" t="s">
        <v>284</v>
      </c>
      <c r="F724" t="s">
        <v>285</v>
      </c>
      <c r="G724" t="s">
        <v>284</v>
      </c>
      <c r="H724" t="s">
        <v>5</v>
      </c>
      <c r="I724" t="s">
        <v>172</v>
      </c>
      <c r="J724" t="s">
        <v>1214</v>
      </c>
      <c r="K724" t="s">
        <v>101</v>
      </c>
      <c r="L724" t="s">
        <v>852</v>
      </c>
      <c r="M724" t="s">
        <v>3168</v>
      </c>
      <c r="N724" t="s">
        <v>802</v>
      </c>
      <c r="O724" t="s">
        <v>789</v>
      </c>
    </row>
    <row r="725" spans="1:15" x14ac:dyDescent="0.25">
      <c r="A725" t="s">
        <v>685</v>
      </c>
      <c r="B725" t="s">
        <v>3059</v>
      </c>
      <c r="C725" t="s">
        <v>1508</v>
      </c>
      <c r="D725" t="s">
        <v>284</v>
      </c>
      <c r="E725" t="s">
        <v>285</v>
      </c>
      <c r="F725" t="s">
        <v>285</v>
      </c>
      <c r="G725" t="s">
        <v>285</v>
      </c>
      <c r="H725" t="s">
        <v>5</v>
      </c>
      <c r="I725" t="s">
        <v>172</v>
      </c>
      <c r="J725" t="s">
        <v>2219</v>
      </c>
      <c r="K725" t="s">
        <v>788</v>
      </c>
      <c r="L725" t="s">
        <v>685</v>
      </c>
      <c r="M725" t="s">
        <v>3167</v>
      </c>
      <c r="N725" t="s">
        <v>121</v>
      </c>
      <c r="O725" t="s">
        <v>1654</v>
      </c>
    </row>
    <row r="726" spans="1:15" x14ac:dyDescent="0.25">
      <c r="A726" t="s">
        <v>468</v>
      </c>
      <c r="B726" t="s">
        <v>3060</v>
      </c>
      <c r="C726" t="s">
        <v>1509</v>
      </c>
      <c r="D726" t="s">
        <v>285</v>
      </c>
      <c r="E726" t="s">
        <v>285</v>
      </c>
      <c r="F726" t="s">
        <v>285</v>
      </c>
      <c r="G726" t="s">
        <v>284</v>
      </c>
      <c r="H726" t="s">
        <v>5</v>
      </c>
      <c r="I726" t="s">
        <v>172</v>
      </c>
      <c r="J726" t="s">
        <v>1509</v>
      </c>
      <c r="K726" t="s">
        <v>839</v>
      </c>
      <c r="L726" t="s">
        <v>468</v>
      </c>
      <c r="M726" t="s">
        <v>3168</v>
      </c>
      <c r="N726" t="s">
        <v>1527</v>
      </c>
      <c r="O726" t="s">
        <v>1654</v>
      </c>
    </row>
    <row r="727" spans="1:15" x14ac:dyDescent="0.25">
      <c r="A727" t="s">
        <v>567</v>
      </c>
      <c r="B727" t="s">
        <v>3061</v>
      </c>
      <c r="C727" t="s">
        <v>2294</v>
      </c>
      <c r="D727" t="s">
        <v>285</v>
      </c>
      <c r="E727" t="s">
        <v>285</v>
      </c>
      <c r="F727" t="s">
        <v>285</v>
      </c>
      <c r="G727" t="s">
        <v>284</v>
      </c>
      <c r="H727" t="s">
        <v>5</v>
      </c>
      <c r="I727" t="s">
        <v>172</v>
      </c>
      <c r="J727" t="s">
        <v>2614</v>
      </c>
      <c r="K727" t="s">
        <v>101</v>
      </c>
      <c r="L727" t="s">
        <v>567</v>
      </c>
      <c r="M727" t="s">
        <v>3167</v>
      </c>
      <c r="N727" t="s">
        <v>121</v>
      </c>
      <c r="O727" t="s">
        <v>1654</v>
      </c>
    </row>
    <row r="728" spans="1:15" x14ac:dyDescent="0.25">
      <c r="A728" t="s">
        <v>113</v>
      </c>
      <c r="B728" t="s">
        <v>3062</v>
      </c>
      <c r="C728" t="s">
        <v>1510</v>
      </c>
      <c r="D728" t="s">
        <v>285</v>
      </c>
      <c r="E728" t="s">
        <v>285</v>
      </c>
      <c r="F728" t="s">
        <v>285</v>
      </c>
      <c r="G728" t="s">
        <v>285</v>
      </c>
      <c r="H728" t="s">
        <v>1408</v>
      </c>
      <c r="I728" t="s">
        <v>172</v>
      </c>
      <c r="J728" t="s">
        <v>2178</v>
      </c>
      <c r="K728" t="s">
        <v>800</v>
      </c>
      <c r="L728" t="s">
        <v>113</v>
      </c>
      <c r="M728" t="s">
        <v>3167</v>
      </c>
      <c r="N728" t="s">
        <v>121</v>
      </c>
      <c r="O728" t="s">
        <v>1654</v>
      </c>
    </row>
    <row r="729" spans="1:15" x14ac:dyDescent="0.25">
      <c r="A729" t="s">
        <v>469</v>
      </c>
      <c r="B729" t="s">
        <v>3063</v>
      </c>
      <c r="C729" t="s">
        <v>2207</v>
      </c>
      <c r="D729" t="s">
        <v>284</v>
      </c>
      <c r="E729" t="s">
        <v>285</v>
      </c>
      <c r="F729" t="s">
        <v>285</v>
      </c>
      <c r="G729" t="s">
        <v>285</v>
      </c>
      <c r="H729" t="s">
        <v>5</v>
      </c>
      <c r="I729" t="s">
        <v>172</v>
      </c>
      <c r="J729" t="s">
        <v>1503</v>
      </c>
      <c r="K729" t="s">
        <v>788</v>
      </c>
      <c r="L729" t="s">
        <v>469</v>
      </c>
      <c r="M729" t="s">
        <v>3167</v>
      </c>
      <c r="N729" t="s">
        <v>121</v>
      </c>
      <c r="O729" t="s">
        <v>789</v>
      </c>
    </row>
    <row r="730" spans="1:15" x14ac:dyDescent="0.25">
      <c r="A730" t="s">
        <v>470</v>
      </c>
      <c r="B730" t="s">
        <v>3064</v>
      </c>
      <c r="C730" t="s">
        <v>1509</v>
      </c>
      <c r="D730" t="s">
        <v>284</v>
      </c>
      <c r="E730" t="s">
        <v>285</v>
      </c>
      <c r="F730" t="s">
        <v>285</v>
      </c>
      <c r="G730" t="s">
        <v>285</v>
      </c>
      <c r="H730" t="s">
        <v>5</v>
      </c>
      <c r="I730" t="s">
        <v>172</v>
      </c>
      <c r="J730" t="s">
        <v>2455</v>
      </c>
      <c r="K730" t="s">
        <v>788</v>
      </c>
      <c r="L730" t="s">
        <v>470</v>
      </c>
      <c r="M730" t="s">
        <v>3168</v>
      </c>
      <c r="N730" t="s">
        <v>802</v>
      </c>
      <c r="O730" t="s">
        <v>789</v>
      </c>
    </row>
    <row r="731" spans="1:15" x14ac:dyDescent="0.25">
      <c r="A731" t="s">
        <v>1437</v>
      </c>
      <c r="B731" t="s">
        <v>3065</v>
      </c>
      <c r="C731" t="s">
        <v>1508</v>
      </c>
      <c r="D731" t="s">
        <v>285</v>
      </c>
      <c r="E731" t="s">
        <v>285</v>
      </c>
      <c r="F731" t="s">
        <v>285</v>
      </c>
      <c r="G731" t="s">
        <v>285</v>
      </c>
      <c r="H731" t="s">
        <v>1408</v>
      </c>
      <c r="I731" t="s">
        <v>172</v>
      </c>
      <c r="J731" t="s">
        <v>2219</v>
      </c>
      <c r="K731" t="s">
        <v>788</v>
      </c>
      <c r="L731" t="s">
        <v>1437</v>
      </c>
      <c r="M731" t="s">
        <v>3168</v>
      </c>
      <c r="N731" t="s">
        <v>1527</v>
      </c>
      <c r="O731" t="s">
        <v>1654</v>
      </c>
    </row>
    <row r="732" spans="1:15" x14ac:dyDescent="0.25">
      <c r="A732" t="s">
        <v>992</v>
      </c>
      <c r="B732" t="s">
        <v>3066</v>
      </c>
      <c r="C732" t="s">
        <v>1510</v>
      </c>
      <c r="D732" t="s">
        <v>285</v>
      </c>
      <c r="E732" t="s">
        <v>285</v>
      </c>
      <c r="F732" t="s">
        <v>285</v>
      </c>
      <c r="G732" t="s">
        <v>285</v>
      </c>
      <c r="H732" t="s">
        <v>1408</v>
      </c>
      <c r="I732" t="s">
        <v>100</v>
      </c>
      <c r="J732" t="s">
        <v>100</v>
      </c>
      <c r="K732" s="138" t="s">
        <v>769</v>
      </c>
      <c r="L732" t="s">
        <v>992</v>
      </c>
      <c r="M732" t="s">
        <v>3167</v>
      </c>
      <c r="N732" t="s">
        <v>1527</v>
      </c>
      <c r="O732" t="s">
        <v>789</v>
      </c>
    </row>
    <row r="733" spans="1:15" x14ac:dyDescent="0.25">
      <c r="A733" t="s">
        <v>720</v>
      </c>
      <c r="B733" t="s">
        <v>3067</v>
      </c>
      <c r="C733" t="s">
        <v>2698</v>
      </c>
      <c r="D733" t="s">
        <v>285</v>
      </c>
      <c r="E733" t="s">
        <v>285</v>
      </c>
      <c r="F733" t="s">
        <v>285</v>
      </c>
      <c r="G733" t="s">
        <v>284</v>
      </c>
      <c r="H733" t="s">
        <v>5</v>
      </c>
      <c r="I733" t="s">
        <v>172</v>
      </c>
      <c r="J733" t="s">
        <v>3068</v>
      </c>
      <c r="K733" t="s">
        <v>788</v>
      </c>
      <c r="L733" t="s">
        <v>720</v>
      </c>
      <c r="M733" t="s">
        <v>3167</v>
      </c>
      <c r="N733" t="s">
        <v>121</v>
      </c>
      <c r="O733" t="s">
        <v>1654</v>
      </c>
    </row>
    <row r="734" spans="1:15" x14ac:dyDescent="0.25">
      <c r="A734" t="s">
        <v>539</v>
      </c>
      <c r="B734" t="s">
        <v>3069</v>
      </c>
      <c r="C734" t="s">
        <v>1507</v>
      </c>
      <c r="D734" t="s">
        <v>285</v>
      </c>
      <c r="E734" t="s">
        <v>285</v>
      </c>
      <c r="F734" t="s">
        <v>285</v>
      </c>
      <c r="G734" t="s">
        <v>284</v>
      </c>
      <c r="H734" t="s">
        <v>5</v>
      </c>
      <c r="I734" t="s">
        <v>172</v>
      </c>
      <c r="J734" t="s">
        <v>1407</v>
      </c>
      <c r="K734" t="s">
        <v>1616</v>
      </c>
      <c r="L734" t="s">
        <v>539</v>
      </c>
      <c r="M734" t="s">
        <v>3168</v>
      </c>
      <c r="N734" t="s">
        <v>121</v>
      </c>
      <c r="O734" t="s">
        <v>789</v>
      </c>
    </row>
    <row r="735" spans="1:15" x14ac:dyDescent="0.25">
      <c r="A735" t="s">
        <v>1619</v>
      </c>
      <c r="B735" t="s">
        <v>3070</v>
      </c>
      <c r="C735" t="s">
        <v>1539</v>
      </c>
      <c r="D735" t="s">
        <v>285</v>
      </c>
      <c r="E735" t="s">
        <v>285</v>
      </c>
      <c r="F735" t="s">
        <v>285</v>
      </c>
      <c r="G735" t="s">
        <v>285</v>
      </c>
      <c r="H735" t="s">
        <v>2230</v>
      </c>
      <c r="I735" t="s">
        <v>172</v>
      </c>
      <c r="J735" t="s">
        <v>2295</v>
      </c>
      <c r="K735" t="s">
        <v>98</v>
      </c>
      <c r="L735" t="s">
        <v>1619</v>
      </c>
      <c r="M735" t="s">
        <v>3168</v>
      </c>
      <c r="N735" t="s">
        <v>3172</v>
      </c>
      <c r="O735" t="s">
        <v>1654</v>
      </c>
    </row>
    <row r="736" spans="1:15" x14ac:dyDescent="0.25">
      <c r="A736" t="s">
        <v>1040</v>
      </c>
      <c r="B736" t="s">
        <v>3071</v>
      </c>
      <c r="C736" t="s">
        <v>1510</v>
      </c>
      <c r="D736" t="s">
        <v>285</v>
      </c>
      <c r="E736" t="s">
        <v>285</v>
      </c>
      <c r="F736" t="s">
        <v>285</v>
      </c>
      <c r="G736" t="s">
        <v>285</v>
      </c>
      <c r="H736" t="s">
        <v>1408</v>
      </c>
      <c r="I736" t="s">
        <v>172</v>
      </c>
      <c r="J736" t="s">
        <v>2178</v>
      </c>
      <c r="K736" t="s">
        <v>788</v>
      </c>
      <c r="L736" t="s">
        <v>1040</v>
      </c>
      <c r="M736" t="s">
        <v>1527</v>
      </c>
      <c r="N736" t="s">
        <v>1527</v>
      </c>
      <c r="O736" t="s">
        <v>1654</v>
      </c>
    </row>
    <row r="737" spans="1:15" x14ac:dyDescent="0.25">
      <c r="A737" t="s">
        <v>562</v>
      </c>
      <c r="B737" t="s">
        <v>3072</v>
      </c>
      <c r="C737" t="s">
        <v>1518</v>
      </c>
      <c r="D737" t="s">
        <v>284</v>
      </c>
      <c r="E737" t="s">
        <v>284</v>
      </c>
      <c r="F737" t="s">
        <v>285</v>
      </c>
      <c r="G737" t="s">
        <v>285</v>
      </c>
      <c r="H737" t="s">
        <v>5</v>
      </c>
      <c r="I737" t="s">
        <v>172</v>
      </c>
      <c r="J737" t="s">
        <v>103</v>
      </c>
      <c r="K737" t="s">
        <v>101</v>
      </c>
      <c r="L737" t="s">
        <v>562</v>
      </c>
      <c r="M737" t="s">
        <v>3168</v>
      </c>
      <c r="N737" t="s">
        <v>802</v>
      </c>
      <c r="O737" t="s">
        <v>1654</v>
      </c>
    </row>
    <row r="738" spans="1:15" x14ac:dyDescent="0.25">
      <c r="A738" t="s">
        <v>471</v>
      </c>
      <c r="B738" t="s">
        <v>3073</v>
      </c>
      <c r="C738" t="s">
        <v>1510</v>
      </c>
      <c r="D738" t="s">
        <v>285</v>
      </c>
      <c r="E738" t="s">
        <v>285</v>
      </c>
      <c r="F738" t="s">
        <v>285</v>
      </c>
      <c r="G738" t="s">
        <v>285</v>
      </c>
      <c r="H738" t="s">
        <v>2286</v>
      </c>
      <c r="I738" t="s">
        <v>100</v>
      </c>
      <c r="J738" t="s">
        <v>769</v>
      </c>
      <c r="K738" t="s">
        <v>769</v>
      </c>
      <c r="L738" t="s">
        <v>471</v>
      </c>
      <c r="M738" t="s">
        <v>3167</v>
      </c>
      <c r="N738" t="s">
        <v>1527</v>
      </c>
      <c r="O738" t="s">
        <v>1654</v>
      </c>
    </row>
    <row r="739" spans="1:15" x14ac:dyDescent="0.25">
      <c r="A739" t="s">
        <v>472</v>
      </c>
      <c r="B739" t="s">
        <v>3074</v>
      </c>
      <c r="C739" t="s">
        <v>2382</v>
      </c>
      <c r="D739" t="s">
        <v>284</v>
      </c>
      <c r="E739" t="s">
        <v>285</v>
      </c>
      <c r="F739" t="s">
        <v>284</v>
      </c>
      <c r="G739" t="s">
        <v>285</v>
      </c>
      <c r="H739" t="s">
        <v>5</v>
      </c>
      <c r="I739" t="s">
        <v>172</v>
      </c>
      <c r="J739" t="s">
        <v>1407</v>
      </c>
      <c r="K739" t="s">
        <v>1616</v>
      </c>
      <c r="L739" t="s">
        <v>472</v>
      </c>
      <c r="M739" t="s">
        <v>3168</v>
      </c>
      <c r="N739" t="s">
        <v>802</v>
      </c>
      <c r="O739" t="s">
        <v>1654</v>
      </c>
    </row>
    <row r="740" spans="1:15" x14ac:dyDescent="0.25">
      <c r="A740" t="s">
        <v>607</v>
      </c>
      <c r="B740" t="s">
        <v>3075</v>
      </c>
      <c r="C740" t="s">
        <v>1536</v>
      </c>
      <c r="D740" t="s">
        <v>284</v>
      </c>
      <c r="E740" t="s">
        <v>285</v>
      </c>
      <c r="F740" t="s">
        <v>285</v>
      </c>
      <c r="G740" t="s">
        <v>285</v>
      </c>
      <c r="H740" t="s">
        <v>5</v>
      </c>
      <c r="I740" t="s">
        <v>172</v>
      </c>
      <c r="J740" t="s">
        <v>788</v>
      </c>
      <c r="K740" t="s">
        <v>788</v>
      </c>
      <c r="L740" t="s">
        <v>607</v>
      </c>
      <c r="M740" t="s">
        <v>3167</v>
      </c>
      <c r="N740" t="s">
        <v>802</v>
      </c>
      <c r="O740" t="s">
        <v>1654</v>
      </c>
    </row>
    <row r="741" spans="1:15" x14ac:dyDescent="0.25">
      <c r="A741" t="s">
        <v>1032</v>
      </c>
      <c r="B741" t="s">
        <v>2644</v>
      </c>
      <c r="C741" t="s">
        <v>1510</v>
      </c>
      <c r="D741" t="s">
        <v>285</v>
      </c>
      <c r="E741" t="s">
        <v>285</v>
      </c>
      <c r="F741" t="s">
        <v>285</v>
      </c>
      <c r="G741" t="s">
        <v>285</v>
      </c>
      <c r="H741" t="s">
        <v>1408</v>
      </c>
      <c r="I741" t="s">
        <v>172</v>
      </c>
      <c r="J741" t="s">
        <v>168</v>
      </c>
      <c r="K741" s="138" t="s">
        <v>101</v>
      </c>
      <c r="L741" t="s">
        <v>1032</v>
      </c>
      <c r="M741" t="s">
        <v>1527</v>
      </c>
      <c r="N741" t="s">
        <v>1527</v>
      </c>
      <c r="O741" t="s">
        <v>1654</v>
      </c>
    </row>
    <row r="742" spans="1:15" x14ac:dyDescent="0.25">
      <c r="A742" t="s">
        <v>605</v>
      </c>
      <c r="B742" t="s">
        <v>3076</v>
      </c>
      <c r="C742" t="s">
        <v>1540</v>
      </c>
      <c r="D742" t="s">
        <v>284</v>
      </c>
      <c r="E742" t="s">
        <v>285</v>
      </c>
      <c r="F742" t="s">
        <v>285</v>
      </c>
      <c r="G742" t="s">
        <v>285</v>
      </c>
      <c r="H742" t="s">
        <v>5</v>
      </c>
      <c r="I742" t="s">
        <v>172</v>
      </c>
      <c r="J742" t="s">
        <v>2985</v>
      </c>
      <c r="K742" t="s">
        <v>788</v>
      </c>
      <c r="L742" t="s">
        <v>605</v>
      </c>
      <c r="M742" t="s">
        <v>3167</v>
      </c>
      <c r="N742" t="s">
        <v>3172</v>
      </c>
      <c r="O742" t="s">
        <v>1654</v>
      </c>
    </row>
    <row r="743" spans="1:15" x14ac:dyDescent="0.25">
      <c r="A743" t="s">
        <v>473</v>
      </c>
      <c r="B743" t="s">
        <v>3077</v>
      </c>
      <c r="C743" t="s">
        <v>2402</v>
      </c>
      <c r="D743" t="s">
        <v>285</v>
      </c>
      <c r="E743" t="s">
        <v>284</v>
      </c>
      <c r="F743" t="s">
        <v>285</v>
      </c>
      <c r="G743" t="s">
        <v>284</v>
      </c>
      <c r="H743" t="s">
        <v>5</v>
      </c>
      <c r="I743" t="s">
        <v>172</v>
      </c>
      <c r="J743" t="s">
        <v>3078</v>
      </c>
      <c r="K743" t="s">
        <v>800</v>
      </c>
      <c r="L743" t="s">
        <v>473</v>
      </c>
      <c r="M743" t="s">
        <v>3168</v>
      </c>
      <c r="N743" t="s">
        <v>1527</v>
      </c>
      <c r="O743" t="s">
        <v>789</v>
      </c>
    </row>
    <row r="744" spans="1:15" x14ac:dyDescent="0.25">
      <c r="A744" t="s">
        <v>762</v>
      </c>
      <c r="B744" t="s">
        <v>3079</v>
      </c>
      <c r="C744" t="s">
        <v>1510</v>
      </c>
      <c r="D744" t="s">
        <v>285</v>
      </c>
      <c r="E744" t="s">
        <v>285</v>
      </c>
      <c r="F744" t="s">
        <v>285</v>
      </c>
      <c r="G744" t="s">
        <v>285</v>
      </c>
      <c r="H744" t="s">
        <v>1408</v>
      </c>
      <c r="I744" t="s">
        <v>172</v>
      </c>
      <c r="J744" t="s">
        <v>1396</v>
      </c>
      <c r="K744" t="s">
        <v>769</v>
      </c>
      <c r="L744" t="s">
        <v>762</v>
      </c>
      <c r="M744" t="s">
        <v>3167</v>
      </c>
      <c r="N744" t="s">
        <v>1527</v>
      </c>
      <c r="O744" t="s">
        <v>789</v>
      </c>
    </row>
    <row r="745" spans="1:15" x14ac:dyDescent="0.25">
      <c r="A745" t="s">
        <v>873</v>
      </c>
      <c r="B745" t="s">
        <v>3080</v>
      </c>
      <c r="C745" t="s">
        <v>1518</v>
      </c>
      <c r="D745" t="s">
        <v>285</v>
      </c>
      <c r="E745" t="s">
        <v>284</v>
      </c>
      <c r="F745" t="s">
        <v>285</v>
      </c>
      <c r="G745" t="s">
        <v>284</v>
      </c>
      <c r="H745" t="s">
        <v>5</v>
      </c>
      <c r="I745" t="s">
        <v>172</v>
      </c>
      <c r="J745" t="s">
        <v>103</v>
      </c>
      <c r="K745" t="s">
        <v>101</v>
      </c>
      <c r="L745" t="s">
        <v>873</v>
      </c>
      <c r="M745" t="s">
        <v>3167</v>
      </c>
      <c r="N745" t="s">
        <v>121</v>
      </c>
      <c r="O745" t="s">
        <v>1654</v>
      </c>
    </row>
    <row r="746" spans="1:15" x14ac:dyDescent="0.25">
      <c r="A746" t="s">
        <v>652</v>
      </c>
      <c r="B746" t="s">
        <v>3081</v>
      </c>
      <c r="C746" t="s">
        <v>2561</v>
      </c>
      <c r="D746" t="s">
        <v>284</v>
      </c>
      <c r="E746" t="s">
        <v>285</v>
      </c>
      <c r="F746" t="s">
        <v>285</v>
      </c>
      <c r="G746" t="s">
        <v>285</v>
      </c>
      <c r="H746" t="s">
        <v>5</v>
      </c>
      <c r="I746" t="s">
        <v>172</v>
      </c>
      <c r="J746" t="s">
        <v>788</v>
      </c>
      <c r="K746" t="s">
        <v>788</v>
      </c>
      <c r="L746" t="s">
        <v>652</v>
      </c>
      <c r="M746" t="s">
        <v>3167</v>
      </c>
      <c r="N746" t="s">
        <v>802</v>
      </c>
      <c r="O746" t="s">
        <v>789</v>
      </c>
    </row>
    <row r="747" spans="1:15" x14ac:dyDescent="0.25">
      <c r="A747" t="s">
        <v>1653</v>
      </c>
      <c r="B747" t="s">
        <v>3082</v>
      </c>
      <c r="C747" t="s">
        <v>1510</v>
      </c>
      <c r="D747" t="s">
        <v>285</v>
      </c>
      <c r="E747" t="s">
        <v>285</v>
      </c>
      <c r="F747" t="s">
        <v>285</v>
      </c>
      <c r="G747" t="s">
        <v>285</v>
      </c>
      <c r="H747" t="s">
        <v>1408</v>
      </c>
      <c r="I747" t="s">
        <v>172</v>
      </c>
      <c r="J747" t="s">
        <v>1396</v>
      </c>
      <c r="K747" t="s">
        <v>769</v>
      </c>
      <c r="L747" t="s">
        <v>1653</v>
      </c>
      <c r="M747" t="s">
        <v>3167</v>
      </c>
      <c r="N747" t="s">
        <v>1527</v>
      </c>
      <c r="O747" t="s">
        <v>789</v>
      </c>
    </row>
    <row r="748" spans="1:15" x14ac:dyDescent="0.25">
      <c r="A748" t="s">
        <v>910</v>
      </c>
      <c r="B748" t="s">
        <v>3083</v>
      </c>
      <c r="C748" t="s">
        <v>1510</v>
      </c>
      <c r="D748" t="s">
        <v>285</v>
      </c>
      <c r="E748" t="s">
        <v>285</v>
      </c>
      <c r="F748" t="s">
        <v>285</v>
      </c>
      <c r="G748" t="s">
        <v>285</v>
      </c>
      <c r="H748" t="s">
        <v>1408</v>
      </c>
      <c r="I748" t="s">
        <v>172</v>
      </c>
      <c r="J748" t="s">
        <v>1396</v>
      </c>
      <c r="K748" t="s">
        <v>769</v>
      </c>
      <c r="L748" t="s">
        <v>910</v>
      </c>
      <c r="M748" t="s">
        <v>3167</v>
      </c>
      <c r="N748" t="s">
        <v>1527</v>
      </c>
      <c r="O748" t="s">
        <v>789</v>
      </c>
    </row>
    <row r="749" spans="1:15" x14ac:dyDescent="0.25">
      <c r="A749" t="s">
        <v>1576</v>
      </c>
      <c r="B749" t="s">
        <v>3084</v>
      </c>
      <c r="C749" t="s">
        <v>1510</v>
      </c>
      <c r="D749" t="s">
        <v>285</v>
      </c>
      <c r="E749" t="s">
        <v>285</v>
      </c>
      <c r="F749" t="s">
        <v>285</v>
      </c>
      <c r="G749" t="s">
        <v>285</v>
      </c>
      <c r="H749" t="s">
        <v>1408</v>
      </c>
      <c r="I749" t="s">
        <v>100</v>
      </c>
      <c r="J749" t="s">
        <v>100</v>
      </c>
      <c r="K749" t="s">
        <v>100</v>
      </c>
      <c r="L749" t="s">
        <v>1576</v>
      </c>
      <c r="M749" t="s">
        <v>3167</v>
      </c>
      <c r="N749" t="s">
        <v>1527</v>
      </c>
      <c r="O749" t="s">
        <v>1654</v>
      </c>
    </row>
    <row r="750" spans="1:15" x14ac:dyDescent="0.25">
      <c r="A750" t="s">
        <v>713</v>
      </c>
      <c r="B750" t="s">
        <v>3085</v>
      </c>
      <c r="C750" t="s">
        <v>2372</v>
      </c>
      <c r="D750" t="s">
        <v>285</v>
      </c>
      <c r="E750" t="s">
        <v>285</v>
      </c>
      <c r="F750" t="s">
        <v>285</v>
      </c>
      <c r="G750" t="s">
        <v>284</v>
      </c>
      <c r="H750" t="s">
        <v>5</v>
      </c>
      <c r="I750" t="s">
        <v>172</v>
      </c>
      <c r="J750" t="s">
        <v>2999</v>
      </c>
      <c r="K750" t="s">
        <v>98</v>
      </c>
      <c r="L750" t="s">
        <v>713</v>
      </c>
      <c r="M750" t="s">
        <v>3168</v>
      </c>
      <c r="N750" t="s">
        <v>802</v>
      </c>
      <c r="O750" t="s">
        <v>789</v>
      </c>
    </row>
    <row r="751" spans="1:15" x14ac:dyDescent="0.25">
      <c r="A751" t="s">
        <v>868</v>
      </c>
      <c r="B751" t="s">
        <v>3086</v>
      </c>
      <c r="C751" t="s">
        <v>1507</v>
      </c>
      <c r="D751" t="s">
        <v>285</v>
      </c>
      <c r="E751" t="s">
        <v>285</v>
      </c>
      <c r="F751" t="s">
        <v>285</v>
      </c>
      <c r="G751" t="s">
        <v>284</v>
      </c>
      <c r="H751" t="s">
        <v>5</v>
      </c>
      <c r="I751" t="s">
        <v>172</v>
      </c>
      <c r="J751" t="s">
        <v>1407</v>
      </c>
      <c r="K751" t="s">
        <v>1616</v>
      </c>
      <c r="L751" t="s">
        <v>868</v>
      </c>
      <c r="M751" t="s">
        <v>3168</v>
      </c>
      <c r="N751" t="s">
        <v>802</v>
      </c>
      <c r="O751" t="s">
        <v>1654</v>
      </c>
    </row>
    <row r="752" spans="1:15" x14ac:dyDescent="0.25">
      <c r="A752" t="s">
        <v>1035</v>
      </c>
      <c r="B752" t="s">
        <v>3087</v>
      </c>
      <c r="C752" t="s">
        <v>2317</v>
      </c>
      <c r="D752" t="s">
        <v>285</v>
      </c>
      <c r="E752" t="s">
        <v>285</v>
      </c>
      <c r="F752" t="s">
        <v>285</v>
      </c>
      <c r="G752" t="s">
        <v>284</v>
      </c>
      <c r="H752" t="s">
        <v>5</v>
      </c>
      <c r="I752" t="s">
        <v>172</v>
      </c>
      <c r="J752" t="s">
        <v>2999</v>
      </c>
      <c r="K752" t="s">
        <v>98</v>
      </c>
      <c r="L752" t="s">
        <v>1035</v>
      </c>
      <c r="M752" t="s">
        <v>3168</v>
      </c>
      <c r="N752" t="s">
        <v>802</v>
      </c>
      <c r="O752" t="s">
        <v>1654</v>
      </c>
    </row>
    <row r="753" spans="1:15" x14ac:dyDescent="0.25">
      <c r="A753" t="s">
        <v>18</v>
      </c>
      <c r="B753" t="s">
        <v>3088</v>
      </c>
      <c r="C753" t="s">
        <v>1510</v>
      </c>
      <c r="D753" t="s">
        <v>285</v>
      </c>
      <c r="E753" t="s">
        <v>285</v>
      </c>
      <c r="F753" t="s">
        <v>285</v>
      </c>
      <c r="G753" t="s">
        <v>285</v>
      </c>
      <c r="H753" t="s">
        <v>1408</v>
      </c>
      <c r="I753" t="s">
        <v>813</v>
      </c>
      <c r="J753" t="s">
        <v>1529</v>
      </c>
      <c r="K753" t="s">
        <v>813</v>
      </c>
      <c r="L753" t="s">
        <v>18</v>
      </c>
      <c r="M753" t="s">
        <v>1527</v>
      </c>
      <c r="N753" t="s">
        <v>1527</v>
      </c>
      <c r="O753" t="s">
        <v>789</v>
      </c>
    </row>
    <row r="754" spans="1:15" x14ac:dyDescent="0.25">
      <c r="A754" t="s">
        <v>595</v>
      </c>
      <c r="B754" t="s">
        <v>3089</v>
      </c>
      <c r="C754" t="s">
        <v>2402</v>
      </c>
      <c r="D754" t="s">
        <v>284</v>
      </c>
      <c r="E754" t="s">
        <v>285</v>
      </c>
      <c r="F754" t="s">
        <v>285</v>
      </c>
      <c r="G754" t="s">
        <v>285</v>
      </c>
      <c r="H754" t="s">
        <v>5</v>
      </c>
      <c r="I754" t="s">
        <v>172</v>
      </c>
      <c r="J754" t="s">
        <v>800</v>
      </c>
      <c r="K754" t="s">
        <v>800</v>
      </c>
      <c r="L754" t="s">
        <v>595</v>
      </c>
      <c r="M754" t="s">
        <v>3168</v>
      </c>
      <c r="N754" t="s">
        <v>802</v>
      </c>
      <c r="O754" t="s">
        <v>789</v>
      </c>
    </row>
    <row r="755" spans="1:15" x14ac:dyDescent="0.25">
      <c r="A755" t="s">
        <v>1454</v>
      </c>
      <c r="B755" t="s">
        <v>3090</v>
      </c>
      <c r="C755" t="s">
        <v>2253</v>
      </c>
      <c r="D755" t="s">
        <v>285</v>
      </c>
      <c r="E755" t="s">
        <v>285</v>
      </c>
      <c r="F755" t="s">
        <v>285</v>
      </c>
      <c r="G755" t="s">
        <v>285</v>
      </c>
      <c r="H755" t="s">
        <v>5</v>
      </c>
      <c r="I755" t="s">
        <v>172</v>
      </c>
      <c r="J755" t="s">
        <v>769</v>
      </c>
      <c r="K755" t="s">
        <v>769</v>
      </c>
      <c r="L755" t="s">
        <v>1454</v>
      </c>
      <c r="M755" t="s">
        <v>3167</v>
      </c>
      <c r="N755" t="s">
        <v>121</v>
      </c>
      <c r="O755" t="s">
        <v>1654</v>
      </c>
    </row>
    <row r="756" spans="1:15" x14ac:dyDescent="0.25">
      <c r="A756" t="s">
        <v>697</v>
      </c>
      <c r="B756" t="s">
        <v>3091</v>
      </c>
      <c r="C756" t="s">
        <v>2294</v>
      </c>
      <c r="D756" t="s">
        <v>285</v>
      </c>
      <c r="E756" t="s">
        <v>285</v>
      </c>
      <c r="F756" t="s">
        <v>285</v>
      </c>
      <c r="G756" t="s">
        <v>284</v>
      </c>
      <c r="H756" t="s">
        <v>5</v>
      </c>
      <c r="I756" t="s">
        <v>172</v>
      </c>
      <c r="J756" t="s">
        <v>2614</v>
      </c>
      <c r="K756" t="s">
        <v>101</v>
      </c>
      <c r="L756" t="s">
        <v>697</v>
      </c>
      <c r="M756" t="s">
        <v>3167</v>
      </c>
      <c r="N756" t="s">
        <v>121</v>
      </c>
      <c r="O756" t="s">
        <v>1654</v>
      </c>
    </row>
    <row r="757" spans="1:15" x14ac:dyDescent="0.25">
      <c r="A757" t="s">
        <v>1566</v>
      </c>
      <c r="B757" t="s">
        <v>3092</v>
      </c>
      <c r="C757" t="s">
        <v>1533</v>
      </c>
      <c r="D757" t="s">
        <v>285</v>
      </c>
      <c r="E757" t="s">
        <v>285</v>
      </c>
      <c r="F757" t="s">
        <v>285</v>
      </c>
      <c r="G757" t="s">
        <v>284</v>
      </c>
      <c r="H757" t="s">
        <v>5</v>
      </c>
      <c r="I757" t="s">
        <v>172</v>
      </c>
      <c r="J757" t="s">
        <v>2263</v>
      </c>
      <c r="K757" t="s">
        <v>840</v>
      </c>
      <c r="L757" t="s">
        <v>1566</v>
      </c>
      <c r="M757" t="s">
        <v>3168</v>
      </c>
      <c r="N757" t="s">
        <v>121</v>
      </c>
      <c r="O757" t="s">
        <v>1654</v>
      </c>
    </row>
    <row r="758" spans="1:15" x14ac:dyDescent="0.25">
      <c r="A758" t="s">
        <v>1423</v>
      </c>
      <c r="B758" t="s">
        <v>3093</v>
      </c>
      <c r="C758" t="s">
        <v>1510</v>
      </c>
      <c r="D758" t="s">
        <v>285</v>
      </c>
      <c r="E758" t="s">
        <v>285</v>
      </c>
      <c r="F758" t="s">
        <v>285</v>
      </c>
      <c r="G758" t="s">
        <v>285</v>
      </c>
      <c r="H758" t="s">
        <v>1408</v>
      </c>
      <c r="I758" t="s">
        <v>172</v>
      </c>
      <c r="J758" t="s">
        <v>2178</v>
      </c>
      <c r="K758" t="s">
        <v>788</v>
      </c>
      <c r="L758" t="s">
        <v>1423</v>
      </c>
      <c r="M758" t="s">
        <v>3167</v>
      </c>
      <c r="N758" t="s">
        <v>121</v>
      </c>
      <c r="O758" t="s">
        <v>1654</v>
      </c>
    </row>
    <row r="759" spans="1:15" x14ac:dyDescent="0.25">
      <c r="A759" t="s">
        <v>870</v>
      </c>
      <c r="B759" t="s">
        <v>3094</v>
      </c>
      <c r="C759" t="s">
        <v>1510</v>
      </c>
      <c r="D759" t="s">
        <v>285</v>
      </c>
      <c r="E759" t="s">
        <v>285</v>
      </c>
      <c r="F759" t="s">
        <v>285</v>
      </c>
      <c r="G759" t="s">
        <v>285</v>
      </c>
      <c r="H759" t="s">
        <v>1408</v>
      </c>
      <c r="I759" t="s">
        <v>172</v>
      </c>
      <c r="J759" t="s">
        <v>1407</v>
      </c>
      <c r="K759" t="s">
        <v>1616</v>
      </c>
      <c r="L759" t="s">
        <v>870</v>
      </c>
      <c r="M759" t="s">
        <v>3168</v>
      </c>
      <c r="N759" t="s">
        <v>1527</v>
      </c>
      <c r="O759" t="s">
        <v>1654</v>
      </c>
    </row>
    <row r="760" spans="1:15" x14ac:dyDescent="0.25">
      <c r="A760" t="s">
        <v>1082</v>
      </c>
      <c r="B760" t="s">
        <v>3095</v>
      </c>
      <c r="C760" t="s">
        <v>2359</v>
      </c>
      <c r="D760" t="s">
        <v>285</v>
      </c>
      <c r="E760" t="s">
        <v>285</v>
      </c>
      <c r="F760" t="s">
        <v>285</v>
      </c>
      <c r="G760" t="s">
        <v>285</v>
      </c>
      <c r="H760" t="s">
        <v>5</v>
      </c>
      <c r="I760" t="s">
        <v>172</v>
      </c>
      <c r="J760" t="s">
        <v>3096</v>
      </c>
      <c r="K760" t="s">
        <v>101</v>
      </c>
      <c r="L760" t="s">
        <v>1082</v>
      </c>
      <c r="M760" t="s">
        <v>3168</v>
      </c>
      <c r="N760" t="s">
        <v>802</v>
      </c>
      <c r="O760" t="s">
        <v>789</v>
      </c>
    </row>
    <row r="761" spans="1:15" x14ac:dyDescent="0.25">
      <c r="A761" t="s">
        <v>1419</v>
      </c>
      <c r="B761" t="s">
        <v>3097</v>
      </c>
      <c r="C761" t="s">
        <v>1405</v>
      </c>
      <c r="D761" t="s">
        <v>285</v>
      </c>
      <c r="E761" t="s">
        <v>284</v>
      </c>
      <c r="F761" t="s">
        <v>285</v>
      </c>
      <c r="G761" t="s">
        <v>284</v>
      </c>
      <c r="H761" t="s">
        <v>5</v>
      </c>
      <c r="I761" t="s">
        <v>172</v>
      </c>
      <c r="J761" t="s">
        <v>2236</v>
      </c>
      <c r="K761" t="s">
        <v>1616</v>
      </c>
      <c r="L761" t="s">
        <v>1419</v>
      </c>
      <c r="M761" t="s">
        <v>3168</v>
      </c>
      <c r="N761" t="s">
        <v>1527</v>
      </c>
      <c r="O761" t="s">
        <v>789</v>
      </c>
    </row>
    <row r="762" spans="1:15" x14ac:dyDescent="0.25">
      <c r="A762" t="s">
        <v>474</v>
      </c>
      <c r="B762" t="s">
        <v>3098</v>
      </c>
      <c r="C762" t="s">
        <v>2253</v>
      </c>
      <c r="D762" t="s">
        <v>284</v>
      </c>
      <c r="E762" t="s">
        <v>285</v>
      </c>
      <c r="F762" t="s">
        <v>285</v>
      </c>
      <c r="G762" t="s">
        <v>285</v>
      </c>
      <c r="H762" t="s">
        <v>5</v>
      </c>
      <c r="I762" t="s">
        <v>172</v>
      </c>
      <c r="J762" t="s">
        <v>769</v>
      </c>
      <c r="K762" t="s">
        <v>769</v>
      </c>
      <c r="L762" t="s">
        <v>474</v>
      </c>
      <c r="M762" t="s">
        <v>3167</v>
      </c>
      <c r="N762" t="s">
        <v>121</v>
      </c>
      <c r="O762" t="s">
        <v>1654</v>
      </c>
    </row>
    <row r="763" spans="1:15" x14ac:dyDescent="0.25">
      <c r="A763" t="s">
        <v>1734</v>
      </c>
      <c r="B763" t="s">
        <v>3099</v>
      </c>
      <c r="C763" t="s">
        <v>1517</v>
      </c>
      <c r="D763" t="s">
        <v>284</v>
      </c>
      <c r="E763" t="s">
        <v>285</v>
      </c>
      <c r="F763" t="s">
        <v>285</v>
      </c>
      <c r="G763" t="s">
        <v>285</v>
      </c>
      <c r="H763" t="s">
        <v>5</v>
      </c>
      <c r="I763" t="s">
        <v>172</v>
      </c>
      <c r="J763" t="s">
        <v>788</v>
      </c>
      <c r="K763" t="s">
        <v>788</v>
      </c>
      <c r="L763" t="s">
        <v>1734</v>
      </c>
      <c r="M763" t="s">
        <v>3168</v>
      </c>
      <c r="N763" t="s">
        <v>802</v>
      </c>
      <c r="O763" t="s">
        <v>789</v>
      </c>
    </row>
    <row r="764" spans="1:15" x14ac:dyDescent="0.25">
      <c r="A764" t="s">
        <v>654</v>
      </c>
      <c r="B764" t="s">
        <v>3100</v>
      </c>
      <c r="C764" t="s">
        <v>1520</v>
      </c>
      <c r="D764" t="s">
        <v>284</v>
      </c>
      <c r="E764" t="s">
        <v>285</v>
      </c>
      <c r="F764" t="s">
        <v>285</v>
      </c>
      <c r="G764" t="s">
        <v>285</v>
      </c>
      <c r="H764" t="s">
        <v>5</v>
      </c>
      <c r="I764" t="s">
        <v>172</v>
      </c>
      <c r="J764" t="s">
        <v>801</v>
      </c>
      <c r="K764" t="s">
        <v>801</v>
      </c>
      <c r="L764" t="s">
        <v>654</v>
      </c>
      <c r="M764" t="s">
        <v>3167</v>
      </c>
      <c r="N764" t="s">
        <v>802</v>
      </c>
      <c r="O764" t="s">
        <v>789</v>
      </c>
    </row>
    <row r="765" spans="1:15" x14ac:dyDescent="0.25">
      <c r="A765" t="s">
        <v>1402</v>
      </c>
      <c r="B765" t="s">
        <v>3101</v>
      </c>
      <c r="C765" t="s">
        <v>1510</v>
      </c>
      <c r="D765" t="s">
        <v>285</v>
      </c>
      <c r="E765" t="s">
        <v>285</v>
      </c>
      <c r="F765" t="s">
        <v>285</v>
      </c>
      <c r="G765" t="s">
        <v>285</v>
      </c>
      <c r="H765" t="s">
        <v>1408</v>
      </c>
      <c r="I765" t="s">
        <v>172</v>
      </c>
      <c r="J765" t="s">
        <v>2178</v>
      </c>
      <c r="K765" t="s">
        <v>800</v>
      </c>
      <c r="L765" t="s">
        <v>1402</v>
      </c>
      <c r="M765" t="s">
        <v>3167</v>
      </c>
      <c r="N765" t="s">
        <v>121</v>
      </c>
      <c r="O765" t="s">
        <v>1654</v>
      </c>
    </row>
    <row r="766" spans="1:15" x14ac:dyDescent="0.25">
      <c r="A766" t="s">
        <v>736</v>
      </c>
      <c r="B766" t="s">
        <v>3102</v>
      </c>
      <c r="C766" t="s">
        <v>2255</v>
      </c>
      <c r="D766" t="s">
        <v>285</v>
      </c>
      <c r="E766" t="s">
        <v>285</v>
      </c>
      <c r="F766" t="s">
        <v>285</v>
      </c>
      <c r="G766" t="s">
        <v>284</v>
      </c>
      <c r="H766" t="s">
        <v>5</v>
      </c>
      <c r="I766" t="s">
        <v>172</v>
      </c>
      <c r="J766" t="s">
        <v>780</v>
      </c>
      <c r="K766" t="s">
        <v>780</v>
      </c>
      <c r="L766" t="s">
        <v>736</v>
      </c>
      <c r="M766" t="s">
        <v>3167</v>
      </c>
      <c r="N766" t="s">
        <v>3172</v>
      </c>
      <c r="O766" t="s">
        <v>1654</v>
      </c>
    </row>
    <row r="767" spans="1:15" x14ac:dyDescent="0.25">
      <c r="A767" t="s">
        <v>1645</v>
      </c>
      <c r="B767" t="s">
        <v>3103</v>
      </c>
      <c r="C767" t="s">
        <v>1509</v>
      </c>
      <c r="D767" t="s">
        <v>285</v>
      </c>
      <c r="E767" t="s">
        <v>284</v>
      </c>
      <c r="F767" t="s">
        <v>285</v>
      </c>
      <c r="G767" t="s">
        <v>284</v>
      </c>
      <c r="H767" t="s">
        <v>5</v>
      </c>
      <c r="I767" t="s">
        <v>172</v>
      </c>
      <c r="J767" t="s">
        <v>1509</v>
      </c>
      <c r="K767" t="s">
        <v>839</v>
      </c>
      <c r="L767" t="s">
        <v>1645</v>
      </c>
      <c r="M767" t="s">
        <v>3168</v>
      </c>
      <c r="N767" t="s">
        <v>1527</v>
      </c>
      <c r="O767" t="s">
        <v>1654</v>
      </c>
    </row>
    <row r="768" spans="1:15" x14ac:dyDescent="0.25">
      <c r="A768" t="s">
        <v>700</v>
      </c>
      <c r="B768" t="s">
        <v>3104</v>
      </c>
      <c r="C768" t="s">
        <v>1517</v>
      </c>
      <c r="D768" t="s">
        <v>284</v>
      </c>
      <c r="E768" t="s">
        <v>285</v>
      </c>
      <c r="F768" t="s">
        <v>285</v>
      </c>
      <c r="G768" t="s">
        <v>285</v>
      </c>
      <c r="H768" t="s">
        <v>5</v>
      </c>
      <c r="I768" t="s">
        <v>172</v>
      </c>
      <c r="J768" t="s">
        <v>3105</v>
      </c>
      <c r="K768" t="s">
        <v>788</v>
      </c>
      <c r="L768" t="s">
        <v>700</v>
      </c>
      <c r="M768" t="s">
        <v>3168</v>
      </c>
      <c r="N768" t="s">
        <v>802</v>
      </c>
      <c r="O768" t="s">
        <v>789</v>
      </c>
    </row>
    <row r="769" spans="1:15" x14ac:dyDescent="0.25">
      <c r="A769" t="s">
        <v>475</v>
      </c>
      <c r="B769" t="s">
        <v>3106</v>
      </c>
      <c r="C769" t="s">
        <v>1405</v>
      </c>
      <c r="D769" t="s">
        <v>284</v>
      </c>
      <c r="E769" t="s">
        <v>284</v>
      </c>
      <c r="F769" t="s">
        <v>285</v>
      </c>
      <c r="G769" t="s">
        <v>285</v>
      </c>
      <c r="H769" t="s">
        <v>5</v>
      </c>
      <c r="I769" t="s">
        <v>172</v>
      </c>
      <c r="J769" t="s">
        <v>2236</v>
      </c>
      <c r="K769" t="s">
        <v>1616</v>
      </c>
      <c r="L769" t="s">
        <v>475</v>
      </c>
      <c r="M769" t="s">
        <v>3168</v>
      </c>
      <c r="N769" t="s">
        <v>802</v>
      </c>
      <c r="O769" t="s">
        <v>1654</v>
      </c>
    </row>
    <row r="770" spans="1:15" x14ac:dyDescent="0.25">
      <c r="A770" t="s">
        <v>704</v>
      </c>
      <c r="B770" t="s">
        <v>2169</v>
      </c>
      <c r="C770" t="s">
        <v>2294</v>
      </c>
      <c r="D770" t="s">
        <v>285</v>
      </c>
      <c r="E770" t="s">
        <v>285</v>
      </c>
      <c r="F770" t="s">
        <v>285</v>
      </c>
      <c r="G770" t="s">
        <v>284</v>
      </c>
      <c r="H770" t="s">
        <v>5</v>
      </c>
      <c r="I770" t="s">
        <v>172</v>
      </c>
      <c r="J770" t="s">
        <v>2614</v>
      </c>
      <c r="K770" t="s">
        <v>101</v>
      </c>
      <c r="L770" t="s">
        <v>704</v>
      </c>
      <c r="M770" t="s">
        <v>3167</v>
      </c>
      <c r="N770" t="s">
        <v>121</v>
      </c>
      <c r="O770" t="s">
        <v>1654</v>
      </c>
    </row>
    <row r="771" spans="1:15" x14ac:dyDescent="0.25">
      <c r="A771" t="s">
        <v>673</v>
      </c>
      <c r="B771" t="s">
        <v>3107</v>
      </c>
      <c r="C771" t="s">
        <v>2465</v>
      </c>
      <c r="D771" t="s">
        <v>284</v>
      </c>
      <c r="E771" t="s">
        <v>285</v>
      </c>
      <c r="F771" t="s">
        <v>285</v>
      </c>
      <c r="G771" t="s">
        <v>285</v>
      </c>
      <c r="H771" t="s">
        <v>5</v>
      </c>
      <c r="I771" t="s">
        <v>172</v>
      </c>
      <c r="J771" t="s">
        <v>780</v>
      </c>
      <c r="K771" t="s">
        <v>780</v>
      </c>
      <c r="L771" t="s">
        <v>673</v>
      </c>
      <c r="M771" t="s">
        <v>3168</v>
      </c>
      <c r="N771" t="s">
        <v>3172</v>
      </c>
      <c r="O771" t="s">
        <v>1654</v>
      </c>
    </row>
    <row r="772" spans="1:15" x14ac:dyDescent="0.25">
      <c r="A772" t="s">
        <v>514</v>
      </c>
      <c r="B772" t="s">
        <v>3108</v>
      </c>
      <c r="C772" t="s">
        <v>2232</v>
      </c>
      <c r="D772" t="s">
        <v>285</v>
      </c>
      <c r="E772" t="s">
        <v>285</v>
      </c>
      <c r="F772" t="s">
        <v>285</v>
      </c>
      <c r="G772" t="s">
        <v>284</v>
      </c>
      <c r="H772" t="s">
        <v>5</v>
      </c>
      <c r="I772" t="s">
        <v>172</v>
      </c>
      <c r="J772" t="s">
        <v>1512</v>
      </c>
      <c r="K772" s="138" t="s">
        <v>101</v>
      </c>
      <c r="L772" t="s">
        <v>514</v>
      </c>
      <c r="M772" t="s">
        <v>3168</v>
      </c>
      <c r="N772" t="s">
        <v>121</v>
      </c>
      <c r="O772" t="s">
        <v>1654</v>
      </c>
    </row>
    <row r="773" spans="1:15" x14ac:dyDescent="0.25">
      <c r="A773" t="s">
        <v>130</v>
      </c>
      <c r="B773" t="s">
        <v>3109</v>
      </c>
      <c r="C773" t="s">
        <v>1510</v>
      </c>
      <c r="D773" t="s">
        <v>285</v>
      </c>
      <c r="E773" t="s">
        <v>285</v>
      </c>
      <c r="F773" t="s">
        <v>285</v>
      </c>
      <c r="G773" t="s">
        <v>285</v>
      </c>
      <c r="H773" t="s">
        <v>619</v>
      </c>
      <c r="I773" t="s">
        <v>172</v>
      </c>
      <c r="J773" t="s">
        <v>911</v>
      </c>
      <c r="K773" t="s">
        <v>800</v>
      </c>
      <c r="L773" t="s">
        <v>130</v>
      </c>
      <c r="M773" t="s">
        <v>1527</v>
      </c>
      <c r="N773" t="s">
        <v>1527</v>
      </c>
      <c r="O773" t="s">
        <v>1654</v>
      </c>
    </row>
    <row r="774" spans="1:15" x14ac:dyDescent="0.25">
      <c r="A774" t="s">
        <v>545</v>
      </c>
      <c r="B774" t="s">
        <v>3110</v>
      </c>
      <c r="C774" t="s">
        <v>1533</v>
      </c>
      <c r="D774" t="s">
        <v>284</v>
      </c>
      <c r="E774" t="s">
        <v>285</v>
      </c>
      <c r="F774" t="s">
        <v>284</v>
      </c>
      <c r="G774" t="s">
        <v>285</v>
      </c>
      <c r="H774" t="s">
        <v>5</v>
      </c>
      <c r="I774" t="s">
        <v>172</v>
      </c>
      <c r="J774" t="s">
        <v>2263</v>
      </c>
      <c r="K774" t="s">
        <v>840</v>
      </c>
      <c r="L774" t="s">
        <v>545</v>
      </c>
      <c r="M774" t="s">
        <v>3168</v>
      </c>
      <c r="N774" t="s">
        <v>3172</v>
      </c>
      <c r="O774" t="s">
        <v>1654</v>
      </c>
    </row>
    <row r="775" spans="1:15" x14ac:dyDescent="0.25">
      <c r="A775" t="s">
        <v>144</v>
      </c>
      <c r="B775" t="s">
        <v>3111</v>
      </c>
      <c r="C775" t="s">
        <v>2248</v>
      </c>
      <c r="D775" t="s">
        <v>285</v>
      </c>
      <c r="E775" t="s">
        <v>285</v>
      </c>
      <c r="F775" t="s">
        <v>285</v>
      </c>
      <c r="G775" t="s">
        <v>284</v>
      </c>
      <c r="H775" t="s">
        <v>5</v>
      </c>
      <c r="I775" t="s">
        <v>172</v>
      </c>
      <c r="J775" t="s">
        <v>1521</v>
      </c>
      <c r="K775" t="s">
        <v>101</v>
      </c>
      <c r="L775" t="s">
        <v>144</v>
      </c>
      <c r="M775" t="s">
        <v>3168</v>
      </c>
      <c r="N775" t="s">
        <v>121</v>
      </c>
      <c r="O775" t="s">
        <v>789</v>
      </c>
    </row>
    <row r="776" spans="1:15" x14ac:dyDescent="0.25">
      <c r="A776" t="s">
        <v>649</v>
      </c>
      <c r="B776" t="s">
        <v>3112</v>
      </c>
      <c r="C776" t="s">
        <v>2378</v>
      </c>
      <c r="D776" t="s">
        <v>284</v>
      </c>
      <c r="E776" t="s">
        <v>284</v>
      </c>
      <c r="F776" t="s">
        <v>285</v>
      </c>
      <c r="G776" t="s">
        <v>285</v>
      </c>
      <c r="H776" t="s">
        <v>5</v>
      </c>
      <c r="I776" t="s">
        <v>172</v>
      </c>
      <c r="J776" t="s">
        <v>2378</v>
      </c>
      <c r="K776" t="s">
        <v>840</v>
      </c>
      <c r="L776" t="s">
        <v>649</v>
      </c>
      <c r="M776" t="s">
        <v>3168</v>
      </c>
      <c r="N776" t="s">
        <v>121</v>
      </c>
      <c r="O776" t="s">
        <v>1654</v>
      </c>
    </row>
    <row r="777" spans="1:15" x14ac:dyDescent="0.25">
      <c r="A777" t="s">
        <v>116</v>
      </c>
      <c r="B777" t="s">
        <v>3113</v>
      </c>
      <c r="C777" t="s">
        <v>1510</v>
      </c>
      <c r="D777" t="s">
        <v>285</v>
      </c>
      <c r="E777" t="s">
        <v>285</v>
      </c>
      <c r="F777" t="s">
        <v>285</v>
      </c>
      <c r="G777" t="s">
        <v>285</v>
      </c>
      <c r="H777" t="s">
        <v>1408</v>
      </c>
      <c r="I777" t="s">
        <v>172</v>
      </c>
      <c r="J777" t="s">
        <v>3114</v>
      </c>
      <c r="K777" t="s">
        <v>839</v>
      </c>
      <c r="L777" t="s">
        <v>116</v>
      </c>
      <c r="M777" t="s">
        <v>3168</v>
      </c>
      <c r="N777" t="s">
        <v>1527</v>
      </c>
      <c r="O777" t="s">
        <v>1654</v>
      </c>
    </row>
    <row r="778" spans="1:15" x14ac:dyDescent="0.25">
      <c r="A778" t="s">
        <v>699</v>
      </c>
      <c r="B778" t="s">
        <v>3115</v>
      </c>
      <c r="C778" t="s">
        <v>1509</v>
      </c>
      <c r="D778" t="s">
        <v>284</v>
      </c>
      <c r="E778" t="s">
        <v>284</v>
      </c>
      <c r="F778" t="s">
        <v>285</v>
      </c>
      <c r="G778" t="s">
        <v>285</v>
      </c>
      <c r="H778" t="s">
        <v>5</v>
      </c>
      <c r="I778" t="s">
        <v>172</v>
      </c>
      <c r="J778" t="s">
        <v>1509</v>
      </c>
      <c r="K778" t="s">
        <v>839</v>
      </c>
      <c r="L778" t="s">
        <v>699</v>
      </c>
      <c r="M778" t="s">
        <v>3168</v>
      </c>
      <c r="N778" t="s">
        <v>802</v>
      </c>
      <c r="O778" t="s">
        <v>1654</v>
      </c>
    </row>
    <row r="779" spans="1:15" x14ac:dyDescent="0.25">
      <c r="A779" t="s">
        <v>883</v>
      </c>
      <c r="B779" t="s">
        <v>3116</v>
      </c>
      <c r="C779" t="s">
        <v>1510</v>
      </c>
      <c r="D779" t="s">
        <v>285</v>
      </c>
      <c r="E779" t="s">
        <v>285</v>
      </c>
      <c r="F779" t="s">
        <v>285</v>
      </c>
      <c r="G779" t="s">
        <v>285</v>
      </c>
      <c r="H779" t="s">
        <v>1408</v>
      </c>
      <c r="I779" t="s">
        <v>100</v>
      </c>
      <c r="J779" t="s">
        <v>100</v>
      </c>
      <c r="K779" t="s">
        <v>801</v>
      </c>
      <c r="L779" t="s">
        <v>883</v>
      </c>
      <c r="M779" t="s">
        <v>3167</v>
      </c>
      <c r="N779" t="s">
        <v>1527</v>
      </c>
      <c r="O779" t="s">
        <v>1654</v>
      </c>
    </row>
    <row r="780" spans="1:15" x14ac:dyDescent="0.25">
      <c r="A780" t="s">
        <v>638</v>
      </c>
      <c r="B780" t="s">
        <v>3117</v>
      </c>
      <c r="C780" t="s">
        <v>2465</v>
      </c>
      <c r="D780" t="s">
        <v>284</v>
      </c>
      <c r="E780" t="s">
        <v>285</v>
      </c>
      <c r="F780" t="s">
        <v>285</v>
      </c>
      <c r="G780" t="s">
        <v>285</v>
      </c>
      <c r="H780" t="s">
        <v>5</v>
      </c>
      <c r="I780" t="s">
        <v>172</v>
      </c>
      <c r="J780" t="s">
        <v>780</v>
      </c>
      <c r="K780" t="s">
        <v>780</v>
      </c>
      <c r="L780" t="s">
        <v>638</v>
      </c>
      <c r="M780" t="s">
        <v>3168</v>
      </c>
      <c r="N780" t="s">
        <v>3172</v>
      </c>
      <c r="O780" t="s">
        <v>1654</v>
      </c>
    </row>
    <row r="781" spans="1:15" x14ac:dyDescent="0.25">
      <c r="A781" t="s">
        <v>476</v>
      </c>
      <c r="B781" t="s">
        <v>3118</v>
      </c>
      <c r="C781" t="s">
        <v>1214</v>
      </c>
      <c r="D781" t="s">
        <v>285</v>
      </c>
      <c r="E781" t="s">
        <v>284</v>
      </c>
      <c r="F781" t="s">
        <v>285</v>
      </c>
      <c r="G781" t="s">
        <v>284</v>
      </c>
      <c r="H781" t="s">
        <v>5</v>
      </c>
      <c r="I781" t="s">
        <v>172</v>
      </c>
      <c r="J781" t="s">
        <v>1214</v>
      </c>
      <c r="K781" t="s">
        <v>101</v>
      </c>
      <c r="L781" t="s">
        <v>476</v>
      </c>
      <c r="M781" t="s">
        <v>3168</v>
      </c>
      <c r="N781" t="s">
        <v>3172</v>
      </c>
      <c r="O781" t="s">
        <v>1654</v>
      </c>
    </row>
    <row r="782" spans="1:15" x14ac:dyDescent="0.25">
      <c r="A782" t="s">
        <v>516</v>
      </c>
      <c r="B782" t="s">
        <v>3119</v>
      </c>
      <c r="C782" t="s">
        <v>2253</v>
      </c>
      <c r="D782" t="s">
        <v>285</v>
      </c>
      <c r="E782" t="s">
        <v>285</v>
      </c>
      <c r="F782" t="s">
        <v>285</v>
      </c>
      <c r="G782" t="s">
        <v>284</v>
      </c>
      <c r="H782" t="s">
        <v>5</v>
      </c>
      <c r="I782" t="s">
        <v>172</v>
      </c>
      <c r="J782" t="s">
        <v>769</v>
      </c>
      <c r="K782" s="138" t="s">
        <v>98</v>
      </c>
      <c r="L782" t="s">
        <v>516</v>
      </c>
      <c r="M782" t="s">
        <v>3167</v>
      </c>
      <c r="N782" t="s">
        <v>121</v>
      </c>
      <c r="O782" t="s">
        <v>1654</v>
      </c>
    </row>
    <row r="783" spans="1:15" x14ac:dyDescent="0.25">
      <c r="A783" t="s">
        <v>477</v>
      </c>
      <c r="B783" t="s">
        <v>2895</v>
      </c>
      <c r="C783" t="s">
        <v>1519</v>
      </c>
      <c r="D783" t="s">
        <v>284</v>
      </c>
      <c r="E783" t="s">
        <v>285</v>
      </c>
      <c r="F783" t="s">
        <v>285</v>
      </c>
      <c r="G783" t="s">
        <v>285</v>
      </c>
      <c r="H783" t="s">
        <v>5</v>
      </c>
      <c r="I783" t="s">
        <v>172</v>
      </c>
      <c r="J783" t="s">
        <v>2277</v>
      </c>
      <c r="K783" t="s">
        <v>800</v>
      </c>
      <c r="L783" t="s">
        <v>477</v>
      </c>
      <c r="M783" t="s">
        <v>3167</v>
      </c>
      <c r="N783" t="s">
        <v>121</v>
      </c>
      <c r="O783" t="s">
        <v>789</v>
      </c>
    </row>
    <row r="784" spans="1:15" x14ac:dyDescent="0.25">
      <c r="A784" t="s">
        <v>117</v>
      </c>
      <c r="B784" t="s">
        <v>3120</v>
      </c>
      <c r="C784" t="s">
        <v>1510</v>
      </c>
      <c r="D784" t="s">
        <v>285</v>
      </c>
      <c r="E784" t="s">
        <v>285</v>
      </c>
      <c r="F784" t="s">
        <v>285</v>
      </c>
      <c r="G784" t="s">
        <v>285</v>
      </c>
      <c r="H784" t="s">
        <v>1408</v>
      </c>
      <c r="I784" t="s">
        <v>172</v>
      </c>
      <c r="J784" t="s">
        <v>3121</v>
      </c>
      <c r="K784" t="s">
        <v>839</v>
      </c>
      <c r="L784" t="s">
        <v>117</v>
      </c>
      <c r="M784" t="s">
        <v>3168</v>
      </c>
      <c r="N784" t="s">
        <v>1527</v>
      </c>
      <c r="O784" t="s">
        <v>789</v>
      </c>
    </row>
    <row r="785" spans="1:15" x14ac:dyDescent="0.25">
      <c r="A785" t="s">
        <v>1406</v>
      </c>
      <c r="B785" t="s">
        <v>3122</v>
      </c>
      <c r="C785" t="s">
        <v>2450</v>
      </c>
      <c r="D785" t="s">
        <v>285</v>
      </c>
      <c r="E785" t="s">
        <v>284</v>
      </c>
      <c r="F785" t="s">
        <v>285</v>
      </c>
      <c r="G785" t="s">
        <v>284</v>
      </c>
      <c r="H785" t="s">
        <v>5</v>
      </c>
      <c r="I785" t="s">
        <v>172</v>
      </c>
      <c r="J785" t="s">
        <v>1504</v>
      </c>
      <c r="K785" s="138" t="s">
        <v>1616</v>
      </c>
      <c r="L785" t="s">
        <v>1406</v>
      </c>
      <c r="M785" t="s">
        <v>3168</v>
      </c>
      <c r="N785" t="s">
        <v>1527</v>
      </c>
      <c r="O785" t="s">
        <v>1654</v>
      </c>
    </row>
    <row r="786" spans="1:15" x14ac:dyDescent="0.25">
      <c r="A786" t="s">
        <v>732</v>
      </c>
      <c r="B786" t="s">
        <v>3123</v>
      </c>
      <c r="C786" t="s">
        <v>2359</v>
      </c>
      <c r="D786" t="s">
        <v>285</v>
      </c>
      <c r="E786" t="s">
        <v>285</v>
      </c>
      <c r="F786" t="s">
        <v>285</v>
      </c>
      <c r="G786" t="s">
        <v>284</v>
      </c>
      <c r="H786" t="s">
        <v>5</v>
      </c>
      <c r="I786" t="s">
        <v>172</v>
      </c>
      <c r="J786" t="s">
        <v>2374</v>
      </c>
      <c r="K786" t="s">
        <v>101</v>
      </c>
      <c r="L786" t="s">
        <v>732</v>
      </c>
      <c r="M786" t="s">
        <v>3168</v>
      </c>
      <c r="N786" t="s">
        <v>802</v>
      </c>
      <c r="O786" t="s">
        <v>1654</v>
      </c>
    </row>
    <row r="787" spans="1:15" x14ac:dyDescent="0.25">
      <c r="A787" t="s">
        <v>726</v>
      </c>
      <c r="B787" t="s">
        <v>3124</v>
      </c>
      <c r="C787" t="s">
        <v>1524</v>
      </c>
      <c r="D787" t="s">
        <v>285</v>
      </c>
      <c r="E787" t="s">
        <v>285</v>
      </c>
      <c r="F787" t="s">
        <v>285</v>
      </c>
      <c r="G787" t="s">
        <v>284</v>
      </c>
      <c r="H787" t="s">
        <v>5</v>
      </c>
      <c r="I787" t="s">
        <v>172</v>
      </c>
      <c r="J787" t="s">
        <v>1524</v>
      </c>
      <c r="K787" t="s">
        <v>788</v>
      </c>
      <c r="L787" t="s">
        <v>726</v>
      </c>
      <c r="M787" t="s">
        <v>3167</v>
      </c>
      <c r="N787" t="s">
        <v>802</v>
      </c>
      <c r="O787" t="s">
        <v>789</v>
      </c>
    </row>
    <row r="788" spans="1:15" x14ac:dyDescent="0.25">
      <c r="A788" t="s">
        <v>478</v>
      </c>
      <c r="B788" t="s">
        <v>3125</v>
      </c>
      <c r="C788" t="s">
        <v>2248</v>
      </c>
      <c r="D788" t="s">
        <v>284</v>
      </c>
      <c r="E788" t="s">
        <v>285</v>
      </c>
      <c r="F788" t="s">
        <v>284</v>
      </c>
      <c r="G788" t="s">
        <v>285</v>
      </c>
      <c r="H788" t="s">
        <v>5</v>
      </c>
      <c r="I788" t="s">
        <v>172</v>
      </c>
      <c r="J788" t="s">
        <v>103</v>
      </c>
      <c r="K788" t="s">
        <v>98</v>
      </c>
      <c r="L788" t="s">
        <v>478</v>
      </c>
      <c r="M788" t="s">
        <v>3168</v>
      </c>
      <c r="N788" t="s">
        <v>802</v>
      </c>
      <c r="O788" t="s">
        <v>789</v>
      </c>
    </row>
    <row r="789" spans="1:15" x14ac:dyDescent="0.25">
      <c r="A789" t="s">
        <v>1241</v>
      </c>
      <c r="B789" t="s">
        <v>3126</v>
      </c>
      <c r="C789" t="s">
        <v>1510</v>
      </c>
      <c r="D789" t="s">
        <v>285</v>
      </c>
      <c r="E789" t="s">
        <v>285</v>
      </c>
      <c r="F789" t="s">
        <v>285</v>
      </c>
      <c r="G789" t="s">
        <v>285</v>
      </c>
      <c r="H789" t="s">
        <v>1408</v>
      </c>
      <c r="I789" t="s">
        <v>172</v>
      </c>
      <c r="J789" t="s">
        <v>3127</v>
      </c>
      <c r="K789" t="s">
        <v>801</v>
      </c>
      <c r="L789" t="s">
        <v>1241</v>
      </c>
      <c r="M789" t="s">
        <v>3167</v>
      </c>
      <c r="N789" t="s">
        <v>1527</v>
      </c>
      <c r="O789" t="s">
        <v>1654</v>
      </c>
    </row>
    <row r="790" spans="1:15" x14ac:dyDescent="0.25">
      <c r="A790" t="s">
        <v>845</v>
      </c>
      <c r="B790" t="s">
        <v>3128</v>
      </c>
      <c r="C790" t="s">
        <v>1518</v>
      </c>
      <c r="D790" t="s">
        <v>285</v>
      </c>
      <c r="E790" t="s">
        <v>284</v>
      </c>
      <c r="F790" t="s">
        <v>285</v>
      </c>
      <c r="G790" t="s">
        <v>284</v>
      </c>
      <c r="H790" t="s">
        <v>5</v>
      </c>
      <c r="I790" t="s">
        <v>172</v>
      </c>
      <c r="J790" t="s">
        <v>103</v>
      </c>
      <c r="K790" t="s">
        <v>101</v>
      </c>
      <c r="L790" t="s">
        <v>845</v>
      </c>
      <c r="M790" t="s">
        <v>3168</v>
      </c>
      <c r="N790" t="s">
        <v>1527</v>
      </c>
      <c r="O790" t="s">
        <v>1654</v>
      </c>
    </row>
    <row r="791" spans="1:15" x14ac:dyDescent="0.25">
      <c r="A791" t="s">
        <v>523</v>
      </c>
      <c r="B791" t="s">
        <v>3129</v>
      </c>
      <c r="C791" t="s">
        <v>2294</v>
      </c>
      <c r="D791" t="s">
        <v>285</v>
      </c>
      <c r="E791" t="s">
        <v>285</v>
      </c>
      <c r="F791" t="s">
        <v>285</v>
      </c>
      <c r="G791" t="s">
        <v>284</v>
      </c>
      <c r="H791" t="s">
        <v>5</v>
      </c>
      <c r="I791" t="s">
        <v>172</v>
      </c>
      <c r="J791" t="s">
        <v>2614</v>
      </c>
      <c r="K791" t="s">
        <v>101</v>
      </c>
      <c r="L791" t="s">
        <v>523</v>
      </c>
      <c r="M791" t="s">
        <v>3167</v>
      </c>
      <c r="N791" t="s">
        <v>121</v>
      </c>
      <c r="O791" t="s">
        <v>1654</v>
      </c>
    </row>
    <row r="792" spans="1:15" x14ac:dyDescent="0.25">
      <c r="A792" t="s">
        <v>664</v>
      </c>
      <c r="B792" t="s">
        <v>3130</v>
      </c>
      <c r="C792" t="s">
        <v>2428</v>
      </c>
      <c r="D792" t="s">
        <v>284</v>
      </c>
      <c r="E792" t="s">
        <v>285</v>
      </c>
      <c r="F792" t="s">
        <v>285</v>
      </c>
      <c r="G792" t="s">
        <v>285</v>
      </c>
      <c r="H792" t="s">
        <v>5</v>
      </c>
      <c r="I792" t="s">
        <v>172</v>
      </c>
      <c r="J792" t="s">
        <v>780</v>
      </c>
      <c r="K792" t="s">
        <v>780</v>
      </c>
      <c r="L792" t="s">
        <v>664</v>
      </c>
      <c r="M792" t="s">
        <v>3167</v>
      </c>
      <c r="N792" t="s">
        <v>3172</v>
      </c>
      <c r="O792" t="s">
        <v>1654</v>
      </c>
    </row>
    <row r="793" spans="1:15" x14ac:dyDescent="0.25">
      <c r="A793" t="s">
        <v>522</v>
      </c>
      <c r="B793" t="s">
        <v>3131</v>
      </c>
      <c r="C793" t="s">
        <v>2335</v>
      </c>
      <c r="D793" t="s">
        <v>284</v>
      </c>
      <c r="E793" t="s">
        <v>284</v>
      </c>
      <c r="F793" t="s">
        <v>285</v>
      </c>
      <c r="G793" t="s">
        <v>285</v>
      </c>
      <c r="H793" t="s">
        <v>5</v>
      </c>
      <c r="I793" t="s">
        <v>172</v>
      </c>
      <c r="J793" t="s">
        <v>2336</v>
      </c>
      <c r="K793" t="s">
        <v>101</v>
      </c>
      <c r="L793" t="s">
        <v>522</v>
      </c>
      <c r="M793" t="s">
        <v>3167</v>
      </c>
      <c r="N793" t="s">
        <v>121</v>
      </c>
      <c r="O793" t="s">
        <v>1654</v>
      </c>
    </row>
    <row r="794" spans="1:15" x14ac:dyDescent="0.25">
      <c r="A794" t="s">
        <v>1033</v>
      </c>
      <c r="B794" t="s">
        <v>3132</v>
      </c>
      <c r="C794" t="s">
        <v>1405</v>
      </c>
      <c r="D794" t="s">
        <v>285</v>
      </c>
      <c r="E794" t="s">
        <v>285</v>
      </c>
      <c r="F794" t="s">
        <v>285</v>
      </c>
      <c r="G794" t="s">
        <v>285</v>
      </c>
      <c r="H794" t="s">
        <v>1408</v>
      </c>
      <c r="I794" t="s">
        <v>172</v>
      </c>
      <c r="J794" t="s">
        <v>2236</v>
      </c>
      <c r="K794" t="s">
        <v>1616</v>
      </c>
      <c r="L794" t="s">
        <v>1033</v>
      </c>
      <c r="M794" t="s">
        <v>3168</v>
      </c>
      <c r="N794" t="s">
        <v>1527</v>
      </c>
      <c r="O794" t="s">
        <v>1654</v>
      </c>
    </row>
    <row r="795" spans="1:15" x14ac:dyDescent="0.25">
      <c r="A795" t="s">
        <v>555</v>
      </c>
      <c r="B795" t="s">
        <v>3133</v>
      </c>
      <c r="C795" t="s">
        <v>2871</v>
      </c>
      <c r="D795" t="s">
        <v>285</v>
      </c>
      <c r="E795" t="s">
        <v>285</v>
      </c>
      <c r="F795" t="s">
        <v>285</v>
      </c>
      <c r="G795" t="s">
        <v>284</v>
      </c>
      <c r="H795" t="s">
        <v>5</v>
      </c>
      <c r="I795" t="s">
        <v>172</v>
      </c>
      <c r="J795" t="s">
        <v>780</v>
      </c>
      <c r="K795" t="s">
        <v>780</v>
      </c>
      <c r="L795" t="s">
        <v>555</v>
      </c>
      <c r="M795" t="s">
        <v>3167</v>
      </c>
      <c r="N795" t="s">
        <v>3172</v>
      </c>
      <c r="O795" t="s">
        <v>1654</v>
      </c>
    </row>
    <row r="796" spans="1:15" x14ac:dyDescent="0.25">
      <c r="A796" t="s">
        <v>1644</v>
      </c>
      <c r="B796" t="s">
        <v>3134</v>
      </c>
      <c r="C796" t="s">
        <v>1504</v>
      </c>
      <c r="D796" t="s">
        <v>285</v>
      </c>
      <c r="E796" t="s">
        <v>285</v>
      </c>
      <c r="F796" t="s">
        <v>285</v>
      </c>
      <c r="G796" t="s">
        <v>285</v>
      </c>
      <c r="H796" t="s">
        <v>2230</v>
      </c>
      <c r="I796" t="s">
        <v>172</v>
      </c>
      <c r="J796" t="s">
        <v>1504</v>
      </c>
      <c r="K796" t="s">
        <v>839</v>
      </c>
      <c r="L796" t="s">
        <v>1644</v>
      </c>
      <c r="M796" t="s">
        <v>3168</v>
      </c>
      <c r="N796" t="s">
        <v>121</v>
      </c>
      <c r="O796" t="s">
        <v>1654</v>
      </c>
    </row>
    <row r="797" spans="1:15" x14ac:dyDescent="0.25">
      <c r="A797" t="s">
        <v>493</v>
      </c>
      <c r="B797" t="s">
        <v>3135</v>
      </c>
      <c r="C797" t="s">
        <v>801</v>
      </c>
      <c r="D797" t="s">
        <v>285</v>
      </c>
      <c r="E797" t="s">
        <v>285</v>
      </c>
      <c r="F797" t="s">
        <v>285</v>
      </c>
      <c r="G797" t="s">
        <v>285</v>
      </c>
      <c r="H797" t="s">
        <v>1408</v>
      </c>
      <c r="I797" t="s">
        <v>172</v>
      </c>
      <c r="J797" t="s">
        <v>801</v>
      </c>
      <c r="K797" t="s">
        <v>801</v>
      </c>
      <c r="L797" t="s">
        <v>493</v>
      </c>
      <c r="M797" t="s">
        <v>3167</v>
      </c>
      <c r="N797" t="s">
        <v>121</v>
      </c>
      <c r="O797" t="s">
        <v>789</v>
      </c>
    </row>
    <row r="798" spans="1:15" x14ac:dyDescent="0.25">
      <c r="A798" t="s">
        <v>492</v>
      </c>
      <c r="B798" t="s">
        <v>3136</v>
      </c>
      <c r="C798" t="s">
        <v>3137</v>
      </c>
      <c r="D798" t="s">
        <v>285</v>
      </c>
      <c r="E798" t="s">
        <v>285</v>
      </c>
      <c r="F798" t="s">
        <v>285</v>
      </c>
      <c r="G798" t="s">
        <v>285</v>
      </c>
      <c r="H798" t="s">
        <v>1408</v>
      </c>
      <c r="I798" t="s">
        <v>172</v>
      </c>
      <c r="J798" t="s">
        <v>840</v>
      </c>
      <c r="K798" t="s">
        <v>840</v>
      </c>
      <c r="L798" t="s">
        <v>492</v>
      </c>
      <c r="M798" t="s">
        <v>3168</v>
      </c>
      <c r="N798" t="s">
        <v>802</v>
      </c>
      <c r="O798" t="s">
        <v>789</v>
      </c>
    </row>
    <row r="799" spans="1:15" x14ac:dyDescent="0.25">
      <c r="A799" t="s">
        <v>491</v>
      </c>
      <c r="B799" t="s">
        <v>3138</v>
      </c>
      <c r="C799" t="s">
        <v>769</v>
      </c>
      <c r="D799" t="s">
        <v>285</v>
      </c>
      <c r="E799" t="s">
        <v>285</v>
      </c>
      <c r="F799" t="s">
        <v>285</v>
      </c>
      <c r="G799" t="s">
        <v>285</v>
      </c>
      <c r="H799" t="s">
        <v>1408</v>
      </c>
      <c r="I799" t="s">
        <v>172</v>
      </c>
      <c r="J799" t="s">
        <v>769</v>
      </c>
      <c r="K799" t="s">
        <v>769</v>
      </c>
      <c r="L799" t="s">
        <v>491</v>
      </c>
      <c r="M799" t="s">
        <v>3167</v>
      </c>
      <c r="N799" t="s">
        <v>121</v>
      </c>
      <c r="O799" t="s">
        <v>1654</v>
      </c>
    </row>
    <row r="800" spans="1:15" x14ac:dyDescent="0.25">
      <c r="A800" t="s">
        <v>490</v>
      </c>
      <c r="B800" t="s">
        <v>3139</v>
      </c>
      <c r="C800" t="s">
        <v>800</v>
      </c>
      <c r="D800" t="s">
        <v>285</v>
      </c>
      <c r="E800" t="s">
        <v>285</v>
      </c>
      <c r="F800" t="s">
        <v>285</v>
      </c>
      <c r="G800" t="s">
        <v>285</v>
      </c>
      <c r="H800" t="s">
        <v>1408</v>
      </c>
      <c r="I800" t="s">
        <v>172</v>
      </c>
      <c r="J800" t="s">
        <v>800</v>
      </c>
      <c r="K800" t="s">
        <v>800</v>
      </c>
      <c r="L800" t="s">
        <v>490</v>
      </c>
      <c r="M800" t="s">
        <v>3167</v>
      </c>
      <c r="N800" t="s">
        <v>121</v>
      </c>
      <c r="O800" t="s">
        <v>789</v>
      </c>
    </row>
    <row r="801" spans="1:15" x14ac:dyDescent="0.25">
      <c r="A801" t="s">
        <v>878</v>
      </c>
      <c r="B801" t="s">
        <v>3140</v>
      </c>
      <c r="C801" t="s">
        <v>2193</v>
      </c>
      <c r="D801" t="s">
        <v>285</v>
      </c>
      <c r="E801" t="s">
        <v>285</v>
      </c>
      <c r="F801" t="s">
        <v>285</v>
      </c>
      <c r="G801" t="s">
        <v>285</v>
      </c>
      <c r="H801" t="s">
        <v>1408</v>
      </c>
      <c r="I801" t="s">
        <v>172</v>
      </c>
      <c r="J801" t="s">
        <v>2193</v>
      </c>
      <c r="K801" t="s">
        <v>788</v>
      </c>
      <c r="L801" t="s">
        <v>878</v>
      </c>
      <c r="M801" t="s">
        <v>3168</v>
      </c>
      <c r="N801" t="s">
        <v>802</v>
      </c>
      <c r="O801" t="s">
        <v>789</v>
      </c>
    </row>
    <row r="802" spans="1:15" x14ac:dyDescent="0.25">
      <c r="A802" t="s">
        <v>489</v>
      </c>
      <c r="B802" t="s">
        <v>3141</v>
      </c>
      <c r="C802" t="s">
        <v>788</v>
      </c>
      <c r="D802" t="s">
        <v>285</v>
      </c>
      <c r="E802" t="s">
        <v>285</v>
      </c>
      <c r="F802" t="s">
        <v>285</v>
      </c>
      <c r="G802" t="s">
        <v>285</v>
      </c>
      <c r="H802" t="s">
        <v>1408</v>
      </c>
      <c r="I802" t="s">
        <v>172</v>
      </c>
      <c r="J802" t="s">
        <v>788</v>
      </c>
      <c r="K802" t="s">
        <v>788</v>
      </c>
      <c r="L802" t="s">
        <v>489</v>
      </c>
      <c r="M802" t="s">
        <v>3167</v>
      </c>
      <c r="N802" t="s">
        <v>121</v>
      </c>
      <c r="O802" t="s">
        <v>789</v>
      </c>
    </row>
    <row r="803" spans="1:15" x14ac:dyDescent="0.25">
      <c r="A803" t="s">
        <v>20</v>
      </c>
      <c r="B803" t="s">
        <v>3142</v>
      </c>
      <c r="C803" t="s">
        <v>1504</v>
      </c>
      <c r="D803" t="s">
        <v>285</v>
      </c>
      <c r="E803" t="s">
        <v>285</v>
      </c>
      <c r="F803" t="s">
        <v>285</v>
      </c>
      <c r="G803" t="s">
        <v>285</v>
      </c>
      <c r="H803" t="s">
        <v>1408</v>
      </c>
      <c r="I803" t="s">
        <v>172</v>
      </c>
      <c r="J803" t="s">
        <v>1504</v>
      </c>
      <c r="K803" t="s">
        <v>839</v>
      </c>
      <c r="L803" t="s">
        <v>20</v>
      </c>
      <c r="M803" t="s">
        <v>3168</v>
      </c>
      <c r="N803" t="s">
        <v>802</v>
      </c>
      <c r="O803" t="s">
        <v>789</v>
      </c>
    </row>
    <row r="804" spans="1:15" x14ac:dyDescent="0.25">
      <c r="A804" t="s">
        <v>17</v>
      </c>
      <c r="B804" t="s">
        <v>3143</v>
      </c>
      <c r="C804" t="s">
        <v>98</v>
      </c>
      <c r="D804" t="s">
        <v>285</v>
      </c>
      <c r="E804" t="s">
        <v>285</v>
      </c>
      <c r="F804" t="s">
        <v>285</v>
      </c>
      <c r="G804" t="s">
        <v>285</v>
      </c>
      <c r="H804" t="s">
        <v>1408</v>
      </c>
      <c r="I804" t="s">
        <v>172</v>
      </c>
      <c r="J804" t="s">
        <v>98</v>
      </c>
      <c r="K804" t="s">
        <v>98</v>
      </c>
      <c r="L804" t="s">
        <v>17</v>
      </c>
      <c r="M804" t="s">
        <v>3168</v>
      </c>
      <c r="N804" t="s">
        <v>3172</v>
      </c>
      <c r="O804" t="s">
        <v>1654</v>
      </c>
    </row>
    <row r="805" spans="1:15" x14ac:dyDescent="0.25">
      <c r="A805" t="s">
        <v>488</v>
      </c>
      <c r="B805" t="s">
        <v>3144</v>
      </c>
      <c r="C805" t="s">
        <v>780</v>
      </c>
      <c r="D805" t="s">
        <v>285</v>
      </c>
      <c r="E805" t="s">
        <v>285</v>
      </c>
      <c r="F805" t="s">
        <v>285</v>
      </c>
      <c r="G805" t="s">
        <v>285</v>
      </c>
      <c r="H805" t="s">
        <v>1408</v>
      </c>
      <c r="I805" t="s">
        <v>172</v>
      </c>
      <c r="J805" t="s">
        <v>780</v>
      </c>
      <c r="K805" t="s">
        <v>780</v>
      </c>
      <c r="L805" t="s">
        <v>488</v>
      </c>
      <c r="M805" t="s">
        <v>3168</v>
      </c>
      <c r="N805" t="s">
        <v>3172</v>
      </c>
      <c r="O805" t="s">
        <v>1654</v>
      </c>
    </row>
    <row r="806" spans="1:15" x14ac:dyDescent="0.25">
      <c r="A806" t="s">
        <v>14</v>
      </c>
      <c r="B806" t="s">
        <v>3145</v>
      </c>
      <c r="C806" t="s">
        <v>89</v>
      </c>
      <c r="D806" t="s">
        <v>285</v>
      </c>
      <c r="E806" t="s">
        <v>285</v>
      </c>
      <c r="F806" t="s">
        <v>285</v>
      </c>
      <c r="G806" t="s">
        <v>285</v>
      </c>
      <c r="H806" t="s">
        <v>1408</v>
      </c>
      <c r="I806" t="s">
        <v>172</v>
      </c>
      <c r="J806" t="s">
        <v>89</v>
      </c>
      <c r="K806" t="s">
        <v>89</v>
      </c>
      <c r="L806" t="s">
        <v>14</v>
      </c>
      <c r="M806" t="s">
        <v>3168</v>
      </c>
      <c r="N806" t="s">
        <v>3172</v>
      </c>
      <c r="O806" t="s">
        <v>1654</v>
      </c>
    </row>
    <row r="807" spans="1:15" x14ac:dyDescent="0.25">
      <c r="A807" t="s">
        <v>16</v>
      </c>
      <c r="B807" t="s">
        <v>3146</v>
      </c>
      <c r="C807" t="s">
        <v>1407</v>
      </c>
      <c r="D807" t="s">
        <v>285</v>
      </c>
      <c r="E807" t="s">
        <v>285</v>
      </c>
      <c r="F807" t="s">
        <v>285</v>
      </c>
      <c r="G807" t="s">
        <v>285</v>
      </c>
      <c r="H807" t="s">
        <v>1408</v>
      </c>
      <c r="I807" t="s">
        <v>172</v>
      </c>
      <c r="J807" t="s">
        <v>1407</v>
      </c>
      <c r="K807" t="s">
        <v>1616</v>
      </c>
      <c r="L807" t="s">
        <v>16</v>
      </c>
      <c r="M807" t="s">
        <v>3168</v>
      </c>
      <c r="N807" t="s">
        <v>802</v>
      </c>
      <c r="O807" t="s">
        <v>1654</v>
      </c>
    </row>
    <row r="808" spans="1:15" x14ac:dyDescent="0.25">
      <c r="A808" t="s">
        <v>102</v>
      </c>
      <c r="B808" t="s">
        <v>3147</v>
      </c>
      <c r="C808" t="s">
        <v>3148</v>
      </c>
      <c r="D808" t="s">
        <v>285</v>
      </c>
      <c r="E808" t="s">
        <v>285</v>
      </c>
      <c r="F808" t="s">
        <v>285</v>
      </c>
      <c r="G808" t="s">
        <v>285</v>
      </c>
      <c r="H808" t="s">
        <v>1408</v>
      </c>
      <c r="I808" t="s">
        <v>172</v>
      </c>
      <c r="J808" t="s">
        <v>101</v>
      </c>
      <c r="K808" t="s">
        <v>101</v>
      </c>
      <c r="L808" t="s">
        <v>102</v>
      </c>
      <c r="M808" t="s">
        <v>3168</v>
      </c>
      <c r="N808" t="s">
        <v>802</v>
      </c>
      <c r="O808" t="s">
        <v>789</v>
      </c>
    </row>
    <row r="809" spans="1:15" x14ac:dyDescent="0.25">
      <c r="A809" t="s">
        <v>479</v>
      </c>
      <c r="B809" t="s">
        <v>3149</v>
      </c>
      <c r="C809" t="s">
        <v>2253</v>
      </c>
      <c r="D809" t="s">
        <v>284</v>
      </c>
      <c r="E809" t="s">
        <v>285</v>
      </c>
      <c r="F809" t="s">
        <v>285</v>
      </c>
      <c r="G809" t="s">
        <v>285</v>
      </c>
      <c r="H809" t="s">
        <v>5</v>
      </c>
      <c r="I809" t="s">
        <v>172</v>
      </c>
      <c r="J809" t="s">
        <v>769</v>
      </c>
      <c r="K809" t="s">
        <v>769</v>
      </c>
      <c r="L809" t="s">
        <v>479</v>
      </c>
      <c r="M809" t="s">
        <v>3167</v>
      </c>
      <c r="N809" t="s">
        <v>3172</v>
      </c>
      <c r="O809" t="s">
        <v>1654</v>
      </c>
    </row>
    <row r="810" spans="1:15" x14ac:dyDescent="0.25">
      <c r="A810" t="s">
        <v>767</v>
      </c>
      <c r="B810" t="s">
        <v>3150</v>
      </c>
      <c r="C810" t="s">
        <v>3151</v>
      </c>
      <c r="D810" t="s">
        <v>285</v>
      </c>
      <c r="E810" t="s">
        <v>285</v>
      </c>
      <c r="F810" t="s">
        <v>285</v>
      </c>
      <c r="G810" t="s">
        <v>285</v>
      </c>
      <c r="H810" t="s">
        <v>1408</v>
      </c>
      <c r="I810" t="s">
        <v>172</v>
      </c>
      <c r="J810" t="s">
        <v>3151</v>
      </c>
      <c r="K810" t="s">
        <v>769</v>
      </c>
      <c r="L810" t="s">
        <v>767</v>
      </c>
      <c r="M810" t="s">
        <v>3167</v>
      </c>
      <c r="N810" t="s">
        <v>121</v>
      </c>
      <c r="O810" t="s">
        <v>1654</v>
      </c>
    </row>
    <row r="811" spans="1:15" x14ac:dyDescent="0.25">
      <c r="A811" t="s">
        <v>480</v>
      </c>
      <c r="B811" t="s">
        <v>3152</v>
      </c>
      <c r="C811" t="s">
        <v>2338</v>
      </c>
      <c r="D811" t="s">
        <v>285</v>
      </c>
      <c r="E811" t="s">
        <v>285</v>
      </c>
      <c r="F811" t="s">
        <v>285</v>
      </c>
      <c r="G811" t="s">
        <v>285</v>
      </c>
      <c r="H811" t="s">
        <v>2230</v>
      </c>
      <c r="I811" t="s">
        <v>172</v>
      </c>
      <c r="J811" t="s">
        <v>2557</v>
      </c>
      <c r="K811" t="s">
        <v>101</v>
      </c>
      <c r="L811" t="s">
        <v>480</v>
      </c>
      <c r="M811" t="s">
        <v>3168</v>
      </c>
      <c r="N811" t="s">
        <v>1527</v>
      </c>
      <c r="O811" t="s">
        <v>1654</v>
      </c>
    </row>
    <row r="812" spans="1:15" x14ac:dyDescent="0.25">
      <c r="A812" t="s">
        <v>104</v>
      </c>
      <c r="B812" t="s">
        <v>3153</v>
      </c>
      <c r="C812" t="s">
        <v>103</v>
      </c>
      <c r="D812" t="s">
        <v>285</v>
      </c>
      <c r="E812" t="s">
        <v>285</v>
      </c>
      <c r="F812" t="s">
        <v>285</v>
      </c>
      <c r="G812" t="s">
        <v>285</v>
      </c>
      <c r="H812" t="s">
        <v>1408</v>
      </c>
      <c r="I812" t="s">
        <v>172</v>
      </c>
      <c r="J812" t="s">
        <v>103</v>
      </c>
      <c r="K812" t="s">
        <v>101</v>
      </c>
      <c r="L812" t="s">
        <v>104</v>
      </c>
      <c r="M812" t="s">
        <v>3167</v>
      </c>
      <c r="N812" t="s">
        <v>121</v>
      </c>
      <c r="O812" t="s">
        <v>789</v>
      </c>
    </row>
    <row r="813" spans="1:15" x14ac:dyDescent="0.25">
      <c r="A813" t="s">
        <v>657</v>
      </c>
      <c r="B813" t="s">
        <v>3154</v>
      </c>
      <c r="C813" t="s">
        <v>2227</v>
      </c>
      <c r="D813" t="s">
        <v>284</v>
      </c>
      <c r="E813" t="s">
        <v>285</v>
      </c>
      <c r="F813" t="s">
        <v>285</v>
      </c>
      <c r="G813" t="s">
        <v>285</v>
      </c>
      <c r="H813" t="s">
        <v>5</v>
      </c>
      <c r="I813" t="s">
        <v>172</v>
      </c>
      <c r="J813" t="s">
        <v>788</v>
      </c>
      <c r="K813" t="s">
        <v>788</v>
      </c>
      <c r="L813" t="s">
        <v>657</v>
      </c>
      <c r="M813" t="s">
        <v>3167</v>
      </c>
      <c r="N813" t="s">
        <v>802</v>
      </c>
      <c r="O813" t="s">
        <v>789</v>
      </c>
    </row>
    <row r="814" spans="1:15" x14ac:dyDescent="0.25">
      <c r="A814" t="s">
        <v>1574</v>
      </c>
      <c r="B814" t="s">
        <v>3155</v>
      </c>
      <c r="C814" t="s">
        <v>3156</v>
      </c>
      <c r="D814" t="s">
        <v>285</v>
      </c>
      <c r="E814" t="s">
        <v>285</v>
      </c>
      <c r="F814" t="s">
        <v>285</v>
      </c>
      <c r="G814" t="s">
        <v>285</v>
      </c>
      <c r="H814" t="s">
        <v>5</v>
      </c>
      <c r="I814" t="s">
        <v>172</v>
      </c>
      <c r="J814" t="s">
        <v>3156</v>
      </c>
      <c r="K814" s="138" t="s">
        <v>800</v>
      </c>
      <c r="L814" t="s">
        <v>1574</v>
      </c>
      <c r="M814" t="s">
        <v>1527</v>
      </c>
      <c r="N814" t="s">
        <v>1527</v>
      </c>
      <c r="O814" t="s">
        <v>1527</v>
      </c>
    </row>
    <row r="815" spans="1:15" x14ac:dyDescent="0.25">
      <c r="A815" t="s">
        <v>1698</v>
      </c>
      <c r="B815" t="s">
        <v>3157</v>
      </c>
      <c r="C815" t="s">
        <v>1510</v>
      </c>
      <c r="D815" t="s">
        <v>285</v>
      </c>
      <c r="E815" t="s">
        <v>285</v>
      </c>
      <c r="F815" t="s">
        <v>285</v>
      </c>
      <c r="G815" t="s">
        <v>285</v>
      </c>
      <c r="H815" t="s">
        <v>1408</v>
      </c>
      <c r="I815" t="s">
        <v>812</v>
      </c>
      <c r="J815" t="s">
        <v>1529</v>
      </c>
      <c r="K815" t="s">
        <v>813</v>
      </c>
      <c r="L815" t="s">
        <v>1698</v>
      </c>
      <c r="M815" t="s">
        <v>1527</v>
      </c>
      <c r="N815" t="s">
        <v>1527</v>
      </c>
      <c r="O815" t="s">
        <v>1654</v>
      </c>
    </row>
    <row r="816" spans="1:15" x14ac:dyDescent="0.25">
      <c r="A816" t="s">
        <v>481</v>
      </c>
      <c r="B816" t="s">
        <v>3158</v>
      </c>
      <c r="C816" t="s">
        <v>2309</v>
      </c>
      <c r="D816" t="s">
        <v>285</v>
      </c>
      <c r="E816" t="s">
        <v>285</v>
      </c>
      <c r="F816" t="s">
        <v>285</v>
      </c>
      <c r="G816" t="s">
        <v>284</v>
      </c>
      <c r="H816" t="s">
        <v>5</v>
      </c>
      <c r="I816" t="s">
        <v>172</v>
      </c>
      <c r="J816" t="s">
        <v>3159</v>
      </c>
      <c r="K816" t="s">
        <v>840</v>
      </c>
      <c r="L816" t="s">
        <v>481</v>
      </c>
      <c r="M816" t="s">
        <v>3168</v>
      </c>
      <c r="N816" t="s">
        <v>121</v>
      </c>
      <c r="O816" t="s">
        <v>1654</v>
      </c>
    </row>
    <row r="817" spans="1:15" x14ac:dyDescent="0.25">
      <c r="A817" t="s">
        <v>1481</v>
      </c>
      <c r="B817" t="s">
        <v>3160</v>
      </c>
      <c r="C817" t="s">
        <v>2253</v>
      </c>
      <c r="D817" t="s">
        <v>285</v>
      </c>
      <c r="E817" t="s">
        <v>285</v>
      </c>
      <c r="F817" t="s">
        <v>285</v>
      </c>
      <c r="G817" t="s">
        <v>285</v>
      </c>
      <c r="H817" t="s">
        <v>2230</v>
      </c>
      <c r="I817" t="s">
        <v>172</v>
      </c>
      <c r="J817" t="s">
        <v>769</v>
      </c>
      <c r="K817" t="s">
        <v>769</v>
      </c>
      <c r="L817" t="s">
        <v>1481</v>
      </c>
      <c r="M817" t="s">
        <v>3167</v>
      </c>
      <c r="N817" t="s">
        <v>121</v>
      </c>
      <c r="O817" t="s">
        <v>789</v>
      </c>
    </row>
    <row r="818" spans="1:15" x14ac:dyDescent="0.25">
      <c r="A818" t="s">
        <v>482</v>
      </c>
      <c r="B818" t="s">
        <v>3161</v>
      </c>
      <c r="C818" t="s">
        <v>1214</v>
      </c>
      <c r="D818" t="s">
        <v>284</v>
      </c>
      <c r="E818" t="s">
        <v>285</v>
      </c>
      <c r="F818" t="s">
        <v>285</v>
      </c>
      <c r="G818" t="s">
        <v>285</v>
      </c>
      <c r="H818" t="s">
        <v>5</v>
      </c>
      <c r="I818" t="s">
        <v>172</v>
      </c>
      <c r="J818" t="s">
        <v>1214</v>
      </c>
      <c r="K818" t="s">
        <v>101</v>
      </c>
      <c r="L818" t="s">
        <v>482</v>
      </c>
      <c r="M818" t="s">
        <v>3168</v>
      </c>
      <c r="N818" t="s">
        <v>802</v>
      </c>
      <c r="O818" t="s">
        <v>1654</v>
      </c>
    </row>
    <row r="819" spans="1:15" x14ac:dyDescent="0.25">
      <c r="A819" t="s">
        <v>980</v>
      </c>
      <c r="B819" t="s">
        <v>3162</v>
      </c>
      <c r="C819" t="s">
        <v>1214</v>
      </c>
      <c r="D819" t="s">
        <v>285</v>
      </c>
      <c r="E819" t="s">
        <v>285</v>
      </c>
      <c r="F819" t="s">
        <v>285</v>
      </c>
      <c r="G819" t="s">
        <v>285</v>
      </c>
      <c r="H819" t="s">
        <v>2230</v>
      </c>
      <c r="I819" t="s">
        <v>172</v>
      </c>
      <c r="J819" t="s">
        <v>1214</v>
      </c>
      <c r="K819" t="s">
        <v>101</v>
      </c>
      <c r="L819" t="s">
        <v>980</v>
      </c>
      <c r="M819" t="s">
        <v>3168</v>
      </c>
      <c r="N819" t="s">
        <v>802</v>
      </c>
      <c r="O819" t="s">
        <v>1654</v>
      </c>
    </row>
    <row r="820" spans="1:15" x14ac:dyDescent="0.25">
      <c r="A820" t="s">
        <v>483</v>
      </c>
      <c r="B820" t="s">
        <v>3163</v>
      </c>
      <c r="C820" t="s">
        <v>780</v>
      </c>
      <c r="D820" t="s">
        <v>285</v>
      </c>
      <c r="E820" t="s">
        <v>284</v>
      </c>
      <c r="F820" t="s">
        <v>285</v>
      </c>
      <c r="G820" t="s">
        <v>284</v>
      </c>
      <c r="H820" t="s">
        <v>5</v>
      </c>
      <c r="I820" t="s">
        <v>172</v>
      </c>
      <c r="J820" t="s">
        <v>780</v>
      </c>
      <c r="K820" t="s">
        <v>780</v>
      </c>
      <c r="L820" t="s">
        <v>483</v>
      </c>
      <c r="M820" t="s">
        <v>3168</v>
      </c>
      <c r="N820" t="s">
        <v>1527</v>
      </c>
      <c r="O820" t="s">
        <v>1654</v>
      </c>
    </row>
    <row r="821" spans="1:15" x14ac:dyDescent="0.25">
      <c r="A821" t="s">
        <v>484</v>
      </c>
      <c r="B821" t="s">
        <v>3164</v>
      </c>
      <c r="C821" t="s">
        <v>1509</v>
      </c>
      <c r="D821" t="s">
        <v>285</v>
      </c>
      <c r="E821" t="s">
        <v>284</v>
      </c>
      <c r="F821" t="s">
        <v>285</v>
      </c>
      <c r="G821" t="s">
        <v>285</v>
      </c>
      <c r="H821" t="s">
        <v>5</v>
      </c>
      <c r="I821" t="s">
        <v>172</v>
      </c>
      <c r="J821" t="s">
        <v>3165</v>
      </c>
      <c r="K821" t="s">
        <v>839</v>
      </c>
      <c r="L821" t="s">
        <v>484</v>
      </c>
      <c r="M821" t="s">
        <v>3168</v>
      </c>
      <c r="N821" t="s">
        <v>121</v>
      </c>
      <c r="O821" t="s">
        <v>1654</v>
      </c>
    </row>
    <row r="822" spans="1:15" x14ac:dyDescent="0.25">
      <c r="A822" t="s">
        <v>145</v>
      </c>
      <c r="B822" t="s">
        <v>3166</v>
      </c>
      <c r="C822" t="s">
        <v>1509</v>
      </c>
      <c r="D822" t="s">
        <v>285</v>
      </c>
      <c r="E822" t="s">
        <v>284</v>
      </c>
      <c r="F822" t="s">
        <v>285</v>
      </c>
      <c r="G822" t="s">
        <v>285</v>
      </c>
      <c r="H822" t="s">
        <v>5</v>
      </c>
      <c r="I822" t="s">
        <v>172</v>
      </c>
      <c r="J822" t="s">
        <v>1467</v>
      </c>
      <c r="K822" t="s">
        <v>839</v>
      </c>
      <c r="L822" t="s">
        <v>145</v>
      </c>
      <c r="M822" t="s">
        <v>3168</v>
      </c>
      <c r="N822" t="s">
        <v>802</v>
      </c>
      <c r="O822" t="s">
        <v>789</v>
      </c>
    </row>
  </sheetData>
  <autoFilter ref="A1:O823" xr:uid="{D0591C71-B460-4DF0-81C1-5E82117A1D56}"/>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A754-159B-460D-8AAF-8F7F4E25D444}">
  <sheetPr codeName="Sheet26"/>
  <dimension ref="A1:I10304"/>
  <sheetViews>
    <sheetView workbookViewId="0">
      <pane ySplit="1" topLeftCell="A2" activePane="bottomLeft" state="frozen"/>
      <selection pane="bottomLeft" activeCell="N37" sqref="N37"/>
    </sheetView>
  </sheetViews>
  <sheetFormatPr defaultRowHeight="15" x14ac:dyDescent="0.25"/>
  <cols>
    <col min="1" max="1" width="29.42578125" style="15" bestFit="1" customWidth="1"/>
    <col min="2" max="2" width="9.140625" style="18"/>
    <col min="3" max="3" width="22" bestFit="1" customWidth="1"/>
    <col min="7" max="7" width="11.42578125" bestFit="1" customWidth="1"/>
    <col min="8" max="8" width="16.7109375" bestFit="1" customWidth="1"/>
  </cols>
  <sheetData>
    <row r="1" spans="1:9" x14ac:dyDescent="0.25">
      <c r="A1" s="15" t="s">
        <v>238</v>
      </c>
      <c r="B1" s="18" t="s">
        <v>241</v>
      </c>
      <c r="C1" t="s">
        <v>41</v>
      </c>
      <c r="D1" t="s">
        <v>239</v>
      </c>
      <c r="E1" t="s">
        <v>240</v>
      </c>
      <c r="F1" t="s">
        <v>216</v>
      </c>
      <c r="G1" t="s">
        <v>217</v>
      </c>
      <c r="H1" t="s">
        <v>218</v>
      </c>
      <c r="I1" t="s">
        <v>219</v>
      </c>
    </row>
    <row r="2" spans="1:9" x14ac:dyDescent="0.25">
      <c r="A2" s="15" t="str">
        <f>B2&amp;C2</f>
        <v>Jan 2023Manufacturing PMI®</v>
      </c>
      <c r="B2" s="18" t="s">
        <v>242</v>
      </c>
      <c r="C2" t="s">
        <v>237</v>
      </c>
      <c r="D2">
        <v>47.4</v>
      </c>
      <c r="E2">
        <v>48.4</v>
      </c>
      <c r="F2">
        <v>-1</v>
      </c>
      <c r="G2" t="s">
        <v>220</v>
      </c>
      <c r="H2" t="s">
        <v>221</v>
      </c>
      <c r="I2">
        <v>3</v>
      </c>
    </row>
    <row r="3" spans="1:9" x14ac:dyDescent="0.25">
      <c r="A3" s="15" t="str">
        <f t="shared" ref="A3:A65" si="0">B3&amp;C3</f>
        <v>Jan 2023New Orders</v>
      </c>
      <c r="B3" s="18" t="str">
        <f>IF(C3="","",B2)</f>
        <v>Jan 2023</v>
      </c>
      <c r="C3" t="s">
        <v>222</v>
      </c>
      <c r="D3">
        <v>42.5</v>
      </c>
      <c r="E3">
        <v>45.1</v>
      </c>
      <c r="F3">
        <v>-2.6</v>
      </c>
      <c r="G3" t="s">
        <v>220</v>
      </c>
      <c r="H3" t="s">
        <v>221</v>
      </c>
      <c r="I3">
        <v>5</v>
      </c>
    </row>
    <row r="4" spans="1:9" x14ac:dyDescent="0.25">
      <c r="A4" s="15" t="str">
        <f t="shared" si="0"/>
        <v>Jan 2023Production</v>
      </c>
      <c r="B4" s="18" t="str">
        <f t="shared" ref="B4:B66" si="1">IF(C4="","",B3)</f>
        <v>Jan 2023</v>
      </c>
      <c r="C4" t="s">
        <v>223</v>
      </c>
      <c r="D4">
        <v>48</v>
      </c>
      <c r="E4">
        <v>48.6</v>
      </c>
      <c r="F4">
        <v>-0.6</v>
      </c>
      <c r="G4" t="s">
        <v>220</v>
      </c>
      <c r="H4" t="s">
        <v>221</v>
      </c>
      <c r="I4">
        <v>2</v>
      </c>
    </row>
    <row r="5" spans="1:9" x14ac:dyDescent="0.25">
      <c r="A5" s="15" t="str">
        <f t="shared" si="0"/>
        <v>Jan 2023Employment</v>
      </c>
      <c r="B5" s="18" t="str">
        <f t="shared" si="1"/>
        <v>Jan 2023</v>
      </c>
      <c r="C5" t="s">
        <v>224</v>
      </c>
      <c r="D5">
        <v>50.6</v>
      </c>
      <c r="E5">
        <v>50.8</v>
      </c>
      <c r="F5">
        <v>-0.2</v>
      </c>
      <c r="G5" t="s">
        <v>225</v>
      </c>
      <c r="H5" t="s">
        <v>226</v>
      </c>
      <c r="I5">
        <v>2</v>
      </c>
    </row>
    <row r="6" spans="1:9" x14ac:dyDescent="0.25">
      <c r="A6" s="15" t="str">
        <f t="shared" si="0"/>
        <v>Jan 2023Supplier Deliveries</v>
      </c>
      <c r="B6" s="18" t="str">
        <f t="shared" si="1"/>
        <v>Jan 2023</v>
      </c>
      <c r="C6" t="s">
        <v>227</v>
      </c>
      <c r="D6">
        <v>45.6</v>
      </c>
      <c r="E6">
        <v>45.1</v>
      </c>
      <c r="F6">
        <v>0.5</v>
      </c>
      <c r="G6" t="s">
        <v>221</v>
      </c>
      <c r="H6" t="s">
        <v>226</v>
      </c>
      <c r="I6">
        <v>4</v>
      </c>
    </row>
    <row r="7" spans="1:9" x14ac:dyDescent="0.25">
      <c r="A7" s="15" t="str">
        <f t="shared" si="0"/>
        <v>Jan 2023Inventories</v>
      </c>
      <c r="B7" s="18" t="str">
        <f t="shared" si="1"/>
        <v>Jan 2023</v>
      </c>
      <c r="C7" t="s">
        <v>228</v>
      </c>
      <c r="D7">
        <v>50.2</v>
      </c>
      <c r="E7">
        <v>52.3</v>
      </c>
      <c r="F7">
        <v>-2.1</v>
      </c>
      <c r="G7" t="s">
        <v>225</v>
      </c>
      <c r="H7" t="s">
        <v>226</v>
      </c>
      <c r="I7">
        <v>18</v>
      </c>
    </row>
    <row r="8" spans="1:9" x14ac:dyDescent="0.25">
      <c r="A8" s="15" t="str">
        <f t="shared" si="0"/>
        <v>Jan 2023Customers’ Inventories</v>
      </c>
      <c r="B8" s="18" t="str">
        <f t="shared" si="1"/>
        <v>Jan 2023</v>
      </c>
      <c r="C8" t="s">
        <v>229</v>
      </c>
      <c r="D8">
        <v>47.4</v>
      </c>
      <c r="E8">
        <v>48.2</v>
      </c>
      <c r="F8">
        <v>-0.8</v>
      </c>
      <c r="G8" t="s">
        <v>230</v>
      </c>
      <c r="H8" t="s">
        <v>221</v>
      </c>
      <c r="I8">
        <v>76</v>
      </c>
    </row>
    <row r="9" spans="1:9" x14ac:dyDescent="0.25">
      <c r="A9" s="15" t="str">
        <f t="shared" si="0"/>
        <v>Jan 2023Prices</v>
      </c>
      <c r="B9" s="18" t="str">
        <f t="shared" si="1"/>
        <v>Jan 2023</v>
      </c>
      <c r="C9" t="s">
        <v>231</v>
      </c>
      <c r="D9">
        <v>44.5</v>
      </c>
      <c r="E9">
        <v>39.4</v>
      </c>
      <c r="F9">
        <v>5.0999999999999996</v>
      </c>
      <c r="G9" t="s">
        <v>232</v>
      </c>
      <c r="H9" t="s">
        <v>226</v>
      </c>
      <c r="I9">
        <v>4</v>
      </c>
    </row>
    <row r="10" spans="1:9" x14ac:dyDescent="0.25">
      <c r="A10" s="15" t="str">
        <f t="shared" si="0"/>
        <v>Jan 2023Backlog of Orders</v>
      </c>
      <c r="B10" s="18" t="str">
        <f t="shared" si="1"/>
        <v>Jan 2023</v>
      </c>
      <c r="C10" t="s">
        <v>233</v>
      </c>
      <c r="D10">
        <v>43.4</v>
      </c>
      <c r="E10">
        <v>41.4</v>
      </c>
      <c r="F10">
        <v>2</v>
      </c>
      <c r="G10" t="s">
        <v>220</v>
      </c>
      <c r="H10" t="s">
        <v>226</v>
      </c>
      <c r="I10">
        <v>4</v>
      </c>
    </row>
    <row r="11" spans="1:9" x14ac:dyDescent="0.25">
      <c r="A11" s="15" t="str">
        <f t="shared" si="0"/>
        <v>Jan 2023New Export Orders</v>
      </c>
      <c r="B11" s="18" t="str">
        <f t="shared" si="1"/>
        <v>Jan 2023</v>
      </c>
      <c r="C11" t="s">
        <v>234</v>
      </c>
      <c r="D11">
        <v>49.4</v>
      </c>
      <c r="E11">
        <v>46.2</v>
      </c>
      <c r="F11">
        <v>3.2</v>
      </c>
      <c r="G11" t="s">
        <v>220</v>
      </c>
      <c r="H11" t="s">
        <v>226</v>
      </c>
      <c r="I11">
        <v>6</v>
      </c>
    </row>
    <row r="12" spans="1:9" x14ac:dyDescent="0.25">
      <c r="A12" s="15" t="str">
        <f t="shared" si="0"/>
        <v>Jan 2023Imports</v>
      </c>
      <c r="B12" s="18" t="str">
        <f t="shared" si="1"/>
        <v>Jan 2023</v>
      </c>
      <c r="C12" t="s">
        <v>235</v>
      </c>
      <c r="D12">
        <v>47.8</v>
      </c>
      <c r="E12">
        <v>45.1</v>
      </c>
      <c r="F12">
        <v>2.7</v>
      </c>
      <c r="G12" t="s">
        <v>220</v>
      </c>
      <c r="H12" t="s">
        <v>226</v>
      </c>
      <c r="I12">
        <v>3</v>
      </c>
    </row>
    <row r="13" spans="1:9" x14ac:dyDescent="0.25">
      <c r="A13" s="15" t="str">
        <f t="shared" si="0"/>
        <v>Jan 2023OVERAll ECONOMY</v>
      </c>
      <c r="B13" s="18" t="str">
        <f t="shared" si="1"/>
        <v>Jan 2023</v>
      </c>
      <c r="C13" t="s">
        <v>1943</v>
      </c>
      <c r="G13" t="s">
        <v>220</v>
      </c>
      <c r="H13" t="s">
        <v>221</v>
      </c>
      <c r="I13">
        <v>2</v>
      </c>
    </row>
    <row r="14" spans="1:9" x14ac:dyDescent="0.25">
      <c r="A14" s="15" t="str">
        <f t="shared" si="0"/>
        <v>Jan 2023Manufacturing Sector</v>
      </c>
      <c r="B14" s="18" t="str">
        <f t="shared" si="1"/>
        <v>Jan 2023</v>
      </c>
      <c r="C14" t="s">
        <v>236</v>
      </c>
      <c r="G14" t="s">
        <v>220</v>
      </c>
      <c r="H14" t="s">
        <v>221</v>
      </c>
      <c r="I14">
        <v>3</v>
      </c>
    </row>
    <row r="15" spans="1:9" x14ac:dyDescent="0.25">
      <c r="A15" s="15" t="str">
        <f t="shared" si="0"/>
        <v>Feb 2023Manufacturing PMI®</v>
      </c>
      <c r="B15" s="18" t="s">
        <v>243</v>
      </c>
      <c r="C15" t="s">
        <v>237</v>
      </c>
      <c r="D15">
        <v>47.7</v>
      </c>
      <c r="E15">
        <v>47.4</v>
      </c>
      <c r="F15">
        <v>0.3</v>
      </c>
      <c r="G15" t="s">
        <v>220</v>
      </c>
      <c r="H15" t="s">
        <v>226</v>
      </c>
      <c r="I15">
        <v>4</v>
      </c>
    </row>
    <row r="16" spans="1:9" x14ac:dyDescent="0.25">
      <c r="A16" s="15" t="str">
        <f t="shared" si="0"/>
        <v>Feb 2023New Orders</v>
      </c>
      <c r="B16" s="18" t="str">
        <f t="shared" si="1"/>
        <v>Feb 2023</v>
      </c>
      <c r="C16" t="s">
        <v>222</v>
      </c>
      <c r="D16">
        <v>47</v>
      </c>
      <c r="E16">
        <v>42.5</v>
      </c>
      <c r="F16">
        <v>4.5</v>
      </c>
      <c r="G16" t="s">
        <v>220</v>
      </c>
      <c r="H16" t="s">
        <v>226</v>
      </c>
      <c r="I16">
        <v>6</v>
      </c>
    </row>
    <row r="17" spans="1:9" x14ac:dyDescent="0.25">
      <c r="A17" s="15" t="str">
        <f t="shared" si="0"/>
        <v>Feb 2023Production</v>
      </c>
      <c r="B17" s="18" t="str">
        <f t="shared" si="1"/>
        <v>Feb 2023</v>
      </c>
      <c r="C17" t="s">
        <v>223</v>
      </c>
      <c r="D17">
        <v>47.3</v>
      </c>
      <c r="E17">
        <v>48</v>
      </c>
      <c r="F17">
        <v>-0.7</v>
      </c>
      <c r="G17" t="s">
        <v>220</v>
      </c>
      <c r="H17" t="s">
        <v>221</v>
      </c>
      <c r="I17">
        <v>3</v>
      </c>
    </row>
    <row r="18" spans="1:9" x14ac:dyDescent="0.25">
      <c r="A18" s="15" t="str">
        <f t="shared" si="0"/>
        <v>Feb 2023Employment</v>
      </c>
      <c r="B18" s="18" t="str">
        <f t="shared" si="1"/>
        <v>Feb 2023</v>
      </c>
      <c r="C18" t="s">
        <v>224</v>
      </c>
      <c r="D18">
        <v>49.1</v>
      </c>
      <c r="E18">
        <v>50.6</v>
      </c>
      <c r="F18">
        <v>-1.5</v>
      </c>
      <c r="G18" t="s">
        <v>220</v>
      </c>
      <c r="H18" t="s">
        <v>244</v>
      </c>
      <c r="I18">
        <v>1</v>
      </c>
    </row>
    <row r="19" spans="1:9" x14ac:dyDescent="0.25">
      <c r="A19" s="15" t="str">
        <f t="shared" si="0"/>
        <v>Feb 2023Supplier Deliveries</v>
      </c>
      <c r="B19" s="18" t="str">
        <f t="shared" si="1"/>
        <v>Feb 2023</v>
      </c>
      <c r="C19" t="s">
        <v>227</v>
      </c>
      <c r="D19">
        <v>45.2</v>
      </c>
      <c r="E19">
        <v>45.6</v>
      </c>
      <c r="F19">
        <v>-0.4</v>
      </c>
      <c r="G19" t="s">
        <v>221</v>
      </c>
      <c r="H19" t="s">
        <v>221</v>
      </c>
      <c r="I19">
        <v>5</v>
      </c>
    </row>
    <row r="20" spans="1:9" x14ac:dyDescent="0.25">
      <c r="A20" s="15" t="str">
        <f t="shared" si="0"/>
        <v>Feb 2023Inventories</v>
      </c>
      <c r="B20" s="18" t="str">
        <f t="shared" si="1"/>
        <v>Feb 2023</v>
      </c>
      <c r="C20" t="s">
        <v>228</v>
      </c>
      <c r="D20">
        <v>50.1</v>
      </c>
      <c r="E20">
        <v>50.2</v>
      </c>
      <c r="F20">
        <v>-0.1</v>
      </c>
      <c r="G20" t="s">
        <v>225</v>
      </c>
      <c r="H20" t="s">
        <v>226</v>
      </c>
      <c r="I20">
        <v>19</v>
      </c>
    </row>
    <row r="21" spans="1:9" x14ac:dyDescent="0.25">
      <c r="A21" s="15" t="str">
        <f t="shared" si="0"/>
        <v>Feb 2023Customers’ Inventories</v>
      </c>
      <c r="B21" s="18" t="str">
        <f t="shared" si="1"/>
        <v>Feb 2023</v>
      </c>
      <c r="C21" t="s">
        <v>229</v>
      </c>
      <c r="D21">
        <v>46.9</v>
      </c>
      <c r="E21">
        <v>47.4</v>
      </c>
      <c r="F21">
        <v>-0.5</v>
      </c>
      <c r="G21" t="s">
        <v>230</v>
      </c>
      <c r="H21" t="s">
        <v>221</v>
      </c>
      <c r="I21">
        <v>77</v>
      </c>
    </row>
    <row r="22" spans="1:9" x14ac:dyDescent="0.25">
      <c r="A22" s="15" t="str">
        <f t="shared" si="0"/>
        <v>Feb 2023Prices</v>
      </c>
      <c r="B22" s="18" t="str">
        <f t="shared" si="1"/>
        <v>Feb 2023</v>
      </c>
      <c r="C22" t="s">
        <v>231</v>
      </c>
      <c r="D22">
        <v>51.3</v>
      </c>
      <c r="E22">
        <v>44.5</v>
      </c>
      <c r="F22">
        <v>6.8</v>
      </c>
      <c r="G22" t="s">
        <v>245</v>
      </c>
      <c r="H22" t="s">
        <v>246</v>
      </c>
      <c r="I22">
        <v>1</v>
      </c>
    </row>
    <row r="23" spans="1:9" x14ac:dyDescent="0.25">
      <c r="A23" s="15" t="str">
        <f t="shared" si="0"/>
        <v>Feb 2023Backlog of Orders</v>
      </c>
      <c r="B23" s="18" t="str">
        <f t="shared" si="1"/>
        <v>Feb 2023</v>
      </c>
      <c r="C23" t="s">
        <v>233</v>
      </c>
      <c r="D23">
        <v>45.1</v>
      </c>
      <c r="E23">
        <v>43.4</v>
      </c>
      <c r="F23">
        <v>1.7</v>
      </c>
      <c r="G23" t="s">
        <v>220</v>
      </c>
      <c r="H23" t="s">
        <v>226</v>
      </c>
      <c r="I23">
        <v>5</v>
      </c>
    </row>
    <row r="24" spans="1:9" x14ac:dyDescent="0.25">
      <c r="A24" s="15" t="str">
        <f t="shared" si="0"/>
        <v>Feb 2023New Export Orders</v>
      </c>
      <c r="B24" s="18" t="str">
        <f t="shared" si="1"/>
        <v>Feb 2023</v>
      </c>
      <c r="C24" t="s">
        <v>234</v>
      </c>
      <c r="D24">
        <v>49.9</v>
      </c>
      <c r="E24">
        <v>49.4</v>
      </c>
      <c r="F24">
        <v>0.5</v>
      </c>
      <c r="G24" t="s">
        <v>220</v>
      </c>
      <c r="H24" t="s">
        <v>226</v>
      </c>
      <c r="I24">
        <v>7</v>
      </c>
    </row>
    <row r="25" spans="1:9" x14ac:dyDescent="0.25">
      <c r="A25" s="15" t="str">
        <f t="shared" si="0"/>
        <v>Feb 2023Imports</v>
      </c>
      <c r="B25" s="18" t="str">
        <f t="shared" si="1"/>
        <v>Feb 2023</v>
      </c>
      <c r="C25" t="s">
        <v>235</v>
      </c>
      <c r="D25">
        <v>49.9</v>
      </c>
      <c r="E25">
        <v>47.8</v>
      </c>
      <c r="F25">
        <v>2.1</v>
      </c>
      <c r="G25" t="s">
        <v>220</v>
      </c>
      <c r="H25" t="s">
        <v>226</v>
      </c>
      <c r="I25">
        <v>4</v>
      </c>
    </row>
    <row r="26" spans="1:9" x14ac:dyDescent="0.25">
      <c r="A26" s="15" t="str">
        <f t="shared" si="0"/>
        <v>Feb 2023OVERAll ECONOMY</v>
      </c>
      <c r="B26" s="18" t="str">
        <f t="shared" si="1"/>
        <v>Feb 2023</v>
      </c>
      <c r="C26" t="s">
        <v>1943</v>
      </c>
      <c r="G26" t="s">
        <v>220</v>
      </c>
      <c r="H26" t="s">
        <v>226</v>
      </c>
      <c r="I26">
        <v>3</v>
      </c>
    </row>
    <row r="27" spans="1:9" x14ac:dyDescent="0.25">
      <c r="A27" s="15" t="str">
        <f t="shared" si="0"/>
        <v>Feb 2023Manufacturing Sector</v>
      </c>
      <c r="B27" s="18" t="str">
        <f t="shared" si="1"/>
        <v>Feb 2023</v>
      </c>
      <c r="C27" t="s">
        <v>236</v>
      </c>
      <c r="G27" t="s">
        <v>220</v>
      </c>
      <c r="H27" t="s">
        <v>226</v>
      </c>
      <c r="I27">
        <v>4</v>
      </c>
    </row>
    <row r="28" spans="1:9" x14ac:dyDescent="0.25">
      <c r="A28" s="15" t="str">
        <f t="shared" si="0"/>
        <v>Mar 2023Manufacturing PMI®</v>
      </c>
      <c r="B28" s="18" t="s">
        <v>247</v>
      </c>
      <c r="C28" t="s">
        <v>237</v>
      </c>
      <c r="D28">
        <v>46.3</v>
      </c>
      <c r="E28">
        <v>47.7</v>
      </c>
      <c r="F28">
        <v>-1.4</v>
      </c>
      <c r="G28" t="s">
        <v>220</v>
      </c>
      <c r="H28" t="s">
        <v>221</v>
      </c>
      <c r="I28">
        <v>5</v>
      </c>
    </row>
    <row r="29" spans="1:9" x14ac:dyDescent="0.25">
      <c r="A29" s="15" t="str">
        <f t="shared" si="0"/>
        <v>Mar 2023New Orders</v>
      </c>
      <c r="B29" s="18" t="str">
        <f t="shared" si="1"/>
        <v>Mar 2023</v>
      </c>
      <c r="C29" t="s">
        <v>222</v>
      </c>
      <c r="D29">
        <v>44.3</v>
      </c>
      <c r="E29">
        <v>47</v>
      </c>
      <c r="F29">
        <v>-2.7</v>
      </c>
      <c r="G29" t="s">
        <v>220</v>
      </c>
      <c r="H29" t="s">
        <v>221</v>
      </c>
      <c r="I29">
        <v>7</v>
      </c>
    </row>
    <row r="30" spans="1:9" x14ac:dyDescent="0.25">
      <c r="A30" s="15" t="str">
        <f t="shared" si="0"/>
        <v>Mar 2023Production</v>
      </c>
      <c r="B30" s="18" t="str">
        <f t="shared" si="1"/>
        <v>Mar 2023</v>
      </c>
      <c r="C30" t="s">
        <v>223</v>
      </c>
      <c r="D30">
        <v>47.8</v>
      </c>
      <c r="E30">
        <v>47.3</v>
      </c>
      <c r="F30">
        <v>0.5</v>
      </c>
      <c r="G30" t="s">
        <v>220</v>
      </c>
      <c r="H30" t="s">
        <v>226</v>
      </c>
      <c r="I30">
        <v>4</v>
      </c>
    </row>
    <row r="31" spans="1:9" x14ac:dyDescent="0.25">
      <c r="A31" s="15" t="str">
        <f t="shared" si="0"/>
        <v>Mar 2023Employment</v>
      </c>
      <c r="B31" s="18" t="str">
        <f t="shared" si="1"/>
        <v>Mar 2023</v>
      </c>
      <c r="C31" t="s">
        <v>224</v>
      </c>
      <c r="D31">
        <v>46.9</v>
      </c>
      <c r="E31">
        <v>49.1</v>
      </c>
      <c r="F31">
        <v>-2.2000000000000002</v>
      </c>
      <c r="G31" t="s">
        <v>220</v>
      </c>
      <c r="H31" t="s">
        <v>221</v>
      </c>
      <c r="I31">
        <v>2</v>
      </c>
    </row>
    <row r="32" spans="1:9" x14ac:dyDescent="0.25">
      <c r="A32" s="15" t="str">
        <f t="shared" si="0"/>
        <v>Mar 2023Supplier Deliveries</v>
      </c>
      <c r="B32" s="18" t="str">
        <f t="shared" si="1"/>
        <v>Mar 2023</v>
      </c>
      <c r="C32" t="s">
        <v>227</v>
      </c>
      <c r="D32">
        <v>44.8</v>
      </c>
      <c r="E32">
        <v>45.2</v>
      </c>
      <c r="F32">
        <v>-0.4</v>
      </c>
      <c r="G32" t="s">
        <v>221</v>
      </c>
      <c r="H32" t="s">
        <v>221</v>
      </c>
      <c r="I32">
        <v>6</v>
      </c>
    </row>
    <row r="33" spans="1:9" x14ac:dyDescent="0.25">
      <c r="A33" s="15" t="str">
        <f t="shared" si="0"/>
        <v>Mar 2023Inventories</v>
      </c>
      <c r="B33" s="18" t="str">
        <f t="shared" si="1"/>
        <v>Mar 2023</v>
      </c>
      <c r="C33" t="s">
        <v>228</v>
      </c>
      <c r="D33">
        <v>47.5</v>
      </c>
      <c r="E33">
        <v>50.1</v>
      </c>
      <c r="F33">
        <v>-2.6</v>
      </c>
      <c r="G33" t="s">
        <v>220</v>
      </c>
      <c r="H33" t="s">
        <v>244</v>
      </c>
      <c r="I33">
        <v>1</v>
      </c>
    </row>
    <row r="34" spans="1:9" x14ac:dyDescent="0.25">
      <c r="A34" s="15" t="str">
        <f t="shared" si="0"/>
        <v>Mar 2023Customers’ Inventories</v>
      </c>
      <c r="B34" s="18" t="str">
        <f t="shared" si="1"/>
        <v>Mar 2023</v>
      </c>
      <c r="C34" t="s">
        <v>229</v>
      </c>
      <c r="D34">
        <v>48.9</v>
      </c>
      <c r="E34">
        <v>46.9</v>
      </c>
      <c r="F34">
        <v>2</v>
      </c>
      <c r="G34" t="s">
        <v>230</v>
      </c>
      <c r="H34" t="s">
        <v>226</v>
      </c>
      <c r="I34">
        <v>78</v>
      </c>
    </row>
    <row r="35" spans="1:9" x14ac:dyDescent="0.25">
      <c r="A35" s="15" t="str">
        <f t="shared" si="0"/>
        <v>Mar 2023Prices</v>
      </c>
      <c r="B35" s="18" t="str">
        <f t="shared" si="1"/>
        <v>Mar 2023</v>
      </c>
      <c r="C35" t="s">
        <v>231</v>
      </c>
      <c r="D35">
        <v>49.2</v>
      </c>
      <c r="E35">
        <v>51.3</v>
      </c>
      <c r="F35">
        <v>-2.1</v>
      </c>
      <c r="G35" t="s">
        <v>232</v>
      </c>
      <c r="H35" t="s">
        <v>248</v>
      </c>
      <c r="I35">
        <v>1</v>
      </c>
    </row>
    <row r="36" spans="1:9" x14ac:dyDescent="0.25">
      <c r="A36" s="15" t="str">
        <f t="shared" si="0"/>
        <v>Mar 2023Backlog of Orders</v>
      </c>
      <c r="B36" s="18" t="str">
        <f t="shared" si="1"/>
        <v>Mar 2023</v>
      </c>
      <c r="C36" t="s">
        <v>233</v>
      </c>
      <c r="D36">
        <v>43.9</v>
      </c>
      <c r="E36">
        <v>45.1</v>
      </c>
      <c r="F36">
        <v>-1.2</v>
      </c>
      <c r="G36" t="s">
        <v>220</v>
      </c>
      <c r="H36" t="s">
        <v>221</v>
      </c>
      <c r="I36">
        <v>6</v>
      </c>
    </row>
    <row r="37" spans="1:9" x14ac:dyDescent="0.25">
      <c r="A37" s="15" t="str">
        <f t="shared" si="0"/>
        <v>Mar 2023New Export Orders</v>
      </c>
      <c r="B37" s="18" t="str">
        <f t="shared" si="1"/>
        <v>Mar 2023</v>
      </c>
      <c r="C37" t="s">
        <v>234</v>
      </c>
      <c r="D37">
        <v>47.6</v>
      </c>
      <c r="E37">
        <v>49.9</v>
      </c>
      <c r="F37">
        <v>-2.2999999999999998</v>
      </c>
      <c r="G37" t="s">
        <v>220</v>
      </c>
      <c r="H37" t="s">
        <v>221</v>
      </c>
      <c r="I37">
        <v>8</v>
      </c>
    </row>
    <row r="38" spans="1:9" x14ac:dyDescent="0.25">
      <c r="A38" s="15" t="str">
        <f t="shared" si="0"/>
        <v>Mar 2023Imports</v>
      </c>
      <c r="B38" s="18" t="str">
        <f t="shared" si="1"/>
        <v>Mar 2023</v>
      </c>
      <c r="C38" t="s">
        <v>235</v>
      </c>
      <c r="D38">
        <v>47.9</v>
      </c>
      <c r="E38">
        <v>49.9</v>
      </c>
      <c r="F38">
        <v>-2</v>
      </c>
      <c r="G38" t="s">
        <v>220</v>
      </c>
      <c r="H38" t="s">
        <v>221</v>
      </c>
      <c r="I38">
        <v>5</v>
      </c>
    </row>
    <row r="39" spans="1:9" x14ac:dyDescent="0.25">
      <c r="A39" s="15" t="str">
        <f t="shared" si="0"/>
        <v>Mar 2023OVERAll ECONOMY</v>
      </c>
      <c r="B39" s="18" t="str">
        <f t="shared" si="1"/>
        <v>Mar 2023</v>
      </c>
      <c r="C39" t="s">
        <v>1943</v>
      </c>
      <c r="G39" t="s">
        <v>220</v>
      </c>
      <c r="H39" t="s">
        <v>221</v>
      </c>
      <c r="I39">
        <v>4</v>
      </c>
    </row>
    <row r="40" spans="1:9" x14ac:dyDescent="0.25">
      <c r="A40" s="15" t="str">
        <f t="shared" si="0"/>
        <v>Mar 2023Manufacturing Sector</v>
      </c>
      <c r="B40" s="18" t="str">
        <f t="shared" si="1"/>
        <v>Mar 2023</v>
      </c>
      <c r="C40" t="s">
        <v>236</v>
      </c>
      <c r="G40" t="s">
        <v>220</v>
      </c>
      <c r="H40" t="s">
        <v>221</v>
      </c>
      <c r="I40">
        <v>5</v>
      </c>
    </row>
    <row r="41" spans="1:9" x14ac:dyDescent="0.25">
      <c r="A41" s="15" t="str">
        <f t="shared" si="0"/>
        <v/>
      </c>
      <c r="B41" s="18" t="str">
        <f t="shared" si="1"/>
        <v/>
      </c>
    </row>
    <row r="42" spans="1:9" x14ac:dyDescent="0.25">
      <c r="A42" s="15" t="str">
        <f t="shared" si="0"/>
        <v/>
      </c>
      <c r="B42" s="18" t="str">
        <f t="shared" si="1"/>
        <v/>
      </c>
    </row>
    <row r="43" spans="1:9" x14ac:dyDescent="0.25">
      <c r="A43" s="15" t="str">
        <f t="shared" si="0"/>
        <v/>
      </c>
      <c r="B43" s="18" t="str">
        <f t="shared" si="1"/>
        <v/>
      </c>
    </row>
    <row r="44" spans="1:9" x14ac:dyDescent="0.25">
      <c r="A44" s="15" t="str">
        <f t="shared" si="0"/>
        <v/>
      </c>
      <c r="B44" s="18" t="str">
        <f t="shared" si="1"/>
        <v/>
      </c>
    </row>
    <row r="45" spans="1:9" x14ac:dyDescent="0.25">
      <c r="A45" s="15" t="str">
        <f t="shared" si="0"/>
        <v/>
      </c>
      <c r="B45" s="18" t="str">
        <f t="shared" si="1"/>
        <v/>
      </c>
    </row>
    <row r="46" spans="1:9" x14ac:dyDescent="0.25">
      <c r="A46" s="15" t="str">
        <f t="shared" si="0"/>
        <v/>
      </c>
      <c r="B46" s="18" t="str">
        <f t="shared" si="1"/>
        <v/>
      </c>
    </row>
    <row r="47" spans="1:9" x14ac:dyDescent="0.25">
      <c r="A47" s="15" t="str">
        <f t="shared" si="0"/>
        <v/>
      </c>
      <c r="B47" s="18" t="str">
        <f t="shared" si="1"/>
        <v/>
      </c>
    </row>
    <row r="48" spans="1:9" x14ac:dyDescent="0.25">
      <c r="A48" s="15" t="str">
        <f t="shared" si="0"/>
        <v/>
      </c>
      <c r="B48" s="18" t="str">
        <f t="shared" si="1"/>
        <v/>
      </c>
    </row>
    <row r="49" spans="1:2" x14ac:dyDescent="0.25">
      <c r="A49" s="15" t="str">
        <f t="shared" si="0"/>
        <v/>
      </c>
      <c r="B49" s="18" t="str">
        <f t="shared" si="1"/>
        <v/>
      </c>
    </row>
    <row r="50" spans="1:2" x14ac:dyDescent="0.25">
      <c r="A50" s="15" t="str">
        <f t="shared" si="0"/>
        <v/>
      </c>
      <c r="B50" s="18" t="str">
        <f t="shared" si="1"/>
        <v/>
      </c>
    </row>
    <row r="51" spans="1:2" x14ac:dyDescent="0.25">
      <c r="A51" s="15" t="str">
        <f t="shared" si="0"/>
        <v/>
      </c>
      <c r="B51" s="18" t="str">
        <f t="shared" si="1"/>
        <v/>
      </c>
    </row>
    <row r="52" spans="1:2" x14ac:dyDescent="0.25">
      <c r="A52" s="15" t="str">
        <f t="shared" si="0"/>
        <v/>
      </c>
      <c r="B52" s="18" t="str">
        <f t="shared" si="1"/>
        <v/>
      </c>
    </row>
    <row r="53" spans="1:2" x14ac:dyDescent="0.25">
      <c r="A53" s="15" t="str">
        <f t="shared" si="0"/>
        <v/>
      </c>
      <c r="B53" s="18" t="str">
        <f t="shared" si="1"/>
        <v/>
      </c>
    </row>
    <row r="54" spans="1:2" x14ac:dyDescent="0.25">
      <c r="A54" s="15" t="str">
        <f t="shared" si="0"/>
        <v/>
      </c>
      <c r="B54" s="18" t="str">
        <f t="shared" si="1"/>
        <v/>
      </c>
    </row>
    <row r="55" spans="1:2" x14ac:dyDescent="0.25">
      <c r="A55" s="15" t="str">
        <f t="shared" si="0"/>
        <v/>
      </c>
      <c r="B55" s="18" t="str">
        <f t="shared" si="1"/>
        <v/>
      </c>
    </row>
    <row r="56" spans="1:2" x14ac:dyDescent="0.25">
      <c r="A56" s="15" t="str">
        <f t="shared" si="0"/>
        <v/>
      </c>
      <c r="B56" s="18" t="str">
        <f t="shared" si="1"/>
        <v/>
      </c>
    </row>
    <row r="57" spans="1:2" x14ac:dyDescent="0.25">
      <c r="A57" s="15" t="str">
        <f t="shared" si="0"/>
        <v/>
      </c>
      <c r="B57" s="18" t="str">
        <f t="shared" si="1"/>
        <v/>
      </c>
    </row>
    <row r="58" spans="1:2" x14ac:dyDescent="0.25">
      <c r="A58" s="15" t="str">
        <f t="shared" si="0"/>
        <v/>
      </c>
      <c r="B58" s="18" t="str">
        <f t="shared" si="1"/>
        <v/>
      </c>
    </row>
    <row r="59" spans="1:2" x14ac:dyDescent="0.25">
      <c r="A59" s="15" t="str">
        <f t="shared" si="0"/>
        <v/>
      </c>
      <c r="B59" s="18" t="str">
        <f t="shared" si="1"/>
        <v/>
      </c>
    </row>
    <row r="60" spans="1:2" x14ac:dyDescent="0.25">
      <c r="A60" s="15" t="str">
        <f t="shared" si="0"/>
        <v/>
      </c>
      <c r="B60" s="18" t="str">
        <f t="shared" si="1"/>
        <v/>
      </c>
    </row>
    <row r="61" spans="1:2" x14ac:dyDescent="0.25">
      <c r="A61" s="15" t="str">
        <f t="shared" si="0"/>
        <v/>
      </c>
      <c r="B61" s="18" t="str">
        <f t="shared" si="1"/>
        <v/>
      </c>
    </row>
    <row r="62" spans="1:2" x14ac:dyDescent="0.25">
      <c r="A62" s="15" t="str">
        <f t="shared" si="0"/>
        <v/>
      </c>
      <c r="B62" s="18" t="str">
        <f t="shared" si="1"/>
        <v/>
      </c>
    </row>
    <row r="63" spans="1:2" x14ac:dyDescent="0.25">
      <c r="A63" s="15" t="str">
        <f t="shared" si="0"/>
        <v/>
      </c>
      <c r="B63" s="18" t="str">
        <f t="shared" si="1"/>
        <v/>
      </c>
    </row>
    <row r="64" spans="1:2" x14ac:dyDescent="0.25">
      <c r="A64" s="15" t="str">
        <f t="shared" si="0"/>
        <v/>
      </c>
      <c r="B64" s="18" t="str">
        <f t="shared" si="1"/>
        <v/>
      </c>
    </row>
    <row r="65" spans="1:2" x14ac:dyDescent="0.25">
      <c r="A65" s="15" t="str">
        <f t="shared" si="0"/>
        <v/>
      </c>
      <c r="B65" s="18" t="str">
        <f t="shared" si="1"/>
        <v/>
      </c>
    </row>
    <row r="66" spans="1:2" x14ac:dyDescent="0.25">
      <c r="A66" s="15" t="str">
        <f t="shared" ref="A66:A129" si="2">B66&amp;C66</f>
        <v/>
      </c>
      <c r="B66" s="18" t="str">
        <f t="shared" si="1"/>
        <v/>
      </c>
    </row>
    <row r="67" spans="1:2" x14ac:dyDescent="0.25">
      <c r="A67" s="15" t="str">
        <f t="shared" si="2"/>
        <v/>
      </c>
      <c r="B67" s="18" t="str">
        <f t="shared" ref="B67:B130" si="3">IF(C67="","",B66)</f>
        <v/>
      </c>
    </row>
    <row r="68" spans="1:2" x14ac:dyDescent="0.25">
      <c r="A68" s="15" t="str">
        <f t="shared" si="2"/>
        <v/>
      </c>
      <c r="B68" s="18" t="str">
        <f t="shared" si="3"/>
        <v/>
      </c>
    </row>
    <row r="69" spans="1:2" x14ac:dyDescent="0.25">
      <c r="A69" s="15" t="str">
        <f t="shared" si="2"/>
        <v/>
      </c>
      <c r="B69" s="18" t="str">
        <f t="shared" si="3"/>
        <v/>
      </c>
    </row>
    <row r="70" spans="1:2" x14ac:dyDescent="0.25">
      <c r="A70" s="15" t="str">
        <f t="shared" si="2"/>
        <v/>
      </c>
      <c r="B70" s="18" t="str">
        <f t="shared" si="3"/>
        <v/>
      </c>
    </row>
    <row r="71" spans="1:2" x14ac:dyDescent="0.25">
      <c r="A71" s="15" t="str">
        <f t="shared" si="2"/>
        <v/>
      </c>
      <c r="B71" s="18" t="str">
        <f t="shared" si="3"/>
        <v/>
      </c>
    </row>
    <row r="72" spans="1:2" x14ac:dyDescent="0.25">
      <c r="A72" s="15" t="str">
        <f t="shared" si="2"/>
        <v/>
      </c>
      <c r="B72" s="18" t="str">
        <f t="shared" si="3"/>
        <v/>
      </c>
    </row>
    <row r="73" spans="1:2" x14ac:dyDescent="0.25">
      <c r="A73" s="15" t="str">
        <f t="shared" si="2"/>
        <v/>
      </c>
      <c r="B73" s="18" t="str">
        <f t="shared" si="3"/>
        <v/>
      </c>
    </row>
    <row r="74" spans="1:2" x14ac:dyDescent="0.25">
      <c r="A74" s="15" t="str">
        <f t="shared" si="2"/>
        <v/>
      </c>
      <c r="B74" s="18" t="str">
        <f t="shared" si="3"/>
        <v/>
      </c>
    </row>
    <row r="75" spans="1:2" x14ac:dyDescent="0.25">
      <c r="A75" s="15" t="str">
        <f t="shared" si="2"/>
        <v/>
      </c>
      <c r="B75" s="18" t="str">
        <f t="shared" si="3"/>
        <v/>
      </c>
    </row>
    <row r="76" spans="1:2" x14ac:dyDescent="0.25">
      <c r="A76" s="15" t="str">
        <f t="shared" si="2"/>
        <v/>
      </c>
      <c r="B76" s="18" t="str">
        <f t="shared" si="3"/>
        <v/>
      </c>
    </row>
    <row r="77" spans="1:2" x14ac:dyDescent="0.25">
      <c r="A77" s="15" t="str">
        <f t="shared" si="2"/>
        <v/>
      </c>
      <c r="B77" s="18" t="str">
        <f t="shared" si="3"/>
        <v/>
      </c>
    </row>
    <row r="78" spans="1:2" x14ac:dyDescent="0.25">
      <c r="A78" s="15" t="str">
        <f t="shared" si="2"/>
        <v/>
      </c>
      <c r="B78" s="18" t="str">
        <f t="shared" si="3"/>
        <v/>
      </c>
    </row>
    <row r="79" spans="1:2" x14ac:dyDescent="0.25">
      <c r="A79" s="15" t="str">
        <f t="shared" si="2"/>
        <v/>
      </c>
      <c r="B79" s="18" t="str">
        <f t="shared" si="3"/>
        <v/>
      </c>
    </row>
    <row r="80" spans="1:2" x14ac:dyDescent="0.25">
      <c r="A80" s="15" t="str">
        <f t="shared" si="2"/>
        <v/>
      </c>
      <c r="B80" s="18" t="str">
        <f t="shared" si="3"/>
        <v/>
      </c>
    </row>
    <row r="81" spans="1:2" x14ac:dyDescent="0.25">
      <c r="A81" s="15" t="str">
        <f t="shared" si="2"/>
        <v/>
      </c>
      <c r="B81" s="18" t="str">
        <f t="shared" si="3"/>
        <v/>
      </c>
    </row>
    <row r="82" spans="1:2" x14ac:dyDescent="0.25">
      <c r="A82" s="15" t="str">
        <f t="shared" si="2"/>
        <v/>
      </c>
      <c r="B82" s="18" t="str">
        <f t="shared" si="3"/>
        <v/>
      </c>
    </row>
    <row r="83" spans="1:2" x14ac:dyDescent="0.25">
      <c r="A83" s="15" t="str">
        <f t="shared" si="2"/>
        <v/>
      </c>
      <c r="B83" s="18" t="str">
        <f t="shared" si="3"/>
        <v/>
      </c>
    </row>
    <row r="84" spans="1:2" x14ac:dyDescent="0.25">
      <c r="A84" s="15" t="str">
        <f t="shared" si="2"/>
        <v/>
      </c>
      <c r="B84" s="18" t="str">
        <f t="shared" si="3"/>
        <v/>
      </c>
    </row>
    <row r="85" spans="1:2" x14ac:dyDescent="0.25">
      <c r="A85" s="15" t="str">
        <f t="shared" si="2"/>
        <v/>
      </c>
      <c r="B85" s="18" t="str">
        <f t="shared" si="3"/>
        <v/>
      </c>
    </row>
    <row r="86" spans="1:2" x14ac:dyDescent="0.25">
      <c r="A86" s="15" t="str">
        <f t="shared" si="2"/>
        <v/>
      </c>
      <c r="B86" s="18" t="str">
        <f t="shared" si="3"/>
        <v/>
      </c>
    </row>
    <row r="87" spans="1:2" x14ac:dyDescent="0.25">
      <c r="A87" s="15" t="str">
        <f t="shared" si="2"/>
        <v/>
      </c>
      <c r="B87" s="18" t="str">
        <f t="shared" si="3"/>
        <v/>
      </c>
    </row>
    <row r="88" spans="1:2" x14ac:dyDescent="0.25">
      <c r="A88" s="15" t="str">
        <f t="shared" si="2"/>
        <v/>
      </c>
      <c r="B88" s="18" t="str">
        <f t="shared" si="3"/>
        <v/>
      </c>
    </row>
    <row r="89" spans="1:2" x14ac:dyDescent="0.25">
      <c r="A89" s="15" t="str">
        <f t="shared" si="2"/>
        <v/>
      </c>
      <c r="B89" s="18" t="str">
        <f t="shared" si="3"/>
        <v/>
      </c>
    </row>
    <row r="90" spans="1:2" x14ac:dyDescent="0.25">
      <c r="A90" s="15" t="str">
        <f t="shared" si="2"/>
        <v/>
      </c>
      <c r="B90" s="18" t="str">
        <f t="shared" si="3"/>
        <v/>
      </c>
    </row>
    <row r="91" spans="1:2" x14ac:dyDescent="0.25">
      <c r="A91" s="15" t="str">
        <f t="shared" si="2"/>
        <v/>
      </c>
      <c r="B91" s="18" t="str">
        <f t="shared" si="3"/>
        <v/>
      </c>
    </row>
    <row r="92" spans="1:2" x14ac:dyDescent="0.25">
      <c r="A92" s="15" t="str">
        <f t="shared" si="2"/>
        <v/>
      </c>
      <c r="B92" s="18" t="str">
        <f t="shared" si="3"/>
        <v/>
      </c>
    </row>
    <row r="93" spans="1:2" x14ac:dyDescent="0.25">
      <c r="A93" s="15" t="str">
        <f t="shared" si="2"/>
        <v/>
      </c>
      <c r="B93" s="18" t="str">
        <f t="shared" si="3"/>
        <v/>
      </c>
    </row>
    <row r="94" spans="1:2" x14ac:dyDescent="0.25">
      <c r="A94" s="15" t="str">
        <f t="shared" si="2"/>
        <v/>
      </c>
      <c r="B94" s="18" t="str">
        <f t="shared" si="3"/>
        <v/>
      </c>
    </row>
    <row r="95" spans="1:2" x14ac:dyDescent="0.25">
      <c r="A95" s="15" t="str">
        <f t="shared" si="2"/>
        <v/>
      </c>
      <c r="B95" s="18" t="str">
        <f t="shared" si="3"/>
        <v/>
      </c>
    </row>
    <row r="96" spans="1:2" x14ac:dyDescent="0.25">
      <c r="A96" s="15" t="str">
        <f t="shared" si="2"/>
        <v/>
      </c>
      <c r="B96" s="18" t="str">
        <f t="shared" si="3"/>
        <v/>
      </c>
    </row>
    <row r="97" spans="1:2" x14ac:dyDescent="0.25">
      <c r="A97" s="15" t="str">
        <f t="shared" si="2"/>
        <v/>
      </c>
      <c r="B97" s="18" t="str">
        <f t="shared" si="3"/>
        <v/>
      </c>
    </row>
    <row r="98" spans="1:2" x14ac:dyDescent="0.25">
      <c r="A98" s="15" t="str">
        <f t="shared" si="2"/>
        <v/>
      </c>
      <c r="B98" s="18" t="str">
        <f t="shared" si="3"/>
        <v/>
      </c>
    </row>
    <row r="99" spans="1:2" x14ac:dyDescent="0.25">
      <c r="A99" s="15" t="str">
        <f t="shared" si="2"/>
        <v/>
      </c>
      <c r="B99" s="18" t="str">
        <f t="shared" si="3"/>
        <v/>
      </c>
    </row>
    <row r="100" spans="1:2" x14ac:dyDescent="0.25">
      <c r="A100" s="15" t="str">
        <f t="shared" si="2"/>
        <v/>
      </c>
      <c r="B100" s="18" t="str">
        <f t="shared" si="3"/>
        <v/>
      </c>
    </row>
    <row r="101" spans="1:2" x14ac:dyDescent="0.25">
      <c r="A101" s="15" t="str">
        <f t="shared" si="2"/>
        <v/>
      </c>
      <c r="B101" s="18" t="str">
        <f t="shared" si="3"/>
        <v/>
      </c>
    </row>
    <row r="102" spans="1:2" x14ac:dyDescent="0.25">
      <c r="A102" s="15" t="str">
        <f t="shared" si="2"/>
        <v/>
      </c>
      <c r="B102" s="18" t="str">
        <f t="shared" si="3"/>
        <v/>
      </c>
    </row>
    <row r="103" spans="1:2" x14ac:dyDescent="0.25">
      <c r="A103" s="15" t="str">
        <f t="shared" si="2"/>
        <v/>
      </c>
      <c r="B103" s="18" t="str">
        <f t="shared" si="3"/>
        <v/>
      </c>
    </row>
    <row r="104" spans="1:2" x14ac:dyDescent="0.25">
      <c r="A104" s="15" t="str">
        <f t="shared" si="2"/>
        <v/>
      </c>
      <c r="B104" s="18" t="str">
        <f t="shared" si="3"/>
        <v/>
      </c>
    </row>
    <row r="105" spans="1:2" x14ac:dyDescent="0.25">
      <c r="A105" s="15" t="str">
        <f t="shared" si="2"/>
        <v/>
      </c>
      <c r="B105" s="18" t="str">
        <f t="shared" si="3"/>
        <v/>
      </c>
    </row>
    <row r="106" spans="1:2" x14ac:dyDescent="0.25">
      <c r="A106" s="15" t="str">
        <f t="shared" si="2"/>
        <v/>
      </c>
      <c r="B106" s="18" t="str">
        <f t="shared" si="3"/>
        <v/>
      </c>
    </row>
    <row r="107" spans="1:2" x14ac:dyDescent="0.25">
      <c r="A107" s="15" t="str">
        <f t="shared" si="2"/>
        <v/>
      </c>
      <c r="B107" s="18" t="str">
        <f t="shared" si="3"/>
        <v/>
      </c>
    </row>
    <row r="108" spans="1:2" x14ac:dyDescent="0.25">
      <c r="A108" s="15" t="str">
        <f t="shared" si="2"/>
        <v/>
      </c>
      <c r="B108" s="18" t="str">
        <f t="shared" si="3"/>
        <v/>
      </c>
    </row>
    <row r="109" spans="1:2" x14ac:dyDescent="0.25">
      <c r="A109" s="15" t="str">
        <f t="shared" si="2"/>
        <v/>
      </c>
      <c r="B109" s="18" t="str">
        <f t="shared" si="3"/>
        <v/>
      </c>
    </row>
    <row r="110" spans="1:2" x14ac:dyDescent="0.25">
      <c r="A110" s="15" t="str">
        <f t="shared" si="2"/>
        <v/>
      </c>
      <c r="B110" s="18" t="str">
        <f t="shared" si="3"/>
        <v/>
      </c>
    </row>
    <row r="111" spans="1:2" x14ac:dyDescent="0.25">
      <c r="A111" s="15" t="str">
        <f t="shared" si="2"/>
        <v/>
      </c>
      <c r="B111" s="18" t="str">
        <f t="shared" si="3"/>
        <v/>
      </c>
    </row>
    <row r="112" spans="1:2" x14ac:dyDescent="0.25">
      <c r="A112" s="15" t="str">
        <f t="shared" si="2"/>
        <v/>
      </c>
      <c r="B112" s="18" t="str">
        <f t="shared" si="3"/>
        <v/>
      </c>
    </row>
    <row r="113" spans="1:2" x14ac:dyDescent="0.25">
      <c r="A113" s="15" t="str">
        <f t="shared" si="2"/>
        <v/>
      </c>
      <c r="B113" s="18" t="str">
        <f t="shared" si="3"/>
        <v/>
      </c>
    </row>
    <row r="114" spans="1:2" x14ac:dyDescent="0.25">
      <c r="A114" s="15" t="str">
        <f t="shared" si="2"/>
        <v/>
      </c>
      <c r="B114" s="18" t="str">
        <f t="shared" si="3"/>
        <v/>
      </c>
    </row>
    <row r="115" spans="1:2" x14ac:dyDescent="0.25">
      <c r="A115" s="15" t="str">
        <f t="shared" si="2"/>
        <v/>
      </c>
      <c r="B115" s="18" t="str">
        <f t="shared" si="3"/>
        <v/>
      </c>
    </row>
    <row r="116" spans="1:2" x14ac:dyDescent="0.25">
      <c r="A116" s="15" t="str">
        <f t="shared" si="2"/>
        <v/>
      </c>
      <c r="B116" s="18" t="str">
        <f t="shared" si="3"/>
        <v/>
      </c>
    </row>
    <row r="117" spans="1:2" x14ac:dyDescent="0.25">
      <c r="A117" s="15" t="str">
        <f t="shared" si="2"/>
        <v/>
      </c>
      <c r="B117" s="18" t="str">
        <f t="shared" si="3"/>
        <v/>
      </c>
    </row>
    <row r="118" spans="1:2" x14ac:dyDescent="0.25">
      <c r="A118" s="15" t="str">
        <f t="shared" si="2"/>
        <v/>
      </c>
      <c r="B118" s="18" t="str">
        <f t="shared" si="3"/>
        <v/>
      </c>
    </row>
    <row r="119" spans="1:2" x14ac:dyDescent="0.25">
      <c r="A119" s="15" t="str">
        <f t="shared" si="2"/>
        <v/>
      </c>
      <c r="B119" s="18" t="str">
        <f t="shared" si="3"/>
        <v/>
      </c>
    </row>
    <row r="120" spans="1:2" x14ac:dyDescent="0.25">
      <c r="A120" s="15" t="str">
        <f t="shared" si="2"/>
        <v/>
      </c>
      <c r="B120" s="18" t="str">
        <f t="shared" si="3"/>
        <v/>
      </c>
    </row>
    <row r="121" spans="1:2" x14ac:dyDescent="0.25">
      <c r="A121" s="15" t="str">
        <f t="shared" si="2"/>
        <v/>
      </c>
      <c r="B121" s="18" t="str">
        <f t="shared" si="3"/>
        <v/>
      </c>
    </row>
    <row r="122" spans="1:2" x14ac:dyDescent="0.25">
      <c r="A122" s="15" t="str">
        <f t="shared" si="2"/>
        <v/>
      </c>
      <c r="B122" s="18" t="str">
        <f t="shared" si="3"/>
        <v/>
      </c>
    </row>
    <row r="123" spans="1:2" x14ac:dyDescent="0.25">
      <c r="A123" s="15" t="str">
        <f t="shared" si="2"/>
        <v/>
      </c>
      <c r="B123" s="18" t="str">
        <f t="shared" si="3"/>
        <v/>
      </c>
    </row>
    <row r="124" spans="1:2" x14ac:dyDescent="0.25">
      <c r="A124" s="15" t="str">
        <f t="shared" si="2"/>
        <v/>
      </c>
      <c r="B124" s="18" t="str">
        <f t="shared" si="3"/>
        <v/>
      </c>
    </row>
    <row r="125" spans="1:2" x14ac:dyDescent="0.25">
      <c r="A125" s="15" t="str">
        <f t="shared" si="2"/>
        <v/>
      </c>
      <c r="B125" s="18" t="str">
        <f t="shared" si="3"/>
        <v/>
      </c>
    </row>
    <row r="126" spans="1:2" x14ac:dyDescent="0.25">
      <c r="A126" s="15" t="str">
        <f t="shared" si="2"/>
        <v/>
      </c>
      <c r="B126" s="18" t="str">
        <f t="shared" si="3"/>
        <v/>
      </c>
    </row>
    <row r="127" spans="1:2" x14ac:dyDescent="0.25">
      <c r="A127" s="15" t="str">
        <f t="shared" si="2"/>
        <v/>
      </c>
      <c r="B127" s="18" t="str">
        <f t="shared" si="3"/>
        <v/>
      </c>
    </row>
    <row r="128" spans="1:2" x14ac:dyDescent="0.25">
      <c r="A128" s="15" t="str">
        <f t="shared" si="2"/>
        <v/>
      </c>
      <c r="B128" s="18" t="str">
        <f t="shared" si="3"/>
        <v/>
      </c>
    </row>
    <row r="129" spans="1:2" x14ac:dyDescent="0.25">
      <c r="A129" s="15" t="str">
        <f t="shared" si="2"/>
        <v/>
      </c>
      <c r="B129" s="18" t="str">
        <f t="shared" si="3"/>
        <v/>
      </c>
    </row>
    <row r="130" spans="1:2" x14ac:dyDescent="0.25">
      <c r="A130" s="15" t="str">
        <f t="shared" ref="A130:A193" si="4">B130&amp;C130</f>
        <v/>
      </c>
      <c r="B130" s="18" t="str">
        <f t="shared" si="3"/>
        <v/>
      </c>
    </row>
    <row r="131" spans="1:2" x14ac:dyDescent="0.25">
      <c r="A131" s="15" t="str">
        <f t="shared" si="4"/>
        <v/>
      </c>
      <c r="B131" s="18" t="str">
        <f t="shared" ref="B131:B194" si="5">IF(C131="","",B130)</f>
        <v/>
      </c>
    </row>
    <row r="132" spans="1:2" x14ac:dyDescent="0.25">
      <c r="A132" s="15" t="str">
        <f t="shared" si="4"/>
        <v/>
      </c>
      <c r="B132" s="18" t="str">
        <f t="shared" si="5"/>
        <v/>
      </c>
    </row>
    <row r="133" spans="1:2" x14ac:dyDescent="0.25">
      <c r="A133" s="15" t="str">
        <f t="shared" si="4"/>
        <v/>
      </c>
      <c r="B133" s="18" t="str">
        <f t="shared" si="5"/>
        <v/>
      </c>
    </row>
    <row r="134" spans="1:2" x14ac:dyDescent="0.25">
      <c r="A134" s="15" t="str">
        <f t="shared" si="4"/>
        <v/>
      </c>
      <c r="B134" s="18" t="str">
        <f t="shared" si="5"/>
        <v/>
      </c>
    </row>
    <row r="135" spans="1:2" x14ac:dyDescent="0.25">
      <c r="A135" s="15" t="str">
        <f t="shared" si="4"/>
        <v/>
      </c>
      <c r="B135" s="18" t="str">
        <f t="shared" si="5"/>
        <v/>
      </c>
    </row>
    <row r="136" spans="1:2" x14ac:dyDescent="0.25">
      <c r="A136" s="15" t="str">
        <f t="shared" si="4"/>
        <v/>
      </c>
      <c r="B136" s="18" t="str">
        <f t="shared" si="5"/>
        <v/>
      </c>
    </row>
    <row r="137" spans="1:2" x14ac:dyDescent="0.25">
      <c r="A137" s="15" t="str">
        <f t="shared" si="4"/>
        <v/>
      </c>
      <c r="B137" s="18" t="str">
        <f t="shared" si="5"/>
        <v/>
      </c>
    </row>
    <row r="138" spans="1:2" x14ac:dyDescent="0.25">
      <c r="A138" s="15" t="str">
        <f t="shared" si="4"/>
        <v/>
      </c>
      <c r="B138" s="18" t="str">
        <f t="shared" si="5"/>
        <v/>
      </c>
    </row>
    <row r="139" spans="1:2" x14ac:dyDescent="0.25">
      <c r="A139" s="15" t="str">
        <f t="shared" si="4"/>
        <v/>
      </c>
      <c r="B139" s="18" t="str">
        <f t="shared" si="5"/>
        <v/>
      </c>
    </row>
    <row r="140" spans="1:2" x14ac:dyDescent="0.25">
      <c r="A140" s="15" t="str">
        <f t="shared" si="4"/>
        <v/>
      </c>
      <c r="B140" s="18" t="str">
        <f t="shared" si="5"/>
        <v/>
      </c>
    </row>
    <row r="141" spans="1:2" x14ac:dyDescent="0.25">
      <c r="A141" s="15" t="str">
        <f t="shared" si="4"/>
        <v/>
      </c>
      <c r="B141" s="18" t="str">
        <f t="shared" si="5"/>
        <v/>
      </c>
    </row>
    <row r="142" spans="1:2" x14ac:dyDescent="0.25">
      <c r="A142" s="15" t="str">
        <f t="shared" si="4"/>
        <v/>
      </c>
      <c r="B142" s="18" t="str">
        <f t="shared" si="5"/>
        <v/>
      </c>
    </row>
    <row r="143" spans="1:2" x14ac:dyDescent="0.25">
      <c r="A143" s="15" t="str">
        <f t="shared" si="4"/>
        <v/>
      </c>
      <c r="B143" s="18" t="str">
        <f t="shared" si="5"/>
        <v/>
      </c>
    </row>
    <row r="144" spans="1:2" x14ac:dyDescent="0.25">
      <c r="A144" s="15" t="str">
        <f t="shared" si="4"/>
        <v/>
      </c>
      <c r="B144" s="18" t="str">
        <f t="shared" si="5"/>
        <v/>
      </c>
    </row>
    <row r="145" spans="1:2" x14ac:dyDescent="0.25">
      <c r="A145" s="15" t="str">
        <f t="shared" si="4"/>
        <v/>
      </c>
      <c r="B145" s="18" t="str">
        <f t="shared" si="5"/>
        <v/>
      </c>
    </row>
    <row r="146" spans="1:2" x14ac:dyDescent="0.25">
      <c r="A146" s="15" t="str">
        <f t="shared" si="4"/>
        <v/>
      </c>
      <c r="B146" s="18" t="str">
        <f t="shared" si="5"/>
        <v/>
      </c>
    </row>
    <row r="147" spans="1:2" x14ac:dyDescent="0.25">
      <c r="A147" s="15" t="str">
        <f t="shared" si="4"/>
        <v/>
      </c>
      <c r="B147" s="18" t="str">
        <f t="shared" si="5"/>
        <v/>
      </c>
    </row>
    <row r="148" spans="1:2" x14ac:dyDescent="0.25">
      <c r="A148" s="15" t="str">
        <f t="shared" si="4"/>
        <v/>
      </c>
      <c r="B148" s="18" t="str">
        <f t="shared" si="5"/>
        <v/>
      </c>
    </row>
    <row r="149" spans="1:2" x14ac:dyDescent="0.25">
      <c r="A149" s="15" t="str">
        <f t="shared" si="4"/>
        <v/>
      </c>
      <c r="B149" s="18" t="str">
        <f t="shared" si="5"/>
        <v/>
      </c>
    </row>
    <row r="150" spans="1:2" x14ac:dyDescent="0.25">
      <c r="A150" s="15" t="str">
        <f t="shared" si="4"/>
        <v/>
      </c>
      <c r="B150" s="18" t="str">
        <f t="shared" si="5"/>
        <v/>
      </c>
    </row>
    <row r="151" spans="1:2" x14ac:dyDescent="0.25">
      <c r="A151" s="15" t="str">
        <f t="shared" si="4"/>
        <v/>
      </c>
      <c r="B151" s="18" t="str">
        <f t="shared" si="5"/>
        <v/>
      </c>
    </row>
    <row r="152" spans="1:2" x14ac:dyDescent="0.25">
      <c r="A152" s="15" t="str">
        <f t="shared" si="4"/>
        <v/>
      </c>
      <c r="B152" s="18" t="str">
        <f t="shared" si="5"/>
        <v/>
      </c>
    </row>
    <row r="153" spans="1:2" x14ac:dyDescent="0.25">
      <c r="A153" s="15" t="str">
        <f t="shared" si="4"/>
        <v/>
      </c>
      <c r="B153" s="18" t="str">
        <f t="shared" si="5"/>
        <v/>
      </c>
    </row>
    <row r="154" spans="1:2" x14ac:dyDescent="0.25">
      <c r="A154" s="15" t="str">
        <f t="shared" si="4"/>
        <v/>
      </c>
      <c r="B154" s="18" t="str">
        <f t="shared" si="5"/>
        <v/>
      </c>
    </row>
    <row r="155" spans="1:2" x14ac:dyDescent="0.25">
      <c r="A155" s="15" t="str">
        <f t="shared" si="4"/>
        <v/>
      </c>
      <c r="B155" s="18" t="str">
        <f t="shared" si="5"/>
        <v/>
      </c>
    </row>
    <row r="156" spans="1:2" x14ac:dyDescent="0.25">
      <c r="A156" s="15" t="str">
        <f t="shared" si="4"/>
        <v/>
      </c>
      <c r="B156" s="18" t="str">
        <f t="shared" si="5"/>
        <v/>
      </c>
    </row>
    <row r="157" spans="1:2" x14ac:dyDescent="0.25">
      <c r="A157" s="15" t="str">
        <f t="shared" si="4"/>
        <v/>
      </c>
      <c r="B157" s="18" t="str">
        <f t="shared" si="5"/>
        <v/>
      </c>
    </row>
    <row r="158" spans="1:2" x14ac:dyDescent="0.25">
      <c r="A158" s="15" t="str">
        <f t="shared" si="4"/>
        <v/>
      </c>
      <c r="B158" s="18" t="str">
        <f t="shared" si="5"/>
        <v/>
      </c>
    </row>
    <row r="159" spans="1:2" x14ac:dyDescent="0.25">
      <c r="A159" s="15" t="str">
        <f t="shared" si="4"/>
        <v/>
      </c>
      <c r="B159" s="18" t="str">
        <f t="shared" si="5"/>
        <v/>
      </c>
    </row>
    <row r="160" spans="1:2" x14ac:dyDescent="0.25">
      <c r="A160" s="15" t="str">
        <f t="shared" si="4"/>
        <v/>
      </c>
      <c r="B160" s="18" t="str">
        <f t="shared" si="5"/>
        <v/>
      </c>
    </row>
    <row r="161" spans="1:2" x14ac:dyDescent="0.25">
      <c r="A161" s="15" t="str">
        <f t="shared" si="4"/>
        <v/>
      </c>
      <c r="B161" s="18" t="str">
        <f t="shared" si="5"/>
        <v/>
      </c>
    </row>
    <row r="162" spans="1:2" x14ac:dyDescent="0.25">
      <c r="A162" s="15" t="str">
        <f t="shared" si="4"/>
        <v/>
      </c>
      <c r="B162" s="18" t="str">
        <f t="shared" si="5"/>
        <v/>
      </c>
    </row>
    <row r="163" spans="1:2" x14ac:dyDescent="0.25">
      <c r="A163" s="15" t="str">
        <f t="shared" si="4"/>
        <v/>
      </c>
      <c r="B163" s="18" t="str">
        <f t="shared" si="5"/>
        <v/>
      </c>
    </row>
    <row r="164" spans="1:2" x14ac:dyDescent="0.25">
      <c r="A164" s="15" t="str">
        <f t="shared" si="4"/>
        <v/>
      </c>
      <c r="B164" s="18" t="str">
        <f t="shared" si="5"/>
        <v/>
      </c>
    </row>
    <row r="165" spans="1:2" x14ac:dyDescent="0.25">
      <c r="A165" s="15" t="str">
        <f t="shared" si="4"/>
        <v/>
      </c>
      <c r="B165" s="18" t="str">
        <f t="shared" si="5"/>
        <v/>
      </c>
    </row>
    <row r="166" spans="1:2" x14ac:dyDescent="0.25">
      <c r="A166" s="15" t="str">
        <f t="shared" si="4"/>
        <v/>
      </c>
      <c r="B166" s="18" t="str">
        <f t="shared" si="5"/>
        <v/>
      </c>
    </row>
    <row r="167" spans="1:2" x14ac:dyDescent="0.25">
      <c r="A167" s="15" t="str">
        <f t="shared" si="4"/>
        <v/>
      </c>
      <c r="B167" s="18" t="str">
        <f t="shared" si="5"/>
        <v/>
      </c>
    </row>
    <row r="168" spans="1:2" x14ac:dyDescent="0.25">
      <c r="A168" s="15" t="str">
        <f t="shared" si="4"/>
        <v/>
      </c>
      <c r="B168" s="18" t="str">
        <f t="shared" si="5"/>
        <v/>
      </c>
    </row>
    <row r="169" spans="1:2" x14ac:dyDescent="0.25">
      <c r="A169" s="15" t="str">
        <f t="shared" si="4"/>
        <v/>
      </c>
      <c r="B169" s="18" t="str">
        <f t="shared" si="5"/>
        <v/>
      </c>
    </row>
    <row r="170" spans="1:2" x14ac:dyDescent="0.25">
      <c r="A170" s="15" t="str">
        <f t="shared" si="4"/>
        <v/>
      </c>
      <c r="B170" s="18" t="str">
        <f t="shared" si="5"/>
        <v/>
      </c>
    </row>
    <row r="171" spans="1:2" x14ac:dyDescent="0.25">
      <c r="A171" s="15" t="str">
        <f t="shared" si="4"/>
        <v/>
      </c>
      <c r="B171" s="18" t="str">
        <f t="shared" si="5"/>
        <v/>
      </c>
    </row>
    <row r="172" spans="1:2" x14ac:dyDescent="0.25">
      <c r="A172" s="15" t="str">
        <f t="shared" si="4"/>
        <v/>
      </c>
      <c r="B172" s="18" t="str">
        <f t="shared" si="5"/>
        <v/>
      </c>
    </row>
    <row r="173" spans="1:2" x14ac:dyDescent="0.25">
      <c r="A173" s="15" t="str">
        <f t="shared" si="4"/>
        <v/>
      </c>
      <c r="B173" s="18" t="str">
        <f t="shared" si="5"/>
        <v/>
      </c>
    </row>
    <row r="174" spans="1:2" x14ac:dyDescent="0.25">
      <c r="A174" s="15" t="str">
        <f t="shared" si="4"/>
        <v/>
      </c>
      <c r="B174" s="18" t="str">
        <f t="shared" si="5"/>
        <v/>
      </c>
    </row>
    <row r="175" spans="1:2" x14ac:dyDescent="0.25">
      <c r="A175" s="15" t="str">
        <f t="shared" si="4"/>
        <v/>
      </c>
      <c r="B175" s="18" t="str">
        <f t="shared" si="5"/>
        <v/>
      </c>
    </row>
    <row r="176" spans="1:2" x14ac:dyDescent="0.25">
      <c r="A176" s="15" t="str">
        <f t="shared" si="4"/>
        <v/>
      </c>
      <c r="B176" s="18" t="str">
        <f t="shared" si="5"/>
        <v/>
      </c>
    </row>
    <row r="177" spans="1:2" x14ac:dyDescent="0.25">
      <c r="A177" s="15" t="str">
        <f t="shared" si="4"/>
        <v/>
      </c>
      <c r="B177" s="18" t="str">
        <f t="shared" si="5"/>
        <v/>
      </c>
    </row>
    <row r="178" spans="1:2" x14ac:dyDescent="0.25">
      <c r="A178" s="15" t="str">
        <f t="shared" si="4"/>
        <v/>
      </c>
      <c r="B178" s="18" t="str">
        <f t="shared" si="5"/>
        <v/>
      </c>
    </row>
    <row r="179" spans="1:2" x14ac:dyDescent="0.25">
      <c r="A179" s="15" t="str">
        <f t="shared" si="4"/>
        <v/>
      </c>
      <c r="B179" s="18" t="str">
        <f t="shared" si="5"/>
        <v/>
      </c>
    </row>
    <row r="180" spans="1:2" x14ac:dyDescent="0.25">
      <c r="A180" s="15" t="str">
        <f t="shared" si="4"/>
        <v/>
      </c>
      <c r="B180" s="18" t="str">
        <f t="shared" si="5"/>
        <v/>
      </c>
    </row>
    <row r="181" spans="1:2" x14ac:dyDescent="0.25">
      <c r="A181" s="15" t="str">
        <f t="shared" si="4"/>
        <v/>
      </c>
      <c r="B181" s="18" t="str">
        <f t="shared" si="5"/>
        <v/>
      </c>
    </row>
    <row r="182" spans="1:2" x14ac:dyDescent="0.25">
      <c r="A182" s="15" t="str">
        <f t="shared" si="4"/>
        <v/>
      </c>
      <c r="B182" s="18" t="str">
        <f t="shared" si="5"/>
        <v/>
      </c>
    </row>
    <row r="183" spans="1:2" x14ac:dyDescent="0.25">
      <c r="A183" s="15" t="str">
        <f t="shared" si="4"/>
        <v/>
      </c>
      <c r="B183" s="18" t="str">
        <f t="shared" si="5"/>
        <v/>
      </c>
    </row>
    <row r="184" spans="1:2" x14ac:dyDescent="0.25">
      <c r="A184" s="15" t="str">
        <f t="shared" si="4"/>
        <v/>
      </c>
      <c r="B184" s="18" t="str">
        <f t="shared" si="5"/>
        <v/>
      </c>
    </row>
    <row r="185" spans="1:2" x14ac:dyDescent="0.25">
      <c r="A185" s="15" t="str">
        <f t="shared" si="4"/>
        <v/>
      </c>
      <c r="B185" s="18" t="str">
        <f t="shared" si="5"/>
        <v/>
      </c>
    </row>
    <row r="186" spans="1:2" x14ac:dyDescent="0.25">
      <c r="A186" s="15" t="str">
        <f t="shared" si="4"/>
        <v/>
      </c>
      <c r="B186" s="18" t="str">
        <f t="shared" si="5"/>
        <v/>
      </c>
    </row>
    <row r="187" spans="1:2" x14ac:dyDescent="0.25">
      <c r="A187" s="15" t="str">
        <f t="shared" si="4"/>
        <v/>
      </c>
      <c r="B187" s="18" t="str">
        <f t="shared" si="5"/>
        <v/>
      </c>
    </row>
    <row r="188" spans="1:2" x14ac:dyDescent="0.25">
      <c r="A188" s="15" t="str">
        <f t="shared" si="4"/>
        <v/>
      </c>
      <c r="B188" s="18" t="str">
        <f t="shared" si="5"/>
        <v/>
      </c>
    </row>
    <row r="189" spans="1:2" x14ac:dyDescent="0.25">
      <c r="A189" s="15" t="str">
        <f t="shared" si="4"/>
        <v/>
      </c>
      <c r="B189" s="18" t="str">
        <f t="shared" si="5"/>
        <v/>
      </c>
    </row>
    <row r="190" spans="1:2" x14ac:dyDescent="0.25">
      <c r="A190" s="15" t="str">
        <f t="shared" si="4"/>
        <v/>
      </c>
      <c r="B190" s="18" t="str">
        <f t="shared" si="5"/>
        <v/>
      </c>
    </row>
    <row r="191" spans="1:2" x14ac:dyDescent="0.25">
      <c r="A191" s="15" t="str">
        <f t="shared" si="4"/>
        <v/>
      </c>
      <c r="B191" s="18" t="str">
        <f t="shared" si="5"/>
        <v/>
      </c>
    </row>
    <row r="192" spans="1:2" x14ac:dyDescent="0.25">
      <c r="A192" s="15" t="str">
        <f t="shared" si="4"/>
        <v/>
      </c>
      <c r="B192" s="18" t="str">
        <f t="shared" si="5"/>
        <v/>
      </c>
    </row>
    <row r="193" spans="1:2" x14ac:dyDescent="0.25">
      <c r="A193" s="15" t="str">
        <f t="shared" si="4"/>
        <v/>
      </c>
      <c r="B193" s="18" t="str">
        <f t="shared" si="5"/>
        <v/>
      </c>
    </row>
    <row r="194" spans="1:2" x14ac:dyDescent="0.25">
      <c r="A194" s="15" t="str">
        <f t="shared" ref="A194:A257" si="6">B194&amp;C194</f>
        <v/>
      </c>
      <c r="B194" s="18" t="str">
        <f t="shared" si="5"/>
        <v/>
      </c>
    </row>
    <row r="195" spans="1:2" x14ac:dyDescent="0.25">
      <c r="A195" s="15" t="str">
        <f t="shared" si="6"/>
        <v/>
      </c>
      <c r="B195" s="18" t="str">
        <f t="shared" ref="B195:B258" si="7">IF(C195="","",B194)</f>
        <v/>
      </c>
    </row>
    <row r="196" spans="1:2" x14ac:dyDescent="0.25">
      <c r="A196" s="15" t="str">
        <f t="shared" si="6"/>
        <v/>
      </c>
      <c r="B196" s="18" t="str">
        <f t="shared" si="7"/>
        <v/>
      </c>
    </row>
    <row r="197" spans="1:2" x14ac:dyDescent="0.25">
      <c r="A197" s="15" t="str">
        <f t="shared" si="6"/>
        <v/>
      </c>
      <c r="B197" s="18" t="str">
        <f t="shared" si="7"/>
        <v/>
      </c>
    </row>
    <row r="198" spans="1:2" x14ac:dyDescent="0.25">
      <c r="A198" s="15" t="str">
        <f t="shared" si="6"/>
        <v/>
      </c>
      <c r="B198" s="18" t="str">
        <f t="shared" si="7"/>
        <v/>
      </c>
    </row>
    <row r="199" spans="1:2" x14ac:dyDescent="0.25">
      <c r="A199" s="15" t="str">
        <f t="shared" si="6"/>
        <v/>
      </c>
      <c r="B199" s="18" t="str">
        <f t="shared" si="7"/>
        <v/>
      </c>
    </row>
    <row r="200" spans="1:2" x14ac:dyDescent="0.25">
      <c r="A200" s="15" t="str">
        <f t="shared" si="6"/>
        <v/>
      </c>
      <c r="B200" s="18" t="str">
        <f t="shared" si="7"/>
        <v/>
      </c>
    </row>
    <row r="201" spans="1:2" x14ac:dyDescent="0.25">
      <c r="A201" s="15" t="str">
        <f t="shared" si="6"/>
        <v/>
      </c>
      <c r="B201" s="18" t="str">
        <f t="shared" si="7"/>
        <v/>
      </c>
    </row>
    <row r="202" spans="1:2" x14ac:dyDescent="0.25">
      <c r="A202" s="15" t="str">
        <f t="shared" si="6"/>
        <v/>
      </c>
      <c r="B202" s="18" t="str">
        <f t="shared" si="7"/>
        <v/>
      </c>
    </row>
    <row r="203" spans="1:2" x14ac:dyDescent="0.25">
      <c r="A203" s="15" t="str">
        <f t="shared" si="6"/>
        <v/>
      </c>
      <c r="B203" s="18" t="str">
        <f t="shared" si="7"/>
        <v/>
      </c>
    </row>
    <row r="204" spans="1:2" x14ac:dyDescent="0.25">
      <c r="A204" s="15" t="str">
        <f t="shared" si="6"/>
        <v/>
      </c>
      <c r="B204" s="18" t="str">
        <f t="shared" si="7"/>
        <v/>
      </c>
    </row>
    <row r="205" spans="1:2" x14ac:dyDescent="0.25">
      <c r="A205" s="15" t="str">
        <f t="shared" si="6"/>
        <v/>
      </c>
      <c r="B205" s="18" t="str">
        <f t="shared" si="7"/>
        <v/>
      </c>
    </row>
    <row r="206" spans="1:2" x14ac:dyDescent="0.25">
      <c r="A206" s="15" t="str">
        <f t="shared" si="6"/>
        <v/>
      </c>
      <c r="B206" s="18" t="str">
        <f t="shared" si="7"/>
        <v/>
      </c>
    </row>
    <row r="207" spans="1:2" x14ac:dyDescent="0.25">
      <c r="A207" s="15" t="str">
        <f t="shared" si="6"/>
        <v/>
      </c>
      <c r="B207" s="18" t="str">
        <f t="shared" si="7"/>
        <v/>
      </c>
    </row>
    <row r="208" spans="1:2" x14ac:dyDescent="0.25">
      <c r="A208" s="15" t="str">
        <f t="shared" si="6"/>
        <v/>
      </c>
      <c r="B208" s="18" t="str">
        <f t="shared" si="7"/>
        <v/>
      </c>
    </row>
    <row r="209" spans="1:2" x14ac:dyDescent="0.25">
      <c r="A209" s="15" t="str">
        <f t="shared" si="6"/>
        <v/>
      </c>
      <c r="B209" s="18" t="str">
        <f t="shared" si="7"/>
        <v/>
      </c>
    </row>
    <row r="210" spans="1:2" x14ac:dyDescent="0.25">
      <c r="A210" s="15" t="str">
        <f t="shared" si="6"/>
        <v/>
      </c>
      <c r="B210" s="18" t="str">
        <f t="shared" si="7"/>
        <v/>
      </c>
    </row>
    <row r="211" spans="1:2" x14ac:dyDescent="0.25">
      <c r="A211" s="15" t="str">
        <f t="shared" si="6"/>
        <v/>
      </c>
      <c r="B211" s="18" t="str">
        <f t="shared" si="7"/>
        <v/>
      </c>
    </row>
    <row r="212" spans="1:2" x14ac:dyDescent="0.25">
      <c r="A212" s="15" t="str">
        <f t="shared" si="6"/>
        <v/>
      </c>
      <c r="B212" s="18" t="str">
        <f t="shared" si="7"/>
        <v/>
      </c>
    </row>
    <row r="213" spans="1:2" x14ac:dyDescent="0.25">
      <c r="A213" s="15" t="str">
        <f t="shared" si="6"/>
        <v/>
      </c>
      <c r="B213" s="18" t="str">
        <f t="shared" si="7"/>
        <v/>
      </c>
    </row>
    <row r="214" spans="1:2" x14ac:dyDescent="0.25">
      <c r="A214" s="15" t="str">
        <f t="shared" si="6"/>
        <v/>
      </c>
      <c r="B214" s="18" t="str">
        <f t="shared" si="7"/>
        <v/>
      </c>
    </row>
    <row r="215" spans="1:2" x14ac:dyDescent="0.25">
      <c r="A215" s="15" t="str">
        <f t="shared" si="6"/>
        <v/>
      </c>
      <c r="B215" s="18" t="str">
        <f t="shared" si="7"/>
        <v/>
      </c>
    </row>
    <row r="216" spans="1:2" x14ac:dyDescent="0.25">
      <c r="A216" s="15" t="str">
        <f t="shared" si="6"/>
        <v/>
      </c>
      <c r="B216" s="18" t="str">
        <f t="shared" si="7"/>
        <v/>
      </c>
    </row>
    <row r="217" spans="1:2" x14ac:dyDescent="0.25">
      <c r="A217" s="15" t="str">
        <f t="shared" si="6"/>
        <v/>
      </c>
      <c r="B217" s="18" t="str">
        <f t="shared" si="7"/>
        <v/>
      </c>
    </row>
    <row r="218" spans="1:2" x14ac:dyDescent="0.25">
      <c r="A218" s="15" t="str">
        <f t="shared" si="6"/>
        <v/>
      </c>
      <c r="B218" s="18" t="str">
        <f t="shared" si="7"/>
        <v/>
      </c>
    </row>
    <row r="219" spans="1:2" x14ac:dyDescent="0.25">
      <c r="A219" s="15" t="str">
        <f t="shared" si="6"/>
        <v/>
      </c>
      <c r="B219" s="18" t="str">
        <f t="shared" si="7"/>
        <v/>
      </c>
    </row>
    <row r="220" spans="1:2" x14ac:dyDescent="0.25">
      <c r="A220" s="15" t="str">
        <f t="shared" si="6"/>
        <v/>
      </c>
      <c r="B220" s="18" t="str">
        <f t="shared" si="7"/>
        <v/>
      </c>
    </row>
    <row r="221" spans="1:2" x14ac:dyDescent="0.25">
      <c r="A221" s="15" t="str">
        <f t="shared" si="6"/>
        <v/>
      </c>
      <c r="B221" s="18" t="str">
        <f t="shared" si="7"/>
        <v/>
      </c>
    </row>
    <row r="222" spans="1:2" x14ac:dyDescent="0.25">
      <c r="A222" s="15" t="str">
        <f t="shared" si="6"/>
        <v/>
      </c>
      <c r="B222" s="18" t="str">
        <f t="shared" si="7"/>
        <v/>
      </c>
    </row>
    <row r="223" spans="1:2" x14ac:dyDescent="0.25">
      <c r="A223" s="15" t="str">
        <f t="shared" si="6"/>
        <v/>
      </c>
      <c r="B223" s="18" t="str">
        <f t="shared" si="7"/>
        <v/>
      </c>
    </row>
    <row r="224" spans="1:2" x14ac:dyDescent="0.25">
      <c r="A224" s="15" t="str">
        <f t="shared" si="6"/>
        <v/>
      </c>
      <c r="B224" s="18" t="str">
        <f t="shared" si="7"/>
        <v/>
      </c>
    </row>
    <row r="225" spans="1:2" x14ac:dyDescent="0.25">
      <c r="A225" s="15" t="str">
        <f t="shared" si="6"/>
        <v/>
      </c>
      <c r="B225" s="18" t="str">
        <f t="shared" si="7"/>
        <v/>
      </c>
    </row>
    <row r="226" spans="1:2" x14ac:dyDescent="0.25">
      <c r="A226" s="15" t="str">
        <f t="shared" si="6"/>
        <v/>
      </c>
      <c r="B226" s="18" t="str">
        <f t="shared" si="7"/>
        <v/>
      </c>
    </row>
    <row r="227" spans="1:2" x14ac:dyDescent="0.25">
      <c r="A227" s="15" t="str">
        <f t="shared" si="6"/>
        <v/>
      </c>
      <c r="B227" s="18" t="str">
        <f t="shared" si="7"/>
        <v/>
      </c>
    </row>
    <row r="228" spans="1:2" x14ac:dyDescent="0.25">
      <c r="A228" s="15" t="str">
        <f t="shared" si="6"/>
        <v/>
      </c>
      <c r="B228" s="18" t="str">
        <f t="shared" si="7"/>
        <v/>
      </c>
    </row>
    <row r="229" spans="1:2" x14ac:dyDescent="0.25">
      <c r="A229" s="15" t="str">
        <f t="shared" si="6"/>
        <v/>
      </c>
      <c r="B229" s="18" t="str">
        <f t="shared" si="7"/>
        <v/>
      </c>
    </row>
    <row r="230" spans="1:2" x14ac:dyDescent="0.25">
      <c r="A230" s="15" t="str">
        <f t="shared" si="6"/>
        <v/>
      </c>
      <c r="B230" s="18" t="str">
        <f t="shared" si="7"/>
        <v/>
      </c>
    </row>
    <row r="231" spans="1:2" x14ac:dyDescent="0.25">
      <c r="A231" s="15" t="str">
        <f t="shared" si="6"/>
        <v/>
      </c>
      <c r="B231" s="18" t="str">
        <f t="shared" si="7"/>
        <v/>
      </c>
    </row>
    <row r="232" spans="1:2" x14ac:dyDescent="0.25">
      <c r="A232" s="15" t="str">
        <f t="shared" si="6"/>
        <v/>
      </c>
      <c r="B232" s="18" t="str">
        <f t="shared" si="7"/>
        <v/>
      </c>
    </row>
    <row r="233" spans="1:2" x14ac:dyDescent="0.25">
      <c r="A233" s="15" t="str">
        <f t="shared" si="6"/>
        <v/>
      </c>
      <c r="B233" s="18" t="str">
        <f t="shared" si="7"/>
        <v/>
      </c>
    </row>
    <row r="234" spans="1:2" x14ac:dyDescent="0.25">
      <c r="A234" s="15" t="str">
        <f t="shared" si="6"/>
        <v/>
      </c>
      <c r="B234" s="18" t="str">
        <f t="shared" si="7"/>
        <v/>
      </c>
    </row>
    <row r="235" spans="1:2" x14ac:dyDescent="0.25">
      <c r="A235" s="15" t="str">
        <f t="shared" si="6"/>
        <v/>
      </c>
      <c r="B235" s="18" t="str">
        <f t="shared" si="7"/>
        <v/>
      </c>
    </row>
    <row r="236" spans="1:2" x14ac:dyDescent="0.25">
      <c r="A236" s="15" t="str">
        <f t="shared" si="6"/>
        <v/>
      </c>
      <c r="B236" s="18" t="str">
        <f t="shared" si="7"/>
        <v/>
      </c>
    </row>
    <row r="237" spans="1:2" x14ac:dyDescent="0.25">
      <c r="A237" s="15" t="str">
        <f t="shared" si="6"/>
        <v/>
      </c>
      <c r="B237" s="18" t="str">
        <f t="shared" si="7"/>
        <v/>
      </c>
    </row>
    <row r="238" spans="1:2" x14ac:dyDescent="0.25">
      <c r="A238" s="15" t="str">
        <f t="shared" si="6"/>
        <v/>
      </c>
      <c r="B238" s="18" t="str">
        <f t="shared" si="7"/>
        <v/>
      </c>
    </row>
    <row r="239" spans="1:2" x14ac:dyDescent="0.25">
      <c r="A239" s="15" t="str">
        <f t="shared" si="6"/>
        <v/>
      </c>
      <c r="B239" s="18" t="str">
        <f t="shared" si="7"/>
        <v/>
      </c>
    </row>
    <row r="240" spans="1:2" x14ac:dyDescent="0.25">
      <c r="A240" s="15" t="str">
        <f t="shared" si="6"/>
        <v/>
      </c>
      <c r="B240" s="18" t="str">
        <f t="shared" si="7"/>
        <v/>
      </c>
    </row>
    <row r="241" spans="1:2" x14ac:dyDescent="0.25">
      <c r="A241" s="15" t="str">
        <f t="shared" si="6"/>
        <v/>
      </c>
      <c r="B241" s="18" t="str">
        <f t="shared" si="7"/>
        <v/>
      </c>
    </row>
    <row r="242" spans="1:2" x14ac:dyDescent="0.25">
      <c r="A242" s="15" t="str">
        <f t="shared" si="6"/>
        <v/>
      </c>
      <c r="B242" s="18" t="str">
        <f t="shared" si="7"/>
        <v/>
      </c>
    </row>
    <row r="243" spans="1:2" x14ac:dyDescent="0.25">
      <c r="A243" s="15" t="str">
        <f t="shared" si="6"/>
        <v/>
      </c>
      <c r="B243" s="18" t="str">
        <f t="shared" si="7"/>
        <v/>
      </c>
    </row>
    <row r="244" spans="1:2" x14ac:dyDescent="0.25">
      <c r="A244" s="15" t="str">
        <f t="shared" si="6"/>
        <v/>
      </c>
      <c r="B244" s="18" t="str">
        <f t="shared" si="7"/>
        <v/>
      </c>
    </row>
    <row r="245" spans="1:2" x14ac:dyDescent="0.25">
      <c r="A245" s="15" t="str">
        <f t="shared" si="6"/>
        <v/>
      </c>
      <c r="B245" s="18" t="str">
        <f t="shared" si="7"/>
        <v/>
      </c>
    </row>
    <row r="246" spans="1:2" x14ac:dyDescent="0.25">
      <c r="A246" s="15" t="str">
        <f t="shared" si="6"/>
        <v/>
      </c>
      <c r="B246" s="18" t="str">
        <f t="shared" si="7"/>
        <v/>
      </c>
    </row>
    <row r="247" spans="1:2" x14ac:dyDescent="0.25">
      <c r="A247" s="15" t="str">
        <f t="shared" si="6"/>
        <v/>
      </c>
      <c r="B247" s="18" t="str">
        <f t="shared" si="7"/>
        <v/>
      </c>
    </row>
    <row r="248" spans="1:2" x14ac:dyDescent="0.25">
      <c r="A248" s="15" t="str">
        <f t="shared" si="6"/>
        <v/>
      </c>
      <c r="B248" s="18" t="str">
        <f t="shared" si="7"/>
        <v/>
      </c>
    </row>
    <row r="249" spans="1:2" x14ac:dyDescent="0.25">
      <c r="A249" s="15" t="str">
        <f t="shared" si="6"/>
        <v/>
      </c>
      <c r="B249" s="18" t="str">
        <f t="shared" si="7"/>
        <v/>
      </c>
    </row>
    <row r="250" spans="1:2" x14ac:dyDescent="0.25">
      <c r="A250" s="15" t="str">
        <f t="shared" si="6"/>
        <v/>
      </c>
      <c r="B250" s="18" t="str">
        <f t="shared" si="7"/>
        <v/>
      </c>
    </row>
    <row r="251" spans="1:2" x14ac:dyDescent="0.25">
      <c r="A251" s="15" t="str">
        <f t="shared" si="6"/>
        <v/>
      </c>
      <c r="B251" s="18" t="str">
        <f t="shared" si="7"/>
        <v/>
      </c>
    </row>
    <row r="252" spans="1:2" x14ac:dyDescent="0.25">
      <c r="A252" s="15" t="str">
        <f t="shared" si="6"/>
        <v/>
      </c>
      <c r="B252" s="18" t="str">
        <f t="shared" si="7"/>
        <v/>
      </c>
    </row>
    <row r="253" spans="1:2" x14ac:dyDescent="0.25">
      <c r="A253" s="15" t="str">
        <f t="shared" si="6"/>
        <v/>
      </c>
      <c r="B253" s="18" t="str">
        <f t="shared" si="7"/>
        <v/>
      </c>
    </row>
    <row r="254" spans="1:2" x14ac:dyDescent="0.25">
      <c r="A254" s="15" t="str">
        <f t="shared" si="6"/>
        <v/>
      </c>
      <c r="B254" s="18" t="str">
        <f t="shared" si="7"/>
        <v/>
      </c>
    </row>
    <row r="255" spans="1:2" x14ac:dyDescent="0.25">
      <c r="A255" s="15" t="str">
        <f t="shared" si="6"/>
        <v/>
      </c>
      <c r="B255" s="18" t="str">
        <f t="shared" si="7"/>
        <v/>
      </c>
    </row>
    <row r="256" spans="1:2" x14ac:dyDescent="0.25">
      <c r="A256" s="15" t="str">
        <f t="shared" si="6"/>
        <v/>
      </c>
      <c r="B256" s="18" t="str">
        <f t="shared" si="7"/>
        <v/>
      </c>
    </row>
    <row r="257" spans="1:2" x14ac:dyDescent="0.25">
      <c r="A257" s="15" t="str">
        <f t="shared" si="6"/>
        <v/>
      </c>
      <c r="B257" s="18" t="str">
        <f t="shared" si="7"/>
        <v/>
      </c>
    </row>
    <row r="258" spans="1:2" x14ac:dyDescent="0.25">
      <c r="A258" s="15" t="str">
        <f t="shared" ref="A258:A321" si="8">B258&amp;C258</f>
        <v/>
      </c>
      <c r="B258" s="18" t="str">
        <f t="shared" si="7"/>
        <v/>
      </c>
    </row>
    <row r="259" spans="1:2" x14ac:dyDescent="0.25">
      <c r="A259" s="15" t="str">
        <f t="shared" si="8"/>
        <v/>
      </c>
      <c r="B259" s="18" t="str">
        <f t="shared" ref="B259:B322" si="9">IF(C259="","",B258)</f>
        <v/>
      </c>
    </row>
    <row r="260" spans="1:2" x14ac:dyDescent="0.25">
      <c r="A260" s="15" t="str">
        <f t="shared" si="8"/>
        <v/>
      </c>
      <c r="B260" s="18" t="str">
        <f t="shared" si="9"/>
        <v/>
      </c>
    </row>
    <row r="261" spans="1:2" x14ac:dyDescent="0.25">
      <c r="A261" s="15" t="str">
        <f t="shared" si="8"/>
        <v/>
      </c>
      <c r="B261" s="18" t="str">
        <f t="shared" si="9"/>
        <v/>
      </c>
    </row>
    <row r="262" spans="1:2" x14ac:dyDescent="0.25">
      <c r="A262" s="15" t="str">
        <f t="shared" si="8"/>
        <v/>
      </c>
      <c r="B262" s="18" t="str">
        <f t="shared" si="9"/>
        <v/>
      </c>
    </row>
    <row r="263" spans="1:2" x14ac:dyDescent="0.25">
      <c r="A263" s="15" t="str">
        <f t="shared" si="8"/>
        <v/>
      </c>
      <c r="B263" s="18" t="str">
        <f t="shared" si="9"/>
        <v/>
      </c>
    </row>
    <row r="264" spans="1:2" x14ac:dyDescent="0.25">
      <c r="A264" s="15" t="str">
        <f t="shared" si="8"/>
        <v/>
      </c>
      <c r="B264" s="18" t="str">
        <f t="shared" si="9"/>
        <v/>
      </c>
    </row>
    <row r="265" spans="1:2" x14ac:dyDescent="0.25">
      <c r="A265" s="15" t="str">
        <f t="shared" si="8"/>
        <v/>
      </c>
      <c r="B265" s="18" t="str">
        <f t="shared" si="9"/>
        <v/>
      </c>
    </row>
    <row r="266" spans="1:2" x14ac:dyDescent="0.25">
      <c r="A266" s="15" t="str">
        <f t="shared" si="8"/>
        <v/>
      </c>
      <c r="B266" s="18" t="str">
        <f t="shared" si="9"/>
        <v/>
      </c>
    </row>
    <row r="267" spans="1:2" x14ac:dyDescent="0.25">
      <c r="A267" s="15" t="str">
        <f t="shared" si="8"/>
        <v/>
      </c>
      <c r="B267" s="18" t="str">
        <f t="shared" si="9"/>
        <v/>
      </c>
    </row>
    <row r="268" spans="1:2" x14ac:dyDescent="0.25">
      <c r="A268" s="15" t="str">
        <f t="shared" si="8"/>
        <v/>
      </c>
      <c r="B268" s="18" t="str">
        <f t="shared" si="9"/>
        <v/>
      </c>
    </row>
    <row r="269" spans="1:2" x14ac:dyDescent="0.25">
      <c r="A269" s="15" t="str">
        <f t="shared" si="8"/>
        <v/>
      </c>
      <c r="B269" s="18" t="str">
        <f t="shared" si="9"/>
        <v/>
      </c>
    </row>
    <row r="270" spans="1:2" x14ac:dyDescent="0.25">
      <c r="A270" s="15" t="str">
        <f t="shared" si="8"/>
        <v/>
      </c>
      <c r="B270" s="18" t="str">
        <f t="shared" si="9"/>
        <v/>
      </c>
    </row>
    <row r="271" spans="1:2" x14ac:dyDescent="0.25">
      <c r="A271" s="15" t="str">
        <f t="shared" si="8"/>
        <v/>
      </c>
      <c r="B271" s="18" t="str">
        <f t="shared" si="9"/>
        <v/>
      </c>
    </row>
    <row r="272" spans="1:2" x14ac:dyDescent="0.25">
      <c r="A272" s="15" t="str">
        <f t="shared" si="8"/>
        <v/>
      </c>
      <c r="B272" s="18" t="str">
        <f t="shared" si="9"/>
        <v/>
      </c>
    </row>
    <row r="273" spans="1:2" x14ac:dyDescent="0.25">
      <c r="A273" s="15" t="str">
        <f t="shared" si="8"/>
        <v/>
      </c>
      <c r="B273" s="18" t="str">
        <f t="shared" si="9"/>
        <v/>
      </c>
    </row>
    <row r="274" spans="1:2" x14ac:dyDescent="0.25">
      <c r="A274" s="15" t="str">
        <f t="shared" si="8"/>
        <v/>
      </c>
      <c r="B274" s="18" t="str">
        <f t="shared" si="9"/>
        <v/>
      </c>
    </row>
    <row r="275" spans="1:2" x14ac:dyDescent="0.25">
      <c r="A275" s="15" t="str">
        <f t="shared" si="8"/>
        <v/>
      </c>
      <c r="B275" s="18" t="str">
        <f t="shared" si="9"/>
        <v/>
      </c>
    </row>
    <row r="276" spans="1:2" x14ac:dyDescent="0.25">
      <c r="A276" s="15" t="str">
        <f t="shared" si="8"/>
        <v/>
      </c>
      <c r="B276" s="18" t="str">
        <f t="shared" si="9"/>
        <v/>
      </c>
    </row>
    <row r="277" spans="1:2" x14ac:dyDescent="0.25">
      <c r="A277" s="15" t="str">
        <f t="shared" si="8"/>
        <v/>
      </c>
      <c r="B277" s="18" t="str">
        <f t="shared" si="9"/>
        <v/>
      </c>
    </row>
    <row r="278" spans="1:2" x14ac:dyDescent="0.25">
      <c r="A278" s="15" t="str">
        <f t="shared" si="8"/>
        <v/>
      </c>
      <c r="B278" s="18" t="str">
        <f t="shared" si="9"/>
        <v/>
      </c>
    </row>
    <row r="279" spans="1:2" x14ac:dyDescent="0.25">
      <c r="A279" s="15" t="str">
        <f t="shared" si="8"/>
        <v/>
      </c>
      <c r="B279" s="18" t="str">
        <f t="shared" si="9"/>
        <v/>
      </c>
    </row>
    <row r="280" spans="1:2" x14ac:dyDescent="0.25">
      <c r="A280" s="15" t="str">
        <f t="shared" si="8"/>
        <v/>
      </c>
      <c r="B280" s="18" t="str">
        <f t="shared" si="9"/>
        <v/>
      </c>
    </row>
    <row r="281" spans="1:2" x14ac:dyDescent="0.25">
      <c r="A281" s="15" t="str">
        <f t="shared" si="8"/>
        <v/>
      </c>
      <c r="B281" s="18" t="str">
        <f t="shared" si="9"/>
        <v/>
      </c>
    </row>
    <row r="282" spans="1:2" x14ac:dyDescent="0.25">
      <c r="A282" s="15" t="str">
        <f t="shared" si="8"/>
        <v/>
      </c>
      <c r="B282" s="18" t="str">
        <f t="shared" si="9"/>
        <v/>
      </c>
    </row>
    <row r="283" spans="1:2" x14ac:dyDescent="0.25">
      <c r="A283" s="15" t="str">
        <f t="shared" si="8"/>
        <v/>
      </c>
      <c r="B283" s="18" t="str">
        <f t="shared" si="9"/>
        <v/>
      </c>
    </row>
    <row r="284" spans="1:2" x14ac:dyDescent="0.25">
      <c r="A284" s="15" t="str">
        <f t="shared" si="8"/>
        <v/>
      </c>
      <c r="B284" s="18" t="str">
        <f t="shared" si="9"/>
        <v/>
      </c>
    </row>
    <row r="285" spans="1:2" x14ac:dyDescent="0.25">
      <c r="A285" s="15" t="str">
        <f t="shared" si="8"/>
        <v/>
      </c>
      <c r="B285" s="18" t="str">
        <f t="shared" si="9"/>
        <v/>
      </c>
    </row>
    <row r="286" spans="1:2" x14ac:dyDescent="0.25">
      <c r="A286" s="15" t="str">
        <f t="shared" si="8"/>
        <v/>
      </c>
      <c r="B286" s="18" t="str">
        <f t="shared" si="9"/>
        <v/>
      </c>
    </row>
    <row r="287" spans="1:2" x14ac:dyDescent="0.25">
      <c r="A287" s="15" t="str">
        <f t="shared" si="8"/>
        <v/>
      </c>
      <c r="B287" s="18" t="str">
        <f t="shared" si="9"/>
        <v/>
      </c>
    </row>
    <row r="288" spans="1:2" x14ac:dyDescent="0.25">
      <c r="A288" s="15" t="str">
        <f t="shared" si="8"/>
        <v/>
      </c>
      <c r="B288" s="18" t="str">
        <f t="shared" si="9"/>
        <v/>
      </c>
    </row>
    <row r="289" spans="1:2" x14ac:dyDescent="0.25">
      <c r="A289" s="15" t="str">
        <f t="shared" si="8"/>
        <v/>
      </c>
      <c r="B289" s="18" t="str">
        <f t="shared" si="9"/>
        <v/>
      </c>
    </row>
    <row r="290" spans="1:2" x14ac:dyDescent="0.25">
      <c r="A290" s="15" t="str">
        <f t="shared" si="8"/>
        <v/>
      </c>
      <c r="B290" s="18" t="str">
        <f t="shared" si="9"/>
        <v/>
      </c>
    </row>
    <row r="291" spans="1:2" x14ac:dyDescent="0.25">
      <c r="A291" s="15" t="str">
        <f t="shared" si="8"/>
        <v/>
      </c>
      <c r="B291" s="18" t="str">
        <f t="shared" si="9"/>
        <v/>
      </c>
    </row>
    <row r="292" spans="1:2" x14ac:dyDescent="0.25">
      <c r="A292" s="15" t="str">
        <f t="shared" si="8"/>
        <v/>
      </c>
      <c r="B292" s="18" t="str">
        <f t="shared" si="9"/>
        <v/>
      </c>
    </row>
    <row r="293" spans="1:2" x14ac:dyDescent="0.25">
      <c r="A293" s="15" t="str">
        <f t="shared" si="8"/>
        <v/>
      </c>
      <c r="B293" s="18" t="str">
        <f t="shared" si="9"/>
        <v/>
      </c>
    </row>
    <row r="294" spans="1:2" x14ac:dyDescent="0.25">
      <c r="A294" s="15" t="str">
        <f t="shared" si="8"/>
        <v/>
      </c>
      <c r="B294" s="18" t="str">
        <f t="shared" si="9"/>
        <v/>
      </c>
    </row>
    <row r="295" spans="1:2" x14ac:dyDescent="0.25">
      <c r="A295" s="15" t="str">
        <f t="shared" si="8"/>
        <v/>
      </c>
      <c r="B295" s="18" t="str">
        <f t="shared" si="9"/>
        <v/>
      </c>
    </row>
    <row r="296" spans="1:2" x14ac:dyDescent="0.25">
      <c r="A296" s="15" t="str">
        <f t="shared" si="8"/>
        <v/>
      </c>
      <c r="B296" s="18" t="str">
        <f t="shared" si="9"/>
        <v/>
      </c>
    </row>
    <row r="297" spans="1:2" x14ac:dyDescent="0.25">
      <c r="A297" s="15" t="str">
        <f t="shared" si="8"/>
        <v/>
      </c>
      <c r="B297" s="18" t="str">
        <f t="shared" si="9"/>
        <v/>
      </c>
    </row>
    <row r="298" spans="1:2" x14ac:dyDescent="0.25">
      <c r="A298" s="15" t="str">
        <f t="shared" si="8"/>
        <v/>
      </c>
      <c r="B298" s="18" t="str">
        <f t="shared" si="9"/>
        <v/>
      </c>
    </row>
    <row r="299" spans="1:2" x14ac:dyDescent="0.25">
      <c r="A299" s="15" t="str">
        <f t="shared" si="8"/>
        <v/>
      </c>
      <c r="B299" s="18" t="str">
        <f t="shared" si="9"/>
        <v/>
      </c>
    </row>
    <row r="300" spans="1:2" x14ac:dyDescent="0.25">
      <c r="A300" s="15" t="str">
        <f t="shared" si="8"/>
        <v/>
      </c>
      <c r="B300" s="18" t="str">
        <f t="shared" si="9"/>
        <v/>
      </c>
    </row>
    <row r="301" spans="1:2" x14ac:dyDescent="0.25">
      <c r="A301" s="15" t="str">
        <f t="shared" si="8"/>
        <v/>
      </c>
      <c r="B301" s="18" t="str">
        <f t="shared" si="9"/>
        <v/>
      </c>
    </row>
    <row r="302" spans="1:2" x14ac:dyDescent="0.25">
      <c r="A302" s="15" t="str">
        <f t="shared" si="8"/>
        <v/>
      </c>
      <c r="B302" s="18" t="str">
        <f t="shared" si="9"/>
        <v/>
      </c>
    </row>
    <row r="303" spans="1:2" x14ac:dyDescent="0.25">
      <c r="A303" s="15" t="str">
        <f t="shared" si="8"/>
        <v/>
      </c>
      <c r="B303" s="18" t="str">
        <f t="shared" si="9"/>
        <v/>
      </c>
    </row>
    <row r="304" spans="1:2" x14ac:dyDescent="0.25">
      <c r="A304" s="15" t="str">
        <f t="shared" si="8"/>
        <v/>
      </c>
      <c r="B304" s="18" t="str">
        <f t="shared" si="9"/>
        <v/>
      </c>
    </row>
    <row r="305" spans="1:2" x14ac:dyDescent="0.25">
      <c r="A305" s="15" t="str">
        <f t="shared" si="8"/>
        <v/>
      </c>
      <c r="B305" s="18" t="str">
        <f t="shared" si="9"/>
        <v/>
      </c>
    </row>
    <row r="306" spans="1:2" x14ac:dyDescent="0.25">
      <c r="A306" s="15" t="str">
        <f t="shared" si="8"/>
        <v/>
      </c>
      <c r="B306" s="18" t="str">
        <f t="shared" si="9"/>
        <v/>
      </c>
    </row>
    <row r="307" spans="1:2" x14ac:dyDescent="0.25">
      <c r="A307" s="15" t="str">
        <f t="shared" si="8"/>
        <v/>
      </c>
      <c r="B307" s="18" t="str">
        <f t="shared" si="9"/>
        <v/>
      </c>
    </row>
    <row r="308" spans="1:2" x14ac:dyDescent="0.25">
      <c r="A308" s="15" t="str">
        <f t="shared" si="8"/>
        <v/>
      </c>
      <c r="B308" s="18" t="str">
        <f t="shared" si="9"/>
        <v/>
      </c>
    </row>
    <row r="309" spans="1:2" x14ac:dyDescent="0.25">
      <c r="A309" s="15" t="str">
        <f t="shared" si="8"/>
        <v/>
      </c>
      <c r="B309" s="18" t="str">
        <f t="shared" si="9"/>
        <v/>
      </c>
    </row>
    <row r="310" spans="1:2" x14ac:dyDescent="0.25">
      <c r="A310" s="15" t="str">
        <f t="shared" si="8"/>
        <v/>
      </c>
      <c r="B310" s="18" t="str">
        <f t="shared" si="9"/>
        <v/>
      </c>
    </row>
    <row r="311" spans="1:2" x14ac:dyDescent="0.25">
      <c r="A311" s="15" t="str">
        <f t="shared" si="8"/>
        <v/>
      </c>
      <c r="B311" s="18" t="str">
        <f t="shared" si="9"/>
        <v/>
      </c>
    </row>
    <row r="312" spans="1:2" x14ac:dyDescent="0.25">
      <c r="A312" s="15" t="str">
        <f t="shared" si="8"/>
        <v/>
      </c>
      <c r="B312" s="18" t="str">
        <f t="shared" si="9"/>
        <v/>
      </c>
    </row>
    <row r="313" spans="1:2" x14ac:dyDescent="0.25">
      <c r="A313" s="15" t="str">
        <f t="shared" si="8"/>
        <v/>
      </c>
      <c r="B313" s="18" t="str">
        <f t="shared" si="9"/>
        <v/>
      </c>
    </row>
    <row r="314" spans="1:2" x14ac:dyDescent="0.25">
      <c r="A314" s="15" t="str">
        <f t="shared" si="8"/>
        <v/>
      </c>
      <c r="B314" s="18" t="str">
        <f t="shared" si="9"/>
        <v/>
      </c>
    </row>
    <row r="315" spans="1:2" x14ac:dyDescent="0.25">
      <c r="A315" s="15" t="str">
        <f t="shared" si="8"/>
        <v/>
      </c>
      <c r="B315" s="18" t="str">
        <f t="shared" si="9"/>
        <v/>
      </c>
    </row>
    <row r="316" spans="1:2" x14ac:dyDescent="0.25">
      <c r="A316" s="15" t="str">
        <f t="shared" si="8"/>
        <v/>
      </c>
      <c r="B316" s="18" t="str">
        <f t="shared" si="9"/>
        <v/>
      </c>
    </row>
    <row r="317" spans="1:2" x14ac:dyDescent="0.25">
      <c r="A317" s="15" t="str">
        <f t="shared" si="8"/>
        <v/>
      </c>
      <c r="B317" s="18" t="str">
        <f t="shared" si="9"/>
        <v/>
      </c>
    </row>
    <row r="318" spans="1:2" x14ac:dyDescent="0.25">
      <c r="A318" s="15" t="str">
        <f t="shared" si="8"/>
        <v/>
      </c>
      <c r="B318" s="18" t="str">
        <f t="shared" si="9"/>
        <v/>
      </c>
    </row>
    <row r="319" spans="1:2" x14ac:dyDescent="0.25">
      <c r="A319" s="15" t="str">
        <f t="shared" si="8"/>
        <v/>
      </c>
      <c r="B319" s="18" t="str">
        <f t="shared" si="9"/>
        <v/>
      </c>
    </row>
    <row r="320" spans="1:2" x14ac:dyDescent="0.25">
      <c r="A320" s="15" t="str">
        <f t="shared" si="8"/>
        <v/>
      </c>
      <c r="B320" s="18" t="str">
        <f t="shared" si="9"/>
        <v/>
      </c>
    </row>
    <row r="321" spans="1:2" x14ac:dyDescent="0.25">
      <c r="A321" s="15" t="str">
        <f t="shared" si="8"/>
        <v/>
      </c>
      <c r="B321" s="18" t="str">
        <f t="shared" si="9"/>
        <v/>
      </c>
    </row>
    <row r="322" spans="1:2" x14ac:dyDescent="0.25">
      <c r="A322" s="15" t="str">
        <f t="shared" ref="A322:A385" si="10">B322&amp;C322</f>
        <v/>
      </c>
      <c r="B322" s="18" t="str">
        <f t="shared" si="9"/>
        <v/>
      </c>
    </row>
    <row r="323" spans="1:2" x14ac:dyDescent="0.25">
      <c r="A323" s="15" t="str">
        <f t="shared" si="10"/>
        <v/>
      </c>
      <c r="B323" s="18" t="str">
        <f t="shared" ref="B323:B386" si="11">IF(C323="","",B322)</f>
        <v/>
      </c>
    </row>
    <row r="324" spans="1:2" x14ac:dyDescent="0.25">
      <c r="A324" s="15" t="str">
        <f t="shared" si="10"/>
        <v/>
      </c>
      <c r="B324" s="18" t="str">
        <f t="shared" si="11"/>
        <v/>
      </c>
    </row>
    <row r="325" spans="1:2" x14ac:dyDescent="0.25">
      <c r="A325" s="15" t="str">
        <f t="shared" si="10"/>
        <v/>
      </c>
      <c r="B325" s="18" t="str">
        <f t="shared" si="11"/>
        <v/>
      </c>
    </row>
    <row r="326" spans="1:2" x14ac:dyDescent="0.25">
      <c r="A326" s="15" t="str">
        <f t="shared" si="10"/>
        <v/>
      </c>
      <c r="B326" s="18" t="str">
        <f t="shared" si="11"/>
        <v/>
      </c>
    </row>
    <row r="327" spans="1:2" x14ac:dyDescent="0.25">
      <c r="A327" s="15" t="str">
        <f t="shared" si="10"/>
        <v/>
      </c>
      <c r="B327" s="18" t="str">
        <f t="shared" si="11"/>
        <v/>
      </c>
    </row>
    <row r="328" spans="1:2" x14ac:dyDescent="0.25">
      <c r="A328" s="15" t="str">
        <f t="shared" si="10"/>
        <v/>
      </c>
      <c r="B328" s="18" t="str">
        <f t="shared" si="11"/>
        <v/>
      </c>
    </row>
    <row r="329" spans="1:2" x14ac:dyDescent="0.25">
      <c r="A329" s="15" t="str">
        <f t="shared" si="10"/>
        <v/>
      </c>
      <c r="B329" s="18" t="str">
        <f t="shared" si="11"/>
        <v/>
      </c>
    </row>
    <row r="330" spans="1:2" x14ac:dyDescent="0.25">
      <c r="A330" s="15" t="str">
        <f t="shared" si="10"/>
        <v/>
      </c>
      <c r="B330" s="18" t="str">
        <f t="shared" si="11"/>
        <v/>
      </c>
    </row>
    <row r="331" spans="1:2" x14ac:dyDescent="0.25">
      <c r="A331" s="15" t="str">
        <f t="shared" si="10"/>
        <v/>
      </c>
      <c r="B331" s="18" t="str">
        <f t="shared" si="11"/>
        <v/>
      </c>
    </row>
    <row r="332" spans="1:2" x14ac:dyDescent="0.25">
      <c r="A332" s="15" t="str">
        <f t="shared" si="10"/>
        <v/>
      </c>
      <c r="B332" s="18" t="str">
        <f t="shared" si="11"/>
        <v/>
      </c>
    </row>
    <row r="333" spans="1:2" x14ac:dyDescent="0.25">
      <c r="A333" s="15" t="str">
        <f t="shared" si="10"/>
        <v/>
      </c>
      <c r="B333" s="18" t="str">
        <f t="shared" si="11"/>
        <v/>
      </c>
    </row>
    <row r="334" spans="1:2" x14ac:dyDescent="0.25">
      <c r="A334" s="15" t="str">
        <f t="shared" si="10"/>
        <v/>
      </c>
      <c r="B334" s="18" t="str">
        <f t="shared" si="11"/>
        <v/>
      </c>
    </row>
    <row r="335" spans="1:2" x14ac:dyDescent="0.25">
      <c r="A335" s="15" t="str">
        <f t="shared" si="10"/>
        <v/>
      </c>
      <c r="B335" s="18" t="str">
        <f t="shared" si="11"/>
        <v/>
      </c>
    </row>
    <row r="336" spans="1:2" x14ac:dyDescent="0.25">
      <c r="A336" s="15" t="str">
        <f t="shared" si="10"/>
        <v/>
      </c>
      <c r="B336" s="18" t="str">
        <f t="shared" si="11"/>
        <v/>
      </c>
    </row>
    <row r="337" spans="1:2" x14ac:dyDescent="0.25">
      <c r="A337" s="15" t="str">
        <f t="shared" si="10"/>
        <v/>
      </c>
      <c r="B337" s="18" t="str">
        <f t="shared" si="11"/>
        <v/>
      </c>
    </row>
    <row r="338" spans="1:2" x14ac:dyDescent="0.25">
      <c r="A338" s="15" t="str">
        <f t="shared" si="10"/>
        <v/>
      </c>
      <c r="B338" s="18" t="str">
        <f t="shared" si="11"/>
        <v/>
      </c>
    </row>
    <row r="339" spans="1:2" x14ac:dyDescent="0.25">
      <c r="A339" s="15" t="str">
        <f t="shared" si="10"/>
        <v/>
      </c>
      <c r="B339" s="18" t="str">
        <f t="shared" si="11"/>
        <v/>
      </c>
    </row>
    <row r="340" spans="1:2" x14ac:dyDescent="0.25">
      <c r="A340" s="15" t="str">
        <f t="shared" si="10"/>
        <v/>
      </c>
      <c r="B340" s="18" t="str">
        <f t="shared" si="11"/>
        <v/>
      </c>
    </row>
    <row r="341" spans="1:2" x14ac:dyDescent="0.25">
      <c r="A341" s="15" t="str">
        <f t="shared" si="10"/>
        <v/>
      </c>
      <c r="B341" s="18" t="str">
        <f t="shared" si="11"/>
        <v/>
      </c>
    </row>
    <row r="342" spans="1:2" x14ac:dyDescent="0.25">
      <c r="A342" s="15" t="str">
        <f t="shared" si="10"/>
        <v/>
      </c>
      <c r="B342" s="18" t="str">
        <f t="shared" si="11"/>
        <v/>
      </c>
    </row>
    <row r="343" spans="1:2" x14ac:dyDescent="0.25">
      <c r="A343" s="15" t="str">
        <f t="shared" si="10"/>
        <v/>
      </c>
      <c r="B343" s="18" t="str">
        <f t="shared" si="11"/>
        <v/>
      </c>
    </row>
    <row r="344" spans="1:2" x14ac:dyDescent="0.25">
      <c r="A344" s="15" t="str">
        <f t="shared" si="10"/>
        <v/>
      </c>
      <c r="B344" s="18" t="str">
        <f t="shared" si="11"/>
        <v/>
      </c>
    </row>
    <row r="345" spans="1:2" x14ac:dyDescent="0.25">
      <c r="A345" s="15" t="str">
        <f t="shared" si="10"/>
        <v/>
      </c>
      <c r="B345" s="18" t="str">
        <f t="shared" si="11"/>
        <v/>
      </c>
    </row>
    <row r="346" spans="1:2" x14ac:dyDescent="0.25">
      <c r="A346" s="15" t="str">
        <f t="shared" si="10"/>
        <v/>
      </c>
      <c r="B346" s="18" t="str">
        <f t="shared" si="11"/>
        <v/>
      </c>
    </row>
    <row r="347" spans="1:2" x14ac:dyDescent="0.25">
      <c r="A347" s="15" t="str">
        <f t="shared" si="10"/>
        <v/>
      </c>
      <c r="B347" s="18" t="str">
        <f t="shared" si="11"/>
        <v/>
      </c>
    </row>
    <row r="348" spans="1:2" x14ac:dyDescent="0.25">
      <c r="A348" s="15" t="str">
        <f t="shared" si="10"/>
        <v/>
      </c>
      <c r="B348" s="18" t="str">
        <f t="shared" si="11"/>
        <v/>
      </c>
    </row>
    <row r="349" spans="1:2" x14ac:dyDescent="0.25">
      <c r="A349" s="15" t="str">
        <f t="shared" si="10"/>
        <v/>
      </c>
      <c r="B349" s="18" t="str">
        <f t="shared" si="11"/>
        <v/>
      </c>
    </row>
    <row r="350" spans="1:2" x14ac:dyDescent="0.25">
      <c r="A350" s="15" t="str">
        <f t="shared" si="10"/>
        <v/>
      </c>
      <c r="B350" s="18" t="str">
        <f t="shared" si="11"/>
        <v/>
      </c>
    </row>
    <row r="351" spans="1:2" x14ac:dyDescent="0.25">
      <c r="A351" s="15" t="str">
        <f t="shared" si="10"/>
        <v/>
      </c>
      <c r="B351" s="18" t="str">
        <f t="shared" si="11"/>
        <v/>
      </c>
    </row>
    <row r="352" spans="1:2" x14ac:dyDescent="0.25">
      <c r="A352" s="15" t="str">
        <f t="shared" si="10"/>
        <v/>
      </c>
      <c r="B352" s="18" t="str">
        <f t="shared" si="11"/>
        <v/>
      </c>
    </row>
    <row r="353" spans="1:2" x14ac:dyDescent="0.25">
      <c r="A353" s="15" t="str">
        <f t="shared" si="10"/>
        <v/>
      </c>
      <c r="B353" s="18" t="str">
        <f t="shared" si="11"/>
        <v/>
      </c>
    </row>
    <row r="354" spans="1:2" x14ac:dyDescent="0.25">
      <c r="A354" s="15" t="str">
        <f t="shared" si="10"/>
        <v/>
      </c>
      <c r="B354" s="18" t="str">
        <f t="shared" si="11"/>
        <v/>
      </c>
    </row>
    <row r="355" spans="1:2" x14ac:dyDescent="0.25">
      <c r="A355" s="15" t="str">
        <f t="shared" si="10"/>
        <v/>
      </c>
      <c r="B355" s="18" t="str">
        <f t="shared" si="11"/>
        <v/>
      </c>
    </row>
    <row r="356" spans="1:2" x14ac:dyDescent="0.25">
      <c r="A356" s="15" t="str">
        <f t="shared" si="10"/>
        <v/>
      </c>
      <c r="B356" s="18" t="str">
        <f t="shared" si="11"/>
        <v/>
      </c>
    </row>
    <row r="357" spans="1:2" x14ac:dyDescent="0.25">
      <c r="A357" s="15" t="str">
        <f t="shared" si="10"/>
        <v/>
      </c>
      <c r="B357" s="18" t="str">
        <f t="shared" si="11"/>
        <v/>
      </c>
    </row>
    <row r="358" spans="1:2" x14ac:dyDescent="0.25">
      <c r="A358" s="15" t="str">
        <f t="shared" si="10"/>
        <v/>
      </c>
      <c r="B358" s="18" t="str">
        <f t="shared" si="11"/>
        <v/>
      </c>
    </row>
    <row r="359" spans="1:2" x14ac:dyDescent="0.25">
      <c r="A359" s="15" t="str">
        <f t="shared" si="10"/>
        <v/>
      </c>
      <c r="B359" s="18" t="str">
        <f t="shared" si="11"/>
        <v/>
      </c>
    </row>
    <row r="360" spans="1:2" x14ac:dyDescent="0.25">
      <c r="A360" s="15" t="str">
        <f t="shared" si="10"/>
        <v/>
      </c>
      <c r="B360" s="18" t="str">
        <f t="shared" si="11"/>
        <v/>
      </c>
    </row>
    <row r="361" spans="1:2" x14ac:dyDescent="0.25">
      <c r="A361" s="15" t="str">
        <f t="shared" si="10"/>
        <v/>
      </c>
      <c r="B361" s="18" t="str">
        <f t="shared" si="11"/>
        <v/>
      </c>
    </row>
    <row r="362" spans="1:2" x14ac:dyDescent="0.25">
      <c r="A362" s="15" t="str">
        <f t="shared" si="10"/>
        <v/>
      </c>
      <c r="B362" s="18" t="str">
        <f t="shared" si="11"/>
        <v/>
      </c>
    </row>
    <row r="363" spans="1:2" x14ac:dyDescent="0.25">
      <c r="A363" s="15" t="str">
        <f t="shared" si="10"/>
        <v/>
      </c>
      <c r="B363" s="18" t="str">
        <f t="shared" si="11"/>
        <v/>
      </c>
    </row>
    <row r="364" spans="1:2" x14ac:dyDescent="0.25">
      <c r="A364" s="15" t="str">
        <f t="shared" si="10"/>
        <v/>
      </c>
      <c r="B364" s="18" t="str">
        <f t="shared" si="11"/>
        <v/>
      </c>
    </row>
    <row r="365" spans="1:2" x14ac:dyDescent="0.25">
      <c r="A365" s="15" t="str">
        <f t="shared" si="10"/>
        <v/>
      </c>
      <c r="B365" s="18" t="str">
        <f t="shared" si="11"/>
        <v/>
      </c>
    </row>
    <row r="366" spans="1:2" x14ac:dyDescent="0.25">
      <c r="A366" s="15" t="str">
        <f t="shared" si="10"/>
        <v/>
      </c>
      <c r="B366" s="18" t="str">
        <f t="shared" si="11"/>
        <v/>
      </c>
    </row>
    <row r="367" spans="1:2" x14ac:dyDescent="0.25">
      <c r="A367" s="15" t="str">
        <f t="shared" si="10"/>
        <v/>
      </c>
      <c r="B367" s="18" t="str">
        <f t="shared" si="11"/>
        <v/>
      </c>
    </row>
    <row r="368" spans="1:2" x14ac:dyDescent="0.25">
      <c r="A368" s="15" t="str">
        <f t="shared" si="10"/>
        <v/>
      </c>
      <c r="B368" s="18" t="str">
        <f t="shared" si="11"/>
        <v/>
      </c>
    </row>
    <row r="369" spans="1:2" x14ac:dyDescent="0.25">
      <c r="A369" s="15" t="str">
        <f t="shared" si="10"/>
        <v/>
      </c>
      <c r="B369" s="18" t="str">
        <f t="shared" si="11"/>
        <v/>
      </c>
    </row>
    <row r="370" spans="1:2" x14ac:dyDescent="0.25">
      <c r="A370" s="15" t="str">
        <f t="shared" si="10"/>
        <v/>
      </c>
      <c r="B370" s="18" t="str">
        <f t="shared" si="11"/>
        <v/>
      </c>
    </row>
    <row r="371" spans="1:2" x14ac:dyDescent="0.25">
      <c r="A371" s="15" t="str">
        <f t="shared" si="10"/>
        <v/>
      </c>
      <c r="B371" s="18" t="str">
        <f t="shared" si="11"/>
        <v/>
      </c>
    </row>
    <row r="372" spans="1:2" x14ac:dyDescent="0.25">
      <c r="A372" s="15" t="str">
        <f t="shared" si="10"/>
        <v/>
      </c>
      <c r="B372" s="18" t="str">
        <f t="shared" si="11"/>
        <v/>
      </c>
    </row>
    <row r="373" spans="1:2" x14ac:dyDescent="0.25">
      <c r="A373" s="15" t="str">
        <f t="shared" si="10"/>
        <v/>
      </c>
      <c r="B373" s="18" t="str">
        <f t="shared" si="11"/>
        <v/>
      </c>
    </row>
    <row r="374" spans="1:2" x14ac:dyDescent="0.25">
      <c r="A374" s="15" t="str">
        <f t="shared" si="10"/>
        <v/>
      </c>
      <c r="B374" s="18" t="str">
        <f t="shared" si="11"/>
        <v/>
      </c>
    </row>
    <row r="375" spans="1:2" x14ac:dyDescent="0.25">
      <c r="A375" s="15" t="str">
        <f t="shared" si="10"/>
        <v/>
      </c>
      <c r="B375" s="18" t="str">
        <f t="shared" si="11"/>
        <v/>
      </c>
    </row>
    <row r="376" spans="1:2" x14ac:dyDescent="0.25">
      <c r="A376" s="15" t="str">
        <f t="shared" si="10"/>
        <v/>
      </c>
      <c r="B376" s="18" t="str">
        <f t="shared" si="11"/>
        <v/>
      </c>
    </row>
    <row r="377" spans="1:2" x14ac:dyDescent="0.25">
      <c r="A377" s="15" t="str">
        <f t="shared" si="10"/>
        <v/>
      </c>
      <c r="B377" s="18" t="str">
        <f t="shared" si="11"/>
        <v/>
      </c>
    </row>
    <row r="378" spans="1:2" x14ac:dyDescent="0.25">
      <c r="A378" s="15" t="str">
        <f t="shared" si="10"/>
        <v/>
      </c>
      <c r="B378" s="18" t="str">
        <f t="shared" si="11"/>
        <v/>
      </c>
    </row>
    <row r="379" spans="1:2" x14ac:dyDescent="0.25">
      <c r="A379" s="15" t="str">
        <f t="shared" si="10"/>
        <v/>
      </c>
      <c r="B379" s="18" t="str">
        <f t="shared" si="11"/>
        <v/>
      </c>
    </row>
    <row r="380" spans="1:2" x14ac:dyDescent="0.25">
      <c r="A380" s="15" t="str">
        <f t="shared" si="10"/>
        <v/>
      </c>
      <c r="B380" s="18" t="str">
        <f t="shared" si="11"/>
        <v/>
      </c>
    </row>
    <row r="381" spans="1:2" x14ac:dyDescent="0.25">
      <c r="A381" s="15" t="str">
        <f t="shared" si="10"/>
        <v/>
      </c>
      <c r="B381" s="18" t="str">
        <f t="shared" si="11"/>
        <v/>
      </c>
    </row>
    <row r="382" spans="1:2" x14ac:dyDescent="0.25">
      <c r="A382" s="15" t="str">
        <f t="shared" si="10"/>
        <v/>
      </c>
      <c r="B382" s="18" t="str">
        <f t="shared" si="11"/>
        <v/>
      </c>
    </row>
    <row r="383" spans="1:2" x14ac:dyDescent="0.25">
      <c r="A383" s="15" t="str">
        <f t="shared" si="10"/>
        <v/>
      </c>
      <c r="B383" s="18" t="str">
        <f t="shared" si="11"/>
        <v/>
      </c>
    </row>
    <row r="384" spans="1:2" x14ac:dyDescent="0.25">
      <c r="A384" s="15" t="str">
        <f t="shared" si="10"/>
        <v/>
      </c>
      <c r="B384" s="18" t="str">
        <f t="shared" si="11"/>
        <v/>
      </c>
    </row>
    <row r="385" spans="1:2" x14ac:dyDescent="0.25">
      <c r="A385" s="15" t="str">
        <f t="shared" si="10"/>
        <v/>
      </c>
      <c r="B385" s="18" t="str">
        <f t="shared" si="11"/>
        <v/>
      </c>
    </row>
    <row r="386" spans="1:2" x14ac:dyDescent="0.25">
      <c r="A386" s="15" t="str">
        <f t="shared" ref="A386:A449" si="12">B386&amp;C386</f>
        <v/>
      </c>
      <c r="B386" s="18" t="str">
        <f t="shared" si="11"/>
        <v/>
      </c>
    </row>
    <row r="387" spans="1:2" x14ac:dyDescent="0.25">
      <c r="A387" s="15" t="str">
        <f t="shared" si="12"/>
        <v/>
      </c>
      <c r="B387" s="18" t="str">
        <f t="shared" ref="B387:B450" si="13">IF(C387="","",B386)</f>
        <v/>
      </c>
    </row>
    <row r="388" spans="1:2" x14ac:dyDescent="0.25">
      <c r="A388" s="15" t="str">
        <f t="shared" si="12"/>
        <v/>
      </c>
      <c r="B388" s="18" t="str">
        <f t="shared" si="13"/>
        <v/>
      </c>
    </row>
    <row r="389" spans="1:2" x14ac:dyDescent="0.25">
      <c r="A389" s="15" t="str">
        <f t="shared" si="12"/>
        <v/>
      </c>
      <c r="B389" s="18" t="str">
        <f t="shared" si="13"/>
        <v/>
      </c>
    </row>
    <row r="390" spans="1:2" x14ac:dyDescent="0.25">
      <c r="A390" s="15" t="str">
        <f t="shared" si="12"/>
        <v/>
      </c>
      <c r="B390" s="18" t="str">
        <f t="shared" si="13"/>
        <v/>
      </c>
    </row>
    <row r="391" spans="1:2" x14ac:dyDescent="0.25">
      <c r="A391" s="15" t="str">
        <f t="shared" si="12"/>
        <v/>
      </c>
      <c r="B391" s="18" t="str">
        <f t="shared" si="13"/>
        <v/>
      </c>
    </row>
    <row r="392" spans="1:2" x14ac:dyDescent="0.25">
      <c r="A392" s="15" t="str">
        <f t="shared" si="12"/>
        <v/>
      </c>
      <c r="B392" s="18" t="str">
        <f t="shared" si="13"/>
        <v/>
      </c>
    </row>
    <row r="393" spans="1:2" x14ac:dyDescent="0.25">
      <c r="A393" s="15" t="str">
        <f t="shared" si="12"/>
        <v/>
      </c>
      <c r="B393" s="18" t="str">
        <f t="shared" si="13"/>
        <v/>
      </c>
    </row>
    <row r="394" spans="1:2" x14ac:dyDescent="0.25">
      <c r="A394" s="15" t="str">
        <f t="shared" si="12"/>
        <v/>
      </c>
      <c r="B394" s="18" t="str">
        <f t="shared" si="13"/>
        <v/>
      </c>
    </row>
    <row r="395" spans="1:2" x14ac:dyDescent="0.25">
      <c r="A395" s="15" t="str">
        <f t="shared" si="12"/>
        <v/>
      </c>
      <c r="B395" s="18" t="str">
        <f t="shared" si="13"/>
        <v/>
      </c>
    </row>
    <row r="396" spans="1:2" x14ac:dyDescent="0.25">
      <c r="A396" s="15" t="str">
        <f t="shared" si="12"/>
        <v/>
      </c>
      <c r="B396" s="18" t="str">
        <f t="shared" si="13"/>
        <v/>
      </c>
    </row>
    <row r="397" spans="1:2" x14ac:dyDescent="0.25">
      <c r="A397" s="15" t="str">
        <f t="shared" si="12"/>
        <v/>
      </c>
      <c r="B397" s="18" t="str">
        <f t="shared" si="13"/>
        <v/>
      </c>
    </row>
    <row r="398" spans="1:2" x14ac:dyDescent="0.25">
      <c r="A398" s="15" t="str">
        <f t="shared" si="12"/>
        <v/>
      </c>
      <c r="B398" s="18" t="str">
        <f t="shared" si="13"/>
        <v/>
      </c>
    </row>
    <row r="399" spans="1:2" x14ac:dyDescent="0.25">
      <c r="A399" s="15" t="str">
        <f t="shared" si="12"/>
        <v/>
      </c>
      <c r="B399" s="18" t="str">
        <f t="shared" si="13"/>
        <v/>
      </c>
    </row>
    <row r="400" spans="1:2" x14ac:dyDescent="0.25">
      <c r="A400" s="15" t="str">
        <f t="shared" si="12"/>
        <v/>
      </c>
      <c r="B400" s="18" t="str">
        <f t="shared" si="13"/>
        <v/>
      </c>
    </row>
    <row r="401" spans="1:2" x14ac:dyDescent="0.25">
      <c r="A401" s="15" t="str">
        <f t="shared" si="12"/>
        <v/>
      </c>
      <c r="B401" s="18" t="str">
        <f t="shared" si="13"/>
        <v/>
      </c>
    </row>
    <row r="402" spans="1:2" x14ac:dyDescent="0.25">
      <c r="A402" s="15" t="str">
        <f t="shared" si="12"/>
        <v/>
      </c>
      <c r="B402" s="18" t="str">
        <f t="shared" si="13"/>
        <v/>
      </c>
    </row>
    <row r="403" spans="1:2" x14ac:dyDescent="0.25">
      <c r="A403" s="15" t="str">
        <f t="shared" si="12"/>
        <v/>
      </c>
      <c r="B403" s="18" t="str">
        <f t="shared" si="13"/>
        <v/>
      </c>
    </row>
    <row r="404" spans="1:2" x14ac:dyDescent="0.25">
      <c r="A404" s="15" t="str">
        <f t="shared" si="12"/>
        <v/>
      </c>
      <c r="B404" s="18" t="str">
        <f t="shared" si="13"/>
        <v/>
      </c>
    </row>
    <row r="405" spans="1:2" x14ac:dyDescent="0.25">
      <c r="A405" s="15" t="str">
        <f t="shared" si="12"/>
        <v/>
      </c>
      <c r="B405" s="18" t="str">
        <f t="shared" si="13"/>
        <v/>
      </c>
    </row>
    <row r="406" spans="1:2" x14ac:dyDescent="0.25">
      <c r="A406" s="15" t="str">
        <f t="shared" si="12"/>
        <v/>
      </c>
      <c r="B406" s="18" t="str">
        <f t="shared" si="13"/>
        <v/>
      </c>
    </row>
    <row r="407" spans="1:2" x14ac:dyDescent="0.25">
      <c r="A407" s="15" t="str">
        <f t="shared" si="12"/>
        <v/>
      </c>
      <c r="B407" s="18" t="str">
        <f t="shared" si="13"/>
        <v/>
      </c>
    </row>
    <row r="408" spans="1:2" x14ac:dyDescent="0.25">
      <c r="A408" s="15" t="str">
        <f t="shared" si="12"/>
        <v/>
      </c>
      <c r="B408" s="18" t="str">
        <f t="shared" si="13"/>
        <v/>
      </c>
    </row>
    <row r="409" spans="1:2" x14ac:dyDescent="0.25">
      <c r="A409" s="15" t="str">
        <f t="shared" si="12"/>
        <v/>
      </c>
      <c r="B409" s="18" t="str">
        <f t="shared" si="13"/>
        <v/>
      </c>
    </row>
    <row r="410" spans="1:2" x14ac:dyDescent="0.25">
      <c r="A410" s="15" t="str">
        <f t="shared" si="12"/>
        <v/>
      </c>
      <c r="B410" s="18" t="str">
        <f t="shared" si="13"/>
        <v/>
      </c>
    </row>
    <row r="411" spans="1:2" x14ac:dyDescent="0.25">
      <c r="A411" s="15" t="str">
        <f t="shared" si="12"/>
        <v/>
      </c>
      <c r="B411" s="18" t="str">
        <f t="shared" si="13"/>
        <v/>
      </c>
    </row>
    <row r="412" spans="1:2" x14ac:dyDescent="0.25">
      <c r="A412" s="15" t="str">
        <f t="shared" si="12"/>
        <v/>
      </c>
      <c r="B412" s="18" t="str">
        <f t="shared" si="13"/>
        <v/>
      </c>
    </row>
    <row r="413" spans="1:2" x14ac:dyDescent="0.25">
      <c r="A413" s="15" t="str">
        <f t="shared" si="12"/>
        <v/>
      </c>
      <c r="B413" s="18" t="str">
        <f t="shared" si="13"/>
        <v/>
      </c>
    </row>
    <row r="414" spans="1:2" x14ac:dyDescent="0.25">
      <c r="A414" s="15" t="str">
        <f t="shared" si="12"/>
        <v/>
      </c>
      <c r="B414" s="18" t="str">
        <f t="shared" si="13"/>
        <v/>
      </c>
    </row>
    <row r="415" spans="1:2" x14ac:dyDescent="0.25">
      <c r="A415" s="15" t="str">
        <f t="shared" si="12"/>
        <v/>
      </c>
      <c r="B415" s="18" t="str">
        <f t="shared" si="13"/>
        <v/>
      </c>
    </row>
    <row r="416" spans="1:2" x14ac:dyDescent="0.25">
      <c r="A416" s="15" t="str">
        <f t="shared" si="12"/>
        <v/>
      </c>
      <c r="B416" s="18" t="str">
        <f t="shared" si="13"/>
        <v/>
      </c>
    </row>
    <row r="417" spans="1:2" x14ac:dyDescent="0.25">
      <c r="A417" s="15" t="str">
        <f t="shared" si="12"/>
        <v/>
      </c>
      <c r="B417" s="18" t="str">
        <f t="shared" si="13"/>
        <v/>
      </c>
    </row>
    <row r="418" spans="1:2" x14ac:dyDescent="0.25">
      <c r="A418" s="15" t="str">
        <f t="shared" si="12"/>
        <v/>
      </c>
      <c r="B418" s="18" t="str">
        <f t="shared" si="13"/>
        <v/>
      </c>
    </row>
    <row r="419" spans="1:2" x14ac:dyDescent="0.25">
      <c r="A419" s="15" t="str">
        <f t="shared" si="12"/>
        <v/>
      </c>
      <c r="B419" s="18" t="str">
        <f t="shared" si="13"/>
        <v/>
      </c>
    </row>
    <row r="420" spans="1:2" x14ac:dyDescent="0.25">
      <c r="A420" s="15" t="str">
        <f t="shared" si="12"/>
        <v/>
      </c>
      <c r="B420" s="18" t="str">
        <f t="shared" si="13"/>
        <v/>
      </c>
    </row>
    <row r="421" spans="1:2" x14ac:dyDescent="0.25">
      <c r="A421" s="15" t="str">
        <f t="shared" si="12"/>
        <v/>
      </c>
      <c r="B421" s="18" t="str">
        <f t="shared" si="13"/>
        <v/>
      </c>
    </row>
    <row r="422" spans="1:2" x14ac:dyDescent="0.25">
      <c r="A422" s="15" t="str">
        <f t="shared" si="12"/>
        <v/>
      </c>
      <c r="B422" s="18" t="str">
        <f t="shared" si="13"/>
        <v/>
      </c>
    </row>
    <row r="423" spans="1:2" x14ac:dyDescent="0.25">
      <c r="A423" s="15" t="str">
        <f t="shared" si="12"/>
        <v/>
      </c>
      <c r="B423" s="18" t="str">
        <f t="shared" si="13"/>
        <v/>
      </c>
    </row>
    <row r="424" spans="1:2" x14ac:dyDescent="0.25">
      <c r="A424" s="15" t="str">
        <f t="shared" si="12"/>
        <v/>
      </c>
      <c r="B424" s="18" t="str">
        <f t="shared" si="13"/>
        <v/>
      </c>
    </row>
    <row r="425" spans="1:2" x14ac:dyDescent="0.25">
      <c r="A425" s="15" t="str">
        <f t="shared" si="12"/>
        <v/>
      </c>
      <c r="B425" s="18" t="str">
        <f t="shared" si="13"/>
        <v/>
      </c>
    </row>
    <row r="426" spans="1:2" x14ac:dyDescent="0.25">
      <c r="A426" s="15" t="str">
        <f t="shared" si="12"/>
        <v/>
      </c>
      <c r="B426" s="18" t="str">
        <f t="shared" si="13"/>
        <v/>
      </c>
    </row>
    <row r="427" spans="1:2" x14ac:dyDescent="0.25">
      <c r="A427" s="15" t="str">
        <f t="shared" si="12"/>
        <v/>
      </c>
      <c r="B427" s="18" t="str">
        <f t="shared" si="13"/>
        <v/>
      </c>
    </row>
    <row r="428" spans="1:2" x14ac:dyDescent="0.25">
      <c r="A428" s="15" t="str">
        <f t="shared" si="12"/>
        <v/>
      </c>
      <c r="B428" s="18" t="str">
        <f t="shared" si="13"/>
        <v/>
      </c>
    </row>
    <row r="429" spans="1:2" x14ac:dyDescent="0.25">
      <c r="A429" s="15" t="str">
        <f t="shared" si="12"/>
        <v/>
      </c>
      <c r="B429" s="18" t="str">
        <f t="shared" si="13"/>
        <v/>
      </c>
    </row>
    <row r="430" spans="1:2" x14ac:dyDescent="0.25">
      <c r="A430" s="15" t="str">
        <f t="shared" si="12"/>
        <v/>
      </c>
      <c r="B430" s="18" t="str">
        <f t="shared" si="13"/>
        <v/>
      </c>
    </row>
    <row r="431" spans="1:2" x14ac:dyDescent="0.25">
      <c r="A431" s="15" t="str">
        <f t="shared" si="12"/>
        <v/>
      </c>
      <c r="B431" s="18" t="str">
        <f t="shared" si="13"/>
        <v/>
      </c>
    </row>
    <row r="432" spans="1:2" x14ac:dyDescent="0.25">
      <c r="A432" s="15" t="str">
        <f t="shared" si="12"/>
        <v/>
      </c>
      <c r="B432" s="18" t="str">
        <f t="shared" si="13"/>
        <v/>
      </c>
    </row>
    <row r="433" spans="1:2" x14ac:dyDescent="0.25">
      <c r="A433" s="15" t="str">
        <f t="shared" si="12"/>
        <v/>
      </c>
      <c r="B433" s="18" t="str">
        <f t="shared" si="13"/>
        <v/>
      </c>
    </row>
    <row r="434" spans="1:2" x14ac:dyDescent="0.25">
      <c r="A434" s="15" t="str">
        <f t="shared" si="12"/>
        <v/>
      </c>
      <c r="B434" s="18" t="str">
        <f t="shared" si="13"/>
        <v/>
      </c>
    </row>
    <row r="435" spans="1:2" x14ac:dyDescent="0.25">
      <c r="A435" s="15" t="str">
        <f t="shared" si="12"/>
        <v/>
      </c>
      <c r="B435" s="18" t="str">
        <f t="shared" si="13"/>
        <v/>
      </c>
    </row>
    <row r="436" spans="1:2" x14ac:dyDescent="0.25">
      <c r="A436" s="15" t="str">
        <f t="shared" si="12"/>
        <v/>
      </c>
      <c r="B436" s="18" t="str">
        <f t="shared" si="13"/>
        <v/>
      </c>
    </row>
    <row r="437" spans="1:2" x14ac:dyDescent="0.25">
      <c r="A437" s="15" t="str">
        <f t="shared" si="12"/>
        <v/>
      </c>
      <c r="B437" s="18" t="str">
        <f t="shared" si="13"/>
        <v/>
      </c>
    </row>
    <row r="438" spans="1:2" x14ac:dyDescent="0.25">
      <c r="A438" s="15" t="str">
        <f t="shared" si="12"/>
        <v/>
      </c>
      <c r="B438" s="18" t="str">
        <f t="shared" si="13"/>
        <v/>
      </c>
    </row>
    <row r="439" spans="1:2" x14ac:dyDescent="0.25">
      <c r="A439" s="15" t="str">
        <f t="shared" si="12"/>
        <v/>
      </c>
      <c r="B439" s="18" t="str">
        <f t="shared" si="13"/>
        <v/>
      </c>
    </row>
    <row r="440" spans="1:2" x14ac:dyDescent="0.25">
      <c r="A440" s="15" t="str">
        <f t="shared" si="12"/>
        <v/>
      </c>
      <c r="B440" s="18" t="str">
        <f t="shared" si="13"/>
        <v/>
      </c>
    </row>
    <row r="441" spans="1:2" x14ac:dyDescent="0.25">
      <c r="A441" s="15" t="str">
        <f t="shared" si="12"/>
        <v/>
      </c>
      <c r="B441" s="18" t="str">
        <f t="shared" si="13"/>
        <v/>
      </c>
    </row>
    <row r="442" spans="1:2" x14ac:dyDescent="0.25">
      <c r="A442" s="15" t="str">
        <f t="shared" si="12"/>
        <v/>
      </c>
      <c r="B442" s="18" t="str">
        <f t="shared" si="13"/>
        <v/>
      </c>
    </row>
    <row r="443" spans="1:2" x14ac:dyDescent="0.25">
      <c r="A443" s="15" t="str">
        <f t="shared" si="12"/>
        <v/>
      </c>
      <c r="B443" s="18" t="str">
        <f t="shared" si="13"/>
        <v/>
      </c>
    </row>
    <row r="444" spans="1:2" x14ac:dyDescent="0.25">
      <c r="A444" s="15" t="str">
        <f t="shared" si="12"/>
        <v/>
      </c>
      <c r="B444" s="18" t="str">
        <f t="shared" si="13"/>
        <v/>
      </c>
    </row>
    <row r="445" spans="1:2" x14ac:dyDescent="0.25">
      <c r="A445" s="15" t="str">
        <f t="shared" si="12"/>
        <v/>
      </c>
      <c r="B445" s="18" t="str">
        <f t="shared" si="13"/>
        <v/>
      </c>
    </row>
    <row r="446" spans="1:2" x14ac:dyDescent="0.25">
      <c r="A446" s="15" t="str">
        <f t="shared" si="12"/>
        <v/>
      </c>
      <c r="B446" s="18" t="str">
        <f t="shared" si="13"/>
        <v/>
      </c>
    </row>
    <row r="447" spans="1:2" x14ac:dyDescent="0.25">
      <c r="A447" s="15" t="str">
        <f t="shared" si="12"/>
        <v/>
      </c>
      <c r="B447" s="18" t="str">
        <f t="shared" si="13"/>
        <v/>
      </c>
    </row>
    <row r="448" spans="1:2" x14ac:dyDescent="0.25">
      <c r="A448" s="15" t="str">
        <f t="shared" si="12"/>
        <v/>
      </c>
      <c r="B448" s="18" t="str">
        <f t="shared" si="13"/>
        <v/>
      </c>
    </row>
    <row r="449" spans="1:2" x14ac:dyDescent="0.25">
      <c r="A449" s="15" t="str">
        <f t="shared" si="12"/>
        <v/>
      </c>
      <c r="B449" s="18" t="str">
        <f t="shared" si="13"/>
        <v/>
      </c>
    </row>
    <row r="450" spans="1:2" x14ac:dyDescent="0.25">
      <c r="A450" s="15" t="str">
        <f t="shared" ref="A450:A513" si="14">B450&amp;C450</f>
        <v/>
      </c>
      <c r="B450" s="18" t="str">
        <f t="shared" si="13"/>
        <v/>
      </c>
    </row>
    <row r="451" spans="1:2" x14ac:dyDescent="0.25">
      <c r="A451" s="15" t="str">
        <f t="shared" si="14"/>
        <v/>
      </c>
      <c r="B451" s="18" t="str">
        <f t="shared" ref="B451:B514" si="15">IF(C451="","",B450)</f>
        <v/>
      </c>
    </row>
    <row r="452" spans="1:2" x14ac:dyDescent="0.25">
      <c r="A452" s="15" t="str">
        <f t="shared" si="14"/>
        <v/>
      </c>
      <c r="B452" s="18" t="str">
        <f t="shared" si="15"/>
        <v/>
      </c>
    </row>
    <row r="453" spans="1:2" x14ac:dyDescent="0.25">
      <c r="A453" s="15" t="str">
        <f t="shared" si="14"/>
        <v/>
      </c>
      <c r="B453" s="18" t="str">
        <f t="shared" si="15"/>
        <v/>
      </c>
    </row>
    <row r="454" spans="1:2" x14ac:dyDescent="0.25">
      <c r="A454" s="15" t="str">
        <f t="shared" si="14"/>
        <v/>
      </c>
      <c r="B454" s="18" t="str">
        <f t="shared" si="15"/>
        <v/>
      </c>
    </row>
    <row r="455" spans="1:2" x14ac:dyDescent="0.25">
      <c r="A455" s="15" t="str">
        <f t="shared" si="14"/>
        <v/>
      </c>
      <c r="B455" s="18" t="str">
        <f t="shared" si="15"/>
        <v/>
      </c>
    </row>
    <row r="456" spans="1:2" x14ac:dyDescent="0.25">
      <c r="A456" s="15" t="str">
        <f t="shared" si="14"/>
        <v/>
      </c>
      <c r="B456" s="18" t="str">
        <f t="shared" si="15"/>
        <v/>
      </c>
    </row>
    <row r="457" spans="1:2" x14ac:dyDescent="0.25">
      <c r="A457" s="15" t="str">
        <f t="shared" si="14"/>
        <v/>
      </c>
      <c r="B457" s="18" t="str">
        <f t="shared" si="15"/>
        <v/>
      </c>
    </row>
    <row r="458" spans="1:2" x14ac:dyDescent="0.25">
      <c r="A458" s="15" t="str">
        <f t="shared" si="14"/>
        <v/>
      </c>
      <c r="B458" s="18" t="str">
        <f t="shared" si="15"/>
        <v/>
      </c>
    </row>
    <row r="459" spans="1:2" x14ac:dyDescent="0.25">
      <c r="A459" s="15" t="str">
        <f t="shared" si="14"/>
        <v/>
      </c>
      <c r="B459" s="18" t="str">
        <f t="shared" si="15"/>
        <v/>
      </c>
    </row>
    <row r="460" spans="1:2" x14ac:dyDescent="0.25">
      <c r="A460" s="15" t="str">
        <f t="shared" si="14"/>
        <v/>
      </c>
      <c r="B460" s="18" t="str">
        <f t="shared" si="15"/>
        <v/>
      </c>
    </row>
    <row r="461" spans="1:2" x14ac:dyDescent="0.25">
      <c r="A461" s="15" t="str">
        <f t="shared" si="14"/>
        <v/>
      </c>
      <c r="B461" s="18" t="str">
        <f t="shared" si="15"/>
        <v/>
      </c>
    </row>
    <row r="462" spans="1:2" x14ac:dyDescent="0.25">
      <c r="A462" s="15" t="str">
        <f t="shared" si="14"/>
        <v/>
      </c>
      <c r="B462" s="18" t="str">
        <f t="shared" si="15"/>
        <v/>
      </c>
    </row>
    <row r="463" spans="1:2" x14ac:dyDescent="0.25">
      <c r="A463" s="15" t="str">
        <f t="shared" si="14"/>
        <v/>
      </c>
      <c r="B463" s="18" t="str">
        <f t="shared" si="15"/>
        <v/>
      </c>
    </row>
    <row r="464" spans="1:2" x14ac:dyDescent="0.25">
      <c r="A464" s="15" t="str">
        <f t="shared" si="14"/>
        <v/>
      </c>
      <c r="B464" s="18" t="str">
        <f t="shared" si="15"/>
        <v/>
      </c>
    </row>
    <row r="465" spans="1:2" x14ac:dyDescent="0.25">
      <c r="A465" s="15" t="str">
        <f t="shared" si="14"/>
        <v/>
      </c>
      <c r="B465" s="18" t="str">
        <f t="shared" si="15"/>
        <v/>
      </c>
    </row>
    <row r="466" spans="1:2" x14ac:dyDescent="0.25">
      <c r="A466" s="15" t="str">
        <f t="shared" si="14"/>
        <v/>
      </c>
      <c r="B466" s="18" t="str">
        <f t="shared" si="15"/>
        <v/>
      </c>
    </row>
    <row r="467" spans="1:2" x14ac:dyDescent="0.25">
      <c r="A467" s="15" t="str">
        <f t="shared" si="14"/>
        <v/>
      </c>
      <c r="B467" s="18" t="str">
        <f t="shared" si="15"/>
        <v/>
      </c>
    </row>
    <row r="468" spans="1:2" x14ac:dyDescent="0.25">
      <c r="A468" s="15" t="str">
        <f t="shared" si="14"/>
        <v/>
      </c>
      <c r="B468" s="18" t="str">
        <f t="shared" si="15"/>
        <v/>
      </c>
    </row>
    <row r="469" spans="1:2" x14ac:dyDescent="0.25">
      <c r="A469" s="15" t="str">
        <f t="shared" si="14"/>
        <v/>
      </c>
      <c r="B469" s="18" t="str">
        <f t="shared" si="15"/>
        <v/>
      </c>
    </row>
    <row r="470" spans="1:2" x14ac:dyDescent="0.25">
      <c r="A470" s="15" t="str">
        <f t="shared" si="14"/>
        <v/>
      </c>
      <c r="B470" s="18" t="str">
        <f t="shared" si="15"/>
        <v/>
      </c>
    </row>
    <row r="471" spans="1:2" x14ac:dyDescent="0.25">
      <c r="A471" s="15" t="str">
        <f t="shared" si="14"/>
        <v/>
      </c>
      <c r="B471" s="18" t="str">
        <f t="shared" si="15"/>
        <v/>
      </c>
    </row>
    <row r="472" spans="1:2" x14ac:dyDescent="0.25">
      <c r="A472" s="15" t="str">
        <f t="shared" si="14"/>
        <v/>
      </c>
      <c r="B472" s="18" t="str">
        <f t="shared" si="15"/>
        <v/>
      </c>
    </row>
    <row r="473" spans="1:2" x14ac:dyDescent="0.25">
      <c r="A473" s="15" t="str">
        <f t="shared" si="14"/>
        <v/>
      </c>
      <c r="B473" s="18" t="str">
        <f t="shared" si="15"/>
        <v/>
      </c>
    </row>
    <row r="474" spans="1:2" x14ac:dyDescent="0.25">
      <c r="A474" s="15" t="str">
        <f t="shared" si="14"/>
        <v/>
      </c>
      <c r="B474" s="18" t="str">
        <f t="shared" si="15"/>
        <v/>
      </c>
    </row>
    <row r="475" spans="1:2" x14ac:dyDescent="0.25">
      <c r="A475" s="15" t="str">
        <f t="shared" si="14"/>
        <v/>
      </c>
      <c r="B475" s="18" t="str">
        <f t="shared" si="15"/>
        <v/>
      </c>
    </row>
    <row r="476" spans="1:2" x14ac:dyDescent="0.25">
      <c r="A476" s="15" t="str">
        <f t="shared" si="14"/>
        <v/>
      </c>
      <c r="B476" s="18" t="str">
        <f t="shared" si="15"/>
        <v/>
      </c>
    </row>
    <row r="477" spans="1:2" x14ac:dyDescent="0.25">
      <c r="A477" s="15" t="str">
        <f t="shared" si="14"/>
        <v/>
      </c>
      <c r="B477" s="18" t="str">
        <f t="shared" si="15"/>
        <v/>
      </c>
    </row>
    <row r="478" spans="1:2" x14ac:dyDescent="0.25">
      <c r="A478" s="15" t="str">
        <f t="shared" si="14"/>
        <v/>
      </c>
      <c r="B478" s="18" t="str">
        <f t="shared" si="15"/>
        <v/>
      </c>
    </row>
    <row r="479" spans="1:2" x14ac:dyDescent="0.25">
      <c r="A479" s="15" t="str">
        <f t="shared" si="14"/>
        <v/>
      </c>
      <c r="B479" s="18" t="str">
        <f t="shared" si="15"/>
        <v/>
      </c>
    </row>
    <row r="480" spans="1:2" x14ac:dyDescent="0.25">
      <c r="A480" s="15" t="str">
        <f t="shared" si="14"/>
        <v/>
      </c>
      <c r="B480" s="18" t="str">
        <f t="shared" si="15"/>
        <v/>
      </c>
    </row>
    <row r="481" spans="1:2" x14ac:dyDescent="0.25">
      <c r="A481" s="15" t="str">
        <f t="shared" si="14"/>
        <v/>
      </c>
      <c r="B481" s="18" t="str">
        <f t="shared" si="15"/>
        <v/>
      </c>
    </row>
    <row r="482" spans="1:2" x14ac:dyDescent="0.25">
      <c r="A482" s="15" t="str">
        <f t="shared" si="14"/>
        <v/>
      </c>
      <c r="B482" s="18" t="str">
        <f t="shared" si="15"/>
        <v/>
      </c>
    </row>
    <row r="483" spans="1:2" x14ac:dyDescent="0.25">
      <c r="A483" s="15" t="str">
        <f t="shared" si="14"/>
        <v/>
      </c>
      <c r="B483" s="18" t="str">
        <f t="shared" si="15"/>
        <v/>
      </c>
    </row>
    <row r="484" spans="1:2" x14ac:dyDescent="0.25">
      <c r="A484" s="15" t="str">
        <f t="shared" si="14"/>
        <v/>
      </c>
      <c r="B484" s="18" t="str">
        <f t="shared" si="15"/>
        <v/>
      </c>
    </row>
    <row r="485" spans="1:2" x14ac:dyDescent="0.25">
      <c r="A485" s="15" t="str">
        <f t="shared" si="14"/>
        <v/>
      </c>
      <c r="B485" s="18" t="str">
        <f t="shared" si="15"/>
        <v/>
      </c>
    </row>
    <row r="486" spans="1:2" x14ac:dyDescent="0.25">
      <c r="A486" s="15" t="str">
        <f t="shared" si="14"/>
        <v/>
      </c>
      <c r="B486" s="18" t="str">
        <f t="shared" si="15"/>
        <v/>
      </c>
    </row>
    <row r="487" spans="1:2" x14ac:dyDescent="0.25">
      <c r="A487" s="15" t="str">
        <f t="shared" si="14"/>
        <v/>
      </c>
      <c r="B487" s="18" t="str">
        <f t="shared" si="15"/>
        <v/>
      </c>
    </row>
    <row r="488" spans="1:2" x14ac:dyDescent="0.25">
      <c r="A488" s="15" t="str">
        <f t="shared" si="14"/>
        <v/>
      </c>
      <c r="B488" s="18" t="str">
        <f t="shared" si="15"/>
        <v/>
      </c>
    </row>
    <row r="489" spans="1:2" x14ac:dyDescent="0.25">
      <c r="A489" s="15" t="str">
        <f t="shared" si="14"/>
        <v/>
      </c>
      <c r="B489" s="18" t="str">
        <f t="shared" si="15"/>
        <v/>
      </c>
    </row>
    <row r="490" spans="1:2" x14ac:dyDescent="0.25">
      <c r="A490" s="15" t="str">
        <f t="shared" si="14"/>
        <v/>
      </c>
      <c r="B490" s="18" t="str">
        <f t="shared" si="15"/>
        <v/>
      </c>
    </row>
    <row r="491" spans="1:2" x14ac:dyDescent="0.25">
      <c r="A491" s="15" t="str">
        <f t="shared" si="14"/>
        <v/>
      </c>
      <c r="B491" s="18" t="str">
        <f t="shared" si="15"/>
        <v/>
      </c>
    </row>
    <row r="492" spans="1:2" x14ac:dyDescent="0.25">
      <c r="A492" s="15" t="str">
        <f t="shared" si="14"/>
        <v/>
      </c>
      <c r="B492" s="18" t="str">
        <f t="shared" si="15"/>
        <v/>
      </c>
    </row>
    <row r="493" spans="1:2" x14ac:dyDescent="0.25">
      <c r="A493" s="15" t="str">
        <f t="shared" si="14"/>
        <v/>
      </c>
      <c r="B493" s="18" t="str">
        <f t="shared" si="15"/>
        <v/>
      </c>
    </row>
    <row r="494" spans="1:2" x14ac:dyDescent="0.25">
      <c r="A494" s="15" t="str">
        <f t="shared" si="14"/>
        <v/>
      </c>
      <c r="B494" s="18" t="str">
        <f t="shared" si="15"/>
        <v/>
      </c>
    </row>
    <row r="495" spans="1:2" x14ac:dyDescent="0.25">
      <c r="A495" s="15" t="str">
        <f t="shared" si="14"/>
        <v/>
      </c>
      <c r="B495" s="18" t="str">
        <f t="shared" si="15"/>
        <v/>
      </c>
    </row>
    <row r="496" spans="1:2" x14ac:dyDescent="0.25">
      <c r="A496" s="15" t="str">
        <f t="shared" si="14"/>
        <v/>
      </c>
      <c r="B496" s="18" t="str">
        <f t="shared" si="15"/>
        <v/>
      </c>
    </row>
    <row r="497" spans="1:2" x14ac:dyDescent="0.25">
      <c r="A497" s="15" t="str">
        <f t="shared" si="14"/>
        <v/>
      </c>
      <c r="B497" s="18" t="str">
        <f t="shared" si="15"/>
        <v/>
      </c>
    </row>
    <row r="498" spans="1:2" x14ac:dyDescent="0.25">
      <c r="A498" s="15" t="str">
        <f t="shared" si="14"/>
        <v/>
      </c>
      <c r="B498" s="18" t="str">
        <f t="shared" si="15"/>
        <v/>
      </c>
    </row>
    <row r="499" spans="1:2" x14ac:dyDescent="0.25">
      <c r="A499" s="15" t="str">
        <f t="shared" si="14"/>
        <v/>
      </c>
      <c r="B499" s="18" t="str">
        <f t="shared" si="15"/>
        <v/>
      </c>
    </row>
    <row r="500" spans="1:2" x14ac:dyDescent="0.25">
      <c r="A500" s="15" t="str">
        <f t="shared" si="14"/>
        <v/>
      </c>
      <c r="B500" s="18" t="str">
        <f t="shared" si="15"/>
        <v/>
      </c>
    </row>
    <row r="501" spans="1:2" x14ac:dyDescent="0.25">
      <c r="A501" s="15" t="str">
        <f t="shared" si="14"/>
        <v/>
      </c>
      <c r="B501" s="18" t="str">
        <f t="shared" si="15"/>
        <v/>
      </c>
    </row>
    <row r="502" spans="1:2" x14ac:dyDescent="0.25">
      <c r="A502" s="15" t="str">
        <f t="shared" si="14"/>
        <v/>
      </c>
      <c r="B502" s="18" t="str">
        <f t="shared" si="15"/>
        <v/>
      </c>
    </row>
    <row r="503" spans="1:2" x14ac:dyDescent="0.25">
      <c r="A503" s="15" t="str">
        <f t="shared" si="14"/>
        <v/>
      </c>
      <c r="B503" s="18" t="str">
        <f t="shared" si="15"/>
        <v/>
      </c>
    </row>
    <row r="504" spans="1:2" x14ac:dyDescent="0.25">
      <c r="A504" s="15" t="str">
        <f t="shared" si="14"/>
        <v/>
      </c>
      <c r="B504" s="18" t="str">
        <f t="shared" si="15"/>
        <v/>
      </c>
    </row>
    <row r="505" spans="1:2" x14ac:dyDescent="0.25">
      <c r="A505" s="15" t="str">
        <f t="shared" si="14"/>
        <v/>
      </c>
      <c r="B505" s="18" t="str">
        <f t="shared" si="15"/>
        <v/>
      </c>
    </row>
    <row r="506" spans="1:2" x14ac:dyDescent="0.25">
      <c r="A506" s="15" t="str">
        <f t="shared" si="14"/>
        <v/>
      </c>
      <c r="B506" s="18" t="str">
        <f t="shared" si="15"/>
        <v/>
      </c>
    </row>
    <row r="507" spans="1:2" x14ac:dyDescent="0.25">
      <c r="A507" s="15" t="str">
        <f t="shared" si="14"/>
        <v/>
      </c>
      <c r="B507" s="18" t="str">
        <f t="shared" si="15"/>
        <v/>
      </c>
    </row>
    <row r="508" spans="1:2" x14ac:dyDescent="0.25">
      <c r="A508" s="15" t="str">
        <f t="shared" si="14"/>
        <v/>
      </c>
      <c r="B508" s="18" t="str">
        <f t="shared" si="15"/>
        <v/>
      </c>
    </row>
    <row r="509" spans="1:2" x14ac:dyDescent="0.25">
      <c r="A509" s="15" t="str">
        <f t="shared" si="14"/>
        <v/>
      </c>
      <c r="B509" s="18" t="str">
        <f t="shared" si="15"/>
        <v/>
      </c>
    </row>
    <row r="510" spans="1:2" x14ac:dyDescent="0.25">
      <c r="A510" s="15" t="str">
        <f t="shared" si="14"/>
        <v/>
      </c>
      <c r="B510" s="18" t="str">
        <f t="shared" si="15"/>
        <v/>
      </c>
    </row>
    <row r="511" spans="1:2" x14ac:dyDescent="0.25">
      <c r="A511" s="15" t="str">
        <f t="shared" si="14"/>
        <v/>
      </c>
      <c r="B511" s="18" t="str">
        <f t="shared" si="15"/>
        <v/>
      </c>
    </row>
    <row r="512" spans="1:2" x14ac:dyDescent="0.25">
      <c r="A512" s="15" t="str">
        <f t="shared" si="14"/>
        <v/>
      </c>
      <c r="B512" s="18" t="str">
        <f t="shared" si="15"/>
        <v/>
      </c>
    </row>
    <row r="513" spans="1:2" x14ac:dyDescent="0.25">
      <c r="A513" s="15" t="str">
        <f t="shared" si="14"/>
        <v/>
      </c>
      <c r="B513" s="18" t="str">
        <f t="shared" si="15"/>
        <v/>
      </c>
    </row>
    <row r="514" spans="1:2" x14ac:dyDescent="0.25">
      <c r="A514" s="15" t="str">
        <f t="shared" ref="A514:A577" si="16">B514&amp;C514</f>
        <v/>
      </c>
      <c r="B514" s="18" t="str">
        <f t="shared" si="15"/>
        <v/>
      </c>
    </row>
    <row r="515" spans="1:2" x14ac:dyDescent="0.25">
      <c r="A515" s="15" t="str">
        <f t="shared" si="16"/>
        <v/>
      </c>
      <c r="B515" s="18" t="str">
        <f t="shared" ref="B515:B578" si="17">IF(C515="","",B514)</f>
        <v/>
      </c>
    </row>
    <row r="516" spans="1:2" x14ac:dyDescent="0.25">
      <c r="A516" s="15" t="str">
        <f t="shared" si="16"/>
        <v/>
      </c>
      <c r="B516" s="18" t="str">
        <f t="shared" si="17"/>
        <v/>
      </c>
    </row>
    <row r="517" spans="1:2" x14ac:dyDescent="0.25">
      <c r="A517" s="15" t="str">
        <f t="shared" si="16"/>
        <v/>
      </c>
      <c r="B517" s="18" t="str">
        <f t="shared" si="17"/>
        <v/>
      </c>
    </row>
    <row r="518" spans="1:2" x14ac:dyDescent="0.25">
      <c r="A518" s="15" t="str">
        <f t="shared" si="16"/>
        <v/>
      </c>
      <c r="B518" s="18" t="str">
        <f t="shared" si="17"/>
        <v/>
      </c>
    </row>
    <row r="519" spans="1:2" x14ac:dyDescent="0.25">
      <c r="A519" s="15" t="str">
        <f t="shared" si="16"/>
        <v/>
      </c>
      <c r="B519" s="18" t="str">
        <f t="shared" si="17"/>
        <v/>
      </c>
    </row>
    <row r="520" spans="1:2" x14ac:dyDescent="0.25">
      <c r="A520" s="15" t="str">
        <f t="shared" si="16"/>
        <v/>
      </c>
      <c r="B520" s="18" t="str">
        <f t="shared" si="17"/>
        <v/>
      </c>
    </row>
    <row r="521" spans="1:2" x14ac:dyDescent="0.25">
      <c r="A521" s="15" t="str">
        <f t="shared" si="16"/>
        <v/>
      </c>
      <c r="B521" s="18" t="str">
        <f t="shared" si="17"/>
        <v/>
      </c>
    </row>
    <row r="522" spans="1:2" x14ac:dyDescent="0.25">
      <c r="A522" s="15" t="str">
        <f t="shared" si="16"/>
        <v/>
      </c>
      <c r="B522" s="18" t="str">
        <f t="shared" si="17"/>
        <v/>
      </c>
    </row>
    <row r="523" spans="1:2" x14ac:dyDescent="0.25">
      <c r="A523" s="15" t="str">
        <f t="shared" si="16"/>
        <v/>
      </c>
      <c r="B523" s="18" t="str">
        <f t="shared" si="17"/>
        <v/>
      </c>
    </row>
    <row r="524" spans="1:2" x14ac:dyDescent="0.25">
      <c r="A524" s="15" t="str">
        <f t="shared" si="16"/>
        <v/>
      </c>
      <c r="B524" s="18" t="str">
        <f t="shared" si="17"/>
        <v/>
      </c>
    </row>
    <row r="525" spans="1:2" x14ac:dyDescent="0.25">
      <c r="A525" s="15" t="str">
        <f t="shared" si="16"/>
        <v/>
      </c>
      <c r="B525" s="18" t="str">
        <f t="shared" si="17"/>
        <v/>
      </c>
    </row>
    <row r="526" spans="1:2" x14ac:dyDescent="0.25">
      <c r="A526" s="15" t="str">
        <f t="shared" si="16"/>
        <v/>
      </c>
      <c r="B526" s="18" t="str">
        <f t="shared" si="17"/>
        <v/>
      </c>
    </row>
    <row r="527" spans="1:2" x14ac:dyDescent="0.25">
      <c r="A527" s="15" t="str">
        <f t="shared" si="16"/>
        <v/>
      </c>
      <c r="B527" s="18" t="str">
        <f t="shared" si="17"/>
        <v/>
      </c>
    </row>
    <row r="528" spans="1:2" x14ac:dyDescent="0.25">
      <c r="A528" s="15" t="str">
        <f t="shared" si="16"/>
        <v/>
      </c>
      <c r="B528" s="18" t="str">
        <f t="shared" si="17"/>
        <v/>
      </c>
    </row>
    <row r="529" spans="1:2" x14ac:dyDescent="0.25">
      <c r="A529" s="15" t="str">
        <f t="shared" si="16"/>
        <v/>
      </c>
      <c r="B529" s="18" t="str">
        <f t="shared" si="17"/>
        <v/>
      </c>
    </row>
    <row r="530" spans="1:2" x14ac:dyDescent="0.25">
      <c r="A530" s="15" t="str">
        <f t="shared" si="16"/>
        <v/>
      </c>
      <c r="B530" s="18" t="str">
        <f t="shared" si="17"/>
        <v/>
      </c>
    </row>
    <row r="531" spans="1:2" x14ac:dyDescent="0.25">
      <c r="A531" s="15" t="str">
        <f t="shared" si="16"/>
        <v/>
      </c>
      <c r="B531" s="18" t="str">
        <f t="shared" si="17"/>
        <v/>
      </c>
    </row>
    <row r="532" spans="1:2" x14ac:dyDescent="0.25">
      <c r="A532" s="15" t="str">
        <f t="shared" si="16"/>
        <v/>
      </c>
      <c r="B532" s="18" t="str">
        <f t="shared" si="17"/>
        <v/>
      </c>
    </row>
    <row r="533" spans="1:2" x14ac:dyDescent="0.25">
      <c r="A533" s="15" t="str">
        <f t="shared" si="16"/>
        <v/>
      </c>
      <c r="B533" s="18" t="str">
        <f t="shared" si="17"/>
        <v/>
      </c>
    </row>
    <row r="534" spans="1:2" x14ac:dyDescent="0.25">
      <c r="A534" s="15" t="str">
        <f t="shared" si="16"/>
        <v/>
      </c>
      <c r="B534" s="18" t="str">
        <f t="shared" si="17"/>
        <v/>
      </c>
    </row>
    <row r="535" spans="1:2" x14ac:dyDescent="0.25">
      <c r="A535" s="15" t="str">
        <f t="shared" si="16"/>
        <v/>
      </c>
      <c r="B535" s="18" t="str">
        <f t="shared" si="17"/>
        <v/>
      </c>
    </row>
    <row r="536" spans="1:2" x14ac:dyDescent="0.25">
      <c r="A536" s="15" t="str">
        <f t="shared" si="16"/>
        <v/>
      </c>
      <c r="B536" s="18" t="str">
        <f t="shared" si="17"/>
        <v/>
      </c>
    </row>
    <row r="537" spans="1:2" x14ac:dyDescent="0.25">
      <c r="A537" s="15" t="str">
        <f t="shared" si="16"/>
        <v/>
      </c>
      <c r="B537" s="18" t="str">
        <f t="shared" si="17"/>
        <v/>
      </c>
    </row>
    <row r="538" spans="1:2" x14ac:dyDescent="0.25">
      <c r="A538" s="15" t="str">
        <f t="shared" si="16"/>
        <v/>
      </c>
      <c r="B538" s="18" t="str">
        <f t="shared" si="17"/>
        <v/>
      </c>
    </row>
    <row r="539" spans="1:2" x14ac:dyDescent="0.25">
      <c r="A539" s="15" t="str">
        <f t="shared" si="16"/>
        <v/>
      </c>
      <c r="B539" s="18" t="str">
        <f t="shared" si="17"/>
        <v/>
      </c>
    </row>
    <row r="540" spans="1:2" x14ac:dyDescent="0.25">
      <c r="A540" s="15" t="str">
        <f t="shared" si="16"/>
        <v/>
      </c>
      <c r="B540" s="18" t="str">
        <f t="shared" si="17"/>
        <v/>
      </c>
    </row>
    <row r="541" spans="1:2" x14ac:dyDescent="0.25">
      <c r="A541" s="15" t="str">
        <f t="shared" si="16"/>
        <v/>
      </c>
      <c r="B541" s="18" t="str">
        <f t="shared" si="17"/>
        <v/>
      </c>
    </row>
    <row r="542" spans="1:2" x14ac:dyDescent="0.25">
      <c r="A542" s="15" t="str">
        <f t="shared" si="16"/>
        <v/>
      </c>
      <c r="B542" s="18" t="str">
        <f t="shared" si="17"/>
        <v/>
      </c>
    </row>
    <row r="543" spans="1:2" x14ac:dyDescent="0.25">
      <c r="A543" s="15" t="str">
        <f t="shared" si="16"/>
        <v/>
      </c>
      <c r="B543" s="18" t="str">
        <f t="shared" si="17"/>
        <v/>
      </c>
    </row>
    <row r="544" spans="1:2" x14ac:dyDescent="0.25">
      <c r="A544" s="15" t="str">
        <f t="shared" si="16"/>
        <v/>
      </c>
      <c r="B544" s="18" t="str">
        <f t="shared" si="17"/>
        <v/>
      </c>
    </row>
    <row r="545" spans="1:2" x14ac:dyDescent="0.25">
      <c r="A545" s="15" t="str">
        <f t="shared" si="16"/>
        <v/>
      </c>
      <c r="B545" s="18" t="str">
        <f t="shared" si="17"/>
        <v/>
      </c>
    </row>
    <row r="546" spans="1:2" x14ac:dyDescent="0.25">
      <c r="A546" s="15" t="str">
        <f t="shared" si="16"/>
        <v/>
      </c>
      <c r="B546" s="18" t="str">
        <f t="shared" si="17"/>
        <v/>
      </c>
    </row>
    <row r="547" spans="1:2" x14ac:dyDescent="0.25">
      <c r="A547" s="15" t="str">
        <f t="shared" si="16"/>
        <v/>
      </c>
      <c r="B547" s="18" t="str">
        <f t="shared" si="17"/>
        <v/>
      </c>
    </row>
    <row r="548" spans="1:2" x14ac:dyDescent="0.25">
      <c r="A548" s="15" t="str">
        <f t="shared" si="16"/>
        <v/>
      </c>
      <c r="B548" s="18" t="str">
        <f t="shared" si="17"/>
        <v/>
      </c>
    </row>
    <row r="549" spans="1:2" x14ac:dyDescent="0.25">
      <c r="A549" s="15" t="str">
        <f t="shared" si="16"/>
        <v/>
      </c>
      <c r="B549" s="18" t="str">
        <f t="shared" si="17"/>
        <v/>
      </c>
    </row>
    <row r="550" spans="1:2" x14ac:dyDescent="0.25">
      <c r="A550" s="15" t="str">
        <f t="shared" si="16"/>
        <v/>
      </c>
      <c r="B550" s="18" t="str">
        <f t="shared" si="17"/>
        <v/>
      </c>
    </row>
    <row r="551" spans="1:2" x14ac:dyDescent="0.25">
      <c r="A551" s="15" t="str">
        <f t="shared" si="16"/>
        <v/>
      </c>
      <c r="B551" s="18" t="str">
        <f t="shared" si="17"/>
        <v/>
      </c>
    </row>
    <row r="552" spans="1:2" x14ac:dyDescent="0.25">
      <c r="A552" s="15" t="str">
        <f t="shared" si="16"/>
        <v/>
      </c>
      <c r="B552" s="18" t="str">
        <f t="shared" si="17"/>
        <v/>
      </c>
    </row>
    <row r="553" spans="1:2" x14ac:dyDescent="0.25">
      <c r="A553" s="15" t="str">
        <f t="shared" si="16"/>
        <v/>
      </c>
      <c r="B553" s="18" t="str">
        <f t="shared" si="17"/>
        <v/>
      </c>
    </row>
    <row r="554" spans="1:2" x14ac:dyDescent="0.25">
      <c r="A554" s="15" t="str">
        <f t="shared" si="16"/>
        <v/>
      </c>
      <c r="B554" s="18" t="str">
        <f t="shared" si="17"/>
        <v/>
      </c>
    </row>
    <row r="555" spans="1:2" x14ac:dyDescent="0.25">
      <c r="A555" s="15" t="str">
        <f t="shared" si="16"/>
        <v/>
      </c>
      <c r="B555" s="18" t="str">
        <f t="shared" si="17"/>
        <v/>
      </c>
    </row>
    <row r="556" spans="1:2" x14ac:dyDescent="0.25">
      <c r="A556" s="15" t="str">
        <f t="shared" si="16"/>
        <v/>
      </c>
      <c r="B556" s="18" t="str">
        <f t="shared" si="17"/>
        <v/>
      </c>
    </row>
    <row r="557" spans="1:2" x14ac:dyDescent="0.25">
      <c r="A557" s="15" t="str">
        <f t="shared" si="16"/>
        <v/>
      </c>
      <c r="B557" s="18" t="str">
        <f t="shared" si="17"/>
        <v/>
      </c>
    </row>
    <row r="558" spans="1:2" x14ac:dyDescent="0.25">
      <c r="A558" s="15" t="str">
        <f t="shared" si="16"/>
        <v/>
      </c>
      <c r="B558" s="18" t="str">
        <f t="shared" si="17"/>
        <v/>
      </c>
    </row>
    <row r="559" spans="1:2" x14ac:dyDescent="0.25">
      <c r="A559" s="15" t="str">
        <f t="shared" si="16"/>
        <v/>
      </c>
      <c r="B559" s="18" t="str">
        <f t="shared" si="17"/>
        <v/>
      </c>
    </row>
    <row r="560" spans="1:2" x14ac:dyDescent="0.25">
      <c r="A560" s="15" t="str">
        <f t="shared" si="16"/>
        <v/>
      </c>
      <c r="B560" s="18" t="str">
        <f t="shared" si="17"/>
        <v/>
      </c>
    </row>
    <row r="561" spans="1:2" x14ac:dyDescent="0.25">
      <c r="A561" s="15" t="str">
        <f t="shared" si="16"/>
        <v/>
      </c>
      <c r="B561" s="18" t="str">
        <f t="shared" si="17"/>
        <v/>
      </c>
    </row>
    <row r="562" spans="1:2" x14ac:dyDescent="0.25">
      <c r="A562" s="15" t="str">
        <f t="shared" si="16"/>
        <v/>
      </c>
      <c r="B562" s="18" t="str">
        <f t="shared" si="17"/>
        <v/>
      </c>
    </row>
    <row r="563" spans="1:2" x14ac:dyDescent="0.25">
      <c r="A563" s="15" t="str">
        <f t="shared" si="16"/>
        <v/>
      </c>
      <c r="B563" s="18" t="str">
        <f t="shared" si="17"/>
        <v/>
      </c>
    </row>
    <row r="564" spans="1:2" x14ac:dyDescent="0.25">
      <c r="A564" s="15" t="str">
        <f t="shared" si="16"/>
        <v/>
      </c>
      <c r="B564" s="18" t="str">
        <f t="shared" si="17"/>
        <v/>
      </c>
    </row>
    <row r="565" spans="1:2" x14ac:dyDescent="0.25">
      <c r="A565" s="15" t="str">
        <f t="shared" si="16"/>
        <v/>
      </c>
      <c r="B565" s="18" t="str">
        <f t="shared" si="17"/>
        <v/>
      </c>
    </row>
    <row r="566" spans="1:2" x14ac:dyDescent="0.25">
      <c r="A566" s="15" t="str">
        <f t="shared" si="16"/>
        <v/>
      </c>
      <c r="B566" s="18" t="str">
        <f t="shared" si="17"/>
        <v/>
      </c>
    </row>
    <row r="567" spans="1:2" x14ac:dyDescent="0.25">
      <c r="A567" s="15" t="str">
        <f t="shared" si="16"/>
        <v/>
      </c>
      <c r="B567" s="18" t="str">
        <f t="shared" si="17"/>
        <v/>
      </c>
    </row>
    <row r="568" spans="1:2" x14ac:dyDescent="0.25">
      <c r="A568" s="15" t="str">
        <f t="shared" si="16"/>
        <v/>
      </c>
      <c r="B568" s="18" t="str">
        <f t="shared" si="17"/>
        <v/>
      </c>
    </row>
    <row r="569" spans="1:2" x14ac:dyDescent="0.25">
      <c r="A569" s="15" t="str">
        <f t="shared" si="16"/>
        <v/>
      </c>
      <c r="B569" s="18" t="str">
        <f t="shared" si="17"/>
        <v/>
      </c>
    </row>
    <row r="570" spans="1:2" x14ac:dyDescent="0.25">
      <c r="A570" s="15" t="str">
        <f t="shared" si="16"/>
        <v/>
      </c>
      <c r="B570" s="18" t="str">
        <f t="shared" si="17"/>
        <v/>
      </c>
    </row>
    <row r="571" spans="1:2" x14ac:dyDescent="0.25">
      <c r="A571" s="15" t="str">
        <f t="shared" si="16"/>
        <v/>
      </c>
      <c r="B571" s="18" t="str">
        <f t="shared" si="17"/>
        <v/>
      </c>
    </row>
    <row r="572" spans="1:2" x14ac:dyDescent="0.25">
      <c r="A572" s="15" t="str">
        <f t="shared" si="16"/>
        <v/>
      </c>
      <c r="B572" s="18" t="str">
        <f t="shared" si="17"/>
        <v/>
      </c>
    </row>
    <row r="573" spans="1:2" x14ac:dyDescent="0.25">
      <c r="A573" s="15" t="str">
        <f t="shared" si="16"/>
        <v/>
      </c>
      <c r="B573" s="18" t="str">
        <f t="shared" si="17"/>
        <v/>
      </c>
    </row>
    <row r="574" spans="1:2" x14ac:dyDescent="0.25">
      <c r="A574" s="15" t="str">
        <f t="shared" si="16"/>
        <v/>
      </c>
      <c r="B574" s="18" t="str">
        <f t="shared" si="17"/>
        <v/>
      </c>
    </row>
    <row r="575" spans="1:2" x14ac:dyDescent="0.25">
      <c r="A575" s="15" t="str">
        <f t="shared" si="16"/>
        <v/>
      </c>
      <c r="B575" s="18" t="str">
        <f t="shared" si="17"/>
        <v/>
      </c>
    </row>
    <row r="576" spans="1:2" x14ac:dyDescent="0.25">
      <c r="A576" s="15" t="str">
        <f t="shared" si="16"/>
        <v/>
      </c>
      <c r="B576" s="18" t="str">
        <f t="shared" si="17"/>
        <v/>
      </c>
    </row>
    <row r="577" spans="1:2" x14ac:dyDescent="0.25">
      <c r="A577" s="15" t="str">
        <f t="shared" si="16"/>
        <v/>
      </c>
      <c r="B577" s="18" t="str">
        <f t="shared" si="17"/>
        <v/>
      </c>
    </row>
    <row r="578" spans="1:2" x14ac:dyDescent="0.25">
      <c r="A578" s="15" t="str">
        <f t="shared" ref="A578:A641" si="18">B578&amp;C578</f>
        <v/>
      </c>
      <c r="B578" s="18" t="str">
        <f t="shared" si="17"/>
        <v/>
      </c>
    </row>
    <row r="579" spans="1:2" x14ac:dyDescent="0.25">
      <c r="A579" s="15" t="str">
        <f t="shared" si="18"/>
        <v/>
      </c>
      <c r="B579" s="18" t="str">
        <f t="shared" ref="B579:B642" si="19">IF(C579="","",B578)</f>
        <v/>
      </c>
    </row>
    <row r="580" spans="1:2" x14ac:dyDescent="0.25">
      <c r="A580" s="15" t="str">
        <f t="shared" si="18"/>
        <v/>
      </c>
      <c r="B580" s="18" t="str">
        <f t="shared" si="19"/>
        <v/>
      </c>
    </row>
    <row r="581" spans="1:2" x14ac:dyDescent="0.25">
      <c r="A581" s="15" t="str">
        <f t="shared" si="18"/>
        <v/>
      </c>
      <c r="B581" s="18" t="str">
        <f t="shared" si="19"/>
        <v/>
      </c>
    </row>
    <row r="582" spans="1:2" x14ac:dyDescent="0.25">
      <c r="A582" s="15" t="str">
        <f t="shared" si="18"/>
        <v/>
      </c>
      <c r="B582" s="18" t="str">
        <f t="shared" si="19"/>
        <v/>
      </c>
    </row>
    <row r="583" spans="1:2" x14ac:dyDescent="0.25">
      <c r="A583" s="15" t="str">
        <f t="shared" si="18"/>
        <v/>
      </c>
      <c r="B583" s="18" t="str">
        <f t="shared" si="19"/>
        <v/>
      </c>
    </row>
    <row r="584" spans="1:2" x14ac:dyDescent="0.25">
      <c r="A584" s="15" t="str">
        <f t="shared" si="18"/>
        <v/>
      </c>
      <c r="B584" s="18" t="str">
        <f t="shared" si="19"/>
        <v/>
      </c>
    </row>
    <row r="585" spans="1:2" x14ac:dyDescent="0.25">
      <c r="A585" s="15" t="str">
        <f t="shared" si="18"/>
        <v/>
      </c>
      <c r="B585" s="18" t="str">
        <f t="shared" si="19"/>
        <v/>
      </c>
    </row>
    <row r="586" spans="1:2" x14ac:dyDescent="0.25">
      <c r="A586" s="15" t="str">
        <f t="shared" si="18"/>
        <v/>
      </c>
      <c r="B586" s="18" t="str">
        <f t="shared" si="19"/>
        <v/>
      </c>
    </row>
    <row r="587" spans="1:2" x14ac:dyDescent="0.25">
      <c r="A587" s="15" t="str">
        <f t="shared" si="18"/>
        <v/>
      </c>
      <c r="B587" s="18" t="str">
        <f t="shared" si="19"/>
        <v/>
      </c>
    </row>
    <row r="588" spans="1:2" x14ac:dyDescent="0.25">
      <c r="A588" s="15" t="str">
        <f t="shared" si="18"/>
        <v/>
      </c>
      <c r="B588" s="18" t="str">
        <f t="shared" si="19"/>
        <v/>
      </c>
    </row>
    <row r="589" spans="1:2" x14ac:dyDescent="0.25">
      <c r="A589" s="15" t="str">
        <f t="shared" si="18"/>
        <v/>
      </c>
      <c r="B589" s="18" t="str">
        <f t="shared" si="19"/>
        <v/>
      </c>
    </row>
    <row r="590" spans="1:2" x14ac:dyDescent="0.25">
      <c r="A590" s="15" t="str">
        <f t="shared" si="18"/>
        <v/>
      </c>
      <c r="B590" s="18" t="str">
        <f t="shared" si="19"/>
        <v/>
      </c>
    </row>
    <row r="591" spans="1:2" x14ac:dyDescent="0.25">
      <c r="A591" s="15" t="str">
        <f t="shared" si="18"/>
        <v/>
      </c>
      <c r="B591" s="18" t="str">
        <f t="shared" si="19"/>
        <v/>
      </c>
    </row>
    <row r="592" spans="1:2" x14ac:dyDescent="0.25">
      <c r="A592" s="15" t="str">
        <f t="shared" si="18"/>
        <v/>
      </c>
      <c r="B592" s="18" t="str">
        <f t="shared" si="19"/>
        <v/>
      </c>
    </row>
    <row r="593" spans="1:2" x14ac:dyDescent="0.25">
      <c r="A593" s="15" t="str">
        <f t="shared" si="18"/>
        <v/>
      </c>
      <c r="B593" s="18" t="str">
        <f t="shared" si="19"/>
        <v/>
      </c>
    </row>
    <row r="594" spans="1:2" x14ac:dyDescent="0.25">
      <c r="A594" s="15" t="str">
        <f t="shared" si="18"/>
        <v/>
      </c>
      <c r="B594" s="18" t="str">
        <f t="shared" si="19"/>
        <v/>
      </c>
    </row>
    <row r="595" spans="1:2" x14ac:dyDescent="0.25">
      <c r="A595" s="15" t="str">
        <f t="shared" si="18"/>
        <v/>
      </c>
      <c r="B595" s="18" t="str">
        <f t="shared" si="19"/>
        <v/>
      </c>
    </row>
    <row r="596" spans="1:2" x14ac:dyDescent="0.25">
      <c r="A596" s="15" t="str">
        <f t="shared" si="18"/>
        <v/>
      </c>
      <c r="B596" s="18" t="str">
        <f t="shared" si="19"/>
        <v/>
      </c>
    </row>
    <row r="597" spans="1:2" x14ac:dyDescent="0.25">
      <c r="A597" s="15" t="str">
        <f t="shared" si="18"/>
        <v/>
      </c>
      <c r="B597" s="18" t="str">
        <f t="shared" si="19"/>
        <v/>
      </c>
    </row>
    <row r="598" spans="1:2" x14ac:dyDescent="0.25">
      <c r="A598" s="15" t="str">
        <f t="shared" si="18"/>
        <v/>
      </c>
      <c r="B598" s="18" t="str">
        <f t="shared" si="19"/>
        <v/>
      </c>
    </row>
    <row r="599" spans="1:2" x14ac:dyDescent="0.25">
      <c r="A599" s="15" t="str">
        <f t="shared" si="18"/>
        <v/>
      </c>
      <c r="B599" s="18" t="str">
        <f t="shared" si="19"/>
        <v/>
      </c>
    </row>
    <row r="600" spans="1:2" x14ac:dyDescent="0.25">
      <c r="A600" s="15" t="str">
        <f t="shared" si="18"/>
        <v/>
      </c>
      <c r="B600" s="18" t="str">
        <f t="shared" si="19"/>
        <v/>
      </c>
    </row>
    <row r="601" spans="1:2" x14ac:dyDescent="0.25">
      <c r="A601" s="15" t="str">
        <f t="shared" si="18"/>
        <v/>
      </c>
      <c r="B601" s="18" t="str">
        <f t="shared" si="19"/>
        <v/>
      </c>
    </row>
    <row r="602" spans="1:2" x14ac:dyDescent="0.25">
      <c r="A602" s="15" t="str">
        <f t="shared" si="18"/>
        <v/>
      </c>
      <c r="B602" s="18" t="str">
        <f t="shared" si="19"/>
        <v/>
      </c>
    </row>
    <row r="603" spans="1:2" x14ac:dyDescent="0.25">
      <c r="A603" s="15" t="str">
        <f t="shared" si="18"/>
        <v/>
      </c>
      <c r="B603" s="18" t="str">
        <f t="shared" si="19"/>
        <v/>
      </c>
    </row>
    <row r="604" spans="1:2" x14ac:dyDescent="0.25">
      <c r="A604" s="15" t="str">
        <f t="shared" si="18"/>
        <v/>
      </c>
      <c r="B604" s="18" t="str">
        <f t="shared" si="19"/>
        <v/>
      </c>
    </row>
    <row r="605" spans="1:2" x14ac:dyDescent="0.25">
      <c r="A605" s="15" t="str">
        <f t="shared" si="18"/>
        <v/>
      </c>
      <c r="B605" s="18" t="str">
        <f t="shared" si="19"/>
        <v/>
      </c>
    </row>
    <row r="606" spans="1:2" x14ac:dyDescent="0.25">
      <c r="A606" s="15" t="str">
        <f t="shared" si="18"/>
        <v/>
      </c>
      <c r="B606" s="18" t="str">
        <f t="shared" si="19"/>
        <v/>
      </c>
    </row>
    <row r="607" spans="1:2" x14ac:dyDescent="0.25">
      <c r="A607" s="15" t="str">
        <f t="shared" si="18"/>
        <v/>
      </c>
      <c r="B607" s="18" t="str">
        <f t="shared" si="19"/>
        <v/>
      </c>
    </row>
    <row r="608" spans="1:2" x14ac:dyDescent="0.25">
      <c r="A608" s="15" t="str">
        <f t="shared" si="18"/>
        <v/>
      </c>
      <c r="B608" s="18" t="str">
        <f t="shared" si="19"/>
        <v/>
      </c>
    </row>
    <row r="609" spans="1:2" x14ac:dyDescent="0.25">
      <c r="A609" s="15" t="str">
        <f t="shared" si="18"/>
        <v/>
      </c>
      <c r="B609" s="18" t="str">
        <f t="shared" si="19"/>
        <v/>
      </c>
    </row>
    <row r="610" spans="1:2" x14ac:dyDescent="0.25">
      <c r="A610" s="15" t="str">
        <f t="shared" si="18"/>
        <v/>
      </c>
      <c r="B610" s="18" t="str">
        <f t="shared" si="19"/>
        <v/>
      </c>
    </row>
    <row r="611" spans="1:2" x14ac:dyDescent="0.25">
      <c r="A611" s="15" t="str">
        <f t="shared" si="18"/>
        <v/>
      </c>
      <c r="B611" s="18" t="str">
        <f t="shared" si="19"/>
        <v/>
      </c>
    </row>
    <row r="612" spans="1:2" x14ac:dyDescent="0.25">
      <c r="A612" s="15" t="str">
        <f t="shared" si="18"/>
        <v/>
      </c>
      <c r="B612" s="18" t="str">
        <f t="shared" si="19"/>
        <v/>
      </c>
    </row>
    <row r="613" spans="1:2" x14ac:dyDescent="0.25">
      <c r="A613" s="15" t="str">
        <f t="shared" si="18"/>
        <v/>
      </c>
      <c r="B613" s="18" t="str">
        <f t="shared" si="19"/>
        <v/>
      </c>
    </row>
    <row r="614" spans="1:2" x14ac:dyDescent="0.25">
      <c r="A614" s="15" t="str">
        <f t="shared" si="18"/>
        <v/>
      </c>
      <c r="B614" s="18" t="str">
        <f t="shared" si="19"/>
        <v/>
      </c>
    </row>
    <row r="615" spans="1:2" x14ac:dyDescent="0.25">
      <c r="A615" s="15" t="str">
        <f t="shared" si="18"/>
        <v/>
      </c>
      <c r="B615" s="18" t="str">
        <f t="shared" si="19"/>
        <v/>
      </c>
    </row>
    <row r="616" spans="1:2" x14ac:dyDescent="0.25">
      <c r="A616" s="15" t="str">
        <f t="shared" si="18"/>
        <v/>
      </c>
      <c r="B616" s="18" t="str">
        <f t="shared" si="19"/>
        <v/>
      </c>
    </row>
    <row r="617" spans="1:2" x14ac:dyDescent="0.25">
      <c r="A617" s="15" t="str">
        <f t="shared" si="18"/>
        <v/>
      </c>
      <c r="B617" s="18" t="str">
        <f t="shared" si="19"/>
        <v/>
      </c>
    </row>
    <row r="618" spans="1:2" x14ac:dyDescent="0.25">
      <c r="A618" s="15" t="str">
        <f t="shared" si="18"/>
        <v/>
      </c>
      <c r="B618" s="18" t="str">
        <f t="shared" si="19"/>
        <v/>
      </c>
    </row>
    <row r="619" spans="1:2" x14ac:dyDescent="0.25">
      <c r="A619" s="15" t="str">
        <f t="shared" si="18"/>
        <v/>
      </c>
      <c r="B619" s="18" t="str">
        <f t="shared" si="19"/>
        <v/>
      </c>
    </row>
    <row r="620" spans="1:2" x14ac:dyDescent="0.25">
      <c r="A620" s="15" t="str">
        <f t="shared" si="18"/>
        <v/>
      </c>
      <c r="B620" s="18" t="str">
        <f t="shared" si="19"/>
        <v/>
      </c>
    </row>
    <row r="621" spans="1:2" x14ac:dyDescent="0.25">
      <c r="A621" s="15" t="str">
        <f t="shared" si="18"/>
        <v/>
      </c>
      <c r="B621" s="18" t="str">
        <f t="shared" si="19"/>
        <v/>
      </c>
    </row>
    <row r="622" spans="1:2" x14ac:dyDescent="0.25">
      <c r="A622" s="15" t="str">
        <f t="shared" si="18"/>
        <v/>
      </c>
      <c r="B622" s="18" t="str">
        <f t="shared" si="19"/>
        <v/>
      </c>
    </row>
    <row r="623" spans="1:2" x14ac:dyDescent="0.25">
      <c r="A623" s="15" t="str">
        <f t="shared" si="18"/>
        <v/>
      </c>
      <c r="B623" s="18" t="str">
        <f t="shared" si="19"/>
        <v/>
      </c>
    </row>
    <row r="624" spans="1:2" x14ac:dyDescent="0.25">
      <c r="A624" s="15" t="str">
        <f t="shared" si="18"/>
        <v/>
      </c>
      <c r="B624" s="18" t="str">
        <f t="shared" si="19"/>
        <v/>
      </c>
    </row>
    <row r="625" spans="1:2" x14ac:dyDescent="0.25">
      <c r="A625" s="15" t="str">
        <f t="shared" si="18"/>
        <v/>
      </c>
      <c r="B625" s="18" t="str">
        <f t="shared" si="19"/>
        <v/>
      </c>
    </row>
    <row r="626" spans="1:2" x14ac:dyDescent="0.25">
      <c r="A626" s="15" t="str">
        <f t="shared" si="18"/>
        <v/>
      </c>
      <c r="B626" s="18" t="str">
        <f t="shared" si="19"/>
        <v/>
      </c>
    </row>
    <row r="627" spans="1:2" x14ac:dyDescent="0.25">
      <c r="A627" s="15" t="str">
        <f t="shared" si="18"/>
        <v/>
      </c>
      <c r="B627" s="18" t="str">
        <f t="shared" si="19"/>
        <v/>
      </c>
    </row>
    <row r="628" spans="1:2" x14ac:dyDescent="0.25">
      <c r="A628" s="15" t="str">
        <f t="shared" si="18"/>
        <v/>
      </c>
      <c r="B628" s="18" t="str">
        <f t="shared" si="19"/>
        <v/>
      </c>
    </row>
    <row r="629" spans="1:2" x14ac:dyDescent="0.25">
      <c r="A629" s="15" t="str">
        <f t="shared" si="18"/>
        <v/>
      </c>
      <c r="B629" s="18" t="str">
        <f t="shared" si="19"/>
        <v/>
      </c>
    </row>
    <row r="630" spans="1:2" x14ac:dyDescent="0.25">
      <c r="A630" s="15" t="str">
        <f t="shared" si="18"/>
        <v/>
      </c>
      <c r="B630" s="18" t="str">
        <f t="shared" si="19"/>
        <v/>
      </c>
    </row>
    <row r="631" spans="1:2" x14ac:dyDescent="0.25">
      <c r="A631" s="15" t="str">
        <f t="shared" si="18"/>
        <v/>
      </c>
      <c r="B631" s="18" t="str">
        <f t="shared" si="19"/>
        <v/>
      </c>
    </row>
    <row r="632" spans="1:2" x14ac:dyDescent="0.25">
      <c r="A632" s="15" t="str">
        <f t="shared" si="18"/>
        <v/>
      </c>
      <c r="B632" s="18" t="str">
        <f t="shared" si="19"/>
        <v/>
      </c>
    </row>
    <row r="633" spans="1:2" x14ac:dyDescent="0.25">
      <c r="A633" s="15" t="str">
        <f t="shared" si="18"/>
        <v/>
      </c>
      <c r="B633" s="18" t="str">
        <f t="shared" si="19"/>
        <v/>
      </c>
    </row>
    <row r="634" spans="1:2" x14ac:dyDescent="0.25">
      <c r="A634" s="15" t="str">
        <f t="shared" si="18"/>
        <v/>
      </c>
      <c r="B634" s="18" t="str">
        <f t="shared" si="19"/>
        <v/>
      </c>
    </row>
    <row r="635" spans="1:2" x14ac:dyDescent="0.25">
      <c r="A635" s="15" t="str">
        <f t="shared" si="18"/>
        <v/>
      </c>
      <c r="B635" s="18" t="str">
        <f t="shared" si="19"/>
        <v/>
      </c>
    </row>
    <row r="636" spans="1:2" x14ac:dyDescent="0.25">
      <c r="A636" s="15" t="str">
        <f t="shared" si="18"/>
        <v/>
      </c>
      <c r="B636" s="18" t="str">
        <f t="shared" si="19"/>
        <v/>
      </c>
    </row>
    <row r="637" spans="1:2" x14ac:dyDescent="0.25">
      <c r="A637" s="15" t="str">
        <f t="shared" si="18"/>
        <v/>
      </c>
      <c r="B637" s="18" t="str">
        <f t="shared" si="19"/>
        <v/>
      </c>
    </row>
    <row r="638" spans="1:2" x14ac:dyDescent="0.25">
      <c r="A638" s="15" t="str">
        <f t="shared" si="18"/>
        <v/>
      </c>
      <c r="B638" s="18" t="str">
        <f t="shared" si="19"/>
        <v/>
      </c>
    </row>
    <row r="639" spans="1:2" x14ac:dyDescent="0.25">
      <c r="A639" s="15" t="str">
        <f t="shared" si="18"/>
        <v/>
      </c>
      <c r="B639" s="18" t="str">
        <f t="shared" si="19"/>
        <v/>
      </c>
    </row>
    <row r="640" spans="1:2" x14ac:dyDescent="0.25">
      <c r="A640" s="15" t="str">
        <f t="shared" si="18"/>
        <v/>
      </c>
      <c r="B640" s="18" t="str">
        <f t="shared" si="19"/>
        <v/>
      </c>
    </row>
    <row r="641" spans="1:2" x14ac:dyDescent="0.25">
      <c r="A641" s="15" t="str">
        <f t="shared" si="18"/>
        <v/>
      </c>
      <c r="B641" s="18" t="str">
        <f t="shared" si="19"/>
        <v/>
      </c>
    </row>
    <row r="642" spans="1:2" x14ac:dyDescent="0.25">
      <c r="A642" s="15" t="str">
        <f t="shared" ref="A642:A705" si="20">B642&amp;C642</f>
        <v/>
      </c>
      <c r="B642" s="18" t="str">
        <f t="shared" si="19"/>
        <v/>
      </c>
    </row>
    <row r="643" spans="1:2" x14ac:dyDescent="0.25">
      <c r="A643" s="15" t="str">
        <f t="shared" si="20"/>
        <v/>
      </c>
      <c r="B643" s="18" t="str">
        <f t="shared" ref="B643:B706" si="21">IF(C643="","",B642)</f>
        <v/>
      </c>
    </row>
    <row r="644" spans="1:2" x14ac:dyDescent="0.25">
      <c r="A644" s="15" t="str">
        <f t="shared" si="20"/>
        <v/>
      </c>
      <c r="B644" s="18" t="str">
        <f t="shared" si="21"/>
        <v/>
      </c>
    </row>
    <row r="645" spans="1:2" x14ac:dyDescent="0.25">
      <c r="A645" s="15" t="str">
        <f t="shared" si="20"/>
        <v/>
      </c>
      <c r="B645" s="18" t="str">
        <f t="shared" si="21"/>
        <v/>
      </c>
    </row>
    <row r="646" spans="1:2" x14ac:dyDescent="0.25">
      <c r="A646" s="15" t="str">
        <f t="shared" si="20"/>
        <v/>
      </c>
      <c r="B646" s="18" t="str">
        <f t="shared" si="21"/>
        <v/>
      </c>
    </row>
    <row r="647" spans="1:2" x14ac:dyDescent="0.25">
      <c r="A647" s="15" t="str">
        <f t="shared" si="20"/>
        <v/>
      </c>
      <c r="B647" s="18" t="str">
        <f t="shared" si="21"/>
        <v/>
      </c>
    </row>
    <row r="648" spans="1:2" x14ac:dyDescent="0.25">
      <c r="A648" s="15" t="str">
        <f t="shared" si="20"/>
        <v/>
      </c>
      <c r="B648" s="18" t="str">
        <f t="shared" si="21"/>
        <v/>
      </c>
    </row>
    <row r="649" spans="1:2" x14ac:dyDescent="0.25">
      <c r="A649" s="15" t="str">
        <f t="shared" si="20"/>
        <v/>
      </c>
      <c r="B649" s="18" t="str">
        <f t="shared" si="21"/>
        <v/>
      </c>
    </row>
    <row r="650" spans="1:2" x14ac:dyDescent="0.25">
      <c r="A650" s="15" t="str">
        <f t="shared" si="20"/>
        <v/>
      </c>
      <c r="B650" s="18" t="str">
        <f t="shared" si="21"/>
        <v/>
      </c>
    </row>
    <row r="651" spans="1:2" x14ac:dyDescent="0.25">
      <c r="A651" s="15" t="str">
        <f t="shared" si="20"/>
        <v/>
      </c>
      <c r="B651" s="18" t="str">
        <f t="shared" si="21"/>
        <v/>
      </c>
    </row>
    <row r="652" spans="1:2" x14ac:dyDescent="0.25">
      <c r="A652" s="15" t="str">
        <f t="shared" si="20"/>
        <v/>
      </c>
      <c r="B652" s="18" t="str">
        <f t="shared" si="21"/>
        <v/>
      </c>
    </row>
    <row r="653" spans="1:2" x14ac:dyDescent="0.25">
      <c r="A653" s="15" t="str">
        <f t="shared" si="20"/>
        <v/>
      </c>
      <c r="B653" s="18" t="str">
        <f t="shared" si="21"/>
        <v/>
      </c>
    </row>
    <row r="654" spans="1:2" x14ac:dyDescent="0.25">
      <c r="A654" s="15" t="str">
        <f t="shared" si="20"/>
        <v/>
      </c>
      <c r="B654" s="18" t="str">
        <f t="shared" si="21"/>
        <v/>
      </c>
    </row>
    <row r="655" spans="1:2" x14ac:dyDescent="0.25">
      <c r="A655" s="15" t="str">
        <f t="shared" si="20"/>
        <v/>
      </c>
      <c r="B655" s="18" t="str">
        <f t="shared" si="21"/>
        <v/>
      </c>
    </row>
    <row r="656" spans="1:2" x14ac:dyDescent="0.25">
      <c r="A656" s="15" t="str">
        <f t="shared" si="20"/>
        <v/>
      </c>
      <c r="B656" s="18" t="str">
        <f t="shared" si="21"/>
        <v/>
      </c>
    </row>
    <row r="657" spans="1:2" x14ac:dyDescent="0.25">
      <c r="A657" s="15" t="str">
        <f t="shared" si="20"/>
        <v/>
      </c>
      <c r="B657" s="18" t="str">
        <f t="shared" si="21"/>
        <v/>
      </c>
    </row>
    <row r="658" spans="1:2" x14ac:dyDescent="0.25">
      <c r="A658" s="15" t="str">
        <f t="shared" si="20"/>
        <v/>
      </c>
      <c r="B658" s="18" t="str">
        <f t="shared" si="21"/>
        <v/>
      </c>
    </row>
    <row r="659" spans="1:2" x14ac:dyDescent="0.25">
      <c r="A659" s="15" t="str">
        <f t="shared" si="20"/>
        <v/>
      </c>
      <c r="B659" s="18" t="str">
        <f t="shared" si="21"/>
        <v/>
      </c>
    </row>
    <row r="660" spans="1:2" x14ac:dyDescent="0.25">
      <c r="A660" s="15" t="str">
        <f t="shared" si="20"/>
        <v/>
      </c>
      <c r="B660" s="18" t="str">
        <f t="shared" si="21"/>
        <v/>
      </c>
    </row>
    <row r="661" spans="1:2" x14ac:dyDescent="0.25">
      <c r="A661" s="15" t="str">
        <f t="shared" si="20"/>
        <v/>
      </c>
      <c r="B661" s="18" t="str">
        <f t="shared" si="21"/>
        <v/>
      </c>
    </row>
    <row r="662" spans="1:2" x14ac:dyDescent="0.25">
      <c r="A662" s="15" t="str">
        <f t="shared" si="20"/>
        <v/>
      </c>
      <c r="B662" s="18" t="str">
        <f t="shared" si="21"/>
        <v/>
      </c>
    </row>
    <row r="663" spans="1:2" x14ac:dyDescent="0.25">
      <c r="A663" s="15" t="str">
        <f t="shared" si="20"/>
        <v/>
      </c>
      <c r="B663" s="18" t="str">
        <f t="shared" si="21"/>
        <v/>
      </c>
    </row>
    <row r="664" spans="1:2" x14ac:dyDescent="0.25">
      <c r="A664" s="15" t="str">
        <f t="shared" si="20"/>
        <v/>
      </c>
      <c r="B664" s="18" t="str">
        <f t="shared" si="21"/>
        <v/>
      </c>
    </row>
    <row r="665" spans="1:2" x14ac:dyDescent="0.25">
      <c r="A665" s="15" t="str">
        <f t="shared" si="20"/>
        <v/>
      </c>
      <c r="B665" s="18" t="str">
        <f t="shared" si="21"/>
        <v/>
      </c>
    </row>
    <row r="666" spans="1:2" x14ac:dyDescent="0.25">
      <c r="A666" s="15" t="str">
        <f t="shared" si="20"/>
        <v/>
      </c>
      <c r="B666" s="18" t="str">
        <f t="shared" si="21"/>
        <v/>
      </c>
    </row>
    <row r="667" spans="1:2" x14ac:dyDescent="0.25">
      <c r="A667" s="15" t="str">
        <f t="shared" si="20"/>
        <v/>
      </c>
      <c r="B667" s="18" t="str">
        <f t="shared" si="21"/>
        <v/>
      </c>
    </row>
    <row r="668" spans="1:2" x14ac:dyDescent="0.25">
      <c r="A668" s="15" t="str">
        <f t="shared" si="20"/>
        <v/>
      </c>
      <c r="B668" s="18" t="str">
        <f t="shared" si="21"/>
        <v/>
      </c>
    </row>
    <row r="669" spans="1:2" x14ac:dyDescent="0.25">
      <c r="A669" s="15" t="str">
        <f t="shared" si="20"/>
        <v/>
      </c>
      <c r="B669" s="18" t="str">
        <f t="shared" si="21"/>
        <v/>
      </c>
    </row>
    <row r="670" spans="1:2" x14ac:dyDescent="0.25">
      <c r="A670" s="15" t="str">
        <f t="shared" si="20"/>
        <v/>
      </c>
      <c r="B670" s="18" t="str">
        <f t="shared" si="21"/>
        <v/>
      </c>
    </row>
    <row r="671" spans="1:2" x14ac:dyDescent="0.25">
      <c r="A671" s="15" t="str">
        <f t="shared" si="20"/>
        <v/>
      </c>
      <c r="B671" s="18" t="str">
        <f t="shared" si="21"/>
        <v/>
      </c>
    </row>
    <row r="672" spans="1:2" x14ac:dyDescent="0.25">
      <c r="A672" s="15" t="str">
        <f t="shared" si="20"/>
        <v/>
      </c>
      <c r="B672" s="18" t="str">
        <f t="shared" si="21"/>
        <v/>
      </c>
    </row>
    <row r="673" spans="1:2" x14ac:dyDescent="0.25">
      <c r="A673" s="15" t="str">
        <f t="shared" si="20"/>
        <v/>
      </c>
      <c r="B673" s="18" t="str">
        <f t="shared" si="21"/>
        <v/>
      </c>
    </row>
    <row r="674" spans="1:2" x14ac:dyDescent="0.25">
      <c r="A674" s="15" t="str">
        <f t="shared" si="20"/>
        <v/>
      </c>
      <c r="B674" s="18" t="str">
        <f t="shared" si="21"/>
        <v/>
      </c>
    </row>
    <row r="675" spans="1:2" x14ac:dyDescent="0.25">
      <c r="A675" s="15" t="str">
        <f t="shared" si="20"/>
        <v/>
      </c>
      <c r="B675" s="18" t="str">
        <f t="shared" si="21"/>
        <v/>
      </c>
    </row>
    <row r="676" spans="1:2" x14ac:dyDescent="0.25">
      <c r="A676" s="15" t="str">
        <f t="shared" si="20"/>
        <v/>
      </c>
      <c r="B676" s="18" t="str">
        <f t="shared" si="21"/>
        <v/>
      </c>
    </row>
    <row r="677" spans="1:2" x14ac:dyDescent="0.25">
      <c r="A677" s="15" t="str">
        <f t="shared" si="20"/>
        <v/>
      </c>
      <c r="B677" s="18" t="str">
        <f t="shared" si="21"/>
        <v/>
      </c>
    </row>
    <row r="678" spans="1:2" x14ac:dyDescent="0.25">
      <c r="A678" s="15" t="str">
        <f t="shared" si="20"/>
        <v/>
      </c>
      <c r="B678" s="18" t="str">
        <f t="shared" si="21"/>
        <v/>
      </c>
    </row>
    <row r="679" spans="1:2" x14ac:dyDescent="0.25">
      <c r="A679" s="15" t="str">
        <f t="shared" si="20"/>
        <v/>
      </c>
      <c r="B679" s="18" t="str">
        <f t="shared" si="21"/>
        <v/>
      </c>
    </row>
    <row r="680" spans="1:2" x14ac:dyDescent="0.25">
      <c r="A680" s="15" t="str">
        <f t="shared" si="20"/>
        <v/>
      </c>
      <c r="B680" s="18" t="str">
        <f t="shared" si="21"/>
        <v/>
      </c>
    </row>
    <row r="681" spans="1:2" x14ac:dyDescent="0.25">
      <c r="A681" s="15" t="str">
        <f t="shared" si="20"/>
        <v/>
      </c>
      <c r="B681" s="18" t="str">
        <f t="shared" si="21"/>
        <v/>
      </c>
    </row>
    <row r="682" spans="1:2" x14ac:dyDescent="0.25">
      <c r="A682" s="15" t="str">
        <f t="shared" si="20"/>
        <v/>
      </c>
      <c r="B682" s="18" t="str">
        <f t="shared" si="21"/>
        <v/>
      </c>
    </row>
    <row r="683" spans="1:2" x14ac:dyDescent="0.25">
      <c r="A683" s="15" t="str">
        <f t="shared" si="20"/>
        <v/>
      </c>
      <c r="B683" s="18" t="str">
        <f t="shared" si="21"/>
        <v/>
      </c>
    </row>
    <row r="684" spans="1:2" x14ac:dyDescent="0.25">
      <c r="A684" s="15" t="str">
        <f t="shared" si="20"/>
        <v/>
      </c>
      <c r="B684" s="18" t="str">
        <f t="shared" si="21"/>
        <v/>
      </c>
    </row>
    <row r="685" spans="1:2" x14ac:dyDescent="0.25">
      <c r="A685" s="15" t="str">
        <f t="shared" si="20"/>
        <v/>
      </c>
      <c r="B685" s="18" t="str">
        <f t="shared" si="21"/>
        <v/>
      </c>
    </row>
    <row r="686" spans="1:2" x14ac:dyDescent="0.25">
      <c r="A686" s="15" t="str">
        <f t="shared" si="20"/>
        <v/>
      </c>
      <c r="B686" s="18" t="str">
        <f t="shared" si="21"/>
        <v/>
      </c>
    </row>
    <row r="687" spans="1:2" x14ac:dyDescent="0.25">
      <c r="A687" s="15" t="str">
        <f t="shared" si="20"/>
        <v/>
      </c>
      <c r="B687" s="18" t="str">
        <f t="shared" si="21"/>
        <v/>
      </c>
    </row>
    <row r="688" spans="1:2" x14ac:dyDescent="0.25">
      <c r="A688" s="15" t="str">
        <f t="shared" si="20"/>
        <v/>
      </c>
      <c r="B688" s="18" t="str">
        <f t="shared" si="21"/>
        <v/>
      </c>
    </row>
    <row r="689" spans="1:2" x14ac:dyDescent="0.25">
      <c r="A689" s="15" t="str">
        <f t="shared" si="20"/>
        <v/>
      </c>
      <c r="B689" s="18" t="str">
        <f t="shared" si="21"/>
        <v/>
      </c>
    </row>
    <row r="690" spans="1:2" x14ac:dyDescent="0.25">
      <c r="A690" s="15" t="str">
        <f t="shared" si="20"/>
        <v/>
      </c>
      <c r="B690" s="18" t="str">
        <f t="shared" si="21"/>
        <v/>
      </c>
    </row>
    <row r="691" spans="1:2" x14ac:dyDescent="0.25">
      <c r="A691" s="15" t="str">
        <f t="shared" si="20"/>
        <v/>
      </c>
      <c r="B691" s="18" t="str">
        <f t="shared" si="21"/>
        <v/>
      </c>
    </row>
    <row r="692" spans="1:2" x14ac:dyDescent="0.25">
      <c r="A692" s="15" t="str">
        <f t="shared" si="20"/>
        <v/>
      </c>
      <c r="B692" s="18" t="str">
        <f t="shared" si="21"/>
        <v/>
      </c>
    </row>
    <row r="693" spans="1:2" x14ac:dyDescent="0.25">
      <c r="A693" s="15" t="str">
        <f t="shared" si="20"/>
        <v/>
      </c>
      <c r="B693" s="18" t="str">
        <f t="shared" si="21"/>
        <v/>
      </c>
    </row>
    <row r="694" spans="1:2" x14ac:dyDescent="0.25">
      <c r="A694" s="15" t="str">
        <f t="shared" si="20"/>
        <v/>
      </c>
      <c r="B694" s="18" t="str">
        <f t="shared" si="21"/>
        <v/>
      </c>
    </row>
    <row r="695" spans="1:2" x14ac:dyDescent="0.25">
      <c r="A695" s="15" t="str">
        <f t="shared" si="20"/>
        <v/>
      </c>
      <c r="B695" s="18" t="str">
        <f t="shared" si="21"/>
        <v/>
      </c>
    </row>
    <row r="696" spans="1:2" x14ac:dyDescent="0.25">
      <c r="A696" s="15" t="str">
        <f t="shared" si="20"/>
        <v/>
      </c>
      <c r="B696" s="18" t="str">
        <f t="shared" si="21"/>
        <v/>
      </c>
    </row>
    <row r="697" spans="1:2" x14ac:dyDescent="0.25">
      <c r="A697" s="15" t="str">
        <f t="shared" si="20"/>
        <v/>
      </c>
      <c r="B697" s="18" t="str">
        <f t="shared" si="21"/>
        <v/>
      </c>
    </row>
    <row r="698" spans="1:2" x14ac:dyDescent="0.25">
      <c r="A698" s="15" t="str">
        <f t="shared" si="20"/>
        <v/>
      </c>
      <c r="B698" s="18" t="str">
        <f t="shared" si="21"/>
        <v/>
      </c>
    </row>
    <row r="699" spans="1:2" x14ac:dyDescent="0.25">
      <c r="A699" s="15" t="str">
        <f t="shared" si="20"/>
        <v/>
      </c>
      <c r="B699" s="18" t="str">
        <f t="shared" si="21"/>
        <v/>
      </c>
    </row>
    <row r="700" spans="1:2" x14ac:dyDescent="0.25">
      <c r="A700" s="15" t="str">
        <f t="shared" si="20"/>
        <v/>
      </c>
      <c r="B700" s="18" t="str">
        <f t="shared" si="21"/>
        <v/>
      </c>
    </row>
    <row r="701" spans="1:2" x14ac:dyDescent="0.25">
      <c r="A701" s="15" t="str">
        <f t="shared" si="20"/>
        <v/>
      </c>
      <c r="B701" s="18" t="str">
        <f t="shared" si="21"/>
        <v/>
      </c>
    </row>
    <row r="702" spans="1:2" x14ac:dyDescent="0.25">
      <c r="A702" s="15" t="str">
        <f t="shared" si="20"/>
        <v/>
      </c>
      <c r="B702" s="18" t="str">
        <f t="shared" si="21"/>
        <v/>
      </c>
    </row>
    <row r="703" spans="1:2" x14ac:dyDescent="0.25">
      <c r="A703" s="15" t="str">
        <f t="shared" si="20"/>
        <v/>
      </c>
      <c r="B703" s="18" t="str">
        <f t="shared" si="21"/>
        <v/>
      </c>
    </row>
    <row r="704" spans="1:2" x14ac:dyDescent="0.25">
      <c r="A704" s="15" t="str">
        <f t="shared" si="20"/>
        <v/>
      </c>
      <c r="B704" s="18" t="str">
        <f t="shared" si="21"/>
        <v/>
      </c>
    </row>
    <row r="705" spans="1:2" x14ac:dyDescent="0.25">
      <c r="A705" s="15" t="str">
        <f t="shared" si="20"/>
        <v/>
      </c>
      <c r="B705" s="18" t="str">
        <f t="shared" si="21"/>
        <v/>
      </c>
    </row>
    <row r="706" spans="1:2" x14ac:dyDescent="0.25">
      <c r="A706" s="15" t="str">
        <f t="shared" ref="A706:A769" si="22">B706&amp;C706</f>
        <v/>
      </c>
      <c r="B706" s="18" t="str">
        <f t="shared" si="21"/>
        <v/>
      </c>
    </row>
    <row r="707" spans="1:2" x14ac:dyDescent="0.25">
      <c r="A707" s="15" t="str">
        <f t="shared" si="22"/>
        <v/>
      </c>
      <c r="B707" s="18" t="str">
        <f t="shared" ref="B707:B770" si="23">IF(C707="","",B706)</f>
        <v/>
      </c>
    </row>
    <row r="708" spans="1:2" x14ac:dyDescent="0.25">
      <c r="A708" s="15" t="str">
        <f t="shared" si="22"/>
        <v/>
      </c>
      <c r="B708" s="18" t="str">
        <f t="shared" si="23"/>
        <v/>
      </c>
    </row>
    <row r="709" spans="1:2" x14ac:dyDescent="0.25">
      <c r="A709" s="15" t="str">
        <f t="shared" si="22"/>
        <v/>
      </c>
      <c r="B709" s="18" t="str">
        <f t="shared" si="23"/>
        <v/>
      </c>
    </row>
    <row r="710" spans="1:2" x14ac:dyDescent="0.25">
      <c r="A710" s="15" t="str">
        <f t="shared" si="22"/>
        <v/>
      </c>
      <c r="B710" s="18" t="str">
        <f t="shared" si="23"/>
        <v/>
      </c>
    </row>
    <row r="711" spans="1:2" x14ac:dyDescent="0.25">
      <c r="A711" s="15" t="str">
        <f t="shared" si="22"/>
        <v/>
      </c>
      <c r="B711" s="18" t="str">
        <f t="shared" si="23"/>
        <v/>
      </c>
    </row>
    <row r="712" spans="1:2" x14ac:dyDescent="0.25">
      <c r="A712" s="15" t="str">
        <f t="shared" si="22"/>
        <v/>
      </c>
      <c r="B712" s="18" t="str">
        <f t="shared" si="23"/>
        <v/>
      </c>
    </row>
    <row r="713" spans="1:2" x14ac:dyDescent="0.25">
      <c r="A713" s="15" t="str">
        <f t="shared" si="22"/>
        <v/>
      </c>
      <c r="B713" s="18" t="str">
        <f t="shared" si="23"/>
        <v/>
      </c>
    </row>
    <row r="714" spans="1:2" x14ac:dyDescent="0.25">
      <c r="A714" s="15" t="str">
        <f t="shared" si="22"/>
        <v/>
      </c>
      <c r="B714" s="18" t="str">
        <f t="shared" si="23"/>
        <v/>
      </c>
    </row>
    <row r="715" spans="1:2" x14ac:dyDescent="0.25">
      <c r="A715" s="15" t="str">
        <f t="shared" si="22"/>
        <v/>
      </c>
      <c r="B715" s="18" t="str">
        <f t="shared" si="23"/>
        <v/>
      </c>
    </row>
    <row r="716" spans="1:2" x14ac:dyDescent="0.25">
      <c r="A716" s="15" t="str">
        <f t="shared" si="22"/>
        <v/>
      </c>
      <c r="B716" s="18" t="str">
        <f t="shared" si="23"/>
        <v/>
      </c>
    </row>
    <row r="717" spans="1:2" x14ac:dyDescent="0.25">
      <c r="A717" s="15" t="str">
        <f t="shared" si="22"/>
        <v/>
      </c>
      <c r="B717" s="18" t="str">
        <f t="shared" si="23"/>
        <v/>
      </c>
    </row>
    <row r="718" spans="1:2" x14ac:dyDescent="0.25">
      <c r="A718" s="15" t="str">
        <f t="shared" si="22"/>
        <v/>
      </c>
      <c r="B718" s="18" t="str">
        <f t="shared" si="23"/>
        <v/>
      </c>
    </row>
    <row r="719" spans="1:2" x14ac:dyDescent="0.25">
      <c r="A719" s="15" t="str">
        <f t="shared" si="22"/>
        <v/>
      </c>
      <c r="B719" s="18" t="str">
        <f t="shared" si="23"/>
        <v/>
      </c>
    </row>
    <row r="720" spans="1:2" x14ac:dyDescent="0.25">
      <c r="A720" s="15" t="str">
        <f t="shared" si="22"/>
        <v/>
      </c>
      <c r="B720" s="18" t="str">
        <f t="shared" si="23"/>
        <v/>
      </c>
    </row>
    <row r="721" spans="1:2" x14ac:dyDescent="0.25">
      <c r="A721" s="15" t="str">
        <f t="shared" si="22"/>
        <v/>
      </c>
      <c r="B721" s="18" t="str">
        <f t="shared" si="23"/>
        <v/>
      </c>
    </row>
    <row r="722" spans="1:2" x14ac:dyDescent="0.25">
      <c r="A722" s="15" t="str">
        <f t="shared" si="22"/>
        <v/>
      </c>
      <c r="B722" s="18" t="str">
        <f t="shared" si="23"/>
        <v/>
      </c>
    </row>
    <row r="723" spans="1:2" x14ac:dyDescent="0.25">
      <c r="A723" s="15" t="str">
        <f t="shared" si="22"/>
        <v/>
      </c>
      <c r="B723" s="18" t="str">
        <f t="shared" si="23"/>
        <v/>
      </c>
    </row>
    <row r="724" spans="1:2" x14ac:dyDescent="0.25">
      <c r="A724" s="15" t="str">
        <f t="shared" si="22"/>
        <v/>
      </c>
      <c r="B724" s="18" t="str">
        <f t="shared" si="23"/>
        <v/>
      </c>
    </row>
    <row r="725" spans="1:2" x14ac:dyDescent="0.25">
      <c r="A725" s="15" t="str">
        <f t="shared" si="22"/>
        <v/>
      </c>
      <c r="B725" s="18" t="str">
        <f t="shared" si="23"/>
        <v/>
      </c>
    </row>
    <row r="726" spans="1:2" x14ac:dyDescent="0.25">
      <c r="A726" s="15" t="str">
        <f t="shared" si="22"/>
        <v/>
      </c>
      <c r="B726" s="18" t="str">
        <f t="shared" si="23"/>
        <v/>
      </c>
    </row>
    <row r="727" spans="1:2" x14ac:dyDescent="0.25">
      <c r="A727" s="15" t="str">
        <f t="shared" si="22"/>
        <v/>
      </c>
      <c r="B727" s="18" t="str">
        <f t="shared" si="23"/>
        <v/>
      </c>
    </row>
    <row r="728" spans="1:2" x14ac:dyDescent="0.25">
      <c r="A728" s="15" t="str">
        <f t="shared" si="22"/>
        <v/>
      </c>
      <c r="B728" s="18" t="str">
        <f t="shared" si="23"/>
        <v/>
      </c>
    </row>
    <row r="729" spans="1:2" x14ac:dyDescent="0.25">
      <c r="A729" s="15" t="str">
        <f t="shared" si="22"/>
        <v/>
      </c>
      <c r="B729" s="18" t="str">
        <f t="shared" si="23"/>
        <v/>
      </c>
    </row>
    <row r="730" spans="1:2" x14ac:dyDescent="0.25">
      <c r="A730" s="15" t="str">
        <f t="shared" si="22"/>
        <v/>
      </c>
      <c r="B730" s="18" t="str">
        <f t="shared" si="23"/>
        <v/>
      </c>
    </row>
    <row r="731" spans="1:2" x14ac:dyDescent="0.25">
      <c r="A731" s="15" t="str">
        <f t="shared" si="22"/>
        <v/>
      </c>
      <c r="B731" s="18" t="str">
        <f t="shared" si="23"/>
        <v/>
      </c>
    </row>
    <row r="732" spans="1:2" x14ac:dyDescent="0.25">
      <c r="A732" s="15" t="str">
        <f t="shared" si="22"/>
        <v/>
      </c>
      <c r="B732" s="18" t="str">
        <f t="shared" si="23"/>
        <v/>
      </c>
    </row>
    <row r="733" spans="1:2" x14ac:dyDescent="0.25">
      <c r="A733" s="15" t="str">
        <f t="shared" si="22"/>
        <v/>
      </c>
      <c r="B733" s="18" t="str">
        <f t="shared" si="23"/>
        <v/>
      </c>
    </row>
    <row r="734" spans="1:2" x14ac:dyDescent="0.25">
      <c r="A734" s="15" t="str">
        <f t="shared" si="22"/>
        <v/>
      </c>
      <c r="B734" s="18" t="str">
        <f t="shared" si="23"/>
        <v/>
      </c>
    </row>
    <row r="735" spans="1:2" x14ac:dyDescent="0.25">
      <c r="A735" s="15" t="str">
        <f t="shared" si="22"/>
        <v/>
      </c>
      <c r="B735" s="18" t="str">
        <f t="shared" si="23"/>
        <v/>
      </c>
    </row>
    <row r="736" spans="1:2" x14ac:dyDescent="0.25">
      <c r="A736" s="15" t="str">
        <f t="shared" si="22"/>
        <v/>
      </c>
      <c r="B736" s="18" t="str">
        <f t="shared" si="23"/>
        <v/>
      </c>
    </row>
    <row r="737" spans="1:2" x14ac:dyDescent="0.25">
      <c r="A737" s="15" t="str">
        <f t="shared" si="22"/>
        <v/>
      </c>
      <c r="B737" s="18" t="str">
        <f t="shared" si="23"/>
        <v/>
      </c>
    </row>
    <row r="738" spans="1:2" x14ac:dyDescent="0.25">
      <c r="A738" s="15" t="str">
        <f t="shared" si="22"/>
        <v/>
      </c>
      <c r="B738" s="18" t="str">
        <f t="shared" si="23"/>
        <v/>
      </c>
    </row>
    <row r="739" spans="1:2" x14ac:dyDescent="0.25">
      <c r="A739" s="15" t="str">
        <f t="shared" si="22"/>
        <v/>
      </c>
      <c r="B739" s="18" t="str">
        <f t="shared" si="23"/>
        <v/>
      </c>
    </row>
    <row r="740" spans="1:2" x14ac:dyDescent="0.25">
      <c r="A740" s="15" t="str">
        <f t="shared" si="22"/>
        <v/>
      </c>
      <c r="B740" s="18" t="str">
        <f t="shared" si="23"/>
        <v/>
      </c>
    </row>
    <row r="741" spans="1:2" x14ac:dyDescent="0.25">
      <c r="A741" s="15" t="str">
        <f t="shared" si="22"/>
        <v/>
      </c>
      <c r="B741" s="18" t="str">
        <f t="shared" si="23"/>
        <v/>
      </c>
    </row>
    <row r="742" spans="1:2" x14ac:dyDescent="0.25">
      <c r="A742" s="15" t="str">
        <f t="shared" si="22"/>
        <v/>
      </c>
      <c r="B742" s="18" t="str">
        <f t="shared" si="23"/>
        <v/>
      </c>
    </row>
    <row r="743" spans="1:2" x14ac:dyDescent="0.25">
      <c r="A743" s="15" t="str">
        <f t="shared" si="22"/>
        <v/>
      </c>
      <c r="B743" s="18" t="str">
        <f t="shared" si="23"/>
        <v/>
      </c>
    </row>
    <row r="744" spans="1:2" x14ac:dyDescent="0.25">
      <c r="A744" s="15" t="str">
        <f t="shared" si="22"/>
        <v/>
      </c>
      <c r="B744" s="18" t="str">
        <f t="shared" si="23"/>
        <v/>
      </c>
    </row>
    <row r="745" spans="1:2" x14ac:dyDescent="0.25">
      <c r="A745" s="15" t="str">
        <f t="shared" si="22"/>
        <v/>
      </c>
      <c r="B745" s="18" t="str">
        <f t="shared" si="23"/>
        <v/>
      </c>
    </row>
    <row r="746" spans="1:2" x14ac:dyDescent="0.25">
      <c r="A746" s="15" t="str">
        <f t="shared" si="22"/>
        <v/>
      </c>
      <c r="B746" s="18" t="str">
        <f t="shared" si="23"/>
        <v/>
      </c>
    </row>
    <row r="747" spans="1:2" x14ac:dyDescent="0.25">
      <c r="A747" s="15" t="str">
        <f t="shared" si="22"/>
        <v/>
      </c>
      <c r="B747" s="18" t="str">
        <f t="shared" si="23"/>
        <v/>
      </c>
    </row>
    <row r="748" spans="1:2" x14ac:dyDescent="0.25">
      <c r="A748" s="15" t="str">
        <f t="shared" si="22"/>
        <v/>
      </c>
      <c r="B748" s="18" t="str">
        <f t="shared" si="23"/>
        <v/>
      </c>
    </row>
    <row r="749" spans="1:2" x14ac:dyDescent="0.25">
      <c r="A749" s="15" t="str">
        <f t="shared" si="22"/>
        <v/>
      </c>
      <c r="B749" s="18" t="str">
        <f t="shared" si="23"/>
        <v/>
      </c>
    </row>
    <row r="750" spans="1:2" x14ac:dyDescent="0.25">
      <c r="A750" s="15" t="str">
        <f t="shared" si="22"/>
        <v/>
      </c>
      <c r="B750" s="18" t="str">
        <f t="shared" si="23"/>
        <v/>
      </c>
    </row>
    <row r="751" spans="1:2" x14ac:dyDescent="0.25">
      <c r="A751" s="15" t="str">
        <f t="shared" si="22"/>
        <v/>
      </c>
      <c r="B751" s="18" t="str">
        <f t="shared" si="23"/>
        <v/>
      </c>
    </row>
    <row r="752" spans="1:2" x14ac:dyDescent="0.25">
      <c r="A752" s="15" t="str">
        <f t="shared" si="22"/>
        <v/>
      </c>
      <c r="B752" s="18" t="str">
        <f t="shared" si="23"/>
        <v/>
      </c>
    </row>
    <row r="753" spans="1:2" x14ac:dyDescent="0.25">
      <c r="A753" s="15" t="str">
        <f t="shared" si="22"/>
        <v/>
      </c>
      <c r="B753" s="18" t="str">
        <f t="shared" si="23"/>
        <v/>
      </c>
    </row>
    <row r="754" spans="1:2" x14ac:dyDescent="0.25">
      <c r="A754" s="15" t="str">
        <f t="shared" si="22"/>
        <v/>
      </c>
      <c r="B754" s="18" t="str">
        <f t="shared" si="23"/>
        <v/>
      </c>
    </row>
    <row r="755" spans="1:2" x14ac:dyDescent="0.25">
      <c r="A755" s="15" t="str">
        <f t="shared" si="22"/>
        <v/>
      </c>
      <c r="B755" s="18" t="str">
        <f t="shared" si="23"/>
        <v/>
      </c>
    </row>
    <row r="756" spans="1:2" x14ac:dyDescent="0.25">
      <c r="A756" s="15" t="str">
        <f t="shared" si="22"/>
        <v/>
      </c>
      <c r="B756" s="18" t="str">
        <f t="shared" si="23"/>
        <v/>
      </c>
    </row>
    <row r="757" spans="1:2" x14ac:dyDescent="0.25">
      <c r="A757" s="15" t="str">
        <f t="shared" si="22"/>
        <v/>
      </c>
      <c r="B757" s="18" t="str">
        <f t="shared" si="23"/>
        <v/>
      </c>
    </row>
    <row r="758" spans="1:2" x14ac:dyDescent="0.25">
      <c r="A758" s="15" t="str">
        <f t="shared" si="22"/>
        <v/>
      </c>
      <c r="B758" s="18" t="str">
        <f t="shared" si="23"/>
        <v/>
      </c>
    </row>
    <row r="759" spans="1:2" x14ac:dyDescent="0.25">
      <c r="A759" s="15" t="str">
        <f t="shared" si="22"/>
        <v/>
      </c>
      <c r="B759" s="18" t="str">
        <f t="shared" si="23"/>
        <v/>
      </c>
    </row>
    <row r="760" spans="1:2" x14ac:dyDescent="0.25">
      <c r="A760" s="15" t="str">
        <f t="shared" si="22"/>
        <v/>
      </c>
      <c r="B760" s="18" t="str">
        <f t="shared" si="23"/>
        <v/>
      </c>
    </row>
    <row r="761" spans="1:2" x14ac:dyDescent="0.25">
      <c r="A761" s="15" t="str">
        <f t="shared" si="22"/>
        <v/>
      </c>
      <c r="B761" s="18" t="str">
        <f t="shared" si="23"/>
        <v/>
      </c>
    </row>
    <row r="762" spans="1:2" x14ac:dyDescent="0.25">
      <c r="A762" s="15" t="str">
        <f t="shared" si="22"/>
        <v/>
      </c>
      <c r="B762" s="18" t="str">
        <f t="shared" si="23"/>
        <v/>
      </c>
    </row>
    <row r="763" spans="1:2" x14ac:dyDescent="0.25">
      <c r="A763" s="15" t="str">
        <f t="shared" si="22"/>
        <v/>
      </c>
      <c r="B763" s="18" t="str">
        <f t="shared" si="23"/>
        <v/>
      </c>
    </row>
    <row r="764" spans="1:2" x14ac:dyDescent="0.25">
      <c r="A764" s="15" t="str">
        <f t="shared" si="22"/>
        <v/>
      </c>
      <c r="B764" s="18" t="str">
        <f t="shared" si="23"/>
        <v/>
      </c>
    </row>
    <row r="765" spans="1:2" x14ac:dyDescent="0.25">
      <c r="A765" s="15" t="str">
        <f t="shared" si="22"/>
        <v/>
      </c>
      <c r="B765" s="18" t="str">
        <f t="shared" si="23"/>
        <v/>
      </c>
    </row>
    <row r="766" spans="1:2" x14ac:dyDescent="0.25">
      <c r="A766" s="15" t="str">
        <f t="shared" si="22"/>
        <v/>
      </c>
      <c r="B766" s="18" t="str">
        <f t="shared" si="23"/>
        <v/>
      </c>
    </row>
    <row r="767" spans="1:2" x14ac:dyDescent="0.25">
      <c r="A767" s="15" t="str">
        <f t="shared" si="22"/>
        <v/>
      </c>
      <c r="B767" s="18" t="str">
        <f t="shared" si="23"/>
        <v/>
      </c>
    </row>
    <row r="768" spans="1:2" x14ac:dyDescent="0.25">
      <c r="A768" s="15" t="str">
        <f t="shared" si="22"/>
        <v/>
      </c>
      <c r="B768" s="18" t="str">
        <f t="shared" si="23"/>
        <v/>
      </c>
    </row>
    <row r="769" spans="1:2" x14ac:dyDescent="0.25">
      <c r="A769" s="15" t="str">
        <f t="shared" si="22"/>
        <v/>
      </c>
      <c r="B769" s="18" t="str">
        <f t="shared" si="23"/>
        <v/>
      </c>
    </row>
    <row r="770" spans="1:2" x14ac:dyDescent="0.25">
      <c r="A770" s="15" t="str">
        <f t="shared" ref="A770:A833" si="24">B770&amp;C770</f>
        <v/>
      </c>
      <c r="B770" s="18" t="str">
        <f t="shared" si="23"/>
        <v/>
      </c>
    </row>
    <row r="771" spans="1:2" x14ac:dyDescent="0.25">
      <c r="A771" s="15" t="str">
        <f t="shared" si="24"/>
        <v/>
      </c>
      <c r="B771" s="18" t="str">
        <f t="shared" ref="B771:B834" si="25">IF(C771="","",B770)</f>
        <v/>
      </c>
    </row>
    <row r="772" spans="1:2" x14ac:dyDescent="0.25">
      <c r="A772" s="15" t="str">
        <f t="shared" si="24"/>
        <v/>
      </c>
      <c r="B772" s="18" t="str">
        <f t="shared" si="25"/>
        <v/>
      </c>
    </row>
    <row r="773" spans="1:2" x14ac:dyDescent="0.25">
      <c r="A773" s="15" t="str">
        <f t="shared" si="24"/>
        <v/>
      </c>
      <c r="B773" s="18" t="str">
        <f t="shared" si="25"/>
        <v/>
      </c>
    </row>
    <row r="774" spans="1:2" x14ac:dyDescent="0.25">
      <c r="A774" s="15" t="str">
        <f t="shared" si="24"/>
        <v/>
      </c>
      <c r="B774" s="18" t="str">
        <f t="shared" si="25"/>
        <v/>
      </c>
    </row>
    <row r="775" spans="1:2" x14ac:dyDescent="0.25">
      <c r="A775" s="15" t="str">
        <f t="shared" si="24"/>
        <v/>
      </c>
      <c r="B775" s="18" t="str">
        <f t="shared" si="25"/>
        <v/>
      </c>
    </row>
    <row r="776" spans="1:2" x14ac:dyDescent="0.25">
      <c r="A776" s="15" t="str">
        <f t="shared" si="24"/>
        <v/>
      </c>
      <c r="B776" s="18" t="str">
        <f t="shared" si="25"/>
        <v/>
      </c>
    </row>
    <row r="777" spans="1:2" x14ac:dyDescent="0.25">
      <c r="A777" s="15" t="str">
        <f t="shared" si="24"/>
        <v/>
      </c>
      <c r="B777" s="18" t="str">
        <f t="shared" si="25"/>
        <v/>
      </c>
    </row>
    <row r="778" spans="1:2" x14ac:dyDescent="0.25">
      <c r="A778" s="15" t="str">
        <f t="shared" si="24"/>
        <v/>
      </c>
      <c r="B778" s="18" t="str">
        <f t="shared" si="25"/>
        <v/>
      </c>
    </row>
    <row r="779" spans="1:2" x14ac:dyDescent="0.25">
      <c r="A779" s="15" t="str">
        <f t="shared" si="24"/>
        <v/>
      </c>
      <c r="B779" s="18" t="str">
        <f t="shared" si="25"/>
        <v/>
      </c>
    </row>
    <row r="780" spans="1:2" x14ac:dyDescent="0.25">
      <c r="A780" s="15" t="str">
        <f t="shared" si="24"/>
        <v/>
      </c>
      <c r="B780" s="18" t="str">
        <f t="shared" si="25"/>
        <v/>
      </c>
    </row>
    <row r="781" spans="1:2" x14ac:dyDescent="0.25">
      <c r="A781" s="15" t="str">
        <f t="shared" si="24"/>
        <v/>
      </c>
      <c r="B781" s="18" t="str">
        <f t="shared" si="25"/>
        <v/>
      </c>
    </row>
    <row r="782" spans="1:2" x14ac:dyDescent="0.25">
      <c r="A782" s="15" t="str">
        <f t="shared" si="24"/>
        <v/>
      </c>
      <c r="B782" s="18" t="str">
        <f t="shared" si="25"/>
        <v/>
      </c>
    </row>
    <row r="783" spans="1:2" x14ac:dyDescent="0.25">
      <c r="A783" s="15" t="str">
        <f t="shared" si="24"/>
        <v/>
      </c>
      <c r="B783" s="18" t="str">
        <f t="shared" si="25"/>
        <v/>
      </c>
    </row>
    <row r="784" spans="1:2" x14ac:dyDescent="0.25">
      <c r="A784" s="15" t="str">
        <f t="shared" si="24"/>
        <v/>
      </c>
      <c r="B784" s="18" t="str">
        <f t="shared" si="25"/>
        <v/>
      </c>
    </row>
    <row r="785" spans="1:2" x14ac:dyDescent="0.25">
      <c r="A785" s="15" t="str">
        <f t="shared" si="24"/>
        <v/>
      </c>
      <c r="B785" s="18" t="str">
        <f t="shared" si="25"/>
        <v/>
      </c>
    </row>
    <row r="786" spans="1:2" x14ac:dyDescent="0.25">
      <c r="A786" s="15" t="str">
        <f t="shared" si="24"/>
        <v/>
      </c>
      <c r="B786" s="18" t="str">
        <f t="shared" si="25"/>
        <v/>
      </c>
    </row>
    <row r="787" spans="1:2" x14ac:dyDescent="0.25">
      <c r="A787" s="15" t="str">
        <f t="shared" si="24"/>
        <v/>
      </c>
      <c r="B787" s="18" t="str">
        <f t="shared" si="25"/>
        <v/>
      </c>
    </row>
    <row r="788" spans="1:2" x14ac:dyDescent="0.25">
      <c r="A788" s="15" t="str">
        <f t="shared" si="24"/>
        <v/>
      </c>
      <c r="B788" s="18" t="str">
        <f t="shared" si="25"/>
        <v/>
      </c>
    </row>
    <row r="789" spans="1:2" x14ac:dyDescent="0.25">
      <c r="A789" s="15" t="str">
        <f t="shared" si="24"/>
        <v/>
      </c>
      <c r="B789" s="18" t="str">
        <f t="shared" si="25"/>
        <v/>
      </c>
    </row>
    <row r="790" spans="1:2" x14ac:dyDescent="0.25">
      <c r="A790" s="15" t="str">
        <f t="shared" si="24"/>
        <v/>
      </c>
      <c r="B790" s="18" t="str">
        <f t="shared" si="25"/>
        <v/>
      </c>
    </row>
    <row r="791" spans="1:2" x14ac:dyDescent="0.25">
      <c r="A791" s="15" t="str">
        <f t="shared" si="24"/>
        <v/>
      </c>
      <c r="B791" s="18" t="str">
        <f t="shared" si="25"/>
        <v/>
      </c>
    </row>
    <row r="792" spans="1:2" x14ac:dyDescent="0.25">
      <c r="A792" s="15" t="str">
        <f t="shared" si="24"/>
        <v/>
      </c>
      <c r="B792" s="18" t="str">
        <f t="shared" si="25"/>
        <v/>
      </c>
    </row>
    <row r="793" spans="1:2" x14ac:dyDescent="0.25">
      <c r="A793" s="15" t="str">
        <f t="shared" si="24"/>
        <v/>
      </c>
      <c r="B793" s="18" t="str">
        <f t="shared" si="25"/>
        <v/>
      </c>
    </row>
    <row r="794" spans="1:2" x14ac:dyDescent="0.25">
      <c r="A794" s="15" t="str">
        <f t="shared" si="24"/>
        <v/>
      </c>
      <c r="B794" s="18" t="str">
        <f t="shared" si="25"/>
        <v/>
      </c>
    </row>
    <row r="795" spans="1:2" x14ac:dyDescent="0.25">
      <c r="A795" s="15" t="str">
        <f t="shared" si="24"/>
        <v/>
      </c>
      <c r="B795" s="18" t="str">
        <f t="shared" si="25"/>
        <v/>
      </c>
    </row>
    <row r="796" spans="1:2" x14ac:dyDescent="0.25">
      <c r="A796" s="15" t="str">
        <f t="shared" si="24"/>
        <v/>
      </c>
      <c r="B796" s="18" t="str">
        <f t="shared" si="25"/>
        <v/>
      </c>
    </row>
    <row r="797" spans="1:2" x14ac:dyDescent="0.25">
      <c r="A797" s="15" t="str">
        <f t="shared" si="24"/>
        <v/>
      </c>
      <c r="B797" s="18" t="str">
        <f t="shared" si="25"/>
        <v/>
      </c>
    </row>
    <row r="798" spans="1:2" x14ac:dyDescent="0.25">
      <c r="A798" s="15" t="str">
        <f t="shared" si="24"/>
        <v/>
      </c>
      <c r="B798" s="18" t="str">
        <f t="shared" si="25"/>
        <v/>
      </c>
    </row>
    <row r="799" spans="1:2" x14ac:dyDescent="0.25">
      <c r="A799" s="15" t="str">
        <f t="shared" si="24"/>
        <v/>
      </c>
      <c r="B799" s="18" t="str">
        <f t="shared" si="25"/>
        <v/>
      </c>
    </row>
    <row r="800" spans="1:2" x14ac:dyDescent="0.25">
      <c r="A800" s="15" t="str">
        <f t="shared" si="24"/>
        <v/>
      </c>
      <c r="B800" s="18" t="str">
        <f t="shared" si="25"/>
        <v/>
      </c>
    </row>
    <row r="801" spans="1:2" x14ac:dyDescent="0.25">
      <c r="A801" s="15" t="str">
        <f t="shared" si="24"/>
        <v/>
      </c>
      <c r="B801" s="18" t="str">
        <f t="shared" si="25"/>
        <v/>
      </c>
    </row>
    <row r="802" spans="1:2" x14ac:dyDescent="0.25">
      <c r="A802" s="15" t="str">
        <f t="shared" si="24"/>
        <v/>
      </c>
      <c r="B802" s="18" t="str">
        <f t="shared" si="25"/>
        <v/>
      </c>
    </row>
    <row r="803" spans="1:2" x14ac:dyDescent="0.25">
      <c r="A803" s="15" t="str">
        <f t="shared" si="24"/>
        <v/>
      </c>
      <c r="B803" s="18" t="str">
        <f t="shared" si="25"/>
        <v/>
      </c>
    </row>
    <row r="804" spans="1:2" x14ac:dyDescent="0.25">
      <c r="A804" s="15" t="str">
        <f t="shared" si="24"/>
        <v/>
      </c>
      <c r="B804" s="18" t="str">
        <f t="shared" si="25"/>
        <v/>
      </c>
    </row>
    <row r="805" spans="1:2" x14ac:dyDescent="0.25">
      <c r="A805" s="15" t="str">
        <f t="shared" si="24"/>
        <v/>
      </c>
      <c r="B805" s="18" t="str">
        <f t="shared" si="25"/>
        <v/>
      </c>
    </row>
    <row r="806" spans="1:2" x14ac:dyDescent="0.25">
      <c r="A806" s="15" t="str">
        <f t="shared" si="24"/>
        <v/>
      </c>
      <c r="B806" s="18" t="str">
        <f t="shared" si="25"/>
        <v/>
      </c>
    </row>
    <row r="807" spans="1:2" x14ac:dyDescent="0.25">
      <c r="A807" s="15" t="str">
        <f t="shared" si="24"/>
        <v/>
      </c>
      <c r="B807" s="18" t="str">
        <f t="shared" si="25"/>
        <v/>
      </c>
    </row>
    <row r="808" spans="1:2" x14ac:dyDescent="0.25">
      <c r="A808" s="15" t="str">
        <f t="shared" si="24"/>
        <v/>
      </c>
      <c r="B808" s="18" t="str">
        <f t="shared" si="25"/>
        <v/>
      </c>
    </row>
    <row r="809" spans="1:2" x14ac:dyDescent="0.25">
      <c r="A809" s="15" t="str">
        <f t="shared" si="24"/>
        <v/>
      </c>
      <c r="B809" s="18" t="str">
        <f t="shared" si="25"/>
        <v/>
      </c>
    </row>
    <row r="810" spans="1:2" x14ac:dyDescent="0.25">
      <c r="A810" s="15" t="str">
        <f t="shared" si="24"/>
        <v/>
      </c>
      <c r="B810" s="18" t="str">
        <f t="shared" si="25"/>
        <v/>
      </c>
    </row>
    <row r="811" spans="1:2" x14ac:dyDescent="0.25">
      <c r="A811" s="15" t="str">
        <f t="shared" si="24"/>
        <v/>
      </c>
      <c r="B811" s="18" t="str">
        <f t="shared" si="25"/>
        <v/>
      </c>
    </row>
    <row r="812" spans="1:2" x14ac:dyDescent="0.25">
      <c r="A812" s="15" t="str">
        <f t="shared" si="24"/>
        <v/>
      </c>
      <c r="B812" s="18" t="str">
        <f t="shared" si="25"/>
        <v/>
      </c>
    </row>
    <row r="813" spans="1:2" x14ac:dyDescent="0.25">
      <c r="A813" s="15" t="str">
        <f t="shared" si="24"/>
        <v/>
      </c>
      <c r="B813" s="18" t="str">
        <f t="shared" si="25"/>
        <v/>
      </c>
    </row>
    <row r="814" spans="1:2" x14ac:dyDescent="0.25">
      <c r="A814" s="15" t="str">
        <f t="shared" si="24"/>
        <v/>
      </c>
      <c r="B814" s="18" t="str">
        <f t="shared" si="25"/>
        <v/>
      </c>
    </row>
    <row r="815" spans="1:2" x14ac:dyDescent="0.25">
      <c r="A815" s="15" t="str">
        <f t="shared" si="24"/>
        <v/>
      </c>
      <c r="B815" s="18" t="str">
        <f t="shared" si="25"/>
        <v/>
      </c>
    </row>
    <row r="816" spans="1:2" x14ac:dyDescent="0.25">
      <c r="A816" s="15" t="str">
        <f t="shared" si="24"/>
        <v/>
      </c>
      <c r="B816" s="18" t="str">
        <f t="shared" si="25"/>
        <v/>
      </c>
    </row>
    <row r="817" spans="1:2" x14ac:dyDescent="0.25">
      <c r="A817" s="15" t="str">
        <f t="shared" si="24"/>
        <v/>
      </c>
      <c r="B817" s="18" t="str">
        <f t="shared" si="25"/>
        <v/>
      </c>
    </row>
    <row r="818" spans="1:2" x14ac:dyDescent="0.25">
      <c r="A818" s="15" t="str">
        <f t="shared" si="24"/>
        <v/>
      </c>
      <c r="B818" s="18" t="str">
        <f t="shared" si="25"/>
        <v/>
      </c>
    </row>
    <row r="819" spans="1:2" x14ac:dyDescent="0.25">
      <c r="A819" s="15" t="str">
        <f t="shared" si="24"/>
        <v/>
      </c>
      <c r="B819" s="18" t="str">
        <f t="shared" si="25"/>
        <v/>
      </c>
    </row>
    <row r="820" spans="1:2" x14ac:dyDescent="0.25">
      <c r="A820" s="15" t="str">
        <f t="shared" si="24"/>
        <v/>
      </c>
      <c r="B820" s="18" t="str">
        <f t="shared" si="25"/>
        <v/>
      </c>
    </row>
    <row r="821" spans="1:2" x14ac:dyDescent="0.25">
      <c r="A821" s="15" t="str">
        <f t="shared" si="24"/>
        <v/>
      </c>
      <c r="B821" s="18" t="str">
        <f t="shared" si="25"/>
        <v/>
      </c>
    </row>
    <row r="822" spans="1:2" x14ac:dyDescent="0.25">
      <c r="A822" s="15" t="str">
        <f t="shared" si="24"/>
        <v/>
      </c>
      <c r="B822" s="18" t="str">
        <f t="shared" si="25"/>
        <v/>
      </c>
    </row>
    <row r="823" spans="1:2" x14ac:dyDescent="0.25">
      <c r="A823" s="15" t="str">
        <f t="shared" si="24"/>
        <v/>
      </c>
      <c r="B823" s="18" t="str">
        <f t="shared" si="25"/>
        <v/>
      </c>
    </row>
    <row r="824" spans="1:2" x14ac:dyDescent="0.25">
      <c r="A824" s="15" t="str">
        <f t="shared" si="24"/>
        <v/>
      </c>
      <c r="B824" s="18" t="str">
        <f t="shared" si="25"/>
        <v/>
      </c>
    </row>
    <row r="825" spans="1:2" x14ac:dyDescent="0.25">
      <c r="A825" s="15" t="str">
        <f t="shared" si="24"/>
        <v/>
      </c>
      <c r="B825" s="18" t="str">
        <f t="shared" si="25"/>
        <v/>
      </c>
    </row>
    <row r="826" spans="1:2" x14ac:dyDescent="0.25">
      <c r="A826" s="15" t="str">
        <f t="shared" si="24"/>
        <v/>
      </c>
      <c r="B826" s="18" t="str">
        <f t="shared" si="25"/>
        <v/>
      </c>
    </row>
    <row r="827" spans="1:2" x14ac:dyDescent="0.25">
      <c r="A827" s="15" t="str">
        <f t="shared" si="24"/>
        <v/>
      </c>
      <c r="B827" s="18" t="str">
        <f t="shared" si="25"/>
        <v/>
      </c>
    </row>
    <row r="828" spans="1:2" x14ac:dyDescent="0.25">
      <c r="A828" s="15" t="str">
        <f t="shared" si="24"/>
        <v/>
      </c>
      <c r="B828" s="18" t="str">
        <f t="shared" si="25"/>
        <v/>
      </c>
    </row>
    <row r="829" spans="1:2" x14ac:dyDescent="0.25">
      <c r="A829" s="15" t="str">
        <f t="shared" si="24"/>
        <v/>
      </c>
      <c r="B829" s="18" t="str">
        <f t="shared" si="25"/>
        <v/>
      </c>
    </row>
    <row r="830" spans="1:2" x14ac:dyDescent="0.25">
      <c r="A830" s="15" t="str">
        <f t="shared" si="24"/>
        <v/>
      </c>
      <c r="B830" s="18" t="str">
        <f t="shared" si="25"/>
        <v/>
      </c>
    </row>
    <row r="831" spans="1:2" x14ac:dyDescent="0.25">
      <c r="A831" s="15" t="str">
        <f t="shared" si="24"/>
        <v/>
      </c>
      <c r="B831" s="18" t="str">
        <f t="shared" si="25"/>
        <v/>
      </c>
    </row>
    <row r="832" spans="1:2" x14ac:dyDescent="0.25">
      <c r="A832" s="15" t="str">
        <f t="shared" si="24"/>
        <v/>
      </c>
      <c r="B832" s="18" t="str">
        <f t="shared" si="25"/>
        <v/>
      </c>
    </row>
    <row r="833" spans="1:2" x14ac:dyDescent="0.25">
      <c r="A833" s="15" t="str">
        <f t="shared" si="24"/>
        <v/>
      </c>
      <c r="B833" s="18" t="str">
        <f t="shared" si="25"/>
        <v/>
      </c>
    </row>
    <row r="834" spans="1:2" x14ac:dyDescent="0.25">
      <c r="A834" s="15" t="str">
        <f t="shared" ref="A834:A897" si="26">B834&amp;C834</f>
        <v/>
      </c>
      <c r="B834" s="18" t="str">
        <f t="shared" si="25"/>
        <v/>
      </c>
    </row>
    <row r="835" spans="1:2" x14ac:dyDescent="0.25">
      <c r="A835" s="15" t="str">
        <f t="shared" si="26"/>
        <v/>
      </c>
      <c r="B835" s="18" t="str">
        <f t="shared" ref="B835:B898" si="27">IF(C835="","",B834)</f>
        <v/>
      </c>
    </row>
    <row r="836" spans="1:2" x14ac:dyDescent="0.25">
      <c r="A836" s="15" t="str">
        <f t="shared" si="26"/>
        <v/>
      </c>
      <c r="B836" s="18" t="str">
        <f t="shared" si="27"/>
        <v/>
      </c>
    </row>
    <row r="837" spans="1:2" x14ac:dyDescent="0.25">
      <c r="A837" s="15" t="str">
        <f t="shared" si="26"/>
        <v/>
      </c>
      <c r="B837" s="18" t="str">
        <f t="shared" si="27"/>
        <v/>
      </c>
    </row>
    <row r="838" spans="1:2" x14ac:dyDescent="0.25">
      <c r="A838" s="15" t="str">
        <f t="shared" si="26"/>
        <v/>
      </c>
      <c r="B838" s="18" t="str">
        <f t="shared" si="27"/>
        <v/>
      </c>
    </row>
    <row r="839" spans="1:2" x14ac:dyDescent="0.25">
      <c r="A839" s="15" t="str">
        <f t="shared" si="26"/>
        <v/>
      </c>
      <c r="B839" s="18" t="str">
        <f t="shared" si="27"/>
        <v/>
      </c>
    </row>
    <row r="840" spans="1:2" x14ac:dyDescent="0.25">
      <c r="A840" s="15" t="str">
        <f t="shared" si="26"/>
        <v/>
      </c>
      <c r="B840" s="18" t="str">
        <f t="shared" si="27"/>
        <v/>
      </c>
    </row>
    <row r="841" spans="1:2" x14ac:dyDescent="0.25">
      <c r="A841" s="15" t="str">
        <f t="shared" si="26"/>
        <v/>
      </c>
      <c r="B841" s="18" t="str">
        <f t="shared" si="27"/>
        <v/>
      </c>
    </row>
    <row r="842" spans="1:2" x14ac:dyDescent="0.25">
      <c r="A842" s="15" t="str">
        <f t="shared" si="26"/>
        <v/>
      </c>
      <c r="B842" s="18" t="str">
        <f t="shared" si="27"/>
        <v/>
      </c>
    </row>
    <row r="843" spans="1:2" x14ac:dyDescent="0.25">
      <c r="A843" s="15" t="str">
        <f t="shared" si="26"/>
        <v/>
      </c>
      <c r="B843" s="18" t="str">
        <f t="shared" si="27"/>
        <v/>
      </c>
    </row>
    <row r="844" spans="1:2" x14ac:dyDescent="0.25">
      <c r="A844" s="15" t="str">
        <f t="shared" si="26"/>
        <v/>
      </c>
      <c r="B844" s="18" t="str">
        <f t="shared" si="27"/>
        <v/>
      </c>
    </row>
    <row r="845" spans="1:2" x14ac:dyDescent="0.25">
      <c r="A845" s="15" t="str">
        <f t="shared" si="26"/>
        <v/>
      </c>
      <c r="B845" s="18" t="str">
        <f t="shared" si="27"/>
        <v/>
      </c>
    </row>
    <row r="846" spans="1:2" x14ac:dyDescent="0.25">
      <c r="A846" s="15" t="str">
        <f t="shared" si="26"/>
        <v/>
      </c>
      <c r="B846" s="18" t="str">
        <f t="shared" si="27"/>
        <v/>
      </c>
    </row>
    <row r="847" spans="1:2" x14ac:dyDescent="0.25">
      <c r="A847" s="15" t="str">
        <f t="shared" si="26"/>
        <v/>
      </c>
      <c r="B847" s="18" t="str">
        <f t="shared" si="27"/>
        <v/>
      </c>
    </row>
    <row r="848" spans="1:2" x14ac:dyDescent="0.25">
      <c r="A848" s="15" t="str">
        <f t="shared" si="26"/>
        <v/>
      </c>
      <c r="B848" s="18" t="str">
        <f t="shared" si="27"/>
        <v/>
      </c>
    </row>
    <row r="849" spans="1:2" x14ac:dyDescent="0.25">
      <c r="A849" s="15" t="str">
        <f t="shared" si="26"/>
        <v/>
      </c>
      <c r="B849" s="18" t="str">
        <f t="shared" si="27"/>
        <v/>
      </c>
    </row>
    <row r="850" spans="1:2" x14ac:dyDescent="0.25">
      <c r="A850" s="15" t="str">
        <f t="shared" si="26"/>
        <v/>
      </c>
      <c r="B850" s="18" t="str">
        <f t="shared" si="27"/>
        <v/>
      </c>
    </row>
    <row r="851" spans="1:2" x14ac:dyDescent="0.25">
      <c r="A851" s="15" t="str">
        <f t="shared" si="26"/>
        <v/>
      </c>
      <c r="B851" s="18" t="str">
        <f t="shared" si="27"/>
        <v/>
      </c>
    </row>
    <row r="852" spans="1:2" x14ac:dyDescent="0.25">
      <c r="A852" s="15" t="str">
        <f t="shared" si="26"/>
        <v/>
      </c>
      <c r="B852" s="18" t="str">
        <f t="shared" si="27"/>
        <v/>
      </c>
    </row>
    <row r="853" spans="1:2" x14ac:dyDescent="0.25">
      <c r="A853" s="15" t="str">
        <f t="shared" si="26"/>
        <v/>
      </c>
      <c r="B853" s="18" t="str">
        <f t="shared" si="27"/>
        <v/>
      </c>
    </row>
    <row r="854" spans="1:2" x14ac:dyDescent="0.25">
      <c r="A854" s="15" t="str">
        <f t="shared" si="26"/>
        <v/>
      </c>
      <c r="B854" s="18" t="str">
        <f t="shared" si="27"/>
        <v/>
      </c>
    </row>
    <row r="855" spans="1:2" x14ac:dyDescent="0.25">
      <c r="A855" s="15" t="str">
        <f t="shared" si="26"/>
        <v/>
      </c>
      <c r="B855" s="18" t="str">
        <f t="shared" si="27"/>
        <v/>
      </c>
    </row>
    <row r="856" spans="1:2" x14ac:dyDescent="0.25">
      <c r="A856" s="15" t="str">
        <f t="shared" si="26"/>
        <v/>
      </c>
      <c r="B856" s="18" t="str">
        <f t="shared" si="27"/>
        <v/>
      </c>
    </row>
    <row r="857" spans="1:2" x14ac:dyDescent="0.25">
      <c r="A857" s="15" t="str">
        <f t="shared" si="26"/>
        <v/>
      </c>
      <c r="B857" s="18" t="str">
        <f t="shared" si="27"/>
        <v/>
      </c>
    </row>
    <row r="858" spans="1:2" x14ac:dyDescent="0.25">
      <c r="A858" s="15" t="str">
        <f t="shared" si="26"/>
        <v/>
      </c>
      <c r="B858" s="18" t="str">
        <f t="shared" si="27"/>
        <v/>
      </c>
    </row>
    <row r="859" spans="1:2" x14ac:dyDescent="0.25">
      <c r="A859" s="15" t="str">
        <f t="shared" si="26"/>
        <v/>
      </c>
      <c r="B859" s="18" t="str">
        <f t="shared" si="27"/>
        <v/>
      </c>
    </row>
    <row r="860" spans="1:2" x14ac:dyDescent="0.25">
      <c r="A860" s="15" t="str">
        <f t="shared" si="26"/>
        <v/>
      </c>
      <c r="B860" s="18" t="str">
        <f t="shared" si="27"/>
        <v/>
      </c>
    </row>
    <row r="861" spans="1:2" x14ac:dyDescent="0.25">
      <c r="A861" s="15" t="str">
        <f t="shared" si="26"/>
        <v/>
      </c>
      <c r="B861" s="18" t="str">
        <f t="shared" si="27"/>
        <v/>
      </c>
    </row>
    <row r="862" spans="1:2" x14ac:dyDescent="0.25">
      <c r="A862" s="15" t="str">
        <f t="shared" si="26"/>
        <v/>
      </c>
      <c r="B862" s="18" t="str">
        <f t="shared" si="27"/>
        <v/>
      </c>
    </row>
    <row r="863" spans="1:2" x14ac:dyDescent="0.25">
      <c r="A863" s="15" t="str">
        <f t="shared" si="26"/>
        <v/>
      </c>
      <c r="B863" s="18" t="str">
        <f t="shared" si="27"/>
        <v/>
      </c>
    </row>
    <row r="864" spans="1:2" x14ac:dyDescent="0.25">
      <c r="A864" s="15" t="str">
        <f t="shared" si="26"/>
        <v/>
      </c>
      <c r="B864" s="18" t="str">
        <f t="shared" si="27"/>
        <v/>
      </c>
    </row>
    <row r="865" spans="1:2" x14ac:dyDescent="0.25">
      <c r="A865" s="15" t="str">
        <f t="shared" si="26"/>
        <v/>
      </c>
      <c r="B865" s="18" t="str">
        <f t="shared" si="27"/>
        <v/>
      </c>
    </row>
    <row r="866" spans="1:2" x14ac:dyDescent="0.25">
      <c r="A866" s="15" t="str">
        <f t="shared" si="26"/>
        <v/>
      </c>
      <c r="B866" s="18" t="str">
        <f t="shared" si="27"/>
        <v/>
      </c>
    </row>
    <row r="867" spans="1:2" x14ac:dyDescent="0.25">
      <c r="A867" s="15" t="str">
        <f t="shared" si="26"/>
        <v/>
      </c>
      <c r="B867" s="18" t="str">
        <f t="shared" si="27"/>
        <v/>
      </c>
    </row>
    <row r="868" spans="1:2" x14ac:dyDescent="0.25">
      <c r="A868" s="15" t="str">
        <f t="shared" si="26"/>
        <v/>
      </c>
      <c r="B868" s="18" t="str">
        <f t="shared" si="27"/>
        <v/>
      </c>
    </row>
    <row r="869" spans="1:2" x14ac:dyDescent="0.25">
      <c r="A869" s="15" t="str">
        <f t="shared" si="26"/>
        <v/>
      </c>
      <c r="B869" s="18" t="str">
        <f t="shared" si="27"/>
        <v/>
      </c>
    </row>
    <row r="870" spans="1:2" x14ac:dyDescent="0.25">
      <c r="A870" s="15" t="str">
        <f t="shared" si="26"/>
        <v/>
      </c>
      <c r="B870" s="18" t="str">
        <f t="shared" si="27"/>
        <v/>
      </c>
    </row>
    <row r="871" spans="1:2" x14ac:dyDescent="0.25">
      <c r="A871" s="15" t="str">
        <f t="shared" si="26"/>
        <v/>
      </c>
      <c r="B871" s="18" t="str">
        <f t="shared" si="27"/>
        <v/>
      </c>
    </row>
    <row r="872" spans="1:2" x14ac:dyDescent="0.25">
      <c r="A872" s="15" t="str">
        <f t="shared" si="26"/>
        <v/>
      </c>
      <c r="B872" s="18" t="str">
        <f t="shared" si="27"/>
        <v/>
      </c>
    </row>
    <row r="873" spans="1:2" x14ac:dyDescent="0.25">
      <c r="A873" s="15" t="str">
        <f t="shared" si="26"/>
        <v/>
      </c>
      <c r="B873" s="18" t="str">
        <f t="shared" si="27"/>
        <v/>
      </c>
    </row>
    <row r="874" spans="1:2" x14ac:dyDescent="0.25">
      <c r="A874" s="15" t="str">
        <f t="shared" si="26"/>
        <v/>
      </c>
      <c r="B874" s="18" t="str">
        <f t="shared" si="27"/>
        <v/>
      </c>
    </row>
    <row r="875" spans="1:2" x14ac:dyDescent="0.25">
      <c r="A875" s="15" t="str">
        <f t="shared" si="26"/>
        <v/>
      </c>
      <c r="B875" s="18" t="str">
        <f t="shared" si="27"/>
        <v/>
      </c>
    </row>
    <row r="876" spans="1:2" x14ac:dyDescent="0.25">
      <c r="A876" s="15" t="str">
        <f t="shared" si="26"/>
        <v/>
      </c>
      <c r="B876" s="18" t="str">
        <f t="shared" si="27"/>
        <v/>
      </c>
    </row>
    <row r="877" spans="1:2" x14ac:dyDescent="0.25">
      <c r="A877" s="15" t="str">
        <f t="shared" si="26"/>
        <v/>
      </c>
      <c r="B877" s="18" t="str">
        <f t="shared" si="27"/>
        <v/>
      </c>
    </row>
    <row r="878" spans="1:2" x14ac:dyDescent="0.25">
      <c r="A878" s="15" t="str">
        <f t="shared" si="26"/>
        <v/>
      </c>
      <c r="B878" s="18" t="str">
        <f t="shared" si="27"/>
        <v/>
      </c>
    </row>
    <row r="879" spans="1:2" x14ac:dyDescent="0.25">
      <c r="A879" s="15" t="str">
        <f t="shared" si="26"/>
        <v/>
      </c>
      <c r="B879" s="18" t="str">
        <f t="shared" si="27"/>
        <v/>
      </c>
    </row>
    <row r="880" spans="1:2" x14ac:dyDescent="0.25">
      <c r="A880" s="15" t="str">
        <f t="shared" si="26"/>
        <v/>
      </c>
      <c r="B880" s="18" t="str">
        <f t="shared" si="27"/>
        <v/>
      </c>
    </row>
    <row r="881" spans="1:2" x14ac:dyDescent="0.25">
      <c r="A881" s="15" t="str">
        <f t="shared" si="26"/>
        <v/>
      </c>
      <c r="B881" s="18" t="str">
        <f t="shared" si="27"/>
        <v/>
      </c>
    </row>
    <row r="882" spans="1:2" x14ac:dyDescent="0.25">
      <c r="A882" s="15" t="str">
        <f t="shared" si="26"/>
        <v/>
      </c>
      <c r="B882" s="18" t="str">
        <f t="shared" si="27"/>
        <v/>
      </c>
    </row>
    <row r="883" spans="1:2" x14ac:dyDescent="0.25">
      <c r="A883" s="15" t="str">
        <f t="shared" si="26"/>
        <v/>
      </c>
      <c r="B883" s="18" t="str">
        <f t="shared" si="27"/>
        <v/>
      </c>
    </row>
    <row r="884" spans="1:2" x14ac:dyDescent="0.25">
      <c r="A884" s="15" t="str">
        <f t="shared" si="26"/>
        <v/>
      </c>
      <c r="B884" s="18" t="str">
        <f t="shared" si="27"/>
        <v/>
      </c>
    </row>
    <row r="885" spans="1:2" x14ac:dyDescent="0.25">
      <c r="A885" s="15" t="str">
        <f t="shared" si="26"/>
        <v/>
      </c>
      <c r="B885" s="18" t="str">
        <f t="shared" si="27"/>
        <v/>
      </c>
    </row>
    <row r="886" spans="1:2" x14ac:dyDescent="0.25">
      <c r="A886" s="15" t="str">
        <f t="shared" si="26"/>
        <v/>
      </c>
      <c r="B886" s="18" t="str">
        <f t="shared" si="27"/>
        <v/>
      </c>
    </row>
    <row r="887" spans="1:2" x14ac:dyDescent="0.25">
      <c r="A887" s="15" t="str">
        <f t="shared" si="26"/>
        <v/>
      </c>
      <c r="B887" s="18" t="str">
        <f t="shared" si="27"/>
        <v/>
      </c>
    </row>
    <row r="888" spans="1:2" x14ac:dyDescent="0.25">
      <c r="A888" s="15" t="str">
        <f t="shared" si="26"/>
        <v/>
      </c>
      <c r="B888" s="18" t="str">
        <f t="shared" si="27"/>
        <v/>
      </c>
    </row>
    <row r="889" spans="1:2" x14ac:dyDescent="0.25">
      <c r="A889" s="15" t="str">
        <f t="shared" si="26"/>
        <v/>
      </c>
      <c r="B889" s="18" t="str">
        <f t="shared" si="27"/>
        <v/>
      </c>
    </row>
    <row r="890" spans="1:2" x14ac:dyDescent="0.25">
      <c r="A890" s="15" t="str">
        <f t="shared" si="26"/>
        <v/>
      </c>
      <c r="B890" s="18" t="str">
        <f t="shared" si="27"/>
        <v/>
      </c>
    </row>
    <row r="891" spans="1:2" x14ac:dyDescent="0.25">
      <c r="A891" s="15" t="str">
        <f t="shared" si="26"/>
        <v/>
      </c>
      <c r="B891" s="18" t="str">
        <f t="shared" si="27"/>
        <v/>
      </c>
    </row>
    <row r="892" spans="1:2" x14ac:dyDescent="0.25">
      <c r="A892" s="15" t="str">
        <f t="shared" si="26"/>
        <v/>
      </c>
      <c r="B892" s="18" t="str">
        <f t="shared" si="27"/>
        <v/>
      </c>
    </row>
    <row r="893" spans="1:2" x14ac:dyDescent="0.25">
      <c r="A893" s="15" t="str">
        <f t="shared" si="26"/>
        <v/>
      </c>
      <c r="B893" s="18" t="str">
        <f t="shared" si="27"/>
        <v/>
      </c>
    </row>
    <row r="894" spans="1:2" x14ac:dyDescent="0.25">
      <c r="A894" s="15" t="str">
        <f t="shared" si="26"/>
        <v/>
      </c>
      <c r="B894" s="18" t="str">
        <f t="shared" si="27"/>
        <v/>
      </c>
    </row>
    <row r="895" spans="1:2" x14ac:dyDescent="0.25">
      <c r="A895" s="15" t="str">
        <f t="shared" si="26"/>
        <v/>
      </c>
      <c r="B895" s="18" t="str">
        <f t="shared" si="27"/>
        <v/>
      </c>
    </row>
    <row r="896" spans="1:2" x14ac:dyDescent="0.25">
      <c r="A896" s="15" t="str">
        <f t="shared" si="26"/>
        <v/>
      </c>
      <c r="B896" s="18" t="str">
        <f t="shared" si="27"/>
        <v/>
      </c>
    </row>
    <row r="897" spans="1:2" x14ac:dyDescent="0.25">
      <c r="A897" s="15" t="str">
        <f t="shared" si="26"/>
        <v/>
      </c>
      <c r="B897" s="18" t="str">
        <f t="shared" si="27"/>
        <v/>
      </c>
    </row>
    <row r="898" spans="1:2" x14ac:dyDescent="0.25">
      <c r="A898" s="15" t="str">
        <f t="shared" ref="A898:A961" si="28">B898&amp;C898</f>
        <v/>
      </c>
      <c r="B898" s="18" t="str">
        <f t="shared" si="27"/>
        <v/>
      </c>
    </row>
    <row r="899" spans="1:2" x14ac:dyDescent="0.25">
      <c r="A899" s="15" t="str">
        <f t="shared" si="28"/>
        <v/>
      </c>
      <c r="B899" s="18" t="str">
        <f t="shared" ref="B899:B962" si="29">IF(C899="","",B898)</f>
        <v/>
      </c>
    </row>
    <row r="900" spans="1:2" x14ac:dyDescent="0.25">
      <c r="A900" s="15" t="str">
        <f t="shared" si="28"/>
        <v/>
      </c>
      <c r="B900" s="18" t="str">
        <f t="shared" si="29"/>
        <v/>
      </c>
    </row>
    <row r="901" spans="1:2" x14ac:dyDescent="0.25">
      <c r="A901" s="15" t="str">
        <f t="shared" si="28"/>
        <v/>
      </c>
      <c r="B901" s="18" t="str">
        <f t="shared" si="29"/>
        <v/>
      </c>
    </row>
    <row r="902" spans="1:2" x14ac:dyDescent="0.25">
      <c r="A902" s="15" t="str">
        <f t="shared" si="28"/>
        <v/>
      </c>
      <c r="B902" s="18" t="str">
        <f t="shared" si="29"/>
        <v/>
      </c>
    </row>
    <row r="903" spans="1:2" x14ac:dyDescent="0.25">
      <c r="A903" s="15" t="str">
        <f t="shared" si="28"/>
        <v/>
      </c>
      <c r="B903" s="18" t="str">
        <f t="shared" si="29"/>
        <v/>
      </c>
    </row>
    <row r="904" spans="1:2" x14ac:dyDescent="0.25">
      <c r="A904" s="15" t="str">
        <f t="shared" si="28"/>
        <v/>
      </c>
      <c r="B904" s="18" t="str">
        <f t="shared" si="29"/>
        <v/>
      </c>
    </row>
    <row r="905" spans="1:2" x14ac:dyDescent="0.25">
      <c r="A905" s="15" t="str">
        <f t="shared" si="28"/>
        <v/>
      </c>
      <c r="B905" s="18" t="str">
        <f t="shared" si="29"/>
        <v/>
      </c>
    </row>
    <row r="906" spans="1:2" x14ac:dyDescent="0.25">
      <c r="A906" s="15" t="str">
        <f t="shared" si="28"/>
        <v/>
      </c>
      <c r="B906" s="18" t="str">
        <f t="shared" si="29"/>
        <v/>
      </c>
    </row>
    <row r="907" spans="1:2" x14ac:dyDescent="0.25">
      <c r="A907" s="15" t="str">
        <f t="shared" si="28"/>
        <v/>
      </c>
      <c r="B907" s="18" t="str">
        <f t="shared" si="29"/>
        <v/>
      </c>
    </row>
    <row r="908" spans="1:2" x14ac:dyDescent="0.25">
      <c r="A908" s="15" t="str">
        <f t="shared" si="28"/>
        <v/>
      </c>
      <c r="B908" s="18" t="str">
        <f t="shared" si="29"/>
        <v/>
      </c>
    </row>
    <row r="909" spans="1:2" x14ac:dyDescent="0.25">
      <c r="A909" s="15" t="str">
        <f t="shared" si="28"/>
        <v/>
      </c>
      <c r="B909" s="18" t="str">
        <f t="shared" si="29"/>
        <v/>
      </c>
    </row>
    <row r="910" spans="1:2" x14ac:dyDescent="0.25">
      <c r="A910" s="15" t="str">
        <f t="shared" si="28"/>
        <v/>
      </c>
      <c r="B910" s="18" t="str">
        <f t="shared" si="29"/>
        <v/>
      </c>
    </row>
    <row r="911" spans="1:2" x14ac:dyDescent="0.25">
      <c r="A911" s="15" t="str">
        <f t="shared" si="28"/>
        <v/>
      </c>
      <c r="B911" s="18" t="str">
        <f t="shared" si="29"/>
        <v/>
      </c>
    </row>
    <row r="912" spans="1:2" x14ac:dyDescent="0.25">
      <c r="A912" s="15" t="str">
        <f t="shared" si="28"/>
        <v/>
      </c>
      <c r="B912" s="18" t="str">
        <f t="shared" si="29"/>
        <v/>
      </c>
    </row>
    <row r="913" spans="1:2" x14ac:dyDescent="0.25">
      <c r="A913" s="15" t="str">
        <f t="shared" si="28"/>
        <v/>
      </c>
      <c r="B913" s="18" t="str">
        <f t="shared" si="29"/>
        <v/>
      </c>
    </row>
    <row r="914" spans="1:2" x14ac:dyDescent="0.25">
      <c r="A914" s="15" t="str">
        <f t="shared" si="28"/>
        <v/>
      </c>
      <c r="B914" s="18" t="str">
        <f t="shared" si="29"/>
        <v/>
      </c>
    </row>
    <row r="915" spans="1:2" x14ac:dyDescent="0.25">
      <c r="A915" s="15" t="str">
        <f t="shared" si="28"/>
        <v/>
      </c>
      <c r="B915" s="18" t="str">
        <f t="shared" si="29"/>
        <v/>
      </c>
    </row>
    <row r="916" spans="1:2" x14ac:dyDescent="0.25">
      <c r="A916" s="15" t="str">
        <f t="shared" si="28"/>
        <v/>
      </c>
      <c r="B916" s="18" t="str">
        <f t="shared" si="29"/>
        <v/>
      </c>
    </row>
    <row r="917" spans="1:2" x14ac:dyDescent="0.25">
      <c r="A917" s="15" t="str">
        <f t="shared" si="28"/>
        <v/>
      </c>
      <c r="B917" s="18" t="str">
        <f t="shared" si="29"/>
        <v/>
      </c>
    </row>
    <row r="918" spans="1:2" x14ac:dyDescent="0.25">
      <c r="A918" s="15" t="str">
        <f t="shared" si="28"/>
        <v/>
      </c>
      <c r="B918" s="18" t="str">
        <f t="shared" si="29"/>
        <v/>
      </c>
    </row>
    <row r="919" spans="1:2" x14ac:dyDescent="0.25">
      <c r="A919" s="15" t="str">
        <f t="shared" si="28"/>
        <v/>
      </c>
      <c r="B919" s="18" t="str">
        <f t="shared" si="29"/>
        <v/>
      </c>
    </row>
    <row r="920" spans="1:2" x14ac:dyDescent="0.25">
      <c r="A920" s="15" t="str">
        <f t="shared" si="28"/>
        <v/>
      </c>
      <c r="B920" s="18" t="str">
        <f t="shared" si="29"/>
        <v/>
      </c>
    </row>
    <row r="921" spans="1:2" x14ac:dyDescent="0.25">
      <c r="A921" s="15" t="str">
        <f t="shared" si="28"/>
        <v/>
      </c>
      <c r="B921" s="18" t="str">
        <f t="shared" si="29"/>
        <v/>
      </c>
    </row>
    <row r="922" spans="1:2" x14ac:dyDescent="0.25">
      <c r="A922" s="15" t="str">
        <f t="shared" si="28"/>
        <v/>
      </c>
      <c r="B922" s="18" t="str">
        <f t="shared" si="29"/>
        <v/>
      </c>
    </row>
    <row r="923" spans="1:2" x14ac:dyDescent="0.25">
      <c r="A923" s="15" t="str">
        <f t="shared" si="28"/>
        <v/>
      </c>
      <c r="B923" s="18" t="str">
        <f t="shared" si="29"/>
        <v/>
      </c>
    </row>
    <row r="924" spans="1:2" x14ac:dyDescent="0.25">
      <c r="A924" s="15" t="str">
        <f t="shared" si="28"/>
        <v/>
      </c>
      <c r="B924" s="18" t="str">
        <f t="shared" si="29"/>
        <v/>
      </c>
    </row>
    <row r="925" spans="1:2" x14ac:dyDescent="0.25">
      <c r="A925" s="15" t="str">
        <f t="shared" si="28"/>
        <v/>
      </c>
      <c r="B925" s="18" t="str">
        <f t="shared" si="29"/>
        <v/>
      </c>
    </row>
    <row r="926" spans="1:2" x14ac:dyDescent="0.25">
      <c r="A926" s="15" t="str">
        <f t="shared" si="28"/>
        <v/>
      </c>
      <c r="B926" s="18" t="str">
        <f t="shared" si="29"/>
        <v/>
      </c>
    </row>
    <row r="927" spans="1:2" x14ac:dyDescent="0.25">
      <c r="A927" s="15" t="str">
        <f t="shared" si="28"/>
        <v/>
      </c>
      <c r="B927" s="18" t="str">
        <f t="shared" si="29"/>
        <v/>
      </c>
    </row>
    <row r="928" spans="1:2" x14ac:dyDescent="0.25">
      <c r="A928" s="15" t="str">
        <f t="shared" si="28"/>
        <v/>
      </c>
      <c r="B928" s="18" t="str">
        <f t="shared" si="29"/>
        <v/>
      </c>
    </row>
    <row r="929" spans="1:2" x14ac:dyDescent="0.25">
      <c r="A929" s="15" t="str">
        <f t="shared" si="28"/>
        <v/>
      </c>
      <c r="B929" s="18" t="str">
        <f t="shared" si="29"/>
        <v/>
      </c>
    </row>
    <row r="930" spans="1:2" x14ac:dyDescent="0.25">
      <c r="A930" s="15" t="str">
        <f t="shared" si="28"/>
        <v/>
      </c>
      <c r="B930" s="18" t="str">
        <f t="shared" si="29"/>
        <v/>
      </c>
    </row>
    <row r="931" spans="1:2" x14ac:dyDescent="0.25">
      <c r="A931" s="15" t="str">
        <f t="shared" si="28"/>
        <v/>
      </c>
      <c r="B931" s="18" t="str">
        <f t="shared" si="29"/>
        <v/>
      </c>
    </row>
    <row r="932" spans="1:2" x14ac:dyDescent="0.25">
      <c r="A932" s="15" t="str">
        <f t="shared" si="28"/>
        <v/>
      </c>
      <c r="B932" s="18" t="str">
        <f t="shared" si="29"/>
        <v/>
      </c>
    </row>
    <row r="933" spans="1:2" x14ac:dyDescent="0.25">
      <c r="A933" s="15" t="str">
        <f t="shared" si="28"/>
        <v/>
      </c>
      <c r="B933" s="18" t="str">
        <f t="shared" si="29"/>
        <v/>
      </c>
    </row>
    <row r="934" spans="1:2" x14ac:dyDescent="0.25">
      <c r="A934" s="15" t="str">
        <f t="shared" si="28"/>
        <v/>
      </c>
      <c r="B934" s="18" t="str">
        <f t="shared" si="29"/>
        <v/>
      </c>
    </row>
    <row r="935" spans="1:2" x14ac:dyDescent="0.25">
      <c r="A935" s="15" t="str">
        <f t="shared" si="28"/>
        <v/>
      </c>
      <c r="B935" s="18" t="str">
        <f t="shared" si="29"/>
        <v/>
      </c>
    </row>
    <row r="936" spans="1:2" x14ac:dyDescent="0.25">
      <c r="A936" s="15" t="str">
        <f t="shared" si="28"/>
        <v/>
      </c>
      <c r="B936" s="18" t="str">
        <f t="shared" si="29"/>
        <v/>
      </c>
    </row>
    <row r="937" spans="1:2" x14ac:dyDescent="0.25">
      <c r="A937" s="15" t="str">
        <f t="shared" si="28"/>
        <v/>
      </c>
      <c r="B937" s="18" t="str">
        <f t="shared" si="29"/>
        <v/>
      </c>
    </row>
    <row r="938" spans="1:2" x14ac:dyDescent="0.25">
      <c r="A938" s="15" t="str">
        <f t="shared" si="28"/>
        <v/>
      </c>
      <c r="B938" s="18" t="str">
        <f t="shared" si="29"/>
        <v/>
      </c>
    </row>
    <row r="939" spans="1:2" x14ac:dyDescent="0.25">
      <c r="A939" s="15" t="str">
        <f t="shared" si="28"/>
        <v/>
      </c>
      <c r="B939" s="18" t="str">
        <f t="shared" si="29"/>
        <v/>
      </c>
    </row>
    <row r="940" spans="1:2" x14ac:dyDescent="0.25">
      <c r="A940" s="15" t="str">
        <f t="shared" si="28"/>
        <v/>
      </c>
      <c r="B940" s="18" t="str">
        <f t="shared" si="29"/>
        <v/>
      </c>
    </row>
    <row r="941" spans="1:2" x14ac:dyDescent="0.25">
      <c r="A941" s="15" t="str">
        <f t="shared" si="28"/>
        <v/>
      </c>
      <c r="B941" s="18" t="str">
        <f t="shared" si="29"/>
        <v/>
      </c>
    </row>
    <row r="942" spans="1:2" x14ac:dyDescent="0.25">
      <c r="A942" s="15" t="str">
        <f t="shared" si="28"/>
        <v/>
      </c>
      <c r="B942" s="18" t="str">
        <f t="shared" si="29"/>
        <v/>
      </c>
    </row>
    <row r="943" spans="1:2" x14ac:dyDescent="0.25">
      <c r="A943" s="15" t="str">
        <f t="shared" si="28"/>
        <v/>
      </c>
      <c r="B943" s="18" t="str">
        <f t="shared" si="29"/>
        <v/>
      </c>
    </row>
    <row r="944" spans="1:2" x14ac:dyDescent="0.25">
      <c r="A944" s="15" t="str">
        <f t="shared" si="28"/>
        <v/>
      </c>
      <c r="B944" s="18" t="str">
        <f t="shared" si="29"/>
        <v/>
      </c>
    </row>
    <row r="945" spans="1:2" x14ac:dyDescent="0.25">
      <c r="A945" s="15" t="str">
        <f t="shared" si="28"/>
        <v/>
      </c>
      <c r="B945" s="18" t="str">
        <f t="shared" si="29"/>
        <v/>
      </c>
    </row>
    <row r="946" spans="1:2" x14ac:dyDescent="0.25">
      <c r="A946" s="15" t="str">
        <f t="shared" si="28"/>
        <v/>
      </c>
      <c r="B946" s="18" t="str">
        <f t="shared" si="29"/>
        <v/>
      </c>
    </row>
    <row r="947" spans="1:2" x14ac:dyDescent="0.25">
      <c r="A947" s="15" t="str">
        <f t="shared" si="28"/>
        <v/>
      </c>
      <c r="B947" s="18" t="str">
        <f t="shared" si="29"/>
        <v/>
      </c>
    </row>
    <row r="948" spans="1:2" x14ac:dyDescent="0.25">
      <c r="A948" s="15" t="str">
        <f t="shared" si="28"/>
        <v/>
      </c>
      <c r="B948" s="18" t="str">
        <f t="shared" si="29"/>
        <v/>
      </c>
    </row>
    <row r="949" spans="1:2" x14ac:dyDescent="0.25">
      <c r="A949" s="15" t="str">
        <f t="shared" si="28"/>
        <v/>
      </c>
      <c r="B949" s="18" t="str">
        <f t="shared" si="29"/>
        <v/>
      </c>
    </row>
    <row r="950" spans="1:2" x14ac:dyDescent="0.25">
      <c r="A950" s="15" t="str">
        <f t="shared" si="28"/>
        <v/>
      </c>
      <c r="B950" s="18" t="str">
        <f t="shared" si="29"/>
        <v/>
      </c>
    </row>
    <row r="951" spans="1:2" x14ac:dyDescent="0.25">
      <c r="A951" s="15" t="str">
        <f t="shared" si="28"/>
        <v/>
      </c>
      <c r="B951" s="18" t="str">
        <f t="shared" si="29"/>
        <v/>
      </c>
    </row>
    <row r="952" spans="1:2" x14ac:dyDescent="0.25">
      <c r="A952" s="15" t="str">
        <f t="shared" si="28"/>
        <v/>
      </c>
      <c r="B952" s="18" t="str">
        <f t="shared" si="29"/>
        <v/>
      </c>
    </row>
    <row r="953" spans="1:2" x14ac:dyDescent="0.25">
      <c r="A953" s="15" t="str">
        <f t="shared" si="28"/>
        <v/>
      </c>
      <c r="B953" s="18" t="str">
        <f t="shared" si="29"/>
        <v/>
      </c>
    </row>
    <row r="954" spans="1:2" x14ac:dyDescent="0.25">
      <c r="A954" s="15" t="str">
        <f t="shared" si="28"/>
        <v/>
      </c>
      <c r="B954" s="18" t="str">
        <f t="shared" si="29"/>
        <v/>
      </c>
    </row>
    <row r="955" spans="1:2" x14ac:dyDescent="0.25">
      <c r="A955" s="15" t="str">
        <f t="shared" si="28"/>
        <v/>
      </c>
      <c r="B955" s="18" t="str">
        <f t="shared" si="29"/>
        <v/>
      </c>
    </row>
    <row r="956" spans="1:2" x14ac:dyDescent="0.25">
      <c r="A956" s="15" t="str">
        <f t="shared" si="28"/>
        <v/>
      </c>
      <c r="B956" s="18" t="str">
        <f t="shared" si="29"/>
        <v/>
      </c>
    </row>
    <row r="957" spans="1:2" x14ac:dyDescent="0.25">
      <c r="A957" s="15" t="str">
        <f t="shared" si="28"/>
        <v/>
      </c>
      <c r="B957" s="18" t="str">
        <f t="shared" si="29"/>
        <v/>
      </c>
    </row>
    <row r="958" spans="1:2" x14ac:dyDescent="0.25">
      <c r="A958" s="15" t="str">
        <f t="shared" si="28"/>
        <v/>
      </c>
      <c r="B958" s="18" t="str">
        <f t="shared" si="29"/>
        <v/>
      </c>
    </row>
    <row r="959" spans="1:2" x14ac:dyDescent="0.25">
      <c r="A959" s="15" t="str">
        <f t="shared" si="28"/>
        <v/>
      </c>
      <c r="B959" s="18" t="str">
        <f t="shared" si="29"/>
        <v/>
      </c>
    </row>
    <row r="960" spans="1:2" x14ac:dyDescent="0.25">
      <c r="A960" s="15" t="str">
        <f t="shared" si="28"/>
        <v/>
      </c>
      <c r="B960" s="18" t="str">
        <f t="shared" si="29"/>
        <v/>
      </c>
    </row>
    <row r="961" spans="1:2" x14ac:dyDescent="0.25">
      <c r="A961" s="15" t="str">
        <f t="shared" si="28"/>
        <v/>
      </c>
      <c r="B961" s="18" t="str">
        <f t="shared" si="29"/>
        <v/>
      </c>
    </row>
    <row r="962" spans="1:2" x14ac:dyDescent="0.25">
      <c r="A962" s="15" t="str">
        <f t="shared" ref="A962:A1025" si="30">B962&amp;C962</f>
        <v/>
      </c>
      <c r="B962" s="18" t="str">
        <f t="shared" si="29"/>
        <v/>
      </c>
    </row>
    <row r="963" spans="1:2" x14ac:dyDescent="0.25">
      <c r="A963" s="15" t="str">
        <f t="shared" si="30"/>
        <v/>
      </c>
      <c r="B963" s="18" t="str">
        <f t="shared" ref="B963:B1026" si="31">IF(C963="","",B962)</f>
        <v/>
      </c>
    </row>
    <row r="964" spans="1:2" x14ac:dyDescent="0.25">
      <c r="A964" s="15" t="str">
        <f t="shared" si="30"/>
        <v/>
      </c>
      <c r="B964" s="18" t="str">
        <f t="shared" si="31"/>
        <v/>
      </c>
    </row>
    <row r="965" spans="1:2" x14ac:dyDescent="0.25">
      <c r="A965" s="15" t="str">
        <f t="shared" si="30"/>
        <v/>
      </c>
      <c r="B965" s="18" t="str">
        <f t="shared" si="31"/>
        <v/>
      </c>
    </row>
    <row r="966" spans="1:2" x14ac:dyDescent="0.25">
      <c r="A966" s="15" t="str">
        <f t="shared" si="30"/>
        <v/>
      </c>
      <c r="B966" s="18" t="str">
        <f t="shared" si="31"/>
        <v/>
      </c>
    </row>
    <row r="967" spans="1:2" x14ac:dyDescent="0.25">
      <c r="A967" s="15" t="str">
        <f t="shared" si="30"/>
        <v/>
      </c>
      <c r="B967" s="18" t="str">
        <f t="shared" si="31"/>
        <v/>
      </c>
    </row>
    <row r="968" spans="1:2" x14ac:dyDescent="0.25">
      <c r="A968" s="15" t="str">
        <f t="shared" si="30"/>
        <v/>
      </c>
      <c r="B968" s="18" t="str">
        <f t="shared" si="31"/>
        <v/>
      </c>
    </row>
    <row r="969" spans="1:2" x14ac:dyDescent="0.25">
      <c r="A969" s="15" t="str">
        <f t="shared" si="30"/>
        <v/>
      </c>
      <c r="B969" s="18" t="str">
        <f t="shared" si="31"/>
        <v/>
      </c>
    </row>
    <row r="970" spans="1:2" x14ac:dyDescent="0.25">
      <c r="A970" s="15" t="str">
        <f t="shared" si="30"/>
        <v/>
      </c>
      <c r="B970" s="18" t="str">
        <f t="shared" si="31"/>
        <v/>
      </c>
    </row>
    <row r="971" spans="1:2" x14ac:dyDescent="0.25">
      <c r="A971" s="15" t="str">
        <f t="shared" si="30"/>
        <v/>
      </c>
      <c r="B971" s="18" t="str">
        <f t="shared" si="31"/>
        <v/>
      </c>
    </row>
    <row r="972" spans="1:2" x14ac:dyDescent="0.25">
      <c r="A972" s="15" t="str">
        <f t="shared" si="30"/>
        <v/>
      </c>
      <c r="B972" s="18" t="str">
        <f t="shared" si="31"/>
        <v/>
      </c>
    </row>
    <row r="973" spans="1:2" x14ac:dyDescent="0.25">
      <c r="A973" s="15" t="str">
        <f t="shared" si="30"/>
        <v/>
      </c>
      <c r="B973" s="18" t="str">
        <f t="shared" si="31"/>
        <v/>
      </c>
    </row>
    <row r="974" spans="1:2" x14ac:dyDescent="0.25">
      <c r="A974" s="15" t="str">
        <f t="shared" si="30"/>
        <v/>
      </c>
      <c r="B974" s="18" t="str">
        <f t="shared" si="31"/>
        <v/>
      </c>
    </row>
    <row r="975" spans="1:2" x14ac:dyDescent="0.25">
      <c r="A975" s="15" t="str">
        <f t="shared" si="30"/>
        <v/>
      </c>
      <c r="B975" s="18" t="str">
        <f t="shared" si="31"/>
        <v/>
      </c>
    </row>
    <row r="976" spans="1:2" x14ac:dyDescent="0.25">
      <c r="A976" s="15" t="str">
        <f t="shared" si="30"/>
        <v/>
      </c>
      <c r="B976" s="18" t="str">
        <f t="shared" si="31"/>
        <v/>
      </c>
    </row>
    <row r="977" spans="1:2" x14ac:dyDescent="0.25">
      <c r="A977" s="15" t="str">
        <f t="shared" si="30"/>
        <v/>
      </c>
      <c r="B977" s="18" t="str">
        <f t="shared" si="31"/>
        <v/>
      </c>
    </row>
    <row r="978" spans="1:2" x14ac:dyDescent="0.25">
      <c r="A978" s="15" t="str">
        <f t="shared" si="30"/>
        <v/>
      </c>
      <c r="B978" s="18" t="str">
        <f t="shared" si="31"/>
        <v/>
      </c>
    </row>
    <row r="979" spans="1:2" x14ac:dyDescent="0.25">
      <c r="A979" s="15" t="str">
        <f t="shared" si="30"/>
        <v/>
      </c>
      <c r="B979" s="18" t="str">
        <f t="shared" si="31"/>
        <v/>
      </c>
    </row>
    <row r="980" spans="1:2" x14ac:dyDescent="0.25">
      <c r="A980" s="15" t="str">
        <f t="shared" si="30"/>
        <v/>
      </c>
      <c r="B980" s="18" t="str">
        <f t="shared" si="31"/>
        <v/>
      </c>
    </row>
    <row r="981" spans="1:2" x14ac:dyDescent="0.25">
      <c r="A981" s="15" t="str">
        <f t="shared" si="30"/>
        <v/>
      </c>
      <c r="B981" s="18" t="str">
        <f t="shared" si="31"/>
        <v/>
      </c>
    </row>
    <row r="982" spans="1:2" x14ac:dyDescent="0.25">
      <c r="A982" s="15" t="str">
        <f t="shared" si="30"/>
        <v/>
      </c>
      <c r="B982" s="18" t="str">
        <f t="shared" si="31"/>
        <v/>
      </c>
    </row>
    <row r="983" spans="1:2" x14ac:dyDescent="0.25">
      <c r="A983" s="15" t="str">
        <f t="shared" si="30"/>
        <v/>
      </c>
      <c r="B983" s="18" t="str">
        <f t="shared" si="31"/>
        <v/>
      </c>
    </row>
    <row r="984" spans="1:2" x14ac:dyDescent="0.25">
      <c r="A984" s="15" t="str">
        <f t="shared" si="30"/>
        <v/>
      </c>
      <c r="B984" s="18" t="str">
        <f t="shared" si="31"/>
        <v/>
      </c>
    </row>
    <row r="985" spans="1:2" x14ac:dyDescent="0.25">
      <c r="A985" s="15" t="str">
        <f t="shared" si="30"/>
        <v/>
      </c>
      <c r="B985" s="18" t="str">
        <f t="shared" si="31"/>
        <v/>
      </c>
    </row>
    <row r="986" spans="1:2" x14ac:dyDescent="0.25">
      <c r="A986" s="15" t="str">
        <f t="shared" si="30"/>
        <v/>
      </c>
      <c r="B986" s="18" t="str">
        <f t="shared" si="31"/>
        <v/>
      </c>
    </row>
    <row r="987" spans="1:2" x14ac:dyDescent="0.25">
      <c r="A987" s="15" t="str">
        <f t="shared" si="30"/>
        <v/>
      </c>
      <c r="B987" s="18" t="str">
        <f t="shared" si="31"/>
        <v/>
      </c>
    </row>
    <row r="988" spans="1:2" x14ac:dyDescent="0.25">
      <c r="A988" s="15" t="str">
        <f t="shared" si="30"/>
        <v/>
      </c>
      <c r="B988" s="18" t="str">
        <f t="shared" si="31"/>
        <v/>
      </c>
    </row>
    <row r="989" spans="1:2" x14ac:dyDescent="0.25">
      <c r="A989" s="15" t="str">
        <f t="shared" si="30"/>
        <v/>
      </c>
      <c r="B989" s="18" t="str">
        <f t="shared" si="31"/>
        <v/>
      </c>
    </row>
    <row r="990" spans="1:2" x14ac:dyDescent="0.25">
      <c r="A990" s="15" t="str">
        <f t="shared" si="30"/>
        <v/>
      </c>
      <c r="B990" s="18" t="str">
        <f t="shared" si="31"/>
        <v/>
      </c>
    </row>
    <row r="991" spans="1:2" x14ac:dyDescent="0.25">
      <c r="A991" s="15" t="str">
        <f t="shared" si="30"/>
        <v/>
      </c>
      <c r="B991" s="18" t="str">
        <f t="shared" si="31"/>
        <v/>
      </c>
    </row>
    <row r="992" spans="1:2" x14ac:dyDescent="0.25">
      <c r="A992" s="15" t="str">
        <f t="shared" si="30"/>
        <v/>
      </c>
      <c r="B992" s="18" t="str">
        <f t="shared" si="31"/>
        <v/>
      </c>
    </row>
    <row r="993" spans="1:2" x14ac:dyDescent="0.25">
      <c r="A993" s="15" t="str">
        <f t="shared" si="30"/>
        <v/>
      </c>
      <c r="B993" s="18" t="str">
        <f t="shared" si="31"/>
        <v/>
      </c>
    </row>
    <row r="994" spans="1:2" x14ac:dyDescent="0.25">
      <c r="A994" s="15" t="str">
        <f t="shared" si="30"/>
        <v/>
      </c>
      <c r="B994" s="18" t="str">
        <f t="shared" si="31"/>
        <v/>
      </c>
    </row>
    <row r="995" spans="1:2" x14ac:dyDescent="0.25">
      <c r="A995" s="15" t="str">
        <f t="shared" si="30"/>
        <v/>
      </c>
      <c r="B995" s="18" t="str">
        <f t="shared" si="31"/>
        <v/>
      </c>
    </row>
    <row r="996" spans="1:2" x14ac:dyDescent="0.25">
      <c r="A996" s="15" t="str">
        <f t="shared" si="30"/>
        <v/>
      </c>
      <c r="B996" s="18" t="str">
        <f t="shared" si="31"/>
        <v/>
      </c>
    </row>
    <row r="997" spans="1:2" x14ac:dyDescent="0.25">
      <c r="A997" s="15" t="str">
        <f t="shared" si="30"/>
        <v/>
      </c>
      <c r="B997" s="18" t="str">
        <f t="shared" si="31"/>
        <v/>
      </c>
    </row>
    <row r="998" spans="1:2" x14ac:dyDescent="0.25">
      <c r="A998" s="15" t="str">
        <f t="shared" si="30"/>
        <v/>
      </c>
      <c r="B998" s="18" t="str">
        <f t="shared" si="31"/>
        <v/>
      </c>
    </row>
    <row r="999" spans="1:2" x14ac:dyDescent="0.25">
      <c r="A999" s="15" t="str">
        <f t="shared" si="30"/>
        <v/>
      </c>
      <c r="B999" s="18" t="str">
        <f t="shared" si="31"/>
        <v/>
      </c>
    </row>
    <row r="1000" spans="1:2" x14ac:dyDescent="0.25">
      <c r="A1000" s="15" t="str">
        <f t="shared" si="30"/>
        <v/>
      </c>
      <c r="B1000" s="18" t="str">
        <f t="shared" si="31"/>
        <v/>
      </c>
    </row>
    <row r="1001" spans="1:2" x14ac:dyDescent="0.25">
      <c r="A1001" s="15" t="str">
        <f t="shared" si="30"/>
        <v/>
      </c>
      <c r="B1001" s="18" t="str">
        <f t="shared" si="31"/>
        <v/>
      </c>
    </row>
    <row r="1002" spans="1:2" x14ac:dyDescent="0.25">
      <c r="A1002" s="15" t="str">
        <f t="shared" si="30"/>
        <v/>
      </c>
      <c r="B1002" s="18" t="str">
        <f t="shared" si="31"/>
        <v/>
      </c>
    </row>
    <row r="1003" spans="1:2" x14ac:dyDescent="0.25">
      <c r="A1003" s="15" t="str">
        <f t="shared" si="30"/>
        <v/>
      </c>
      <c r="B1003" s="18" t="str">
        <f t="shared" si="31"/>
        <v/>
      </c>
    </row>
    <row r="1004" spans="1:2" x14ac:dyDescent="0.25">
      <c r="A1004" s="15" t="str">
        <f t="shared" si="30"/>
        <v/>
      </c>
      <c r="B1004" s="18" t="str">
        <f t="shared" si="31"/>
        <v/>
      </c>
    </row>
    <row r="1005" spans="1:2" x14ac:dyDescent="0.25">
      <c r="A1005" s="15" t="str">
        <f t="shared" si="30"/>
        <v/>
      </c>
      <c r="B1005" s="18" t="str">
        <f t="shared" si="31"/>
        <v/>
      </c>
    </row>
    <row r="1006" spans="1:2" x14ac:dyDescent="0.25">
      <c r="A1006" s="15" t="str">
        <f t="shared" si="30"/>
        <v/>
      </c>
      <c r="B1006" s="18" t="str">
        <f t="shared" si="31"/>
        <v/>
      </c>
    </row>
    <row r="1007" spans="1:2" x14ac:dyDescent="0.25">
      <c r="A1007" s="15" t="str">
        <f t="shared" si="30"/>
        <v/>
      </c>
      <c r="B1007" s="18" t="str">
        <f t="shared" si="31"/>
        <v/>
      </c>
    </row>
    <row r="1008" spans="1:2" x14ac:dyDescent="0.25">
      <c r="A1008" s="15" t="str">
        <f t="shared" si="30"/>
        <v/>
      </c>
      <c r="B1008" s="18" t="str">
        <f t="shared" si="31"/>
        <v/>
      </c>
    </row>
    <row r="1009" spans="1:2" x14ac:dyDescent="0.25">
      <c r="A1009" s="15" t="str">
        <f t="shared" si="30"/>
        <v/>
      </c>
      <c r="B1009" s="18" t="str">
        <f t="shared" si="31"/>
        <v/>
      </c>
    </row>
    <row r="1010" spans="1:2" x14ac:dyDescent="0.25">
      <c r="A1010" s="15" t="str">
        <f t="shared" si="30"/>
        <v/>
      </c>
      <c r="B1010" s="18" t="str">
        <f t="shared" si="31"/>
        <v/>
      </c>
    </row>
    <row r="1011" spans="1:2" x14ac:dyDescent="0.25">
      <c r="A1011" s="15" t="str">
        <f t="shared" si="30"/>
        <v/>
      </c>
      <c r="B1011" s="18" t="str">
        <f t="shared" si="31"/>
        <v/>
      </c>
    </row>
    <row r="1012" spans="1:2" x14ac:dyDescent="0.25">
      <c r="A1012" s="15" t="str">
        <f t="shared" si="30"/>
        <v/>
      </c>
      <c r="B1012" s="18" t="str">
        <f t="shared" si="31"/>
        <v/>
      </c>
    </row>
    <row r="1013" spans="1:2" x14ac:dyDescent="0.25">
      <c r="A1013" s="15" t="str">
        <f t="shared" si="30"/>
        <v/>
      </c>
      <c r="B1013" s="18" t="str">
        <f t="shared" si="31"/>
        <v/>
      </c>
    </row>
    <row r="1014" spans="1:2" x14ac:dyDescent="0.25">
      <c r="A1014" s="15" t="str">
        <f t="shared" si="30"/>
        <v/>
      </c>
      <c r="B1014" s="18" t="str">
        <f t="shared" si="31"/>
        <v/>
      </c>
    </row>
    <row r="1015" spans="1:2" x14ac:dyDescent="0.25">
      <c r="A1015" s="15" t="str">
        <f t="shared" si="30"/>
        <v/>
      </c>
      <c r="B1015" s="18" t="str">
        <f t="shared" si="31"/>
        <v/>
      </c>
    </row>
    <row r="1016" spans="1:2" x14ac:dyDescent="0.25">
      <c r="A1016" s="15" t="str">
        <f t="shared" si="30"/>
        <v/>
      </c>
      <c r="B1016" s="18" t="str">
        <f t="shared" si="31"/>
        <v/>
      </c>
    </row>
    <row r="1017" spans="1:2" x14ac:dyDescent="0.25">
      <c r="A1017" s="15" t="str">
        <f t="shared" si="30"/>
        <v/>
      </c>
      <c r="B1017" s="18" t="str">
        <f t="shared" si="31"/>
        <v/>
      </c>
    </row>
    <row r="1018" spans="1:2" x14ac:dyDescent="0.25">
      <c r="A1018" s="15" t="str">
        <f t="shared" si="30"/>
        <v/>
      </c>
      <c r="B1018" s="18" t="str">
        <f t="shared" si="31"/>
        <v/>
      </c>
    </row>
    <row r="1019" spans="1:2" x14ac:dyDescent="0.25">
      <c r="A1019" s="15" t="str">
        <f t="shared" si="30"/>
        <v/>
      </c>
      <c r="B1019" s="18" t="str">
        <f t="shared" si="31"/>
        <v/>
      </c>
    </row>
    <row r="1020" spans="1:2" x14ac:dyDescent="0.25">
      <c r="A1020" s="15" t="str">
        <f t="shared" si="30"/>
        <v/>
      </c>
      <c r="B1020" s="18" t="str">
        <f t="shared" si="31"/>
        <v/>
      </c>
    </row>
    <row r="1021" spans="1:2" x14ac:dyDescent="0.25">
      <c r="A1021" s="15" t="str">
        <f t="shared" si="30"/>
        <v/>
      </c>
      <c r="B1021" s="18" t="str">
        <f t="shared" si="31"/>
        <v/>
      </c>
    </row>
    <row r="1022" spans="1:2" x14ac:dyDescent="0.25">
      <c r="A1022" s="15" t="str">
        <f t="shared" si="30"/>
        <v/>
      </c>
      <c r="B1022" s="18" t="str">
        <f t="shared" si="31"/>
        <v/>
      </c>
    </row>
    <row r="1023" spans="1:2" x14ac:dyDescent="0.25">
      <c r="A1023" s="15" t="str">
        <f t="shared" si="30"/>
        <v/>
      </c>
      <c r="B1023" s="18" t="str">
        <f t="shared" si="31"/>
        <v/>
      </c>
    </row>
    <row r="1024" spans="1:2" x14ac:dyDescent="0.25">
      <c r="A1024" s="15" t="str">
        <f t="shared" si="30"/>
        <v/>
      </c>
      <c r="B1024" s="18" t="str">
        <f t="shared" si="31"/>
        <v/>
      </c>
    </row>
    <row r="1025" spans="1:2" x14ac:dyDescent="0.25">
      <c r="A1025" s="15" t="str">
        <f t="shared" si="30"/>
        <v/>
      </c>
      <c r="B1025" s="18" t="str">
        <f t="shared" si="31"/>
        <v/>
      </c>
    </row>
    <row r="1026" spans="1:2" x14ac:dyDescent="0.25">
      <c r="A1026" s="15" t="str">
        <f t="shared" ref="A1026:A1089" si="32">B1026&amp;C1026</f>
        <v/>
      </c>
      <c r="B1026" s="18" t="str">
        <f t="shared" si="31"/>
        <v/>
      </c>
    </row>
    <row r="1027" spans="1:2" x14ac:dyDescent="0.25">
      <c r="A1027" s="15" t="str">
        <f t="shared" si="32"/>
        <v/>
      </c>
      <c r="B1027" s="18" t="str">
        <f t="shared" ref="B1027:B1090" si="33">IF(C1027="","",B1026)</f>
        <v/>
      </c>
    </row>
    <row r="1028" spans="1:2" x14ac:dyDescent="0.25">
      <c r="A1028" s="15" t="str">
        <f t="shared" si="32"/>
        <v/>
      </c>
      <c r="B1028" s="18" t="str">
        <f t="shared" si="33"/>
        <v/>
      </c>
    </row>
    <row r="1029" spans="1:2" x14ac:dyDescent="0.25">
      <c r="A1029" s="15" t="str">
        <f t="shared" si="32"/>
        <v/>
      </c>
      <c r="B1029" s="18" t="str">
        <f t="shared" si="33"/>
        <v/>
      </c>
    </row>
    <row r="1030" spans="1:2" x14ac:dyDescent="0.25">
      <c r="A1030" s="15" t="str">
        <f t="shared" si="32"/>
        <v/>
      </c>
      <c r="B1030" s="18" t="str">
        <f t="shared" si="33"/>
        <v/>
      </c>
    </row>
    <row r="1031" spans="1:2" x14ac:dyDescent="0.25">
      <c r="A1031" s="15" t="str">
        <f t="shared" si="32"/>
        <v/>
      </c>
      <c r="B1031" s="18" t="str">
        <f t="shared" si="33"/>
        <v/>
      </c>
    </row>
    <row r="1032" spans="1:2" x14ac:dyDescent="0.25">
      <c r="A1032" s="15" t="str">
        <f t="shared" si="32"/>
        <v/>
      </c>
      <c r="B1032" s="18" t="str">
        <f t="shared" si="33"/>
        <v/>
      </c>
    </row>
    <row r="1033" spans="1:2" x14ac:dyDescent="0.25">
      <c r="A1033" s="15" t="str">
        <f t="shared" si="32"/>
        <v/>
      </c>
      <c r="B1033" s="18" t="str">
        <f t="shared" si="33"/>
        <v/>
      </c>
    </row>
    <row r="1034" spans="1:2" x14ac:dyDescent="0.25">
      <c r="A1034" s="15" t="str">
        <f t="shared" si="32"/>
        <v/>
      </c>
      <c r="B1034" s="18" t="str">
        <f t="shared" si="33"/>
        <v/>
      </c>
    </row>
    <row r="1035" spans="1:2" x14ac:dyDescent="0.25">
      <c r="A1035" s="15" t="str">
        <f t="shared" si="32"/>
        <v/>
      </c>
      <c r="B1035" s="18" t="str">
        <f t="shared" si="33"/>
        <v/>
      </c>
    </row>
    <row r="1036" spans="1:2" x14ac:dyDescent="0.25">
      <c r="A1036" s="15" t="str">
        <f t="shared" si="32"/>
        <v/>
      </c>
      <c r="B1036" s="18" t="str">
        <f t="shared" si="33"/>
        <v/>
      </c>
    </row>
    <row r="1037" spans="1:2" x14ac:dyDescent="0.25">
      <c r="A1037" s="15" t="str">
        <f t="shared" si="32"/>
        <v/>
      </c>
      <c r="B1037" s="18" t="str">
        <f t="shared" si="33"/>
        <v/>
      </c>
    </row>
    <row r="1038" spans="1:2" x14ac:dyDescent="0.25">
      <c r="A1038" s="15" t="str">
        <f t="shared" si="32"/>
        <v/>
      </c>
      <c r="B1038" s="18" t="str">
        <f t="shared" si="33"/>
        <v/>
      </c>
    </row>
    <row r="1039" spans="1:2" x14ac:dyDescent="0.25">
      <c r="A1039" s="15" t="str">
        <f t="shared" si="32"/>
        <v/>
      </c>
      <c r="B1039" s="18" t="str">
        <f t="shared" si="33"/>
        <v/>
      </c>
    </row>
    <row r="1040" spans="1:2" x14ac:dyDescent="0.25">
      <c r="A1040" s="15" t="str">
        <f t="shared" si="32"/>
        <v/>
      </c>
      <c r="B1040" s="18" t="str">
        <f t="shared" si="33"/>
        <v/>
      </c>
    </row>
    <row r="1041" spans="1:2" x14ac:dyDescent="0.25">
      <c r="A1041" s="15" t="str">
        <f t="shared" si="32"/>
        <v/>
      </c>
      <c r="B1041" s="18" t="str">
        <f t="shared" si="33"/>
        <v/>
      </c>
    </row>
    <row r="1042" spans="1:2" x14ac:dyDescent="0.25">
      <c r="A1042" s="15" t="str">
        <f t="shared" si="32"/>
        <v/>
      </c>
      <c r="B1042" s="18" t="str">
        <f t="shared" si="33"/>
        <v/>
      </c>
    </row>
    <row r="1043" spans="1:2" x14ac:dyDescent="0.25">
      <c r="A1043" s="15" t="str">
        <f t="shared" si="32"/>
        <v/>
      </c>
      <c r="B1043" s="18" t="str">
        <f t="shared" si="33"/>
        <v/>
      </c>
    </row>
    <row r="1044" spans="1:2" x14ac:dyDescent="0.25">
      <c r="A1044" s="15" t="str">
        <f t="shared" si="32"/>
        <v/>
      </c>
      <c r="B1044" s="18" t="str">
        <f t="shared" si="33"/>
        <v/>
      </c>
    </row>
    <row r="1045" spans="1:2" x14ac:dyDescent="0.25">
      <c r="A1045" s="15" t="str">
        <f t="shared" si="32"/>
        <v/>
      </c>
      <c r="B1045" s="18" t="str">
        <f t="shared" si="33"/>
        <v/>
      </c>
    </row>
    <row r="1046" spans="1:2" x14ac:dyDescent="0.25">
      <c r="A1046" s="15" t="str">
        <f t="shared" si="32"/>
        <v/>
      </c>
      <c r="B1046" s="18" t="str">
        <f t="shared" si="33"/>
        <v/>
      </c>
    </row>
    <row r="1047" spans="1:2" x14ac:dyDescent="0.25">
      <c r="A1047" s="15" t="str">
        <f t="shared" si="32"/>
        <v/>
      </c>
      <c r="B1047" s="18" t="str">
        <f t="shared" si="33"/>
        <v/>
      </c>
    </row>
    <row r="1048" spans="1:2" x14ac:dyDescent="0.25">
      <c r="A1048" s="15" t="str">
        <f t="shared" si="32"/>
        <v/>
      </c>
      <c r="B1048" s="18" t="str">
        <f t="shared" si="33"/>
        <v/>
      </c>
    </row>
    <row r="1049" spans="1:2" x14ac:dyDescent="0.25">
      <c r="A1049" s="15" t="str">
        <f t="shared" si="32"/>
        <v/>
      </c>
      <c r="B1049" s="18" t="str">
        <f t="shared" si="33"/>
        <v/>
      </c>
    </row>
    <row r="1050" spans="1:2" x14ac:dyDescent="0.25">
      <c r="A1050" s="15" t="str">
        <f t="shared" si="32"/>
        <v/>
      </c>
      <c r="B1050" s="18" t="str">
        <f t="shared" si="33"/>
        <v/>
      </c>
    </row>
    <row r="1051" spans="1:2" x14ac:dyDescent="0.25">
      <c r="A1051" s="15" t="str">
        <f t="shared" si="32"/>
        <v/>
      </c>
      <c r="B1051" s="18" t="str">
        <f t="shared" si="33"/>
        <v/>
      </c>
    </row>
    <row r="1052" spans="1:2" x14ac:dyDescent="0.25">
      <c r="A1052" s="15" t="str">
        <f t="shared" si="32"/>
        <v/>
      </c>
      <c r="B1052" s="18" t="str">
        <f t="shared" si="33"/>
        <v/>
      </c>
    </row>
    <row r="1053" spans="1:2" x14ac:dyDescent="0.25">
      <c r="A1053" s="15" t="str">
        <f t="shared" si="32"/>
        <v/>
      </c>
      <c r="B1053" s="18" t="str">
        <f t="shared" si="33"/>
        <v/>
      </c>
    </row>
    <row r="1054" spans="1:2" x14ac:dyDescent="0.25">
      <c r="A1054" s="15" t="str">
        <f t="shared" si="32"/>
        <v/>
      </c>
      <c r="B1054" s="18" t="str">
        <f t="shared" si="33"/>
        <v/>
      </c>
    </row>
    <row r="1055" spans="1:2" x14ac:dyDescent="0.25">
      <c r="A1055" s="15" t="str">
        <f t="shared" si="32"/>
        <v/>
      </c>
      <c r="B1055" s="18" t="str">
        <f t="shared" si="33"/>
        <v/>
      </c>
    </row>
    <row r="1056" spans="1:2" x14ac:dyDescent="0.25">
      <c r="A1056" s="15" t="str">
        <f t="shared" si="32"/>
        <v/>
      </c>
      <c r="B1056" s="18" t="str">
        <f t="shared" si="33"/>
        <v/>
      </c>
    </row>
    <row r="1057" spans="1:2" x14ac:dyDescent="0.25">
      <c r="A1057" s="15" t="str">
        <f t="shared" si="32"/>
        <v/>
      </c>
      <c r="B1057" s="18" t="str">
        <f t="shared" si="33"/>
        <v/>
      </c>
    </row>
    <row r="1058" spans="1:2" x14ac:dyDescent="0.25">
      <c r="A1058" s="15" t="str">
        <f t="shared" si="32"/>
        <v/>
      </c>
      <c r="B1058" s="18" t="str">
        <f t="shared" si="33"/>
        <v/>
      </c>
    </row>
    <row r="1059" spans="1:2" x14ac:dyDescent="0.25">
      <c r="A1059" s="15" t="str">
        <f t="shared" si="32"/>
        <v/>
      </c>
      <c r="B1059" s="18" t="str">
        <f t="shared" si="33"/>
        <v/>
      </c>
    </row>
    <row r="1060" spans="1:2" x14ac:dyDescent="0.25">
      <c r="A1060" s="15" t="str">
        <f t="shared" si="32"/>
        <v/>
      </c>
      <c r="B1060" s="18" t="str">
        <f t="shared" si="33"/>
        <v/>
      </c>
    </row>
    <row r="1061" spans="1:2" x14ac:dyDescent="0.25">
      <c r="A1061" s="15" t="str">
        <f t="shared" si="32"/>
        <v/>
      </c>
      <c r="B1061" s="18" t="str">
        <f t="shared" si="33"/>
        <v/>
      </c>
    </row>
    <row r="1062" spans="1:2" x14ac:dyDescent="0.25">
      <c r="A1062" s="15" t="str">
        <f t="shared" si="32"/>
        <v/>
      </c>
      <c r="B1062" s="18" t="str">
        <f t="shared" si="33"/>
        <v/>
      </c>
    </row>
    <row r="1063" spans="1:2" x14ac:dyDescent="0.25">
      <c r="A1063" s="15" t="str">
        <f t="shared" si="32"/>
        <v/>
      </c>
      <c r="B1063" s="18" t="str">
        <f t="shared" si="33"/>
        <v/>
      </c>
    </row>
    <row r="1064" spans="1:2" x14ac:dyDescent="0.25">
      <c r="A1064" s="15" t="str">
        <f t="shared" si="32"/>
        <v/>
      </c>
      <c r="B1064" s="18" t="str">
        <f t="shared" si="33"/>
        <v/>
      </c>
    </row>
    <row r="1065" spans="1:2" x14ac:dyDescent="0.25">
      <c r="A1065" s="15" t="str">
        <f t="shared" si="32"/>
        <v/>
      </c>
      <c r="B1065" s="18" t="str">
        <f t="shared" si="33"/>
        <v/>
      </c>
    </row>
    <row r="1066" spans="1:2" x14ac:dyDescent="0.25">
      <c r="A1066" s="15" t="str">
        <f t="shared" si="32"/>
        <v/>
      </c>
      <c r="B1066" s="18" t="str">
        <f t="shared" si="33"/>
        <v/>
      </c>
    </row>
    <row r="1067" spans="1:2" x14ac:dyDescent="0.25">
      <c r="A1067" s="15" t="str">
        <f t="shared" si="32"/>
        <v/>
      </c>
      <c r="B1067" s="18" t="str">
        <f t="shared" si="33"/>
        <v/>
      </c>
    </row>
    <row r="1068" spans="1:2" x14ac:dyDescent="0.25">
      <c r="A1068" s="15" t="str">
        <f t="shared" si="32"/>
        <v/>
      </c>
      <c r="B1068" s="18" t="str">
        <f t="shared" si="33"/>
        <v/>
      </c>
    </row>
    <row r="1069" spans="1:2" x14ac:dyDescent="0.25">
      <c r="A1069" s="15" t="str">
        <f t="shared" si="32"/>
        <v/>
      </c>
      <c r="B1069" s="18" t="str">
        <f t="shared" si="33"/>
        <v/>
      </c>
    </row>
    <row r="1070" spans="1:2" x14ac:dyDescent="0.25">
      <c r="A1070" s="15" t="str">
        <f t="shared" si="32"/>
        <v/>
      </c>
      <c r="B1070" s="18" t="str">
        <f t="shared" si="33"/>
        <v/>
      </c>
    </row>
    <row r="1071" spans="1:2" x14ac:dyDescent="0.25">
      <c r="A1071" s="15" t="str">
        <f t="shared" si="32"/>
        <v/>
      </c>
      <c r="B1071" s="18" t="str">
        <f t="shared" si="33"/>
        <v/>
      </c>
    </row>
    <row r="1072" spans="1:2" x14ac:dyDescent="0.25">
      <c r="A1072" s="15" t="str">
        <f t="shared" si="32"/>
        <v/>
      </c>
      <c r="B1072" s="18" t="str">
        <f t="shared" si="33"/>
        <v/>
      </c>
    </row>
    <row r="1073" spans="1:2" x14ac:dyDescent="0.25">
      <c r="A1073" s="15" t="str">
        <f t="shared" si="32"/>
        <v/>
      </c>
      <c r="B1073" s="18" t="str">
        <f t="shared" si="33"/>
        <v/>
      </c>
    </row>
    <row r="1074" spans="1:2" x14ac:dyDescent="0.25">
      <c r="A1074" s="15" t="str">
        <f t="shared" si="32"/>
        <v/>
      </c>
      <c r="B1074" s="18" t="str">
        <f t="shared" si="33"/>
        <v/>
      </c>
    </row>
    <row r="1075" spans="1:2" x14ac:dyDescent="0.25">
      <c r="A1075" s="15" t="str">
        <f t="shared" si="32"/>
        <v/>
      </c>
      <c r="B1075" s="18" t="str">
        <f t="shared" si="33"/>
        <v/>
      </c>
    </row>
    <row r="1076" spans="1:2" x14ac:dyDescent="0.25">
      <c r="A1076" s="15" t="str">
        <f t="shared" si="32"/>
        <v/>
      </c>
      <c r="B1076" s="18" t="str">
        <f t="shared" si="33"/>
        <v/>
      </c>
    </row>
    <row r="1077" spans="1:2" x14ac:dyDescent="0.25">
      <c r="A1077" s="15" t="str">
        <f t="shared" si="32"/>
        <v/>
      </c>
      <c r="B1077" s="18" t="str">
        <f t="shared" si="33"/>
        <v/>
      </c>
    </row>
    <row r="1078" spans="1:2" x14ac:dyDescent="0.25">
      <c r="A1078" s="15" t="str">
        <f t="shared" si="32"/>
        <v/>
      </c>
      <c r="B1078" s="18" t="str">
        <f t="shared" si="33"/>
        <v/>
      </c>
    </row>
    <row r="1079" spans="1:2" x14ac:dyDescent="0.25">
      <c r="A1079" s="15" t="str">
        <f t="shared" si="32"/>
        <v/>
      </c>
      <c r="B1079" s="18" t="str">
        <f t="shared" si="33"/>
        <v/>
      </c>
    </row>
    <row r="1080" spans="1:2" x14ac:dyDescent="0.25">
      <c r="A1080" s="15" t="str">
        <f t="shared" si="32"/>
        <v/>
      </c>
      <c r="B1080" s="18" t="str">
        <f t="shared" si="33"/>
        <v/>
      </c>
    </row>
    <row r="1081" spans="1:2" x14ac:dyDescent="0.25">
      <c r="A1081" s="15" t="str">
        <f t="shared" si="32"/>
        <v/>
      </c>
      <c r="B1081" s="18" t="str">
        <f t="shared" si="33"/>
        <v/>
      </c>
    </row>
    <row r="1082" spans="1:2" x14ac:dyDescent="0.25">
      <c r="A1082" s="15" t="str">
        <f t="shared" si="32"/>
        <v/>
      </c>
      <c r="B1082" s="18" t="str">
        <f t="shared" si="33"/>
        <v/>
      </c>
    </row>
    <row r="1083" spans="1:2" x14ac:dyDescent="0.25">
      <c r="A1083" s="15" t="str">
        <f t="shared" si="32"/>
        <v/>
      </c>
      <c r="B1083" s="18" t="str">
        <f t="shared" si="33"/>
        <v/>
      </c>
    </row>
    <row r="1084" spans="1:2" x14ac:dyDescent="0.25">
      <c r="A1084" s="15" t="str">
        <f t="shared" si="32"/>
        <v/>
      </c>
      <c r="B1084" s="18" t="str">
        <f t="shared" si="33"/>
        <v/>
      </c>
    </row>
    <row r="1085" spans="1:2" x14ac:dyDescent="0.25">
      <c r="A1085" s="15" t="str">
        <f t="shared" si="32"/>
        <v/>
      </c>
      <c r="B1085" s="18" t="str">
        <f t="shared" si="33"/>
        <v/>
      </c>
    </row>
    <row r="1086" spans="1:2" x14ac:dyDescent="0.25">
      <c r="A1086" s="15" t="str">
        <f t="shared" si="32"/>
        <v/>
      </c>
      <c r="B1086" s="18" t="str">
        <f t="shared" si="33"/>
        <v/>
      </c>
    </row>
    <row r="1087" spans="1:2" x14ac:dyDescent="0.25">
      <c r="A1087" s="15" t="str">
        <f t="shared" si="32"/>
        <v/>
      </c>
      <c r="B1087" s="18" t="str">
        <f t="shared" si="33"/>
        <v/>
      </c>
    </row>
    <row r="1088" spans="1:2" x14ac:dyDescent="0.25">
      <c r="A1088" s="15" t="str">
        <f t="shared" si="32"/>
        <v/>
      </c>
      <c r="B1088" s="18" t="str">
        <f t="shared" si="33"/>
        <v/>
      </c>
    </row>
    <row r="1089" spans="1:2" x14ac:dyDescent="0.25">
      <c r="A1089" s="15" t="str">
        <f t="shared" si="32"/>
        <v/>
      </c>
      <c r="B1089" s="18" t="str">
        <f t="shared" si="33"/>
        <v/>
      </c>
    </row>
    <row r="1090" spans="1:2" x14ac:dyDescent="0.25">
      <c r="A1090" s="15" t="str">
        <f t="shared" ref="A1090:A1153" si="34">B1090&amp;C1090</f>
        <v/>
      </c>
      <c r="B1090" s="18" t="str">
        <f t="shared" si="33"/>
        <v/>
      </c>
    </row>
    <row r="1091" spans="1:2" x14ac:dyDescent="0.25">
      <c r="A1091" s="15" t="str">
        <f t="shared" si="34"/>
        <v/>
      </c>
      <c r="B1091" s="18" t="str">
        <f t="shared" ref="B1091:B1154" si="35">IF(C1091="","",B1090)</f>
        <v/>
      </c>
    </row>
    <row r="1092" spans="1:2" x14ac:dyDescent="0.25">
      <c r="A1092" s="15" t="str">
        <f t="shared" si="34"/>
        <v/>
      </c>
      <c r="B1092" s="18" t="str">
        <f t="shared" si="35"/>
        <v/>
      </c>
    </row>
    <row r="1093" spans="1:2" x14ac:dyDescent="0.25">
      <c r="A1093" s="15" t="str">
        <f t="shared" si="34"/>
        <v/>
      </c>
      <c r="B1093" s="18" t="str">
        <f t="shared" si="35"/>
        <v/>
      </c>
    </row>
    <row r="1094" spans="1:2" x14ac:dyDescent="0.25">
      <c r="A1094" s="15" t="str">
        <f t="shared" si="34"/>
        <v/>
      </c>
      <c r="B1094" s="18" t="str">
        <f t="shared" si="35"/>
        <v/>
      </c>
    </row>
    <row r="1095" spans="1:2" x14ac:dyDescent="0.25">
      <c r="A1095" s="15" t="str">
        <f t="shared" si="34"/>
        <v/>
      </c>
      <c r="B1095" s="18" t="str">
        <f t="shared" si="35"/>
        <v/>
      </c>
    </row>
    <row r="1096" spans="1:2" x14ac:dyDescent="0.25">
      <c r="A1096" s="15" t="str">
        <f t="shared" si="34"/>
        <v/>
      </c>
      <c r="B1096" s="18" t="str">
        <f t="shared" si="35"/>
        <v/>
      </c>
    </row>
    <row r="1097" spans="1:2" x14ac:dyDescent="0.25">
      <c r="A1097" s="15" t="str">
        <f t="shared" si="34"/>
        <v/>
      </c>
      <c r="B1097" s="18" t="str">
        <f t="shared" si="35"/>
        <v/>
      </c>
    </row>
    <row r="1098" spans="1:2" x14ac:dyDescent="0.25">
      <c r="A1098" s="15" t="str">
        <f t="shared" si="34"/>
        <v/>
      </c>
      <c r="B1098" s="18" t="str">
        <f t="shared" si="35"/>
        <v/>
      </c>
    </row>
    <row r="1099" spans="1:2" x14ac:dyDescent="0.25">
      <c r="A1099" s="15" t="str">
        <f t="shared" si="34"/>
        <v/>
      </c>
      <c r="B1099" s="18" t="str">
        <f t="shared" si="35"/>
        <v/>
      </c>
    </row>
    <row r="1100" spans="1:2" x14ac:dyDescent="0.25">
      <c r="A1100" s="15" t="str">
        <f t="shared" si="34"/>
        <v/>
      </c>
      <c r="B1100" s="18" t="str">
        <f t="shared" si="35"/>
        <v/>
      </c>
    </row>
    <row r="1101" spans="1:2" x14ac:dyDescent="0.25">
      <c r="A1101" s="15" t="str">
        <f t="shared" si="34"/>
        <v/>
      </c>
      <c r="B1101" s="18" t="str">
        <f t="shared" si="35"/>
        <v/>
      </c>
    </row>
    <row r="1102" spans="1:2" x14ac:dyDescent="0.25">
      <c r="A1102" s="15" t="str">
        <f t="shared" si="34"/>
        <v/>
      </c>
      <c r="B1102" s="18" t="str">
        <f t="shared" si="35"/>
        <v/>
      </c>
    </row>
    <row r="1103" spans="1:2" x14ac:dyDescent="0.25">
      <c r="A1103" s="15" t="str">
        <f t="shared" si="34"/>
        <v/>
      </c>
      <c r="B1103" s="18" t="str">
        <f t="shared" si="35"/>
        <v/>
      </c>
    </row>
    <row r="1104" spans="1:2" x14ac:dyDescent="0.25">
      <c r="A1104" s="15" t="str">
        <f t="shared" si="34"/>
        <v/>
      </c>
      <c r="B1104" s="18" t="str">
        <f t="shared" si="35"/>
        <v/>
      </c>
    </row>
    <row r="1105" spans="1:2" x14ac:dyDescent="0.25">
      <c r="A1105" s="15" t="str">
        <f t="shared" si="34"/>
        <v/>
      </c>
      <c r="B1105" s="18" t="str">
        <f t="shared" si="35"/>
        <v/>
      </c>
    </row>
    <row r="1106" spans="1:2" x14ac:dyDescent="0.25">
      <c r="A1106" s="15" t="str">
        <f t="shared" si="34"/>
        <v/>
      </c>
      <c r="B1106" s="18" t="str">
        <f t="shared" si="35"/>
        <v/>
      </c>
    </row>
    <row r="1107" spans="1:2" x14ac:dyDescent="0.25">
      <c r="A1107" s="15" t="str">
        <f t="shared" si="34"/>
        <v/>
      </c>
      <c r="B1107" s="18" t="str">
        <f t="shared" si="35"/>
        <v/>
      </c>
    </row>
    <row r="1108" spans="1:2" x14ac:dyDescent="0.25">
      <c r="A1108" s="15" t="str">
        <f t="shared" si="34"/>
        <v/>
      </c>
      <c r="B1108" s="18" t="str">
        <f t="shared" si="35"/>
        <v/>
      </c>
    </row>
    <row r="1109" spans="1:2" x14ac:dyDescent="0.25">
      <c r="A1109" s="15" t="str">
        <f t="shared" si="34"/>
        <v/>
      </c>
      <c r="B1109" s="18" t="str">
        <f t="shared" si="35"/>
        <v/>
      </c>
    </row>
    <row r="1110" spans="1:2" x14ac:dyDescent="0.25">
      <c r="A1110" s="15" t="str">
        <f t="shared" si="34"/>
        <v/>
      </c>
      <c r="B1110" s="18" t="str">
        <f t="shared" si="35"/>
        <v/>
      </c>
    </row>
    <row r="1111" spans="1:2" x14ac:dyDescent="0.25">
      <c r="A1111" s="15" t="str">
        <f t="shared" si="34"/>
        <v/>
      </c>
      <c r="B1111" s="18" t="str">
        <f t="shared" si="35"/>
        <v/>
      </c>
    </row>
    <row r="1112" spans="1:2" x14ac:dyDescent="0.25">
      <c r="A1112" s="15" t="str">
        <f t="shared" si="34"/>
        <v/>
      </c>
      <c r="B1112" s="18" t="str">
        <f t="shared" si="35"/>
        <v/>
      </c>
    </row>
    <row r="1113" spans="1:2" x14ac:dyDescent="0.25">
      <c r="A1113" s="15" t="str">
        <f t="shared" si="34"/>
        <v/>
      </c>
      <c r="B1113" s="18" t="str">
        <f t="shared" si="35"/>
        <v/>
      </c>
    </row>
    <row r="1114" spans="1:2" x14ac:dyDescent="0.25">
      <c r="A1114" s="15" t="str">
        <f t="shared" si="34"/>
        <v/>
      </c>
      <c r="B1114" s="18" t="str">
        <f t="shared" si="35"/>
        <v/>
      </c>
    </row>
    <row r="1115" spans="1:2" x14ac:dyDescent="0.25">
      <c r="A1115" s="15" t="str">
        <f t="shared" si="34"/>
        <v/>
      </c>
      <c r="B1115" s="18" t="str">
        <f t="shared" si="35"/>
        <v/>
      </c>
    </row>
    <row r="1116" spans="1:2" x14ac:dyDescent="0.25">
      <c r="A1116" s="15" t="str">
        <f t="shared" si="34"/>
        <v/>
      </c>
      <c r="B1116" s="18" t="str">
        <f t="shared" si="35"/>
        <v/>
      </c>
    </row>
    <row r="1117" spans="1:2" x14ac:dyDescent="0.25">
      <c r="A1117" s="15" t="str">
        <f t="shared" si="34"/>
        <v/>
      </c>
      <c r="B1117" s="18" t="str">
        <f t="shared" si="35"/>
        <v/>
      </c>
    </row>
    <row r="1118" spans="1:2" x14ac:dyDescent="0.25">
      <c r="A1118" s="15" t="str">
        <f t="shared" si="34"/>
        <v/>
      </c>
      <c r="B1118" s="18" t="str">
        <f t="shared" si="35"/>
        <v/>
      </c>
    </row>
    <row r="1119" spans="1:2" x14ac:dyDescent="0.25">
      <c r="A1119" s="15" t="str">
        <f t="shared" si="34"/>
        <v/>
      </c>
      <c r="B1119" s="18" t="str">
        <f t="shared" si="35"/>
        <v/>
      </c>
    </row>
    <row r="1120" spans="1:2" x14ac:dyDescent="0.25">
      <c r="A1120" s="15" t="str">
        <f t="shared" si="34"/>
        <v/>
      </c>
      <c r="B1120" s="18" t="str">
        <f t="shared" si="35"/>
        <v/>
      </c>
    </row>
    <row r="1121" spans="1:2" x14ac:dyDescent="0.25">
      <c r="A1121" s="15" t="str">
        <f t="shared" si="34"/>
        <v/>
      </c>
      <c r="B1121" s="18" t="str">
        <f t="shared" si="35"/>
        <v/>
      </c>
    </row>
    <row r="1122" spans="1:2" x14ac:dyDescent="0.25">
      <c r="A1122" s="15" t="str">
        <f t="shared" si="34"/>
        <v/>
      </c>
      <c r="B1122" s="18" t="str">
        <f t="shared" si="35"/>
        <v/>
      </c>
    </row>
    <row r="1123" spans="1:2" x14ac:dyDescent="0.25">
      <c r="A1123" s="15" t="str">
        <f t="shared" si="34"/>
        <v/>
      </c>
      <c r="B1123" s="18" t="str">
        <f t="shared" si="35"/>
        <v/>
      </c>
    </row>
    <row r="1124" spans="1:2" x14ac:dyDescent="0.25">
      <c r="A1124" s="15" t="str">
        <f t="shared" si="34"/>
        <v/>
      </c>
      <c r="B1124" s="18" t="str">
        <f t="shared" si="35"/>
        <v/>
      </c>
    </row>
    <row r="1125" spans="1:2" x14ac:dyDescent="0.25">
      <c r="A1125" s="15" t="str">
        <f t="shared" si="34"/>
        <v/>
      </c>
      <c r="B1125" s="18" t="str">
        <f t="shared" si="35"/>
        <v/>
      </c>
    </row>
    <row r="1126" spans="1:2" x14ac:dyDescent="0.25">
      <c r="A1126" s="15" t="str">
        <f t="shared" si="34"/>
        <v/>
      </c>
      <c r="B1126" s="18" t="str">
        <f t="shared" si="35"/>
        <v/>
      </c>
    </row>
    <row r="1127" spans="1:2" x14ac:dyDescent="0.25">
      <c r="A1127" s="15" t="str">
        <f t="shared" si="34"/>
        <v/>
      </c>
      <c r="B1127" s="18" t="str">
        <f t="shared" si="35"/>
        <v/>
      </c>
    </row>
    <row r="1128" spans="1:2" x14ac:dyDescent="0.25">
      <c r="A1128" s="15" t="str">
        <f t="shared" si="34"/>
        <v/>
      </c>
      <c r="B1128" s="18" t="str">
        <f t="shared" si="35"/>
        <v/>
      </c>
    </row>
    <row r="1129" spans="1:2" x14ac:dyDescent="0.25">
      <c r="A1129" s="15" t="str">
        <f t="shared" si="34"/>
        <v/>
      </c>
      <c r="B1129" s="18" t="str">
        <f t="shared" si="35"/>
        <v/>
      </c>
    </row>
    <row r="1130" spans="1:2" x14ac:dyDescent="0.25">
      <c r="A1130" s="15" t="str">
        <f t="shared" si="34"/>
        <v/>
      </c>
      <c r="B1130" s="18" t="str">
        <f t="shared" si="35"/>
        <v/>
      </c>
    </row>
    <row r="1131" spans="1:2" x14ac:dyDescent="0.25">
      <c r="A1131" s="15" t="str">
        <f t="shared" si="34"/>
        <v/>
      </c>
      <c r="B1131" s="18" t="str">
        <f t="shared" si="35"/>
        <v/>
      </c>
    </row>
    <row r="1132" spans="1:2" x14ac:dyDescent="0.25">
      <c r="A1132" s="15" t="str">
        <f t="shared" si="34"/>
        <v/>
      </c>
      <c r="B1132" s="18" t="str">
        <f t="shared" si="35"/>
        <v/>
      </c>
    </row>
    <row r="1133" spans="1:2" x14ac:dyDescent="0.25">
      <c r="A1133" s="15" t="str">
        <f t="shared" si="34"/>
        <v/>
      </c>
      <c r="B1133" s="18" t="str">
        <f t="shared" si="35"/>
        <v/>
      </c>
    </row>
    <row r="1134" spans="1:2" x14ac:dyDescent="0.25">
      <c r="A1134" s="15" t="str">
        <f t="shared" si="34"/>
        <v/>
      </c>
      <c r="B1134" s="18" t="str">
        <f t="shared" si="35"/>
        <v/>
      </c>
    </row>
    <row r="1135" spans="1:2" x14ac:dyDescent="0.25">
      <c r="A1135" s="15" t="str">
        <f t="shared" si="34"/>
        <v/>
      </c>
      <c r="B1135" s="18" t="str">
        <f t="shared" si="35"/>
        <v/>
      </c>
    </row>
    <row r="1136" spans="1:2" x14ac:dyDescent="0.25">
      <c r="A1136" s="15" t="str">
        <f t="shared" si="34"/>
        <v/>
      </c>
      <c r="B1136" s="18" t="str">
        <f t="shared" si="35"/>
        <v/>
      </c>
    </row>
    <row r="1137" spans="1:2" x14ac:dyDescent="0.25">
      <c r="A1137" s="15" t="str">
        <f t="shared" si="34"/>
        <v/>
      </c>
      <c r="B1137" s="18" t="str">
        <f t="shared" si="35"/>
        <v/>
      </c>
    </row>
    <row r="1138" spans="1:2" x14ac:dyDescent="0.25">
      <c r="A1138" s="15" t="str">
        <f t="shared" si="34"/>
        <v/>
      </c>
      <c r="B1138" s="18" t="str">
        <f t="shared" si="35"/>
        <v/>
      </c>
    </row>
    <row r="1139" spans="1:2" x14ac:dyDescent="0.25">
      <c r="A1139" s="15" t="str">
        <f t="shared" si="34"/>
        <v/>
      </c>
      <c r="B1139" s="18" t="str">
        <f t="shared" si="35"/>
        <v/>
      </c>
    </row>
    <row r="1140" spans="1:2" x14ac:dyDescent="0.25">
      <c r="A1140" s="15" t="str">
        <f t="shared" si="34"/>
        <v/>
      </c>
      <c r="B1140" s="18" t="str">
        <f t="shared" si="35"/>
        <v/>
      </c>
    </row>
    <row r="1141" spans="1:2" x14ac:dyDescent="0.25">
      <c r="A1141" s="15" t="str">
        <f t="shared" si="34"/>
        <v/>
      </c>
      <c r="B1141" s="18" t="str">
        <f t="shared" si="35"/>
        <v/>
      </c>
    </row>
    <row r="1142" spans="1:2" x14ac:dyDescent="0.25">
      <c r="A1142" s="15" t="str">
        <f t="shared" si="34"/>
        <v/>
      </c>
      <c r="B1142" s="18" t="str">
        <f t="shared" si="35"/>
        <v/>
      </c>
    </row>
    <row r="1143" spans="1:2" x14ac:dyDescent="0.25">
      <c r="A1143" s="15" t="str">
        <f t="shared" si="34"/>
        <v/>
      </c>
      <c r="B1143" s="18" t="str">
        <f t="shared" si="35"/>
        <v/>
      </c>
    </row>
    <row r="1144" spans="1:2" x14ac:dyDescent="0.25">
      <c r="A1144" s="15" t="str">
        <f t="shared" si="34"/>
        <v/>
      </c>
      <c r="B1144" s="18" t="str">
        <f t="shared" si="35"/>
        <v/>
      </c>
    </row>
    <row r="1145" spans="1:2" x14ac:dyDescent="0.25">
      <c r="A1145" s="15" t="str">
        <f t="shared" si="34"/>
        <v/>
      </c>
      <c r="B1145" s="18" t="str">
        <f t="shared" si="35"/>
        <v/>
      </c>
    </row>
    <row r="1146" spans="1:2" x14ac:dyDescent="0.25">
      <c r="A1146" s="15" t="str">
        <f t="shared" si="34"/>
        <v/>
      </c>
      <c r="B1146" s="18" t="str">
        <f t="shared" si="35"/>
        <v/>
      </c>
    </row>
    <row r="1147" spans="1:2" x14ac:dyDescent="0.25">
      <c r="A1147" s="15" t="str">
        <f t="shared" si="34"/>
        <v/>
      </c>
      <c r="B1147" s="18" t="str">
        <f t="shared" si="35"/>
        <v/>
      </c>
    </row>
    <row r="1148" spans="1:2" x14ac:dyDescent="0.25">
      <c r="A1148" s="15" t="str">
        <f t="shared" si="34"/>
        <v/>
      </c>
      <c r="B1148" s="18" t="str">
        <f t="shared" si="35"/>
        <v/>
      </c>
    </row>
    <row r="1149" spans="1:2" x14ac:dyDescent="0.25">
      <c r="A1149" s="15" t="str">
        <f t="shared" si="34"/>
        <v/>
      </c>
      <c r="B1149" s="18" t="str">
        <f t="shared" si="35"/>
        <v/>
      </c>
    </row>
    <row r="1150" spans="1:2" x14ac:dyDescent="0.25">
      <c r="A1150" s="15" t="str">
        <f t="shared" si="34"/>
        <v/>
      </c>
      <c r="B1150" s="18" t="str">
        <f t="shared" si="35"/>
        <v/>
      </c>
    </row>
    <row r="1151" spans="1:2" x14ac:dyDescent="0.25">
      <c r="A1151" s="15" t="str">
        <f t="shared" si="34"/>
        <v/>
      </c>
      <c r="B1151" s="18" t="str">
        <f t="shared" si="35"/>
        <v/>
      </c>
    </row>
    <row r="1152" spans="1:2" x14ac:dyDescent="0.25">
      <c r="A1152" s="15" t="str">
        <f t="shared" si="34"/>
        <v/>
      </c>
      <c r="B1152" s="18" t="str">
        <f t="shared" si="35"/>
        <v/>
      </c>
    </row>
    <row r="1153" spans="1:2" x14ac:dyDescent="0.25">
      <c r="A1153" s="15" t="str">
        <f t="shared" si="34"/>
        <v/>
      </c>
      <c r="B1153" s="18" t="str">
        <f t="shared" si="35"/>
        <v/>
      </c>
    </row>
    <row r="1154" spans="1:2" x14ac:dyDescent="0.25">
      <c r="A1154" s="15" t="str">
        <f t="shared" ref="A1154:A1217" si="36">B1154&amp;C1154</f>
        <v/>
      </c>
      <c r="B1154" s="18" t="str">
        <f t="shared" si="35"/>
        <v/>
      </c>
    </row>
    <row r="1155" spans="1:2" x14ac:dyDescent="0.25">
      <c r="A1155" s="15" t="str">
        <f t="shared" si="36"/>
        <v/>
      </c>
      <c r="B1155" s="18" t="str">
        <f t="shared" ref="B1155:B1218" si="37">IF(C1155="","",B1154)</f>
        <v/>
      </c>
    </row>
    <row r="1156" spans="1:2" x14ac:dyDescent="0.25">
      <c r="A1156" s="15" t="str">
        <f t="shared" si="36"/>
        <v/>
      </c>
      <c r="B1156" s="18" t="str">
        <f t="shared" si="37"/>
        <v/>
      </c>
    </row>
    <row r="1157" spans="1:2" x14ac:dyDescent="0.25">
      <c r="A1157" s="15" t="str">
        <f t="shared" si="36"/>
        <v/>
      </c>
      <c r="B1157" s="18" t="str">
        <f t="shared" si="37"/>
        <v/>
      </c>
    </row>
    <row r="1158" spans="1:2" x14ac:dyDescent="0.25">
      <c r="A1158" s="15" t="str">
        <f t="shared" si="36"/>
        <v/>
      </c>
      <c r="B1158" s="18" t="str">
        <f t="shared" si="37"/>
        <v/>
      </c>
    </row>
    <row r="1159" spans="1:2" x14ac:dyDescent="0.25">
      <c r="A1159" s="15" t="str">
        <f t="shared" si="36"/>
        <v/>
      </c>
      <c r="B1159" s="18" t="str">
        <f t="shared" si="37"/>
        <v/>
      </c>
    </row>
    <row r="1160" spans="1:2" x14ac:dyDescent="0.25">
      <c r="A1160" s="15" t="str">
        <f t="shared" si="36"/>
        <v/>
      </c>
      <c r="B1160" s="18" t="str">
        <f t="shared" si="37"/>
        <v/>
      </c>
    </row>
    <row r="1161" spans="1:2" x14ac:dyDescent="0.25">
      <c r="A1161" s="15" t="str">
        <f t="shared" si="36"/>
        <v/>
      </c>
      <c r="B1161" s="18" t="str">
        <f t="shared" si="37"/>
        <v/>
      </c>
    </row>
    <row r="1162" spans="1:2" x14ac:dyDescent="0.25">
      <c r="A1162" s="15" t="str">
        <f t="shared" si="36"/>
        <v/>
      </c>
      <c r="B1162" s="18" t="str">
        <f t="shared" si="37"/>
        <v/>
      </c>
    </row>
    <row r="1163" spans="1:2" x14ac:dyDescent="0.25">
      <c r="A1163" s="15" t="str">
        <f t="shared" si="36"/>
        <v/>
      </c>
      <c r="B1163" s="18" t="str">
        <f t="shared" si="37"/>
        <v/>
      </c>
    </row>
    <row r="1164" spans="1:2" x14ac:dyDescent="0.25">
      <c r="A1164" s="15" t="str">
        <f t="shared" si="36"/>
        <v/>
      </c>
      <c r="B1164" s="18" t="str">
        <f t="shared" si="37"/>
        <v/>
      </c>
    </row>
    <row r="1165" spans="1:2" x14ac:dyDescent="0.25">
      <c r="A1165" s="15" t="str">
        <f t="shared" si="36"/>
        <v/>
      </c>
      <c r="B1165" s="18" t="str">
        <f t="shared" si="37"/>
        <v/>
      </c>
    </row>
    <row r="1166" spans="1:2" x14ac:dyDescent="0.25">
      <c r="A1166" s="15" t="str">
        <f t="shared" si="36"/>
        <v/>
      </c>
      <c r="B1166" s="18" t="str">
        <f t="shared" si="37"/>
        <v/>
      </c>
    </row>
    <row r="1167" spans="1:2" x14ac:dyDescent="0.25">
      <c r="A1167" s="15" t="str">
        <f t="shared" si="36"/>
        <v/>
      </c>
      <c r="B1167" s="18" t="str">
        <f t="shared" si="37"/>
        <v/>
      </c>
    </row>
    <row r="1168" spans="1:2" x14ac:dyDescent="0.25">
      <c r="A1168" s="15" t="str">
        <f t="shared" si="36"/>
        <v/>
      </c>
      <c r="B1168" s="18" t="str">
        <f t="shared" si="37"/>
        <v/>
      </c>
    </row>
    <row r="1169" spans="1:2" x14ac:dyDescent="0.25">
      <c r="A1169" s="15" t="str">
        <f t="shared" si="36"/>
        <v/>
      </c>
      <c r="B1169" s="18" t="str">
        <f t="shared" si="37"/>
        <v/>
      </c>
    </row>
    <row r="1170" spans="1:2" x14ac:dyDescent="0.25">
      <c r="A1170" s="15" t="str">
        <f t="shared" si="36"/>
        <v/>
      </c>
      <c r="B1170" s="18" t="str">
        <f t="shared" si="37"/>
        <v/>
      </c>
    </row>
    <row r="1171" spans="1:2" x14ac:dyDescent="0.25">
      <c r="A1171" s="15" t="str">
        <f t="shared" si="36"/>
        <v/>
      </c>
      <c r="B1171" s="18" t="str">
        <f t="shared" si="37"/>
        <v/>
      </c>
    </row>
    <row r="1172" spans="1:2" x14ac:dyDescent="0.25">
      <c r="A1172" s="15" t="str">
        <f t="shared" si="36"/>
        <v/>
      </c>
      <c r="B1172" s="18" t="str">
        <f t="shared" si="37"/>
        <v/>
      </c>
    </row>
    <row r="1173" spans="1:2" x14ac:dyDescent="0.25">
      <c r="A1173" s="15" t="str">
        <f t="shared" si="36"/>
        <v/>
      </c>
      <c r="B1173" s="18" t="str">
        <f t="shared" si="37"/>
        <v/>
      </c>
    </row>
    <row r="1174" spans="1:2" x14ac:dyDescent="0.25">
      <c r="A1174" s="15" t="str">
        <f t="shared" si="36"/>
        <v/>
      </c>
      <c r="B1174" s="18" t="str">
        <f t="shared" si="37"/>
        <v/>
      </c>
    </row>
    <row r="1175" spans="1:2" x14ac:dyDescent="0.25">
      <c r="A1175" s="15" t="str">
        <f t="shared" si="36"/>
        <v/>
      </c>
      <c r="B1175" s="18" t="str">
        <f t="shared" si="37"/>
        <v/>
      </c>
    </row>
    <row r="1176" spans="1:2" x14ac:dyDescent="0.25">
      <c r="A1176" s="15" t="str">
        <f t="shared" si="36"/>
        <v/>
      </c>
      <c r="B1176" s="18" t="str">
        <f t="shared" si="37"/>
        <v/>
      </c>
    </row>
    <row r="1177" spans="1:2" x14ac:dyDescent="0.25">
      <c r="A1177" s="15" t="str">
        <f t="shared" si="36"/>
        <v/>
      </c>
      <c r="B1177" s="18" t="str">
        <f t="shared" si="37"/>
        <v/>
      </c>
    </row>
    <row r="1178" spans="1:2" x14ac:dyDescent="0.25">
      <c r="A1178" s="15" t="str">
        <f t="shared" si="36"/>
        <v/>
      </c>
      <c r="B1178" s="18" t="str">
        <f t="shared" si="37"/>
        <v/>
      </c>
    </row>
    <row r="1179" spans="1:2" x14ac:dyDescent="0.25">
      <c r="A1179" s="15" t="str">
        <f t="shared" si="36"/>
        <v/>
      </c>
      <c r="B1179" s="18" t="str">
        <f t="shared" si="37"/>
        <v/>
      </c>
    </row>
    <row r="1180" spans="1:2" x14ac:dyDescent="0.25">
      <c r="A1180" s="15" t="str">
        <f t="shared" si="36"/>
        <v/>
      </c>
      <c r="B1180" s="18" t="str">
        <f t="shared" si="37"/>
        <v/>
      </c>
    </row>
    <row r="1181" spans="1:2" x14ac:dyDescent="0.25">
      <c r="A1181" s="15" t="str">
        <f t="shared" si="36"/>
        <v/>
      </c>
      <c r="B1181" s="18" t="str">
        <f t="shared" si="37"/>
        <v/>
      </c>
    </row>
    <row r="1182" spans="1:2" x14ac:dyDescent="0.25">
      <c r="A1182" s="15" t="str">
        <f t="shared" si="36"/>
        <v/>
      </c>
      <c r="B1182" s="18" t="str">
        <f t="shared" si="37"/>
        <v/>
      </c>
    </row>
    <row r="1183" spans="1:2" x14ac:dyDescent="0.25">
      <c r="A1183" s="15" t="str">
        <f t="shared" si="36"/>
        <v/>
      </c>
      <c r="B1183" s="18" t="str">
        <f t="shared" si="37"/>
        <v/>
      </c>
    </row>
    <row r="1184" spans="1:2" x14ac:dyDescent="0.25">
      <c r="A1184" s="15" t="str">
        <f t="shared" si="36"/>
        <v/>
      </c>
      <c r="B1184" s="18" t="str">
        <f t="shared" si="37"/>
        <v/>
      </c>
    </row>
    <row r="1185" spans="1:2" x14ac:dyDescent="0.25">
      <c r="A1185" s="15" t="str">
        <f t="shared" si="36"/>
        <v/>
      </c>
      <c r="B1185" s="18" t="str">
        <f t="shared" si="37"/>
        <v/>
      </c>
    </row>
    <row r="1186" spans="1:2" x14ac:dyDescent="0.25">
      <c r="A1186" s="15" t="str">
        <f t="shared" si="36"/>
        <v/>
      </c>
      <c r="B1186" s="18" t="str">
        <f t="shared" si="37"/>
        <v/>
      </c>
    </row>
    <row r="1187" spans="1:2" x14ac:dyDescent="0.25">
      <c r="A1187" s="15" t="str">
        <f t="shared" si="36"/>
        <v/>
      </c>
      <c r="B1187" s="18" t="str">
        <f t="shared" si="37"/>
        <v/>
      </c>
    </row>
    <row r="1188" spans="1:2" x14ac:dyDescent="0.25">
      <c r="A1188" s="15" t="str">
        <f t="shared" si="36"/>
        <v/>
      </c>
      <c r="B1188" s="18" t="str">
        <f t="shared" si="37"/>
        <v/>
      </c>
    </row>
    <row r="1189" spans="1:2" x14ac:dyDescent="0.25">
      <c r="A1189" s="15" t="str">
        <f t="shared" si="36"/>
        <v/>
      </c>
      <c r="B1189" s="18" t="str">
        <f t="shared" si="37"/>
        <v/>
      </c>
    </row>
    <row r="1190" spans="1:2" x14ac:dyDescent="0.25">
      <c r="A1190" s="15" t="str">
        <f t="shared" si="36"/>
        <v/>
      </c>
      <c r="B1190" s="18" t="str">
        <f t="shared" si="37"/>
        <v/>
      </c>
    </row>
    <row r="1191" spans="1:2" x14ac:dyDescent="0.25">
      <c r="A1191" s="15" t="str">
        <f t="shared" si="36"/>
        <v/>
      </c>
      <c r="B1191" s="18" t="str">
        <f t="shared" si="37"/>
        <v/>
      </c>
    </row>
    <row r="1192" spans="1:2" x14ac:dyDescent="0.25">
      <c r="A1192" s="15" t="str">
        <f t="shared" si="36"/>
        <v/>
      </c>
      <c r="B1192" s="18" t="str">
        <f t="shared" si="37"/>
        <v/>
      </c>
    </row>
    <row r="1193" spans="1:2" x14ac:dyDescent="0.25">
      <c r="A1193" s="15" t="str">
        <f t="shared" si="36"/>
        <v/>
      </c>
      <c r="B1193" s="18" t="str">
        <f t="shared" si="37"/>
        <v/>
      </c>
    </row>
    <row r="1194" spans="1:2" x14ac:dyDescent="0.25">
      <c r="A1194" s="15" t="str">
        <f t="shared" si="36"/>
        <v/>
      </c>
      <c r="B1194" s="18" t="str">
        <f t="shared" si="37"/>
        <v/>
      </c>
    </row>
    <row r="1195" spans="1:2" x14ac:dyDescent="0.25">
      <c r="A1195" s="15" t="str">
        <f t="shared" si="36"/>
        <v/>
      </c>
      <c r="B1195" s="18" t="str">
        <f t="shared" si="37"/>
        <v/>
      </c>
    </row>
    <row r="1196" spans="1:2" x14ac:dyDescent="0.25">
      <c r="A1196" s="15" t="str">
        <f t="shared" si="36"/>
        <v/>
      </c>
      <c r="B1196" s="18" t="str">
        <f t="shared" si="37"/>
        <v/>
      </c>
    </row>
    <row r="1197" spans="1:2" x14ac:dyDescent="0.25">
      <c r="A1197" s="15" t="str">
        <f t="shared" si="36"/>
        <v/>
      </c>
      <c r="B1197" s="18" t="str">
        <f t="shared" si="37"/>
        <v/>
      </c>
    </row>
    <row r="1198" spans="1:2" x14ac:dyDescent="0.25">
      <c r="A1198" s="15" t="str">
        <f t="shared" si="36"/>
        <v/>
      </c>
      <c r="B1198" s="18" t="str">
        <f t="shared" si="37"/>
        <v/>
      </c>
    </row>
    <row r="1199" spans="1:2" x14ac:dyDescent="0.25">
      <c r="A1199" s="15" t="str">
        <f t="shared" si="36"/>
        <v/>
      </c>
      <c r="B1199" s="18" t="str">
        <f t="shared" si="37"/>
        <v/>
      </c>
    </row>
    <row r="1200" spans="1:2" x14ac:dyDescent="0.25">
      <c r="A1200" s="15" t="str">
        <f t="shared" si="36"/>
        <v/>
      </c>
      <c r="B1200" s="18" t="str">
        <f t="shared" si="37"/>
        <v/>
      </c>
    </row>
    <row r="1201" spans="1:2" x14ac:dyDescent="0.25">
      <c r="A1201" s="15" t="str">
        <f t="shared" si="36"/>
        <v/>
      </c>
      <c r="B1201" s="18" t="str">
        <f t="shared" si="37"/>
        <v/>
      </c>
    </row>
    <row r="1202" spans="1:2" x14ac:dyDescent="0.25">
      <c r="A1202" s="15" t="str">
        <f t="shared" si="36"/>
        <v/>
      </c>
      <c r="B1202" s="18" t="str">
        <f t="shared" si="37"/>
        <v/>
      </c>
    </row>
    <row r="1203" spans="1:2" x14ac:dyDescent="0.25">
      <c r="A1203" s="15" t="str">
        <f t="shared" si="36"/>
        <v/>
      </c>
      <c r="B1203" s="18" t="str">
        <f t="shared" si="37"/>
        <v/>
      </c>
    </row>
    <row r="1204" spans="1:2" x14ac:dyDescent="0.25">
      <c r="A1204" s="15" t="str">
        <f t="shared" si="36"/>
        <v/>
      </c>
      <c r="B1204" s="18" t="str">
        <f t="shared" si="37"/>
        <v/>
      </c>
    </row>
    <row r="1205" spans="1:2" x14ac:dyDescent="0.25">
      <c r="A1205" s="15" t="str">
        <f t="shared" si="36"/>
        <v/>
      </c>
      <c r="B1205" s="18" t="str">
        <f t="shared" si="37"/>
        <v/>
      </c>
    </row>
    <row r="1206" spans="1:2" x14ac:dyDescent="0.25">
      <c r="A1206" s="15" t="str">
        <f t="shared" si="36"/>
        <v/>
      </c>
      <c r="B1206" s="18" t="str">
        <f t="shared" si="37"/>
        <v/>
      </c>
    </row>
    <row r="1207" spans="1:2" x14ac:dyDescent="0.25">
      <c r="A1207" s="15" t="str">
        <f t="shared" si="36"/>
        <v/>
      </c>
      <c r="B1207" s="18" t="str">
        <f t="shared" si="37"/>
        <v/>
      </c>
    </row>
    <row r="1208" spans="1:2" x14ac:dyDescent="0.25">
      <c r="A1208" s="15" t="str">
        <f t="shared" si="36"/>
        <v/>
      </c>
      <c r="B1208" s="18" t="str">
        <f t="shared" si="37"/>
        <v/>
      </c>
    </row>
    <row r="1209" spans="1:2" x14ac:dyDescent="0.25">
      <c r="A1209" s="15" t="str">
        <f t="shared" si="36"/>
        <v/>
      </c>
      <c r="B1209" s="18" t="str">
        <f t="shared" si="37"/>
        <v/>
      </c>
    </row>
    <row r="1210" spans="1:2" x14ac:dyDescent="0.25">
      <c r="A1210" s="15" t="str">
        <f t="shared" si="36"/>
        <v/>
      </c>
      <c r="B1210" s="18" t="str">
        <f t="shared" si="37"/>
        <v/>
      </c>
    </row>
    <row r="1211" spans="1:2" x14ac:dyDescent="0.25">
      <c r="A1211" s="15" t="str">
        <f t="shared" si="36"/>
        <v/>
      </c>
      <c r="B1211" s="18" t="str">
        <f t="shared" si="37"/>
        <v/>
      </c>
    </row>
    <row r="1212" spans="1:2" x14ac:dyDescent="0.25">
      <c r="A1212" s="15" t="str">
        <f t="shared" si="36"/>
        <v/>
      </c>
      <c r="B1212" s="18" t="str">
        <f t="shared" si="37"/>
        <v/>
      </c>
    </row>
    <row r="1213" spans="1:2" x14ac:dyDescent="0.25">
      <c r="A1213" s="15" t="str">
        <f t="shared" si="36"/>
        <v/>
      </c>
      <c r="B1213" s="18" t="str">
        <f t="shared" si="37"/>
        <v/>
      </c>
    </row>
    <row r="1214" spans="1:2" x14ac:dyDescent="0.25">
      <c r="A1214" s="15" t="str">
        <f t="shared" si="36"/>
        <v/>
      </c>
      <c r="B1214" s="18" t="str">
        <f t="shared" si="37"/>
        <v/>
      </c>
    </row>
    <row r="1215" spans="1:2" x14ac:dyDescent="0.25">
      <c r="A1215" s="15" t="str">
        <f t="shared" si="36"/>
        <v/>
      </c>
      <c r="B1215" s="18" t="str">
        <f t="shared" si="37"/>
        <v/>
      </c>
    </row>
    <row r="1216" spans="1:2" x14ac:dyDescent="0.25">
      <c r="A1216" s="15" t="str">
        <f t="shared" si="36"/>
        <v/>
      </c>
      <c r="B1216" s="18" t="str">
        <f t="shared" si="37"/>
        <v/>
      </c>
    </row>
    <row r="1217" spans="1:2" x14ac:dyDescent="0.25">
      <c r="A1217" s="15" t="str">
        <f t="shared" si="36"/>
        <v/>
      </c>
      <c r="B1217" s="18" t="str">
        <f t="shared" si="37"/>
        <v/>
      </c>
    </row>
    <row r="1218" spans="1:2" x14ac:dyDescent="0.25">
      <c r="A1218" s="15" t="str">
        <f t="shared" ref="A1218:A1281" si="38">B1218&amp;C1218</f>
        <v/>
      </c>
      <c r="B1218" s="18" t="str">
        <f t="shared" si="37"/>
        <v/>
      </c>
    </row>
    <row r="1219" spans="1:2" x14ac:dyDescent="0.25">
      <c r="A1219" s="15" t="str">
        <f t="shared" si="38"/>
        <v/>
      </c>
      <c r="B1219" s="18" t="str">
        <f t="shared" ref="B1219:B1282" si="39">IF(C1219="","",B1218)</f>
        <v/>
      </c>
    </row>
    <row r="1220" spans="1:2" x14ac:dyDescent="0.25">
      <c r="A1220" s="15" t="str">
        <f t="shared" si="38"/>
        <v/>
      </c>
      <c r="B1220" s="18" t="str">
        <f t="shared" si="39"/>
        <v/>
      </c>
    </row>
    <row r="1221" spans="1:2" x14ac:dyDescent="0.25">
      <c r="A1221" s="15" t="str">
        <f t="shared" si="38"/>
        <v/>
      </c>
      <c r="B1221" s="18" t="str">
        <f t="shared" si="39"/>
        <v/>
      </c>
    </row>
    <row r="1222" spans="1:2" x14ac:dyDescent="0.25">
      <c r="A1222" s="15" t="str">
        <f t="shared" si="38"/>
        <v/>
      </c>
      <c r="B1222" s="18" t="str">
        <f t="shared" si="39"/>
        <v/>
      </c>
    </row>
    <row r="1223" spans="1:2" x14ac:dyDescent="0.25">
      <c r="A1223" s="15" t="str">
        <f t="shared" si="38"/>
        <v/>
      </c>
      <c r="B1223" s="18" t="str">
        <f t="shared" si="39"/>
        <v/>
      </c>
    </row>
    <row r="1224" spans="1:2" x14ac:dyDescent="0.25">
      <c r="A1224" s="15" t="str">
        <f t="shared" si="38"/>
        <v/>
      </c>
      <c r="B1224" s="18" t="str">
        <f t="shared" si="39"/>
        <v/>
      </c>
    </row>
    <row r="1225" spans="1:2" x14ac:dyDescent="0.25">
      <c r="A1225" s="15" t="str">
        <f t="shared" si="38"/>
        <v/>
      </c>
      <c r="B1225" s="18" t="str">
        <f t="shared" si="39"/>
        <v/>
      </c>
    </row>
    <row r="1226" spans="1:2" x14ac:dyDescent="0.25">
      <c r="A1226" s="15" t="str">
        <f t="shared" si="38"/>
        <v/>
      </c>
      <c r="B1226" s="18" t="str">
        <f t="shared" si="39"/>
        <v/>
      </c>
    </row>
    <row r="1227" spans="1:2" x14ac:dyDescent="0.25">
      <c r="A1227" s="15" t="str">
        <f t="shared" si="38"/>
        <v/>
      </c>
      <c r="B1227" s="18" t="str">
        <f t="shared" si="39"/>
        <v/>
      </c>
    </row>
    <row r="1228" spans="1:2" x14ac:dyDescent="0.25">
      <c r="A1228" s="15" t="str">
        <f t="shared" si="38"/>
        <v/>
      </c>
      <c r="B1228" s="18" t="str">
        <f t="shared" si="39"/>
        <v/>
      </c>
    </row>
    <row r="1229" spans="1:2" x14ac:dyDescent="0.25">
      <c r="A1229" s="15" t="str">
        <f t="shared" si="38"/>
        <v/>
      </c>
      <c r="B1229" s="18" t="str">
        <f t="shared" si="39"/>
        <v/>
      </c>
    </row>
    <row r="1230" spans="1:2" x14ac:dyDescent="0.25">
      <c r="A1230" s="15" t="str">
        <f t="shared" si="38"/>
        <v/>
      </c>
      <c r="B1230" s="18" t="str">
        <f t="shared" si="39"/>
        <v/>
      </c>
    </row>
    <row r="1231" spans="1:2" x14ac:dyDescent="0.25">
      <c r="A1231" s="15" t="str">
        <f t="shared" si="38"/>
        <v/>
      </c>
      <c r="B1231" s="18" t="str">
        <f t="shared" si="39"/>
        <v/>
      </c>
    </row>
    <row r="1232" spans="1:2" x14ac:dyDescent="0.25">
      <c r="A1232" s="15" t="str">
        <f t="shared" si="38"/>
        <v/>
      </c>
      <c r="B1232" s="18" t="str">
        <f t="shared" si="39"/>
        <v/>
      </c>
    </row>
    <row r="1233" spans="1:2" x14ac:dyDescent="0.25">
      <c r="A1233" s="15" t="str">
        <f t="shared" si="38"/>
        <v/>
      </c>
      <c r="B1233" s="18" t="str">
        <f t="shared" si="39"/>
        <v/>
      </c>
    </row>
    <row r="1234" spans="1:2" x14ac:dyDescent="0.25">
      <c r="A1234" s="15" t="str">
        <f t="shared" si="38"/>
        <v/>
      </c>
      <c r="B1234" s="18" t="str">
        <f t="shared" si="39"/>
        <v/>
      </c>
    </row>
    <row r="1235" spans="1:2" x14ac:dyDescent="0.25">
      <c r="A1235" s="15" t="str">
        <f t="shared" si="38"/>
        <v/>
      </c>
      <c r="B1235" s="18" t="str">
        <f t="shared" si="39"/>
        <v/>
      </c>
    </row>
    <row r="1236" spans="1:2" x14ac:dyDescent="0.25">
      <c r="A1236" s="15" t="str">
        <f t="shared" si="38"/>
        <v/>
      </c>
      <c r="B1236" s="18" t="str">
        <f t="shared" si="39"/>
        <v/>
      </c>
    </row>
    <row r="1237" spans="1:2" x14ac:dyDescent="0.25">
      <c r="A1237" s="15" t="str">
        <f t="shared" si="38"/>
        <v/>
      </c>
      <c r="B1237" s="18" t="str">
        <f t="shared" si="39"/>
        <v/>
      </c>
    </row>
    <row r="1238" spans="1:2" x14ac:dyDescent="0.25">
      <c r="A1238" s="15" t="str">
        <f t="shared" si="38"/>
        <v/>
      </c>
      <c r="B1238" s="18" t="str">
        <f t="shared" si="39"/>
        <v/>
      </c>
    </row>
    <row r="1239" spans="1:2" x14ac:dyDescent="0.25">
      <c r="A1239" s="15" t="str">
        <f t="shared" si="38"/>
        <v/>
      </c>
      <c r="B1239" s="18" t="str">
        <f t="shared" si="39"/>
        <v/>
      </c>
    </row>
    <row r="1240" spans="1:2" x14ac:dyDescent="0.25">
      <c r="A1240" s="15" t="str">
        <f t="shared" si="38"/>
        <v/>
      </c>
      <c r="B1240" s="18" t="str">
        <f t="shared" si="39"/>
        <v/>
      </c>
    </row>
    <row r="1241" spans="1:2" x14ac:dyDescent="0.25">
      <c r="A1241" s="15" t="str">
        <f t="shared" si="38"/>
        <v/>
      </c>
      <c r="B1241" s="18" t="str">
        <f t="shared" si="39"/>
        <v/>
      </c>
    </row>
    <row r="1242" spans="1:2" x14ac:dyDescent="0.25">
      <c r="A1242" s="15" t="str">
        <f t="shared" si="38"/>
        <v/>
      </c>
      <c r="B1242" s="18" t="str">
        <f t="shared" si="39"/>
        <v/>
      </c>
    </row>
    <row r="1243" spans="1:2" x14ac:dyDescent="0.25">
      <c r="A1243" s="15" t="str">
        <f t="shared" si="38"/>
        <v/>
      </c>
      <c r="B1243" s="18" t="str">
        <f t="shared" si="39"/>
        <v/>
      </c>
    </row>
    <row r="1244" spans="1:2" x14ac:dyDescent="0.25">
      <c r="A1244" s="15" t="str">
        <f t="shared" si="38"/>
        <v/>
      </c>
      <c r="B1244" s="18" t="str">
        <f t="shared" si="39"/>
        <v/>
      </c>
    </row>
    <row r="1245" spans="1:2" x14ac:dyDescent="0.25">
      <c r="A1245" s="15" t="str">
        <f t="shared" si="38"/>
        <v/>
      </c>
      <c r="B1245" s="18" t="str">
        <f t="shared" si="39"/>
        <v/>
      </c>
    </row>
    <row r="1246" spans="1:2" x14ac:dyDescent="0.25">
      <c r="A1246" s="15" t="str">
        <f t="shared" si="38"/>
        <v/>
      </c>
      <c r="B1246" s="18" t="str">
        <f t="shared" si="39"/>
        <v/>
      </c>
    </row>
    <row r="1247" spans="1:2" x14ac:dyDescent="0.25">
      <c r="A1247" s="15" t="str">
        <f t="shared" si="38"/>
        <v/>
      </c>
      <c r="B1247" s="18" t="str">
        <f t="shared" si="39"/>
        <v/>
      </c>
    </row>
    <row r="1248" spans="1:2" x14ac:dyDescent="0.25">
      <c r="A1248" s="15" t="str">
        <f t="shared" si="38"/>
        <v/>
      </c>
      <c r="B1248" s="18" t="str">
        <f t="shared" si="39"/>
        <v/>
      </c>
    </row>
    <row r="1249" spans="1:2" x14ac:dyDescent="0.25">
      <c r="A1249" s="15" t="str">
        <f t="shared" si="38"/>
        <v/>
      </c>
      <c r="B1249" s="18" t="str">
        <f t="shared" si="39"/>
        <v/>
      </c>
    </row>
    <row r="1250" spans="1:2" x14ac:dyDescent="0.25">
      <c r="A1250" s="15" t="str">
        <f t="shared" si="38"/>
        <v/>
      </c>
      <c r="B1250" s="18" t="str">
        <f t="shared" si="39"/>
        <v/>
      </c>
    </row>
    <row r="1251" spans="1:2" x14ac:dyDescent="0.25">
      <c r="A1251" s="15" t="str">
        <f t="shared" si="38"/>
        <v/>
      </c>
      <c r="B1251" s="18" t="str">
        <f t="shared" si="39"/>
        <v/>
      </c>
    </row>
    <row r="1252" spans="1:2" x14ac:dyDescent="0.25">
      <c r="A1252" s="15" t="str">
        <f t="shared" si="38"/>
        <v/>
      </c>
      <c r="B1252" s="18" t="str">
        <f t="shared" si="39"/>
        <v/>
      </c>
    </row>
    <row r="1253" spans="1:2" x14ac:dyDescent="0.25">
      <c r="A1253" s="15" t="str">
        <f t="shared" si="38"/>
        <v/>
      </c>
      <c r="B1253" s="18" t="str">
        <f t="shared" si="39"/>
        <v/>
      </c>
    </row>
    <row r="1254" spans="1:2" x14ac:dyDescent="0.25">
      <c r="A1254" s="15" t="str">
        <f t="shared" si="38"/>
        <v/>
      </c>
      <c r="B1254" s="18" t="str">
        <f t="shared" si="39"/>
        <v/>
      </c>
    </row>
    <row r="1255" spans="1:2" x14ac:dyDescent="0.25">
      <c r="A1255" s="15" t="str">
        <f t="shared" si="38"/>
        <v/>
      </c>
      <c r="B1255" s="18" t="str">
        <f t="shared" si="39"/>
        <v/>
      </c>
    </row>
    <row r="1256" spans="1:2" x14ac:dyDescent="0.25">
      <c r="A1256" s="15" t="str">
        <f t="shared" si="38"/>
        <v/>
      </c>
      <c r="B1256" s="18" t="str">
        <f t="shared" si="39"/>
        <v/>
      </c>
    </row>
    <row r="1257" spans="1:2" x14ac:dyDescent="0.25">
      <c r="A1257" s="15" t="str">
        <f t="shared" si="38"/>
        <v/>
      </c>
      <c r="B1257" s="18" t="str">
        <f t="shared" si="39"/>
        <v/>
      </c>
    </row>
    <row r="1258" spans="1:2" x14ac:dyDescent="0.25">
      <c r="A1258" s="15" t="str">
        <f t="shared" si="38"/>
        <v/>
      </c>
      <c r="B1258" s="18" t="str">
        <f t="shared" si="39"/>
        <v/>
      </c>
    </row>
    <row r="1259" spans="1:2" x14ac:dyDescent="0.25">
      <c r="A1259" s="15" t="str">
        <f t="shared" si="38"/>
        <v/>
      </c>
      <c r="B1259" s="18" t="str">
        <f t="shared" si="39"/>
        <v/>
      </c>
    </row>
    <row r="1260" spans="1:2" x14ac:dyDescent="0.25">
      <c r="A1260" s="15" t="str">
        <f t="shared" si="38"/>
        <v/>
      </c>
      <c r="B1260" s="18" t="str">
        <f t="shared" si="39"/>
        <v/>
      </c>
    </row>
    <row r="1261" spans="1:2" x14ac:dyDescent="0.25">
      <c r="A1261" s="15" t="str">
        <f t="shared" si="38"/>
        <v/>
      </c>
      <c r="B1261" s="18" t="str">
        <f t="shared" si="39"/>
        <v/>
      </c>
    </row>
    <row r="1262" spans="1:2" x14ac:dyDescent="0.25">
      <c r="A1262" s="15" t="str">
        <f t="shared" si="38"/>
        <v/>
      </c>
      <c r="B1262" s="18" t="str">
        <f t="shared" si="39"/>
        <v/>
      </c>
    </row>
    <row r="1263" spans="1:2" x14ac:dyDescent="0.25">
      <c r="A1263" s="15" t="str">
        <f t="shared" si="38"/>
        <v/>
      </c>
      <c r="B1263" s="18" t="str">
        <f t="shared" si="39"/>
        <v/>
      </c>
    </row>
    <row r="1264" spans="1:2" x14ac:dyDescent="0.25">
      <c r="A1264" s="15" t="str">
        <f t="shared" si="38"/>
        <v/>
      </c>
      <c r="B1264" s="18" t="str">
        <f t="shared" si="39"/>
        <v/>
      </c>
    </row>
    <row r="1265" spans="1:2" x14ac:dyDescent="0.25">
      <c r="A1265" s="15" t="str">
        <f t="shared" si="38"/>
        <v/>
      </c>
      <c r="B1265" s="18" t="str">
        <f t="shared" si="39"/>
        <v/>
      </c>
    </row>
    <row r="1266" spans="1:2" x14ac:dyDescent="0.25">
      <c r="A1266" s="15" t="str">
        <f t="shared" si="38"/>
        <v/>
      </c>
      <c r="B1266" s="18" t="str">
        <f t="shared" si="39"/>
        <v/>
      </c>
    </row>
    <row r="1267" spans="1:2" x14ac:dyDescent="0.25">
      <c r="A1267" s="15" t="str">
        <f t="shared" si="38"/>
        <v/>
      </c>
      <c r="B1267" s="18" t="str">
        <f t="shared" si="39"/>
        <v/>
      </c>
    </row>
    <row r="1268" spans="1:2" x14ac:dyDescent="0.25">
      <c r="A1268" s="15" t="str">
        <f t="shared" si="38"/>
        <v/>
      </c>
      <c r="B1268" s="18" t="str">
        <f t="shared" si="39"/>
        <v/>
      </c>
    </row>
    <row r="1269" spans="1:2" x14ac:dyDescent="0.25">
      <c r="A1269" s="15" t="str">
        <f t="shared" si="38"/>
        <v/>
      </c>
      <c r="B1269" s="18" t="str">
        <f t="shared" si="39"/>
        <v/>
      </c>
    </row>
    <row r="1270" spans="1:2" x14ac:dyDescent="0.25">
      <c r="A1270" s="15" t="str">
        <f t="shared" si="38"/>
        <v/>
      </c>
      <c r="B1270" s="18" t="str">
        <f t="shared" si="39"/>
        <v/>
      </c>
    </row>
    <row r="1271" spans="1:2" x14ac:dyDescent="0.25">
      <c r="A1271" s="15" t="str">
        <f t="shared" si="38"/>
        <v/>
      </c>
      <c r="B1271" s="18" t="str">
        <f t="shared" si="39"/>
        <v/>
      </c>
    </row>
    <row r="1272" spans="1:2" x14ac:dyDescent="0.25">
      <c r="A1272" s="15" t="str">
        <f t="shared" si="38"/>
        <v/>
      </c>
      <c r="B1272" s="18" t="str">
        <f t="shared" si="39"/>
        <v/>
      </c>
    </row>
    <row r="1273" spans="1:2" x14ac:dyDescent="0.25">
      <c r="A1273" s="15" t="str">
        <f t="shared" si="38"/>
        <v/>
      </c>
      <c r="B1273" s="18" t="str">
        <f t="shared" si="39"/>
        <v/>
      </c>
    </row>
    <row r="1274" spans="1:2" x14ac:dyDescent="0.25">
      <c r="A1274" s="15" t="str">
        <f t="shared" si="38"/>
        <v/>
      </c>
      <c r="B1274" s="18" t="str">
        <f t="shared" si="39"/>
        <v/>
      </c>
    </row>
    <row r="1275" spans="1:2" x14ac:dyDescent="0.25">
      <c r="A1275" s="15" t="str">
        <f t="shared" si="38"/>
        <v/>
      </c>
      <c r="B1275" s="18" t="str">
        <f t="shared" si="39"/>
        <v/>
      </c>
    </row>
    <row r="1276" spans="1:2" x14ac:dyDescent="0.25">
      <c r="A1276" s="15" t="str">
        <f t="shared" si="38"/>
        <v/>
      </c>
      <c r="B1276" s="18" t="str">
        <f t="shared" si="39"/>
        <v/>
      </c>
    </row>
    <row r="1277" spans="1:2" x14ac:dyDescent="0.25">
      <c r="A1277" s="15" t="str">
        <f t="shared" si="38"/>
        <v/>
      </c>
      <c r="B1277" s="18" t="str">
        <f t="shared" si="39"/>
        <v/>
      </c>
    </row>
    <row r="1278" spans="1:2" x14ac:dyDescent="0.25">
      <c r="A1278" s="15" t="str">
        <f t="shared" si="38"/>
        <v/>
      </c>
      <c r="B1278" s="18" t="str">
        <f t="shared" si="39"/>
        <v/>
      </c>
    </row>
    <row r="1279" spans="1:2" x14ac:dyDescent="0.25">
      <c r="A1279" s="15" t="str">
        <f t="shared" si="38"/>
        <v/>
      </c>
      <c r="B1279" s="18" t="str">
        <f t="shared" si="39"/>
        <v/>
      </c>
    </row>
    <row r="1280" spans="1:2" x14ac:dyDescent="0.25">
      <c r="A1280" s="15" t="str">
        <f t="shared" si="38"/>
        <v/>
      </c>
      <c r="B1280" s="18" t="str">
        <f t="shared" si="39"/>
        <v/>
      </c>
    </row>
    <row r="1281" spans="1:2" x14ac:dyDescent="0.25">
      <c r="A1281" s="15" t="str">
        <f t="shared" si="38"/>
        <v/>
      </c>
      <c r="B1281" s="18" t="str">
        <f t="shared" si="39"/>
        <v/>
      </c>
    </row>
    <row r="1282" spans="1:2" x14ac:dyDescent="0.25">
      <c r="A1282" s="15" t="str">
        <f t="shared" ref="A1282:A1345" si="40">B1282&amp;C1282</f>
        <v/>
      </c>
      <c r="B1282" s="18" t="str">
        <f t="shared" si="39"/>
        <v/>
      </c>
    </row>
    <row r="1283" spans="1:2" x14ac:dyDescent="0.25">
      <c r="A1283" s="15" t="str">
        <f t="shared" si="40"/>
        <v/>
      </c>
      <c r="B1283" s="18" t="str">
        <f t="shared" ref="B1283:B1346" si="41">IF(C1283="","",B1282)</f>
        <v/>
      </c>
    </row>
    <row r="1284" spans="1:2" x14ac:dyDescent="0.25">
      <c r="A1284" s="15" t="str">
        <f t="shared" si="40"/>
        <v/>
      </c>
      <c r="B1284" s="18" t="str">
        <f t="shared" si="41"/>
        <v/>
      </c>
    </row>
    <row r="1285" spans="1:2" x14ac:dyDescent="0.25">
      <c r="A1285" s="15" t="str">
        <f t="shared" si="40"/>
        <v/>
      </c>
      <c r="B1285" s="18" t="str">
        <f t="shared" si="41"/>
        <v/>
      </c>
    </row>
    <row r="1286" spans="1:2" x14ac:dyDescent="0.25">
      <c r="A1286" s="15" t="str">
        <f t="shared" si="40"/>
        <v/>
      </c>
      <c r="B1286" s="18" t="str">
        <f t="shared" si="41"/>
        <v/>
      </c>
    </row>
    <row r="1287" spans="1:2" x14ac:dyDescent="0.25">
      <c r="A1287" s="15" t="str">
        <f t="shared" si="40"/>
        <v/>
      </c>
      <c r="B1287" s="18" t="str">
        <f t="shared" si="41"/>
        <v/>
      </c>
    </row>
    <row r="1288" spans="1:2" x14ac:dyDescent="0.25">
      <c r="A1288" s="15" t="str">
        <f t="shared" si="40"/>
        <v/>
      </c>
      <c r="B1288" s="18" t="str">
        <f t="shared" si="41"/>
        <v/>
      </c>
    </row>
    <row r="1289" spans="1:2" x14ac:dyDescent="0.25">
      <c r="A1289" s="15" t="str">
        <f t="shared" si="40"/>
        <v/>
      </c>
      <c r="B1289" s="18" t="str">
        <f t="shared" si="41"/>
        <v/>
      </c>
    </row>
    <row r="1290" spans="1:2" x14ac:dyDescent="0.25">
      <c r="A1290" s="15" t="str">
        <f t="shared" si="40"/>
        <v/>
      </c>
      <c r="B1290" s="18" t="str">
        <f t="shared" si="41"/>
        <v/>
      </c>
    </row>
    <row r="1291" spans="1:2" x14ac:dyDescent="0.25">
      <c r="A1291" s="15" t="str">
        <f t="shared" si="40"/>
        <v/>
      </c>
      <c r="B1291" s="18" t="str">
        <f t="shared" si="41"/>
        <v/>
      </c>
    </row>
    <row r="1292" spans="1:2" x14ac:dyDescent="0.25">
      <c r="A1292" s="15" t="str">
        <f t="shared" si="40"/>
        <v/>
      </c>
      <c r="B1292" s="18" t="str">
        <f t="shared" si="41"/>
        <v/>
      </c>
    </row>
    <row r="1293" spans="1:2" x14ac:dyDescent="0.25">
      <c r="A1293" s="15" t="str">
        <f t="shared" si="40"/>
        <v/>
      </c>
      <c r="B1293" s="18" t="str">
        <f t="shared" si="41"/>
        <v/>
      </c>
    </row>
    <row r="1294" spans="1:2" x14ac:dyDescent="0.25">
      <c r="A1294" s="15" t="str">
        <f t="shared" si="40"/>
        <v/>
      </c>
      <c r="B1294" s="18" t="str">
        <f t="shared" si="41"/>
        <v/>
      </c>
    </row>
    <row r="1295" spans="1:2" x14ac:dyDescent="0.25">
      <c r="A1295" s="15" t="str">
        <f t="shared" si="40"/>
        <v/>
      </c>
      <c r="B1295" s="18" t="str">
        <f t="shared" si="41"/>
        <v/>
      </c>
    </row>
    <row r="1296" spans="1:2" x14ac:dyDescent="0.25">
      <c r="A1296" s="15" t="str">
        <f t="shared" si="40"/>
        <v/>
      </c>
      <c r="B1296" s="18" t="str">
        <f t="shared" si="41"/>
        <v/>
      </c>
    </row>
    <row r="1297" spans="1:2" x14ac:dyDescent="0.25">
      <c r="A1297" s="15" t="str">
        <f t="shared" si="40"/>
        <v/>
      </c>
      <c r="B1297" s="18" t="str">
        <f t="shared" si="41"/>
        <v/>
      </c>
    </row>
    <row r="1298" spans="1:2" x14ac:dyDescent="0.25">
      <c r="A1298" s="15" t="str">
        <f t="shared" si="40"/>
        <v/>
      </c>
      <c r="B1298" s="18" t="str">
        <f t="shared" si="41"/>
        <v/>
      </c>
    </row>
    <row r="1299" spans="1:2" x14ac:dyDescent="0.25">
      <c r="A1299" s="15" t="str">
        <f t="shared" si="40"/>
        <v/>
      </c>
      <c r="B1299" s="18" t="str">
        <f t="shared" si="41"/>
        <v/>
      </c>
    </row>
    <row r="1300" spans="1:2" x14ac:dyDescent="0.25">
      <c r="A1300" s="15" t="str">
        <f t="shared" si="40"/>
        <v/>
      </c>
      <c r="B1300" s="18" t="str">
        <f t="shared" si="41"/>
        <v/>
      </c>
    </row>
    <row r="1301" spans="1:2" x14ac:dyDescent="0.25">
      <c r="A1301" s="15" t="str">
        <f t="shared" si="40"/>
        <v/>
      </c>
      <c r="B1301" s="18" t="str">
        <f t="shared" si="41"/>
        <v/>
      </c>
    </row>
    <row r="1302" spans="1:2" x14ac:dyDescent="0.25">
      <c r="A1302" s="15" t="str">
        <f t="shared" si="40"/>
        <v/>
      </c>
      <c r="B1302" s="18" t="str">
        <f t="shared" si="41"/>
        <v/>
      </c>
    </row>
    <row r="1303" spans="1:2" x14ac:dyDescent="0.25">
      <c r="A1303" s="15" t="str">
        <f t="shared" si="40"/>
        <v/>
      </c>
      <c r="B1303" s="18" t="str">
        <f t="shared" si="41"/>
        <v/>
      </c>
    </row>
    <row r="1304" spans="1:2" x14ac:dyDescent="0.25">
      <c r="A1304" s="15" t="str">
        <f t="shared" si="40"/>
        <v/>
      </c>
      <c r="B1304" s="18" t="str">
        <f t="shared" si="41"/>
        <v/>
      </c>
    </row>
    <row r="1305" spans="1:2" x14ac:dyDescent="0.25">
      <c r="A1305" s="15" t="str">
        <f t="shared" si="40"/>
        <v/>
      </c>
      <c r="B1305" s="18" t="str">
        <f t="shared" si="41"/>
        <v/>
      </c>
    </row>
    <row r="1306" spans="1:2" x14ac:dyDescent="0.25">
      <c r="A1306" s="15" t="str">
        <f t="shared" si="40"/>
        <v/>
      </c>
      <c r="B1306" s="18" t="str">
        <f t="shared" si="41"/>
        <v/>
      </c>
    </row>
    <row r="1307" spans="1:2" x14ac:dyDescent="0.25">
      <c r="A1307" s="15" t="str">
        <f t="shared" si="40"/>
        <v/>
      </c>
      <c r="B1307" s="18" t="str">
        <f t="shared" si="41"/>
        <v/>
      </c>
    </row>
    <row r="1308" spans="1:2" x14ac:dyDescent="0.25">
      <c r="A1308" s="15" t="str">
        <f t="shared" si="40"/>
        <v/>
      </c>
      <c r="B1308" s="18" t="str">
        <f t="shared" si="41"/>
        <v/>
      </c>
    </row>
    <row r="1309" spans="1:2" x14ac:dyDescent="0.25">
      <c r="A1309" s="15" t="str">
        <f t="shared" si="40"/>
        <v/>
      </c>
      <c r="B1309" s="18" t="str">
        <f t="shared" si="41"/>
        <v/>
      </c>
    </row>
    <row r="1310" spans="1:2" x14ac:dyDescent="0.25">
      <c r="A1310" s="15" t="str">
        <f t="shared" si="40"/>
        <v/>
      </c>
      <c r="B1310" s="18" t="str">
        <f t="shared" si="41"/>
        <v/>
      </c>
    </row>
    <row r="1311" spans="1:2" x14ac:dyDescent="0.25">
      <c r="A1311" s="15" t="str">
        <f t="shared" si="40"/>
        <v/>
      </c>
      <c r="B1311" s="18" t="str">
        <f t="shared" si="41"/>
        <v/>
      </c>
    </row>
    <row r="1312" spans="1:2" x14ac:dyDescent="0.25">
      <c r="A1312" s="15" t="str">
        <f t="shared" si="40"/>
        <v/>
      </c>
      <c r="B1312" s="18" t="str">
        <f t="shared" si="41"/>
        <v/>
      </c>
    </row>
    <row r="1313" spans="1:2" x14ac:dyDescent="0.25">
      <c r="A1313" s="15" t="str">
        <f t="shared" si="40"/>
        <v/>
      </c>
      <c r="B1313" s="18" t="str">
        <f t="shared" si="41"/>
        <v/>
      </c>
    </row>
    <row r="1314" spans="1:2" x14ac:dyDescent="0.25">
      <c r="A1314" s="15" t="str">
        <f t="shared" si="40"/>
        <v/>
      </c>
      <c r="B1314" s="18" t="str">
        <f t="shared" si="41"/>
        <v/>
      </c>
    </row>
    <row r="1315" spans="1:2" x14ac:dyDescent="0.25">
      <c r="A1315" s="15" t="str">
        <f t="shared" si="40"/>
        <v/>
      </c>
      <c r="B1315" s="18" t="str">
        <f t="shared" si="41"/>
        <v/>
      </c>
    </row>
    <row r="1316" spans="1:2" x14ac:dyDescent="0.25">
      <c r="A1316" s="15" t="str">
        <f t="shared" si="40"/>
        <v/>
      </c>
      <c r="B1316" s="18" t="str">
        <f t="shared" si="41"/>
        <v/>
      </c>
    </row>
    <row r="1317" spans="1:2" x14ac:dyDescent="0.25">
      <c r="A1317" s="15" t="str">
        <f t="shared" si="40"/>
        <v/>
      </c>
      <c r="B1317" s="18" t="str">
        <f t="shared" si="41"/>
        <v/>
      </c>
    </row>
    <row r="1318" spans="1:2" x14ac:dyDescent="0.25">
      <c r="A1318" s="15" t="str">
        <f t="shared" si="40"/>
        <v/>
      </c>
      <c r="B1318" s="18" t="str">
        <f t="shared" si="41"/>
        <v/>
      </c>
    </row>
    <row r="1319" spans="1:2" x14ac:dyDescent="0.25">
      <c r="A1319" s="15" t="str">
        <f t="shared" si="40"/>
        <v/>
      </c>
      <c r="B1319" s="18" t="str">
        <f t="shared" si="41"/>
        <v/>
      </c>
    </row>
    <row r="1320" spans="1:2" x14ac:dyDescent="0.25">
      <c r="A1320" s="15" t="str">
        <f t="shared" si="40"/>
        <v/>
      </c>
      <c r="B1320" s="18" t="str">
        <f t="shared" si="41"/>
        <v/>
      </c>
    </row>
    <row r="1321" spans="1:2" x14ac:dyDescent="0.25">
      <c r="A1321" s="15" t="str">
        <f t="shared" si="40"/>
        <v/>
      </c>
      <c r="B1321" s="18" t="str">
        <f t="shared" si="41"/>
        <v/>
      </c>
    </row>
    <row r="1322" spans="1:2" x14ac:dyDescent="0.25">
      <c r="A1322" s="15" t="str">
        <f t="shared" si="40"/>
        <v/>
      </c>
      <c r="B1322" s="18" t="str">
        <f t="shared" si="41"/>
        <v/>
      </c>
    </row>
    <row r="1323" spans="1:2" x14ac:dyDescent="0.25">
      <c r="A1323" s="15" t="str">
        <f t="shared" si="40"/>
        <v/>
      </c>
      <c r="B1323" s="18" t="str">
        <f t="shared" si="41"/>
        <v/>
      </c>
    </row>
    <row r="1324" spans="1:2" x14ac:dyDescent="0.25">
      <c r="A1324" s="15" t="str">
        <f t="shared" si="40"/>
        <v/>
      </c>
      <c r="B1324" s="18" t="str">
        <f t="shared" si="41"/>
        <v/>
      </c>
    </row>
    <row r="1325" spans="1:2" x14ac:dyDescent="0.25">
      <c r="A1325" s="15" t="str">
        <f t="shared" si="40"/>
        <v/>
      </c>
      <c r="B1325" s="18" t="str">
        <f t="shared" si="41"/>
        <v/>
      </c>
    </row>
    <row r="1326" spans="1:2" x14ac:dyDescent="0.25">
      <c r="A1326" s="15" t="str">
        <f t="shared" si="40"/>
        <v/>
      </c>
      <c r="B1326" s="18" t="str">
        <f t="shared" si="41"/>
        <v/>
      </c>
    </row>
    <row r="1327" spans="1:2" x14ac:dyDescent="0.25">
      <c r="A1327" s="15" t="str">
        <f t="shared" si="40"/>
        <v/>
      </c>
      <c r="B1327" s="18" t="str">
        <f t="shared" si="41"/>
        <v/>
      </c>
    </row>
    <row r="1328" spans="1:2" x14ac:dyDescent="0.25">
      <c r="A1328" s="15" t="str">
        <f t="shared" si="40"/>
        <v/>
      </c>
      <c r="B1328" s="18" t="str">
        <f t="shared" si="41"/>
        <v/>
      </c>
    </row>
    <row r="1329" spans="1:2" x14ac:dyDescent="0.25">
      <c r="A1329" s="15" t="str">
        <f t="shared" si="40"/>
        <v/>
      </c>
      <c r="B1329" s="18" t="str">
        <f t="shared" si="41"/>
        <v/>
      </c>
    </row>
    <row r="1330" spans="1:2" x14ac:dyDescent="0.25">
      <c r="A1330" s="15" t="str">
        <f t="shared" si="40"/>
        <v/>
      </c>
      <c r="B1330" s="18" t="str">
        <f t="shared" si="41"/>
        <v/>
      </c>
    </row>
    <row r="1331" spans="1:2" x14ac:dyDescent="0.25">
      <c r="A1331" s="15" t="str">
        <f t="shared" si="40"/>
        <v/>
      </c>
      <c r="B1331" s="18" t="str">
        <f t="shared" si="41"/>
        <v/>
      </c>
    </row>
    <row r="1332" spans="1:2" x14ac:dyDescent="0.25">
      <c r="A1332" s="15" t="str">
        <f t="shared" si="40"/>
        <v/>
      </c>
      <c r="B1332" s="18" t="str">
        <f t="shared" si="41"/>
        <v/>
      </c>
    </row>
    <row r="1333" spans="1:2" x14ac:dyDescent="0.25">
      <c r="A1333" s="15" t="str">
        <f t="shared" si="40"/>
        <v/>
      </c>
      <c r="B1333" s="18" t="str">
        <f t="shared" si="41"/>
        <v/>
      </c>
    </row>
    <row r="1334" spans="1:2" x14ac:dyDescent="0.25">
      <c r="A1334" s="15" t="str">
        <f t="shared" si="40"/>
        <v/>
      </c>
      <c r="B1334" s="18" t="str">
        <f t="shared" si="41"/>
        <v/>
      </c>
    </row>
    <row r="1335" spans="1:2" x14ac:dyDescent="0.25">
      <c r="A1335" s="15" t="str">
        <f t="shared" si="40"/>
        <v/>
      </c>
      <c r="B1335" s="18" t="str">
        <f t="shared" si="41"/>
        <v/>
      </c>
    </row>
    <row r="1336" spans="1:2" x14ac:dyDescent="0.25">
      <c r="A1336" s="15" t="str">
        <f t="shared" si="40"/>
        <v/>
      </c>
      <c r="B1336" s="18" t="str">
        <f t="shared" si="41"/>
        <v/>
      </c>
    </row>
    <row r="1337" spans="1:2" x14ac:dyDescent="0.25">
      <c r="A1337" s="15" t="str">
        <f t="shared" si="40"/>
        <v/>
      </c>
      <c r="B1337" s="18" t="str">
        <f t="shared" si="41"/>
        <v/>
      </c>
    </row>
    <row r="1338" spans="1:2" x14ac:dyDescent="0.25">
      <c r="A1338" s="15" t="str">
        <f t="shared" si="40"/>
        <v/>
      </c>
      <c r="B1338" s="18" t="str">
        <f t="shared" si="41"/>
        <v/>
      </c>
    </row>
    <row r="1339" spans="1:2" x14ac:dyDescent="0.25">
      <c r="A1339" s="15" t="str">
        <f t="shared" si="40"/>
        <v/>
      </c>
      <c r="B1339" s="18" t="str">
        <f t="shared" si="41"/>
        <v/>
      </c>
    </row>
    <row r="1340" spans="1:2" x14ac:dyDescent="0.25">
      <c r="A1340" s="15" t="str">
        <f t="shared" si="40"/>
        <v/>
      </c>
      <c r="B1340" s="18" t="str">
        <f t="shared" si="41"/>
        <v/>
      </c>
    </row>
    <row r="1341" spans="1:2" x14ac:dyDescent="0.25">
      <c r="A1341" s="15" t="str">
        <f t="shared" si="40"/>
        <v/>
      </c>
      <c r="B1341" s="18" t="str">
        <f t="shared" si="41"/>
        <v/>
      </c>
    </row>
    <row r="1342" spans="1:2" x14ac:dyDescent="0.25">
      <c r="A1342" s="15" t="str">
        <f t="shared" si="40"/>
        <v/>
      </c>
      <c r="B1342" s="18" t="str">
        <f t="shared" si="41"/>
        <v/>
      </c>
    </row>
    <row r="1343" spans="1:2" x14ac:dyDescent="0.25">
      <c r="A1343" s="15" t="str">
        <f t="shared" si="40"/>
        <v/>
      </c>
      <c r="B1343" s="18" t="str">
        <f t="shared" si="41"/>
        <v/>
      </c>
    </row>
    <row r="1344" spans="1:2" x14ac:dyDescent="0.25">
      <c r="A1344" s="15" t="str">
        <f t="shared" si="40"/>
        <v/>
      </c>
      <c r="B1344" s="18" t="str">
        <f t="shared" si="41"/>
        <v/>
      </c>
    </row>
    <row r="1345" spans="1:2" x14ac:dyDescent="0.25">
      <c r="A1345" s="15" t="str">
        <f t="shared" si="40"/>
        <v/>
      </c>
      <c r="B1345" s="18" t="str">
        <f t="shared" si="41"/>
        <v/>
      </c>
    </row>
    <row r="1346" spans="1:2" x14ac:dyDescent="0.25">
      <c r="A1346" s="15" t="str">
        <f t="shared" ref="A1346:A1409" si="42">B1346&amp;C1346</f>
        <v/>
      </c>
      <c r="B1346" s="18" t="str">
        <f t="shared" si="41"/>
        <v/>
      </c>
    </row>
    <row r="1347" spans="1:2" x14ac:dyDescent="0.25">
      <c r="A1347" s="15" t="str">
        <f t="shared" si="42"/>
        <v/>
      </c>
      <c r="B1347" s="18" t="str">
        <f t="shared" ref="B1347:B1410" si="43">IF(C1347="","",B1346)</f>
        <v/>
      </c>
    </row>
    <row r="1348" spans="1:2" x14ac:dyDescent="0.25">
      <c r="A1348" s="15" t="str">
        <f t="shared" si="42"/>
        <v/>
      </c>
      <c r="B1348" s="18" t="str">
        <f t="shared" si="43"/>
        <v/>
      </c>
    </row>
    <row r="1349" spans="1:2" x14ac:dyDescent="0.25">
      <c r="A1349" s="15" t="str">
        <f t="shared" si="42"/>
        <v/>
      </c>
      <c r="B1349" s="18" t="str">
        <f t="shared" si="43"/>
        <v/>
      </c>
    </row>
    <row r="1350" spans="1:2" x14ac:dyDescent="0.25">
      <c r="A1350" s="15" t="str">
        <f t="shared" si="42"/>
        <v/>
      </c>
      <c r="B1350" s="18" t="str">
        <f t="shared" si="43"/>
        <v/>
      </c>
    </row>
    <row r="1351" spans="1:2" x14ac:dyDescent="0.25">
      <c r="A1351" s="15" t="str">
        <f t="shared" si="42"/>
        <v/>
      </c>
      <c r="B1351" s="18" t="str">
        <f t="shared" si="43"/>
        <v/>
      </c>
    </row>
    <row r="1352" spans="1:2" x14ac:dyDescent="0.25">
      <c r="A1352" s="15" t="str">
        <f t="shared" si="42"/>
        <v/>
      </c>
      <c r="B1352" s="18" t="str">
        <f t="shared" si="43"/>
        <v/>
      </c>
    </row>
    <row r="1353" spans="1:2" x14ac:dyDescent="0.25">
      <c r="A1353" s="15" t="str">
        <f t="shared" si="42"/>
        <v/>
      </c>
      <c r="B1353" s="18" t="str">
        <f t="shared" si="43"/>
        <v/>
      </c>
    </row>
    <row r="1354" spans="1:2" x14ac:dyDescent="0.25">
      <c r="A1354" s="15" t="str">
        <f t="shared" si="42"/>
        <v/>
      </c>
      <c r="B1354" s="18" t="str">
        <f t="shared" si="43"/>
        <v/>
      </c>
    </row>
    <row r="1355" spans="1:2" x14ac:dyDescent="0.25">
      <c r="A1355" s="15" t="str">
        <f t="shared" si="42"/>
        <v/>
      </c>
      <c r="B1355" s="18" t="str">
        <f t="shared" si="43"/>
        <v/>
      </c>
    </row>
    <row r="1356" spans="1:2" x14ac:dyDescent="0.25">
      <c r="A1356" s="15" t="str">
        <f t="shared" si="42"/>
        <v/>
      </c>
      <c r="B1356" s="18" t="str">
        <f t="shared" si="43"/>
        <v/>
      </c>
    </row>
    <row r="1357" spans="1:2" x14ac:dyDescent="0.25">
      <c r="A1357" s="15" t="str">
        <f t="shared" si="42"/>
        <v/>
      </c>
      <c r="B1357" s="18" t="str">
        <f t="shared" si="43"/>
        <v/>
      </c>
    </row>
    <row r="1358" spans="1:2" x14ac:dyDescent="0.25">
      <c r="A1358" s="15" t="str">
        <f t="shared" si="42"/>
        <v/>
      </c>
      <c r="B1358" s="18" t="str">
        <f t="shared" si="43"/>
        <v/>
      </c>
    </row>
    <row r="1359" spans="1:2" x14ac:dyDescent="0.25">
      <c r="A1359" s="15" t="str">
        <f t="shared" si="42"/>
        <v/>
      </c>
      <c r="B1359" s="18" t="str">
        <f t="shared" si="43"/>
        <v/>
      </c>
    </row>
    <row r="1360" spans="1:2" x14ac:dyDescent="0.25">
      <c r="A1360" s="15" t="str">
        <f t="shared" si="42"/>
        <v/>
      </c>
      <c r="B1360" s="18" t="str">
        <f t="shared" si="43"/>
        <v/>
      </c>
    </row>
    <row r="1361" spans="1:2" x14ac:dyDescent="0.25">
      <c r="A1361" s="15" t="str">
        <f t="shared" si="42"/>
        <v/>
      </c>
      <c r="B1361" s="18" t="str">
        <f t="shared" si="43"/>
        <v/>
      </c>
    </row>
    <row r="1362" spans="1:2" x14ac:dyDescent="0.25">
      <c r="A1362" s="15" t="str">
        <f t="shared" si="42"/>
        <v/>
      </c>
      <c r="B1362" s="18" t="str">
        <f t="shared" si="43"/>
        <v/>
      </c>
    </row>
    <row r="1363" spans="1:2" x14ac:dyDescent="0.25">
      <c r="A1363" s="15" t="str">
        <f t="shared" si="42"/>
        <v/>
      </c>
      <c r="B1363" s="18" t="str">
        <f t="shared" si="43"/>
        <v/>
      </c>
    </row>
    <row r="1364" spans="1:2" x14ac:dyDescent="0.25">
      <c r="A1364" s="15" t="str">
        <f t="shared" si="42"/>
        <v/>
      </c>
      <c r="B1364" s="18" t="str">
        <f t="shared" si="43"/>
        <v/>
      </c>
    </row>
    <row r="1365" spans="1:2" x14ac:dyDescent="0.25">
      <c r="A1365" s="15" t="str">
        <f t="shared" si="42"/>
        <v/>
      </c>
      <c r="B1365" s="18" t="str">
        <f t="shared" si="43"/>
        <v/>
      </c>
    </row>
    <row r="1366" spans="1:2" x14ac:dyDescent="0.25">
      <c r="A1366" s="15" t="str">
        <f t="shared" si="42"/>
        <v/>
      </c>
      <c r="B1366" s="18" t="str">
        <f t="shared" si="43"/>
        <v/>
      </c>
    </row>
    <row r="1367" spans="1:2" x14ac:dyDescent="0.25">
      <c r="A1367" s="15" t="str">
        <f t="shared" si="42"/>
        <v/>
      </c>
      <c r="B1367" s="18" t="str">
        <f t="shared" si="43"/>
        <v/>
      </c>
    </row>
    <row r="1368" spans="1:2" x14ac:dyDescent="0.25">
      <c r="A1368" s="15" t="str">
        <f t="shared" si="42"/>
        <v/>
      </c>
      <c r="B1368" s="18" t="str">
        <f t="shared" si="43"/>
        <v/>
      </c>
    </row>
    <row r="1369" spans="1:2" x14ac:dyDescent="0.25">
      <c r="A1369" s="15" t="str">
        <f t="shared" si="42"/>
        <v/>
      </c>
      <c r="B1369" s="18" t="str">
        <f t="shared" si="43"/>
        <v/>
      </c>
    </row>
    <row r="1370" spans="1:2" x14ac:dyDescent="0.25">
      <c r="A1370" s="15" t="str">
        <f t="shared" si="42"/>
        <v/>
      </c>
      <c r="B1370" s="18" t="str">
        <f t="shared" si="43"/>
        <v/>
      </c>
    </row>
    <row r="1371" spans="1:2" x14ac:dyDescent="0.25">
      <c r="A1371" s="15" t="str">
        <f t="shared" si="42"/>
        <v/>
      </c>
      <c r="B1371" s="18" t="str">
        <f t="shared" si="43"/>
        <v/>
      </c>
    </row>
    <row r="1372" spans="1:2" x14ac:dyDescent="0.25">
      <c r="A1372" s="15" t="str">
        <f t="shared" si="42"/>
        <v/>
      </c>
      <c r="B1372" s="18" t="str">
        <f t="shared" si="43"/>
        <v/>
      </c>
    </row>
    <row r="1373" spans="1:2" x14ac:dyDescent="0.25">
      <c r="A1373" s="15" t="str">
        <f t="shared" si="42"/>
        <v/>
      </c>
      <c r="B1373" s="18" t="str">
        <f t="shared" si="43"/>
        <v/>
      </c>
    </row>
    <row r="1374" spans="1:2" x14ac:dyDescent="0.25">
      <c r="A1374" s="15" t="str">
        <f t="shared" si="42"/>
        <v/>
      </c>
      <c r="B1374" s="18" t="str">
        <f t="shared" si="43"/>
        <v/>
      </c>
    </row>
    <row r="1375" spans="1:2" x14ac:dyDescent="0.25">
      <c r="A1375" s="15" t="str">
        <f t="shared" si="42"/>
        <v/>
      </c>
      <c r="B1375" s="18" t="str">
        <f t="shared" si="43"/>
        <v/>
      </c>
    </row>
    <row r="1376" spans="1:2" x14ac:dyDescent="0.25">
      <c r="A1376" s="15" t="str">
        <f t="shared" si="42"/>
        <v/>
      </c>
      <c r="B1376" s="18" t="str">
        <f t="shared" si="43"/>
        <v/>
      </c>
    </row>
    <row r="1377" spans="1:2" x14ac:dyDescent="0.25">
      <c r="A1377" s="15" t="str">
        <f t="shared" si="42"/>
        <v/>
      </c>
      <c r="B1377" s="18" t="str">
        <f t="shared" si="43"/>
        <v/>
      </c>
    </row>
    <row r="1378" spans="1:2" x14ac:dyDescent="0.25">
      <c r="A1378" s="15" t="str">
        <f t="shared" si="42"/>
        <v/>
      </c>
      <c r="B1378" s="18" t="str">
        <f t="shared" si="43"/>
        <v/>
      </c>
    </row>
    <row r="1379" spans="1:2" x14ac:dyDescent="0.25">
      <c r="A1379" s="15" t="str">
        <f t="shared" si="42"/>
        <v/>
      </c>
      <c r="B1379" s="18" t="str">
        <f t="shared" si="43"/>
        <v/>
      </c>
    </row>
    <row r="1380" spans="1:2" x14ac:dyDescent="0.25">
      <c r="A1380" s="15" t="str">
        <f t="shared" si="42"/>
        <v/>
      </c>
      <c r="B1380" s="18" t="str">
        <f t="shared" si="43"/>
        <v/>
      </c>
    </row>
    <row r="1381" spans="1:2" x14ac:dyDescent="0.25">
      <c r="A1381" s="15" t="str">
        <f t="shared" si="42"/>
        <v/>
      </c>
      <c r="B1381" s="18" t="str">
        <f t="shared" si="43"/>
        <v/>
      </c>
    </row>
    <row r="1382" spans="1:2" x14ac:dyDescent="0.25">
      <c r="A1382" s="15" t="str">
        <f t="shared" si="42"/>
        <v/>
      </c>
      <c r="B1382" s="18" t="str">
        <f t="shared" si="43"/>
        <v/>
      </c>
    </row>
    <row r="1383" spans="1:2" x14ac:dyDescent="0.25">
      <c r="A1383" s="15" t="str">
        <f t="shared" si="42"/>
        <v/>
      </c>
      <c r="B1383" s="18" t="str">
        <f t="shared" si="43"/>
        <v/>
      </c>
    </row>
    <row r="1384" spans="1:2" x14ac:dyDescent="0.25">
      <c r="A1384" s="15" t="str">
        <f t="shared" si="42"/>
        <v/>
      </c>
      <c r="B1384" s="18" t="str">
        <f t="shared" si="43"/>
        <v/>
      </c>
    </row>
    <row r="1385" spans="1:2" x14ac:dyDescent="0.25">
      <c r="A1385" s="15" t="str">
        <f t="shared" si="42"/>
        <v/>
      </c>
      <c r="B1385" s="18" t="str">
        <f t="shared" si="43"/>
        <v/>
      </c>
    </row>
    <row r="1386" spans="1:2" x14ac:dyDescent="0.25">
      <c r="A1386" s="15" t="str">
        <f t="shared" si="42"/>
        <v/>
      </c>
      <c r="B1386" s="18" t="str">
        <f t="shared" si="43"/>
        <v/>
      </c>
    </row>
    <row r="1387" spans="1:2" x14ac:dyDescent="0.25">
      <c r="A1387" s="15" t="str">
        <f t="shared" si="42"/>
        <v/>
      </c>
      <c r="B1387" s="18" t="str">
        <f t="shared" si="43"/>
        <v/>
      </c>
    </row>
    <row r="1388" spans="1:2" x14ac:dyDescent="0.25">
      <c r="A1388" s="15" t="str">
        <f t="shared" si="42"/>
        <v/>
      </c>
      <c r="B1388" s="18" t="str">
        <f t="shared" si="43"/>
        <v/>
      </c>
    </row>
    <row r="1389" spans="1:2" x14ac:dyDescent="0.25">
      <c r="A1389" s="15" t="str">
        <f t="shared" si="42"/>
        <v/>
      </c>
      <c r="B1389" s="18" t="str">
        <f t="shared" si="43"/>
        <v/>
      </c>
    </row>
    <row r="1390" spans="1:2" x14ac:dyDescent="0.25">
      <c r="A1390" s="15" t="str">
        <f t="shared" si="42"/>
        <v/>
      </c>
      <c r="B1390" s="18" t="str">
        <f t="shared" si="43"/>
        <v/>
      </c>
    </row>
    <row r="1391" spans="1:2" x14ac:dyDescent="0.25">
      <c r="A1391" s="15" t="str">
        <f t="shared" si="42"/>
        <v/>
      </c>
      <c r="B1391" s="18" t="str">
        <f t="shared" si="43"/>
        <v/>
      </c>
    </row>
    <row r="1392" spans="1:2" x14ac:dyDescent="0.25">
      <c r="A1392" s="15" t="str">
        <f t="shared" si="42"/>
        <v/>
      </c>
      <c r="B1392" s="18" t="str">
        <f t="shared" si="43"/>
        <v/>
      </c>
    </row>
    <row r="1393" spans="1:2" x14ac:dyDescent="0.25">
      <c r="A1393" s="15" t="str">
        <f t="shared" si="42"/>
        <v/>
      </c>
      <c r="B1393" s="18" t="str">
        <f t="shared" si="43"/>
        <v/>
      </c>
    </row>
    <row r="1394" spans="1:2" x14ac:dyDescent="0.25">
      <c r="A1394" s="15" t="str">
        <f t="shared" si="42"/>
        <v/>
      </c>
      <c r="B1394" s="18" t="str">
        <f t="shared" si="43"/>
        <v/>
      </c>
    </row>
    <row r="1395" spans="1:2" x14ac:dyDescent="0.25">
      <c r="A1395" s="15" t="str">
        <f t="shared" si="42"/>
        <v/>
      </c>
      <c r="B1395" s="18" t="str">
        <f t="shared" si="43"/>
        <v/>
      </c>
    </row>
    <row r="1396" spans="1:2" x14ac:dyDescent="0.25">
      <c r="A1396" s="15" t="str">
        <f t="shared" si="42"/>
        <v/>
      </c>
      <c r="B1396" s="18" t="str">
        <f t="shared" si="43"/>
        <v/>
      </c>
    </row>
    <row r="1397" spans="1:2" x14ac:dyDescent="0.25">
      <c r="A1397" s="15" t="str">
        <f t="shared" si="42"/>
        <v/>
      </c>
      <c r="B1397" s="18" t="str">
        <f t="shared" si="43"/>
        <v/>
      </c>
    </row>
    <row r="1398" spans="1:2" x14ac:dyDescent="0.25">
      <c r="A1398" s="15" t="str">
        <f t="shared" si="42"/>
        <v/>
      </c>
      <c r="B1398" s="18" t="str">
        <f t="shared" si="43"/>
        <v/>
      </c>
    </row>
    <row r="1399" spans="1:2" x14ac:dyDescent="0.25">
      <c r="A1399" s="15" t="str">
        <f t="shared" si="42"/>
        <v/>
      </c>
      <c r="B1399" s="18" t="str">
        <f t="shared" si="43"/>
        <v/>
      </c>
    </row>
    <row r="1400" spans="1:2" x14ac:dyDescent="0.25">
      <c r="A1400" s="15" t="str">
        <f t="shared" si="42"/>
        <v/>
      </c>
      <c r="B1400" s="18" t="str">
        <f t="shared" si="43"/>
        <v/>
      </c>
    </row>
    <row r="1401" spans="1:2" x14ac:dyDescent="0.25">
      <c r="A1401" s="15" t="str">
        <f t="shared" si="42"/>
        <v/>
      </c>
      <c r="B1401" s="18" t="str">
        <f t="shared" si="43"/>
        <v/>
      </c>
    </row>
    <row r="1402" spans="1:2" x14ac:dyDescent="0.25">
      <c r="A1402" s="15" t="str">
        <f t="shared" si="42"/>
        <v/>
      </c>
      <c r="B1402" s="18" t="str">
        <f t="shared" si="43"/>
        <v/>
      </c>
    </row>
    <row r="1403" spans="1:2" x14ac:dyDescent="0.25">
      <c r="A1403" s="15" t="str">
        <f t="shared" si="42"/>
        <v/>
      </c>
      <c r="B1403" s="18" t="str">
        <f t="shared" si="43"/>
        <v/>
      </c>
    </row>
    <row r="1404" spans="1:2" x14ac:dyDescent="0.25">
      <c r="A1404" s="15" t="str">
        <f t="shared" si="42"/>
        <v/>
      </c>
      <c r="B1404" s="18" t="str">
        <f t="shared" si="43"/>
        <v/>
      </c>
    </row>
    <row r="1405" spans="1:2" x14ac:dyDescent="0.25">
      <c r="A1405" s="15" t="str">
        <f t="shared" si="42"/>
        <v/>
      </c>
      <c r="B1405" s="18" t="str">
        <f t="shared" si="43"/>
        <v/>
      </c>
    </row>
    <row r="1406" spans="1:2" x14ac:dyDescent="0.25">
      <c r="A1406" s="15" t="str">
        <f t="shared" si="42"/>
        <v/>
      </c>
      <c r="B1406" s="18" t="str">
        <f t="shared" si="43"/>
        <v/>
      </c>
    </row>
    <row r="1407" spans="1:2" x14ac:dyDescent="0.25">
      <c r="A1407" s="15" t="str">
        <f t="shared" si="42"/>
        <v/>
      </c>
      <c r="B1407" s="18" t="str">
        <f t="shared" si="43"/>
        <v/>
      </c>
    </row>
    <row r="1408" spans="1:2" x14ac:dyDescent="0.25">
      <c r="A1408" s="15" t="str">
        <f t="shared" si="42"/>
        <v/>
      </c>
      <c r="B1408" s="18" t="str">
        <f t="shared" si="43"/>
        <v/>
      </c>
    </row>
    <row r="1409" spans="1:2" x14ac:dyDescent="0.25">
      <c r="A1409" s="15" t="str">
        <f t="shared" si="42"/>
        <v/>
      </c>
      <c r="B1409" s="18" t="str">
        <f t="shared" si="43"/>
        <v/>
      </c>
    </row>
    <row r="1410" spans="1:2" x14ac:dyDescent="0.25">
      <c r="A1410" s="15" t="str">
        <f t="shared" ref="A1410:A1473" si="44">B1410&amp;C1410</f>
        <v/>
      </c>
      <c r="B1410" s="18" t="str">
        <f t="shared" si="43"/>
        <v/>
      </c>
    </row>
    <row r="1411" spans="1:2" x14ac:dyDescent="0.25">
      <c r="A1411" s="15" t="str">
        <f t="shared" si="44"/>
        <v/>
      </c>
      <c r="B1411" s="18" t="str">
        <f t="shared" ref="B1411:B1474" si="45">IF(C1411="","",B1410)</f>
        <v/>
      </c>
    </row>
    <row r="1412" spans="1:2" x14ac:dyDescent="0.25">
      <c r="A1412" s="15" t="str">
        <f t="shared" si="44"/>
        <v/>
      </c>
      <c r="B1412" s="18" t="str">
        <f t="shared" si="45"/>
        <v/>
      </c>
    </row>
    <row r="1413" spans="1:2" x14ac:dyDescent="0.25">
      <c r="A1413" s="15" t="str">
        <f t="shared" si="44"/>
        <v/>
      </c>
      <c r="B1413" s="18" t="str">
        <f t="shared" si="45"/>
        <v/>
      </c>
    </row>
    <row r="1414" spans="1:2" x14ac:dyDescent="0.25">
      <c r="A1414" s="15" t="str">
        <f t="shared" si="44"/>
        <v/>
      </c>
      <c r="B1414" s="18" t="str">
        <f t="shared" si="45"/>
        <v/>
      </c>
    </row>
    <row r="1415" spans="1:2" x14ac:dyDescent="0.25">
      <c r="A1415" s="15" t="str">
        <f t="shared" si="44"/>
        <v/>
      </c>
      <c r="B1415" s="18" t="str">
        <f t="shared" si="45"/>
        <v/>
      </c>
    </row>
    <row r="1416" spans="1:2" x14ac:dyDescent="0.25">
      <c r="A1416" s="15" t="str">
        <f t="shared" si="44"/>
        <v/>
      </c>
      <c r="B1416" s="18" t="str">
        <f t="shared" si="45"/>
        <v/>
      </c>
    </row>
    <row r="1417" spans="1:2" x14ac:dyDescent="0.25">
      <c r="A1417" s="15" t="str">
        <f t="shared" si="44"/>
        <v/>
      </c>
      <c r="B1417" s="18" t="str">
        <f t="shared" si="45"/>
        <v/>
      </c>
    </row>
    <row r="1418" spans="1:2" x14ac:dyDescent="0.25">
      <c r="A1418" s="15" t="str">
        <f t="shared" si="44"/>
        <v/>
      </c>
      <c r="B1418" s="18" t="str">
        <f t="shared" si="45"/>
        <v/>
      </c>
    </row>
    <row r="1419" spans="1:2" x14ac:dyDescent="0.25">
      <c r="A1419" s="15" t="str">
        <f t="shared" si="44"/>
        <v/>
      </c>
      <c r="B1419" s="18" t="str">
        <f t="shared" si="45"/>
        <v/>
      </c>
    </row>
    <row r="1420" spans="1:2" x14ac:dyDescent="0.25">
      <c r="A1420" s="15" t="str">
        <f t="shared" si="44"/>
        <v/>
      </c>
      <c r="B1420" s="18" t="str">
        <f t="shared" si="45"/>
        <v/>
      </c>
    </row>
    <row r="1421" spans="1:2" x14ac:dyDescent="0.25">
      <c r="A1421" s="15" t="str">
        <f t="shared" si="44"/>
        <v/>
      </c>
      <c r="B1421" s="18" t="str">
        <f t="shared" si="45"/>
        <v/>
      </c>
    </row>
    <row r="1422" spans="1:2" x14ac:dyDescent="0.25">
      <c r="A1422" s="15" t="str">
        <f t="shared" si="44"/>
        <v/>
      </c>
      <c r="B1422" s="18" t="str">
        <f t="shared" si="45"/>
        <v/>
      </c>
    </row>
    <row r="1423" spans="1:2" x14ac:dyDescent="0.25">
      <c r="A1423" s="15" t="str">
        <f t="shared" si="44"/>
        <v/>
      </c>
      <c r="B1423" s="18" t="str">
        <f t="shared" si="45"/>
        <v/>
      </c>
    </row>
    <row r="1424" spans="1:2" x14ac:dyDescent="0.25">
      <c r="A1424" s="15" t="str">
        <f t="shared" si="44"/>
        <v/>
      </c>
      <c r="B1424" s="18" t="str">
        <f t="shared" si="45"/>
        <v/>
      </c>
    </row>
    <row r="1425" spans="1:2" x14ac:dyDescent="0.25">
      <c r="A1425" s="15" t="str">
        <f t="shared" si="44"/>
        <v/>
      </c>
      <c r="B1425" s="18" t="str">
        <f t="shared" si="45"/>
        <v/>
      </c>
    </row>
    <row r="1426" spans="1:2" x14ac:dyDescent="0.25">
      <c r="A1426" s="15" t="str">
        <f t="shared" si="44"/>
        <v/>
      </c>
      <c r="B1426" s="18" t="str">
        <f t="shared" si="45"/>
        <v/>
      </c>
    </row>
    <row r="1427" spans="1:2" x14ac:dyDescent="0.25">
      <c r="A1427" s="15" t="str">
        <f t="shared" si="44"/>
        <v/>
      </c>
      <c r="B1427" s="18" t="str">
        <f t="shared" si="45"/>
        <v/>
      </c>
    </row>
    <row r="1428" spans="1:2" x14ac:dyDescent="0.25">
      <c r="A1428" s="15" t="str">
        <f t="shared" si="44"/>
        <v/>
      </c>
      <c r="B1428" s="18" t="str">
        <f t="shared" si="45"/>
        <v/>
      </c>
    </row>
    <row r="1429" spans="1:2" x14ac:dyDescent="0.25">
      <c r="A1429" s="15" t="str">
        <f t="shared" si="44"/>
        <v/>
      </c>
      <c r="B1429" s="18" t="str">
        <f t="shared" si="45"/>
        <v/>
      </c>
    </row>
    <row r="1430" spans="1:2" x14ac:dyDescent="0.25">
      <c r="A1430" s="15" t="str">
        <f t="shared" si="44"/>
        <v/>
      </c>
      <c r="B1430" s="18" t="str">
        <f t="shared" si="45"/>
        <v/>
      </c>
    </row>
    <row r="1431" spans="1:2" x14ac:dyDescent="0.25">
      <c r="A1431" s="15" t="str">
        <f t="shared" si="44"/>
        <v/>
      </c>
      <c r="B1431" s="18" t="str">
        <f t="shared" si="45"/>
        <v/>
      </c>
    </row>
    <row r="1432" spans="1:2" x14ac:dyDescent="0.25">
      <c r="A1432" s="15" t="str">
        <f t="shared" si="44"/>
        <v/>
      </c>
      <c r="B1432" s="18" t="str">
        <f t="shared" si="45"/>
        <v/>
      </c>
    </row>
    <row r="1433" spans="1:2" x14ac:dyDescent="0.25">
      <c r="A1433" s="15" t="str">
        <f t="shared" si="44"/>
        <v/>
      </c>
      <c r="B1433" s="18" t="str">
        <f t="shared" si="45"/>
        <v/>
      </c>
    </row>
    <row r="1434" spans="1:2" x14ac:dyDescent="0.25">
      <c r="A1434" s="15" t="str">
        <f t="shared" si="44"/>
        <v/>
      </c>
      <c r="B1434" s="18" t="str">
        <f t="shared" si="45"/>
        <v/>
      </c>
    </row>
    <row r="1435" spans="1:2" x14ac:dyDescent="0.25">
      <c r="A1435" s="15" t="str">
        <f t="shared" si="44"/>
        <v/>
      </c>
      <c r="B1435" s="18" t="str">
        <f t="shared" si="45"/>
        <v/>
      </c>
    </row>
    <row r="1436" spans="1:2" x14ac:dyDescent="0.25">
      <c r="A1436" s="15" t="str">
        <f t="shared" si="44"/>
        <v/>
      </c>
      <c r="B1436" s="18" t="str">
        <f t="shared" si="45"/>
        <v/>
      </c>
    </row>
    <row r="1437" spans="1:2" x14ac:dyDescent="0.25">
      <c r="A1437" s="15" t="str">
        <f t="shared" si="44"/>
        <v/>
      </c>
      <c r="B1437" s="18" t="str">
        <f t="shared" si="45"/>
        <v/>
      </c>
    </row>
    <row r="1438" spans="1:2" x14ac:dyDescent="0.25">
      <c r="A1438" s="15" t="str">
        <f t="shared" si="44"/>
        <v/>
      </c>
      <c r="B1438" s="18" t="str">
        <f t="shared" si="45"/>
        <v/>
      </c>
    </row>
    <row r="1439" spans="1:2" x14ac:dyDescent="0.25">
      <c r="A1439" s="15" t="str">
        <f t="shared" si="44"/>
        <v/>
      </c>
      <c r="B1439" s="18" t="str">
        <f t="shared" si="45"/>
        <v/>
      </c>
    </row>
    <row r="1440" spans="1:2" x14ac:dyDescent="0.25">
      <c r="A1440" s="15" t="str">
        <f t="shared" si="44"/>
        <v/>
      </c>
      <c r="B1440" s="18" t="str">
        <f t="shared" si="45"/>
        <v/>
      </c>
    </row>
    <row r="1441" spans="1:2" x14ac:dyDescent="0.25">
      <c r="A1441" s="15" t="str">
        <f t="shared" si="44"/>
        <v/>
      </c>
      <c r="B1441" s="18" t="str">
        <f t="shared" si="45"/>
        <v/>
      </c>
    </row>
    <row r="1442" spans="1:2" x14ac:dyDescent="0.25">
      <c r="A1442" s="15" t="str">
        <f t="shared" si="44"/>
        <v/>
      </c>
      <c r="B1442" s="18" t="str">
        <f t="shared" si="45"/>
        <v/>
      </c>
    </row>
    <row r="1443" spans="1:2" x14ac:dyDescent="0.25">
      <c r="A1443" s="15" t="str">
        <f t="shared" si="44"/>
        <v/>
      </c>
      <c r="B1443" s="18" t="str">
        <f t="shared" si="45"/>
        <v/>
      </c>
    </row>
    <row r="1444" spans="1:2" x14ac:dyDescent="0.25">
      <c r="A1444" s="15" t="str">
        <f t="shared" si="44"/>
        <v/>
      </c>
      <c r="B1444" s="18" t="str">
        <f t="shared" si="45"/>
        <v/>
      </c>
    </row>
    <row r="1445" spans="1:2" x14ac:dyDescent="0.25">
      <c r="A1445" s="15" t="str">
        <f t="shared" si="44"/>
        <v/>
      </c>
      <c r="B1445" s="18" t="str">
        <f t="shared" si="45"/>
        <v/>
      </c>
    </row>
    <row r="1446" spans="1:2" x14ac:dyDescent="0.25">
      <c r="A1446" s="15" t="str">
        <f t="shared" si="44"/>
        <v/>
      </c>
      <c r="B1446" s="18" t="str">
        <f t="shared" si="45"/>
        <v/>
      </c>
    </row>
    <row r="1447" spans="1:2" x14ac:dyDescent="0.25">
      <c r="A1447" s="15" t="str">
        <f t="shared" si="44"/>
        <v/>
      </c>
      <c r="B1447" s="18" t="str">
        <f t="shared" si="45"/>
        <v/>
      </c>
    </row>
    <row r="1448" spans="1:2" x14ac:dyDescent="0.25">
      <c r="A1448" s="15" t="str">
        <f t="shared" si="44"/>
        <v/>
      </c>
      <c r="B1448" s="18" t="str">
        <f t="shared" si="45"/>
        <v/>
      </c>
    </row>
    <row r="1449" spans="1:2" x14ac:dyDescent="0.25">
      <c r="A1449" s="15" t="str">
        <f t="shared" si="44"/>
        <v/>
      </c>
      <c r="B1449" s="18" t="str">
        <f t="shared" si="45"/>
        <v/>
      </c>
    </row>
    <row r="1450" spans="1:2" x14ac:dyDescent="0.25">
      <c r="A1450" s="15" t="str">
        <f t="shared" si="44"/>
        <v/>
      </c>
      <c r="B1450" s="18" t="str">
        <f t="shared" si="45"/>
        <v/>
      </c>
    </row>
    <row r="1451" spans="1:2" x14ac:dyDescent="0.25">
      <c r="A1451" s="15" t="str">
        <f t="shared" si="44"/>
        <v/>
      </c>
      <c r="B1451" s="18" t="str">
        <f t="shared" si="45"/>
        <v/>
      </c>
    </row>
    <row r="1452" spans="1:2" x14ac:dyDescent="0.25">
      <c r="A1452" s="15" t="str">
        <f t="shared" si="44"/>
        <v/>
      </c>
      <c r="B1452" s="18" t="str">
        <f t="shared" si="45"/>
        <v/>
      </c>
    </row>
    <row r="1453" spans="1:2" x14ac:dyDescent="0.25">
      <c r="A1453" s="15" t="str">
        <f t="shared" si="44"/>
        <v/>
      </c>
      <c r="B1453" s="18" t="str">
        <f t="shared" si="45"/>
        <v/>
      </c>
    </row>
    <row r="1454" spans="1:2" x14ac:dyDescent="0.25">
      <c r="A1454" s="15" t="str">
        <f t="shared" si="44"/>
        <v/>
      </c>
      <c r="B1454" s="18" t="str">
        <f t="shared" si="45"/>
        <v/>
      </c>
    </row>
    <row r="1455" spans="1:2" x14ac:dyDescent="0.25">
      <c r="A1455" s="15" t="str">
        <f t="shared" si="44"/>
        <v/>
      </c>
      <c r="B1455" s="18" t="str">
        <f t="shared" si="45"/>
        <v/>
      </c>
    </row>
    <row r="1456" spans="1:2" x14ac:dyDescent="0.25">
      <c r="A1456" s="15" t="str">
        <f t="shared" si="44"/>
        <v/>
      </c>
      <c r="B1456" s="18" t="str">
        <f t="shared" si="45"/>
        <v/>
      </c>
    </row>
    <row r="1457" spans="1:2" x14ac:dyDescent="0.25">
      <c r="A1457" s="15" t="str">
        <f t="shared" si="44"/>
        <v/>
      </c>
      <c r="B1457" s="18" t="str">
        <f t="shared" si="45"/>
        <v/>
      </c>
    </row>
    <row r="1458" spans="1:2" x14ac:dyDescent="0.25">
      <c r="A1458" s="15" t="str">
        <f t="shared" si="44"/>
        <v/>
      </c>
      <c r="B1458" s="18" t="str">
        <f t="shared" si="45"/>
        <v/>
      </c>
    </row>
    <row r="1459" spans="1:2" x14ac:dyDescent="0.25">
      <c r="A1459" s="15" t="str">
        <f t="shared" si="44"/>
        <v/>
      </c>
      <c r="B1459" s="18" t="str">
        <f t="shared" si="45"/>
        <v/>
      </c>
    </row>
    <row r="1460" spans="1:2" x14ac:dyDescent="0.25">
      <c r="A1460" s="15" t="str">
        <f t="shared" si="44"/>
        <v/>
      </c>
      <c r="B1460" s="18" t="str">
        <f t="shared" si="45"/>
        <v/>
      </c>
    </row>
    <row r="1461" spans="1:2" x14ac:dyDescent="0.25">
      <c r="A1461" s="15" t="str">
        <f t="shared" si="44"/>
        <v/>
      </c>
      <c r="B1461" s="18" t="str">
        <f t="shared" si="45"/>
        <v/>
      </c>
    </row>
    <row r="1462" spans="1:2" x14ac:dyDescent="0.25">
      <c r="A1462" s="15" t="str">
        <f t="shared" si="44"/>
        <v/>
      </c>
      <c r="B1462" s="18" t="str">
        <f t="shared" si="45"/>
        <v/>
      </c>
    </row>
    <row r="1463" spans="1:2" x14ac:dyDescent="0.25">
      <c r="A1463" s="15" t="str">
        <f t="shared" si="44"/>
        <v/>
      </c>
      <c r="B1463" s="18" t="str">
        <f t="shared" si="45"/>
        <v/>
      </c>
    </row>
    <row r="1464" spans="1:2" x14ac:dyDescent="0.25">
      <c r="A1464" s="15" t="str">
        <f t="shared" si="44"/>
        <v/>
      </c>
      <c r="B1464" s="18" t="str">
        <f t="shared" si="45"/>
        <v/>
      </c>
    </row>
    <row r="1465" spans="1:2" x14ac:dyDescent="0.25">
      <c r="A1465" s="15" t="str">
        <f t="shared" si="44"/>
        <v/>
      </c>
      <c r="B1465" s="18" t="str">
        <f t="shared" si="45"/>
        <v/>
      </c>
    </row>
    <row r="1466" spans="1:2" x14ac:dyDescent="0.25">
      <c r="A1466" s="15" t="str">
        <f t="shared" si="44"/>
        <v/>
      </c>
      <c r="B1466" s="18" t="str">
        <f t="shared" si="45"/>
        <v/>
      </c>
    </row>
    <row r="1467" spans="1:2" x14ac:dyDescent="0.25">
      <c r="A1467" s="15" t="str">
        <f t="shared" si="44"/>
        <v/>
      </c>
      <c r="B1467" s="18" t="str">
        <f t="shared" si="45"/>
        <v/>
      </c>
    </row>
    <row r="1468" spans="1:2" x14ac:dyDescent="0.25">
      <c r="A1468" s="15" t="str">
        <f t="shared" si="44"/>
        <v/>
      </c>
      <c r="B1468" s="18" t="str">
        <f t="shared" si="45"/>
        <v/>
      </c>
    </row>
    <row r="1469" spans="1:2" x14ac:dyDescent="0.25">
      <c r="A1469" s="15" t="str">
        <f t="shared" si="44"/>
        <v/>
      </c>
      <c r="B1469" s="18" t="str">
        <f t="shared" si="45"/>
        <v/>
      </c>
    </row>
    <row r="1470" spans="1:2" x14ac:dyDescent="0.25">
      <c r="A1470" s="15" t="str">
        <f t="shared" si="44"/>
        <v/>
      </c>
      <c r="B1470" s="18" t="str">
        <f t="shared" si="45"/>
        <v/>
      </c>
    </row>
    <row r="1471" spans="1:2" x14ac:dyDescent="0.25">
      <c r="A1471" s="15" t="str">
        <f t="shared" si="44"/>
        <v/>
      </c>
      <c r="B1471" s="18" t="str">
        <f t="shared" si="45"/>
        <v/>
      </c>
    </row>
    <row r="1472" spans="1:2" x14ac:dyDescent="0.25">
      <c r="A1472" s="15" t="str">
        <f t="shared" si="44"/>
        <v/>
      </c>
      <c r="B1472" s="18" t="str">
        <f t="shared" si="45"/>
        <v/>
      </c>
    </row>
    <row r="1473" spans="1:2" x14ac:dyDescent="0.25">
      <c r="A1473" s="15" t="str">
        <f t="shared" si="44"/>
        <v/>
      </c>
      <c r="B1473" s="18" t="str">
        <f t="shared" si="45"/>
        <v/>
      </c>
    </row>
    <row r="1474" spans="1:2" x14ac:dyDescent="0.25">
      <c r="A1474" s="15" t="str">
        <f t="shared" ref="A1474:A1537" si="46">B1474&amp;C1474</f>
        <v/>
      </c>
      <c r="B1474" s="18" t="str">
        <f t="shared" si="45"/>
        <v/>
      </c>
    </row>
    <row r="1475" spans="1:2" x14ac:dyDescent="0.25">
      <c r="A1475" s="15" t="str">
        <f t="shared" si="46"/>
        <v/>
      </c>
      <c r="B1475" s="18" t="str">
        <f t="shared" ref="B1475:B1538" si="47">IF(C1475="","",B1474)</f>
        <v/>
      </c>
    </row>
    <row r="1476" spans="1:2" x14ac:dyDescent="0.25">
      <c r="A1476" s="15" t="str">
        <f t="shared" si="46"/>
        <v/>
      </c>
      <c r="B1476" s="18" t="str">
        <f t="shared" si="47"/>
        <v/>
      </c>
    </row>
    <row r="1477" spans="1:2" x14ac:dyDescent="0.25">
      <c r="A1477" s="15" t="str">
        <f t="shared" si="46"/>
        <v/>
      </c>
      <c r="B1477" s="18" t="str">
        <f t="shared" si="47"/>
        <v/>
      </c>
    </row>
    <row r="1478" spans="1:2" x14ac:dyDescent="0.25">
      <c r="A1478" s="15" t="str">
        <f t="shared" si="46"/>
        <v/>
      </c>
      <c r="B1478" s="18" t="str">
        <f t="shared" si="47"/>
        <v/>
      </c>
    </row>
    <row r="1479" spans="1:2" x14ac:dyDescent="0.25">
      <c r="A1479" s="15" t="str">
        <f t="shared" si="46"/>
        <v/>
      </c>
      <c r="B1479" s="18" t="str">
        <f t="shared" si="47"/>
        <v/>
      </c>
    </row>
    <row r="1480" spans="1:2" x14ac:dyDescent="0.25">
      <c r="A1480" s="15" t="str">
        <f t="shared" si="46"/>
        <v/>
      </c>
      <c r="B1480" s="18" t="str">
        <f t="shared" si="47"/>
        <v/>
      </c>
    </row>
    <row r="1481" spans="1:2" x14ac:dyDescent="0.25">
      <c r="A1481" s="15" t="str">
        <f t="shared" si="46"/>
        <v/>
      </c>
      <c r="B1481" s="18" t="str">
        <f t="shared" si="47"/>
        <v/>
      </c>
    </row>
    <row r="1482" spans="1:2" x14ac:dyDescent="0.25">
      <c r="A1482" s="15" t="str">
        <f t="shared" si="46"/>
        <v/>
      </c>
      <c r="B1482" s="18" t="str">
        <f t="shared" si="47"/>
        <v/>
      </c>
    </row>
    <row r="1483" spans="1:2" x14ac:dyDescent="0.25">
      <c r="A1483" s="15" t="str">
        <f t="shared" si="46"/>
        <v/>
      </c>
      <c r="B1483" s="18" t="str">
        <f t="shared" si="47"/>
        <v/>
      </c>
    </row>
    <row r="1484" spans="1:2" x14ac:dyDescent="0.25">
      <c r="A1484" s="15" t="str">
        <f t="shared" si="46"/>
        <v/>
      </c>
      <c r="B1484" s="18" t="str">
        <f t="shared" si="47"/>
        <v/>
      </c>
    </row>
    <row r="1485" spans="1:2" x14ac:dyDescent="0.25">
      <c r="A1485" s="15" t="str">
        <f t="shared" si="46"/>
        <v/>
      </c>
      <c r="B1485" s="18" t="str">
        <f t="shared" si="47"/>
        <v/>
      </c>
    </row>
    <row r="1486" spans="1:2" x14ac:dyDescent="0.25">
      <c r="A1486" s="15" t="str">
        <f t="shared" si="46"/>
        <v/>
      </c>
      <c r="B1486" s="18" t="str">
        <f t="shared" si="47"/>
        <v/>
      </c>
    </row>
    <row r="1487" spans="1:2" x14ac:dyDescent="0.25">
      <c r="A1487" s="15" t="str">
        <f t="shared" si="46"/>
        <v/>
      </c>
      <c r="B1487" s="18" t="str">
        <f t="shared" si="47"/>
        <v/>
      </c>
    </row>
    <row r="1488" spans="1:2" x14ac:dyDescent="0.25">
      <c r="A1488" s="15" t="str">
        <f t="shared" si="46"/>
        <v/>
      </c>
      <c r="B1488" s="18" t="str">
        <f t="shared" si="47"/>
        <v/>
      </c>
    </row>
    <row r="1489" spans="1:2" x14ac:dyDescent="0.25">
      <c r="A1489" s="15" t="str">
        <f t="shared" si="46"/>
        <v/>
      </c>
      <c r="B1489" s="18" t="str">
        <f t="shared" si="47"/>
        <v/>
      </c>
    </row>
    <row r="1490" spans="1:2" x14ac:dyDescent="0.25">
      <c r="A1490" s="15" t="str">
        <f t="shared" si="46"/>
        <v/>
      </c>
      <c r="B1490" s="18" t="str">
        <f t="shared" si="47"/>
        <v/>
      </c>
    </row>
    <row r="1491" spans="1:2" x14ac:dyDescent="0.25">
      <c r="A1491" s="15" t="str">
        <f t="shared" si="46"/>
        <v/>
      </c>
      <c r="B1491" s="18" t="str">
        <f t="shared" si="47"/>
        <v/>
      </c>
    </row>
    <row r="1492" spans="1:2" x14ac:dyDescent="0.25">
      <c r="A1492" s="15" t="str">
        <f t="shared" si="46"/>
        <v/>
      </c>
      <c r="B1492" s="18" t="str">
        <f t="shared" si="47"/>
        <v/>
      </c>
    </row>
    <row r="1493" spans="1:2" x14ac:dyDescent="0.25">
      <c r="A1493" s="15" t="str">
        <f t="shared" si="46"/>
        <v/>
      </c>
      <c r="B1493" s="18" t="str">
        <f t="shared" si="47"/>
        <v/>
      </c>
    </row>
    <row r="1494" spans="1:2" x14ac:dyDescent="0.25">
      <c r="A1494" s="15" t="str">
        <f t="shared" si="46"/>
        <v/>
      </c>
      <c r="B1494" s="18" t="str">
        <f t="shared" si="47"/>
        <v/>
      </c>
    </row>
    <row r="1495" spans="1:2" x14ac:dyDescent="0.25">
      <c r="A1495" s="15" t="str">
        <f t="shared" si="46"/>
        <v/>
      </c>
      <c r="B1495" s="18" t="str">
        <f t="shared" si="47"/>
        <v/>
      </c>
    </row>
    <row r="1496" spans="1:2" x14ac:dyDescent="0.25">
      <c r="A1496" s="15" t="str">
        <f t="shared" si="46"/>
        <v/>
      </c>
      <c r="B1496" s="18" t="str">
        <f t="shared" si="47"/>
        <v/>
      </c>
    </row>
    <row r="1497" spans="1:2" x14ac:dyDescent="0.25">
      <c r="A1497" s="15" t="str">
        <f t="shared" si="46"/>
        <v/>
      </c>
      <c r="B1497" s="18" t="str">
        <f t="shared" si="47"/>
        <v/>
      </c>
    </row>
    <row r="1498" spans="1:2" x14ac:dyDescent="0.25">
      <c r="A1498" s="15" t="str">
        <f t="shared" si="46"/>
        <v/>
      </c>
      <c r="B1498" s="18" t="str">
        <f t="shared" si="47"/>
        <v/>
      </c>
    </row>
    <row r="1499" spans="1:2" x14ac:dyDescent="0.25">
      <c r="A1499" s="15" t="str">
        <f t="shared" si="46"/>
        <v/>
      </c>
      <c r="B1499" s="18" t="str">
        <f t="shared" si="47"/>
        <v/>
      </c>
    </row>
    <row r="1500" spans="1:2" x14ac:dyDescent="0.25">
      <c r="A1500" s="15" t="str">
        <f t="shared" si="46"/>
        <v/>
      </c>
      <c r="B1500" s="18" t="str">
        <f t="shared" si="47"/>
        <v/>
      </c>
    </row>
    <row r="1501" spans="1:2" x14ac:dyDescent="0.25">
      <c r="A1501" s="15" t="str">
        <f t="shared" si="46"/>
        <v/>
      </c>
      <c r="B1501" s="18" t="str">
        <f t="shared" si="47"/>
        <v/>
      </c>
    </row>
    <row r="1502" spans="1:2" x14ac:dyDescent="0.25">
      <c r="A1502" s="15" t="str">
        <f t="shared" si="46"/>
        <v/>
      </c>
      <c r="B1502" s="18" t="str">
        <f t="shared" si="47"/>
        <v/>
      </c>
    </row>
    <row r="1503" spans="1:2" x14ac:dyDescent="0.25">
      <c r="A1503" s="15" t="str">
        <f t="shared" si="46"/>
        <v/>
      </c>
      <c r="B1503" s="18" t="str">
        <f t="shared" si="47"/>
        <v/>
      </c>
    </row>
    <row r="1504" spans="1:2" x14ac:dyDescent="0.25">
      <c r="A1504" s="15" t="str">
        <f t="shared" si="46"/>
        <v/>
      </c>
      <c r="B1504" s="18" t="str">
        <f t="shared" si="47"/>
        <v/>
      </c>
    </row>
    <row r="1505" spans="1:2" x14ac:dyDescent="0.25">
      <c r="A1505" s="15" t="str">
        <f t="shared" si="46"/>
        <v/>
      </c>
      <c r="B1505" s="18" t="str">
        <f t="shared" si="47"/>
        <v/>
      </c>
    </row>
    <row r="1506" spans="1:2" x14ac:dyDescent="0.25">
      <c r="A1506" s="15" t="str">
        <f t="shared" si="46"/>
        <v/>
      </c>
      <c r="B1506" s="18" t="str">
        <f t="shared" si="47"/>
        <v/>
      </c>
    </row>
    <row r="1507" spans="1:2" x14ac:dyDescent="0.25">
      <c r="A1507" s="15" t="str">
        <f t="shared" si="46"/>
        <v/>
      </c>
      <c r="B1507" s="18" t="str">
        <f t="shared" si="47"/>
        <v/>
      </c>
    </row>
    <row r="1508" spans="1:2" x14ac:dyDescent="0.25">
      <c r="A1508" s="15" t="str">
        <f t="shared" si="46"/>
        <v/>
      </c>
      <c r="B1508" s="18" t="str">
        <f t="shared" si="47"/>
        <v/>
      </c>
    </row>
    <row r="1509" spans="1:2" x14ac:dyDescent="0.25">
      <c r="A1509" s="15" t="str">
        <f t="shared" si="46"/>
        <v/>
      </c>
      <c r="B1509" s="18" t="str">
        <f t="shared" si="47"/>
        <v/>
      </c>
    </row>
    <row r="1510" spans="1:2" x14ac:dyDescent="0.25">
      <c r="A1510" s="15" t="str">
        <f t="shared" si="46"/>
        <v/>
      </c>
      <c r="B1510" s="18" t="str">
        <f t="shared" si="47"/>
        <v/>
      </c>
    </row>
    <row r="1511" spans="1:2" x14ac:dyDescent="0.25">
      <c r="A1511" s="15" t="str">
        <f t="shared" si="46"/>
        <v/>
      </c>
      <c r="B1511" s="18" t="str">
        <f t="shared" si="47"/>
        <v/>
      </c>
    </row>
    <row r="1512" spans="1:2" x14ac:dyDescent="0.25">
      <c r="A1512" s="15" t="str">
        <f t="shared" si="46"/>
        <v/>
      </c>
      <c r="B1512" s="18" t="str">
        <f t="shared" si="47"/>
        <v/>
      </c>
    </row>
    <row r="1513" spans="1:2" x14ac:dyDescent="0.25">
      <c r="A1513" s="15" t="str">
        <f t="shared" si="46"/>
        <v/>
      </c>
      <c r="B1513" s="18" t="str">
        <f t="shared" si="47"/>
        <v/>
      </c>
    </row>
    <row r="1514" spans="1:2" x14ac:dyDescent="0.25">
      <c r="A1514" s="15" t="str">
        <f t="shared" si="46"/>
        <v/>
      </c>
      <c r="B1514" s="18" t="str">
        <f t="shared" si="47"/>
        <v/>
      </c>
    </row>
    <row r="1515" spans="1:2" x14ac:dyDescent="0.25">
      <c r="A1515" s="15" t="str">
        <f t="shared" si="46"/>
        <v/>
      </c>
      <c r="B1515" s="18" t="str">
        <f t="shared" si="47"/>
        <v/>
      </c>
    </row>
    <row r="1516" spans="1:2" x14ac:dyDescent="0.25">
      <c r="A1516" s="15" t="str">
        <f t="shared" si="46"/>
        <v/>
      </c>
      <c r="B1516" s="18" t="str">
        <f t="shared" si="47"/>
        <v/>
      </c>
    </row>
    <row r="1517" spans="1:2" x14ac:dyDescent="0.25">
      <c r="A1517" s="15" t="str">
        <f t="shared" si="46"/>
        <v/>
      </c>
      <c r="B1517" s="18" t="str">
        <f t="shared" si="47"/>
        <v/>
      </c>
    </row>
    <row r="1518" spans="1:2" x14ac:dyDescent="0.25">
      <c r="A1518" s="15" t="str">
        <f t="shared" si="46"/>
        <v/>
      </c>
      <c r="B1518" s="18" t="str">
        <f t="shared" si="47"/>
        <v/>
      </c>
    </row>
    <row r="1519" spans="1:2" x14ac:dyDescent="0.25">
      <c r="A1519" s="15" t="str">
        <f t="shared" si="46"/>
        <v/>
      </c>
      <c r="B1519" s="18" t="str">
        <f t="shared" si="47"/>
        <v/>
      </c>
    </row>
    <row r="1520" spans="1:2" x14ac:dyDescent="0.25">
      <c r="A1520" s="15" t="str">
        <f t="shared" si="46"/>
        <v/>
      </c>
      <c r="B1520" s="18" t="str">
        <f t="shared" si="47"/>
        <v/>
      </c>
    </row>
    <row r="1521" spans="1:2" x14ac:dyDescent="0.25">
      <c r="A1521" s="15" t="str">
        <f t="shared" si="46"/>
        <v/>
      </c>
      <c r="B1521" s="18" t="str">
        <f t="shared" si="47"/>
        <v/>
      </c>
    </row>
    <row r="1522" spans="1:2" x14ac:dyDescent="0.25">
      <c r="A1522" s="15" t="str">
        <f t="shared" si="46"/>
        <v/>
      </c>
      <c r="B1522" s="18" t="str">
        <f t="shared" si="47"/>
        <v/>
      </c>
    </row>
    <row r="1523" spans="1:2" x14ac:dyDescent="0.25">
      <c r="A1523" s="15" t="str">
        <f t="shared" si="46"/>
        <v/>
      </c>
      <c r="B1523" s="18" t="str">
        <f t="shared" si="47"/>
        <v/>
      </c>
    </row>
    <row r="1524" spans="1:2" x14ac:dyDescent="0.25">
      <c r="A1524" s="15" t="str">
        <f t="shared" si="46"/>
        <v/>
      </c>
      <c r="B1524" s="18" t="str">
        <f t="shared" si="47"/>
        <v/>
      </c>
    </row>
    <row r="1525" spans="1:2" x14ac:dyDescent="0.25">
      <c r="A1525" s="15" t="str">
        <f t="shared" si="46"/>
        <v/>
      </c>
      <c r="B1525" s="18" t="str">
        <f t="shared" si="47"/>
        <v/>
      </c>
    </row>
    <row r="1526" spans="1:2" x14ac:dyDescent="0.25">
      <c r="A1526" s="15" t="str">
        <f t="shared" si="46"/>
        <v/>
      </c>
      <c r="B1526" s="18" t="str">
        <f t="shared" si="47"/>
        <v/>
      </c>
    </row>
    <row r="1527" spans="1:2" x14ac:dyDescent="0.25">
      <c r="A1527" s="15" t="str">
        <f t="shared" si="46"/>
        <v/>
      </c>
      <c r="B1527" s="18" t="str">
        <f t="shared" si="47"/>
        <v/>
      </c>
    </row>
    <row r="1528" spans="1:2" x14ac:dyDescent="0.25">
      <c r="A1528" s="15" t="str">
        <f t="shared" si="46"/>
        <v/>
      </c>
      <c r="B1528" s="18" t="str">
        <f t="shared" si="47"/>
        <v/>
      </c>
    </row>
    <row r="1529" spans="1:2" x14ac:dyDescent="0.25">
      <c r="A1529" s="15" t="str">
        <f t="shared" si="46"/>
        <v/>
      </c>
      <c r="B1529" s="18" t="str">
        <f t="shared" si="47"/>
        <v/>
      </c>
    </row>
    <row r="1530" spans="1:2" x14ac:dyDescent="0.25">
      <c r="A1530" s="15" t="str">
        <f t="shared" si="46"/>
        <v/>
      </c>
      <c r="B1530" s="18" t="str">
        <f t="shared" si="47"/>
        <v/>
      </c>
    </row>
    <row r="1531" spans="1:2" x14ac:dyDescent="0.25">
      <c r="A1531" s="15" t="str">
        <f t="shared" si="46"/>
        <v/>
      </c>
      <c r="B1531" s="18" t="str">
        <f t="shared" si="47"/>
        <v/>
      </c>
    </row>
    <row r="1532" spans="1:2" x14ac:dyDescent="0.25">
      <c r="A1532" s="15" t="str">
        <f t="shared" si="46"/>
        <v/>
      </c>
      <c r="B1532" s="18" t="str">
        <f t="shared" si="47"/>
        <v/>
      </c>
    </row>
    <row r="1533" spans="1:2" x14ac:dyDescent="0.25">
      <c r="A1533" s="15" t="str">
        <f t="shared" si="46"/>
        <v/>
      </c>
      <c r="B1533" s="18" t="str">
        <f t="shared" si="47"/>
        <v/>
      </c>
    </row>
    <row r="1534" spans="1:2" x14ac:dyDescent="0.25">
      <c r="A1534" s="15" t="str">
        <f t="shared" si="46"/>
        <v/>
      </c>
      <c r="B1534" s="18" t="str">
        <f t="shared" si="47"/>
        <v/>
      </c>
    </row>
    <row r="1535" spans="1:2" x14ac:dyDescent="0.25">
      <c r="A1535" s="15" t="str">
        <f t="shared" si="46"/>
        <v/>
      </c>
      <c r="B1535" s="18" t="str">
        <f t="shared" si="47"/>
        <v/>
      </c>
    </row>
    <row r="1536" spans="1:2" x14ac:dyDescent="0.25">
      <c r="A1536" s="15" t="str">
        <f t="shared" si="46"/>
        <v/>
      </c>
      <c r="B1536" s="18" t="str">
        <f t="shared" si="47"/>
        <v/>
      </c>
    </row>
    <row r="1537" spans="1:2" x14ac:dyDescent="0.25">
      <c r="A1537" s="15" t="str">
        <f t="shared" si="46"/>
        <v/>
      </c>
      <c r="B1537" s="18" t="str">
        <f t="shared" si="47"/>
        <v/>
      </c>
    </row>
    <row r="1538" spans="1:2" x14ac:dyDescent="0.25">
      <c r="A1538" s="15" t="str">
        <f t="shared" ref="A1538:A1601" si="48">B1538&amp;C1538</f>
        <v/>
      </c>
      <c r="B1538" s="18" t="str">
        <f t="shared" si="47"/>
        <v/>
      </c>
    </row>
    <row r="1539" spans="1:2" x14ac:dyDescent="0.25">
      <c r="A1539" s="15" t="str">
        <f t="shared" si="48"/>
        <v/>
      </c>
      <c r="B1539" s="18" t="str">
        <f t="shared" ref="B1539:B1602" si="49">IF(C1539="","",B1538)</f>
        <v/>
      </c>
    </row>
    <row r="1540" spans="1:2" x14ac:dyDescent="0.25">
      <c r="A1540" s="15" t="str">
        <f t="shared" si="48"/>
        <v/>
      </c>
      <c r="B1540" s="18" t="str">
        <f t="shared" si="49"/>
        <v/>
      </c>
    </row>
    <row r="1541" spans="1:2" x14ac:dyDescent="0.25">
      <c r="A1541" s="15" t="str">
        <f t="shared" si="48"/>
        <v/>
      </c>
      <c r="B1541" s="18" t="str">
        <f t="shared" si="49"/>
        <v/>
      </c>
    </row>
    <row r="1542" spans="1:2" x14ac:dyDescent="0.25">
      <c r="A1542" s="15" t="str">
        <f t="shared" si="48"/>
        <v/>
      </c>
      <c r="B1542" s="18" t="str">
        <f t="shared" si="49"/>
        <v/>
      </c>
    </row>
    <row r="1543" spans="1:2" x14ac:dyDescent="0.25">
      <c r="A1543" s="15" t="str">
        <f t="shared" si="48"/>
        <v/>
      </c>
      <c r="B1543" s="18" t="str">
        <f t="shared" si="49"/>
        <v/>
      </c>
    </row>
    <row r="1544" spans="1:2" x14ac:dyDescent="0.25">
      <c r="A1544" s="15" t="str">
        <f t="shared" si="48"/>
        <v/>
      </c>
      <c r="B1544" s="18" t="str">
        <f t="shared" si="49"/>
        <v/>
      </c>
    </row>
    <row r="1545" spans="1:2" x14ac:dyDescent="0.25">
      <c r="A1545" s="15" t="str">
        <f t="shared" si="48"/>
        <v/>
      </c>
      <c r="B1545" s="18" t="str">
        <f t="shared" si="49"/>
        <v/>
      </c>
    </row>
    <row r="1546" spans="1:2" x14ac:dyDescent="0.25">
      <c r="A1546" s="15" t="str">
        <f t="shared" si="48"/>
        <v/>
      </c>
      <c r="B1546" s="18" t="str">
        <f t="shared" si="49"/>
        <v/>
      </c>
    </row>
    <row r="1547" spans="1:2" x14ac:dyDescent="0.25">
      <c r="A1547" s="15" t="str">
        <f t="shared" si="48"/>
        <v/>
      </c>
      <c r="B1547" s="18" t="str">
        <f t="shared" si="49"/>
        <v/>
      </c>
    </row>
    <row r="1548" spans="1:2" x14ac:dyDescent="0.25">
      <c r="A1548" s="15" t="str">
        <f t="shared" si="48"/>
        <v/>
      </c>
      <c r="B1548" s="18" t="str">
        <f t="shared" si="49"/>
        <v/>
      </c>
    </row>
    <row r="1549" spans="1:2" x14ac:dyDescent="0.25">
      <c r="A1549" s="15" t="str">
        <f t="shared" si="48"/>
        <v/>
      </c>
      <c r="B1549" s="18" t="str">
        <f t="shared" si="49"/>
        <v/>
      </c>
    </row>
    <row r="1550" spans="1:2" x14ac:dyDescent="0.25">
      <c r="A1550" s="15" t="str">
        <f t="shared" si="48"/>
        <v/>
      </c>
      <c r="B1550" s="18" t="str">
        <f t="shared" si="49"/>
        <v/>
      </c>
    </row>
    <row r="1551" spans="1:2" x14ac:dyDescent="0.25">
      <c r="A1551" s="15" t="str">
        <f t="shared" si="48"/>
        <v/>
      </c>
      <c r="B1551" s="18" t="str">
        <f t="shared" si="49"/>
        <v/>
      </c>
    </row>
    <row r="1552" spans="1:2" x14ac:dyDescent="0.25">
      <c r="A1552" s="15" t="str">
        <f t="shared" si="48"/>
        <v/>
      </c>
      <c r="B1552" s="18" t="str">
        <f t="shared" si="49"/>
        <v/>
      </c>
    </row>
    <row r="1553" spans="1:2" x14ac:dyDescent="0.25">
      <c r="A1553" s="15" t="str">
        <f t="shared" si="48"/>
        <v/>
      </c>
      <c r="B1553" s="18" t="str">
        <f t="shared" si="49"/>
        <v/>
      </c>
    </row>
    <row r="1554" spans="1:2" x14ac:dyDescent="0.25">
      <c r="A1554" s="15" t="str">
        <f t="shared" si="48"/>
        <v/>
      </c>
      <c r="B1554" s="18" t="str">
        <f t="shared" si="49"/>
        <v/>
      </c>
    </row>
    <row r="1555" spans="1:2" x14ac:dyDescent="0.25">
      <c r="A1555" s="15" t="str">
        <f t="shared" si="48"/>
        <v/>
      </c>
      <c r="B1555" s="18" t="str">
        <f t="shared" si="49"/>
        <v/>
      </c>
    </row>
    <row r="1556" spans="1:2" x14ac:dyDescent="0.25">
      <c r="A1556" s="15" t="str">
        <f t="shared" si="48"/>
        <v/>
      </c>
      <c r="B1556" s="18" t="str">
        <f t="shared" si="49"/>
        <v/>
      </c>
    </row>
    <row r="1557" spans="1:2" x14ac:dyDescent="0.25">
      <c r="A1557" s="15" t="str">
        <f t="shared" si="48"/>
        <v/>
      </c>
      <c r="B1557" s="18" t="str">
        <f t="shared" si="49"/>
        <v/>
      </c>
    </row>
    <row r="1558" spans="1:2" x14ac:dyDescent="0.25">
      <c r="A1558" s="15" t="str">
        <f t="shared" si="48"/>
        <v/>
      </c>
      <c r="B1558" s="18" t="str">
        <f t="shared" si="49"/>
        <v/>
      </c>
    </row>
    <row r="1559" spans="1:2" x14ac:dyDescent="0.25">
      <c r="A1559" s="15" t="str">
        <f t="shared" si="48"/>
        <v/>
      </c>
      <c r="B1559" s="18" t="str">
        <f t="shared" si="49"/>
        <v/>
      </c>
    </row>
    <row r="1560" spans="1:2" x14ac:dyDescent="0.25">
      <c r="A1560" s="15" t="str">
        <f t="shared" si="48"/>
        <v/>
      </c>
      <c r="B1560" s="18" t="str">
        <f t="shared" si="49"/>
        <v/>
      </c>
    </row>
    <row r="1561" spans="1:2" x14ac:dyDescent="0.25">
      <c r="A1561" s="15" t="str">
        <f t="shared" si="48"/>
        <v/>
      </c>
      <c r="B1561" s="18" t="str">
        <f t="shared" si="49"/>
        <v/>
      </c>
    </row>
    <row r="1562" spans="1:2" x14ac:dyDescent="0.25">
      <c r="A1562" s="15" t="str">
        <f t="shared" si="48"/>
        <v/>
      </c>
      <c r="B1562" s="18" t="str">
        <f t="shared" si="49"/>
        <v/>
      </c>
    </row>
    <row r="1563" spans="1:2" x14ac:dyDescent="0.25">
      <c r="A1563" s="15" t="str">
        <f t="shared" si="48"/>
        <v/>
      </c>
      <c r="B1563" s="18" t="str">
        <f t="shared" si="49"/>
        <v/>
      </c>
    </row>
    <row r="1564" spans="1:2" x14ac:dyDescent="0.25">
      <c r="A1564" s="15" t="str">
        <f t="shared" si="48"/>
        <v/>
      </c>
      <c r="B1564" s="18" t="str">
        <f t="shared" si="49"/>
        <v/>
      </c>
    </row>
    <row r="1565" spans="1:2" x14ac:dyDescent="0.25">
      <c r="A1565" s="15" t="str">
        <f t="shared" si="48"/>
        <v/>
      </c>
      <c r="B1565" s="18" t="str">
        <f t="shared" si="49"/>
        <v/>
      </c>
    </row>
    <row r="1566" spans="1:2" x14ac:dyDescent="0.25">
      <c r="A1566" s="15" t="str">
        <f t="shared" si="48"/>
        <v/>
      </c>
      <c r="B1566" s="18" t="str">
        <f t="shared" si="49"/>
        <v/>
      </c>
    </row>
    <row r="1567" spans="1:2" x14ac:dyDescent="0.25">
      <c r="A1567" s="15" t="str">
        <f t="shared" si="48"/>
        <v/>
      </c>
      <c r="B1567" s="18" t="str">
        <f t="shared" si="49"/>
        <v/>
      </c>
    </row>
    <row r="1568" spans="1:2" x14ac:dyDescent="0.25">
      <c r="A1568" s="15" t="str">
        <f t="shared" si="48"/>
        <v/>
      </c>
      <c r="B1568" s="18" t="str">
        <f t="shared" si="49"/>
        <v/>
      </c>
    </row>
    <row r="1569" spans="1:2" x14ac:dyDescent="0.25">
      <c r="A1569" s="15" t="str">
        <f t="shared" si="48"/>
        <v/>
      </c>
      <c r="B1569" s="18" t="str">
        <f t="shared" si="49"/>
        <v/>
      </c>
    </row>
    <row r="1570" spans="1:2" x14ac:dyDescent="0.25">
      <c r="A1570" s="15" t="str">
        <f t="shared" si="48"/>
        <v/>
      </c>
      <c r="B1570" s="18" t="str">
        <f t="shared" si="49"/>
        <v/>
      </c>
    </row>
    <row r="1571" spans="1:2" x14ac:dyDescent="0.25">
      <c r="A1571" s="15" t="str">
        <f t="shared" si="48"/>
        <v/>
      </c>
      <c r="B1571" s="18" t="str">
        <f t="shared" si="49"/>
        <v/>
      </c>
    </row>
    <row r="1572" spans="1:2" x14ac:dyDescent="0.25">
      <c r="A1572" s="15" t="str">
        <f t="shared" si="48"/>
        <v/>
      </c>
      <c r="B1572" s="18" t="str">
        <f t="shared" si="49"/>
        <v/>
      </c>
    </row>
    <row r="1573" spans="1:2" x14ac:dyDescent="0.25">
      <c r="A1573" s="15" t="str">
        <f t="shared" si="48"/>
        <v/>
      </c>
      <c r="B1573" s="18" t="str">
        <f t="shared" si="49"/>
        <v/>
      </c>
    </row>
    <row r="1574" spans="1:2" x14ac:dyDescent="0.25">
      <c r="A1574" s="15" t="str">
        <f t="shared" si="48"/>
        <v/>
      </c>
      <c r="B1574" s="18" t="str">
        <f t="shared" si="49"/>
        <v/>
      </c>
    </row>
    <row r="1575" spans="1:2" x14ac:dyDescent="0.25">
      <c r="A1575" s="15" t="str">
        <f t="shared" si="48"/>
        <v/>
      </c>
      <c r="B1575" s="18" t="str">
        <f t="shared" si="49"/>
        <v/>
      </c>
    </row>
    <row r="1576" spans="1:2" x14ac:dyDescent="0.25">
      <c r="A1576" s="15" t="str">
        <f t="shared" si="48"/>
        <v/>
      </c>
      <c r="B1576" s="18" t="str">
        <f t="shared" si="49"/>
        <v/>
      </c>
    </row>
    <row r="1577" spans="1:2" x14ac:dyDescent="0.25">
      <c r="A1577" s="15" t="str">
        <f t="shared" si="48"/>
        <v/>
      </c>
      <c r="B1577" s="18" t="str">
        <f t="shared" si="49"/>
        <v/>
      </c>
    </row>
    <row r="1578" spans="1:2" x14ac:dyDescent="0.25">
      <c r="A1578" s="15" t="str">
        <f t="shared" si="48"/>
        <v/>
      </c>
      <c r="B1578" s="18" t="str">
        <f t="shared" si="49"/>
        <v/>
      </c>
    </row>
    <row r="1579" spans="1:2" x14ac:dyDescent="0.25">
      <c r="A1579" s="15" t="str">
        <f t="shared" si="48"/>
        <v/>
      </c>
      <c r="B1579" s="18" t="str">
        <f t="shared" si="49"/>
        <v/>
      </c>
    </row>
    <row r="1580" spans="1:2" x14ac:dyDescent="0.25">
      <c r="A1580" s="15" t="str">
        <f t="shared" si="48"/>
        <v/>
      </c>
      <c r="B1580" s="18" t="str">
        <f t="shared" si="49"/>
        <v/>
      </c>
    </row>
    <row r="1581" spans="1:2" x14ac:dyDescent="0.25">
      <c r="A1581" s="15" t="str">
        <f t="shared" si="48"/>
        <v/>
      </c>
      <c r="B1581" s="18" t="str">
        <f t="shared" si="49"/>
        <v/>
      </c>
    </row>
    <row r="1582" spans="1:2" x14ac:dyDescent="0.25">
      <c r="A1582" s="15" t="str">
        <f t="shared" si="48"/>
        <v/>
      </c>
      <c r="B1582" s="18" t="str">
        <f t="shared" si="49"/>
        <v/>
      </c>
    </row>
    <row r="1583" spans="1:2" x14ac:dyDescent="0.25">
      <c r="A1583" s="15" t="str">
        <f t="shared" si="48"/>
        <v/>
      </c>
      <c r="B1583" s="18" t="str">
        <f t="shared" si="49"/>
        <v/>
      </c>
    </row>
    <row r="1584" spans="1:2" x14ac:dyDescent="0.25">
      <c r="A1584" s="15" t="str">
        <f t="shared" si="48"/>
        <v/>
      </c>
      <c r="B1584" s="18" t="str">
        <f t="shared" si="49"/>
        <v/>
      </c>
    </row>
    <row r="1585" spans="1:2" x14ac:dyDescent="0.25">
      <c r="A1585" s="15" t="str">
        <f t="shared" si="48"/>
        <v/>
      </c>
      <c r="B1585" s="18" t="str">
        <f t="shared" si="49"/>
        <v/>
      </c>
    </row>
    <row r="1586" spans="1:2" x14ac:dyDescent="0.25">
      <c r="A1586" s="15" t="str">
        <f t="shared" si="48"/>
        <v/>
      </c>
      <c r="B1586" s="18" t="str">
        <f t="shared" si="49"/>
        <v/>
      </c>
    </row>
    <row r="1587" spans="1:2" x14ac:dyDescent="0.25">
      <c r="A1587" s="15" t="str">
        <f t="shared" si="48"/>
        <v/>
      </c>
      <c r="B1587" s="18" t="str">
        <f t="shared" si="49"/>
        <v/>
      </c>
    </row>
    <row r="1588" spans="1:2" x14ac:dyDescent="0.25">
      <c r="A1588" s="15" t="str">
        <f t="shared" si="48"/>
        <v/>
      </c>
      <c r="B1588" s="18" t="str">
        <f t="shared" si="49"/>
        <v/>
      </c>
    </row>
    <row r="1589" spans="1:2" x14ac:dyDescent="0.25">
      <c r="A1589" s="15" t="str">
        <f t="shared" si="48"/>
        <v/>
      </c>
      <c r="B1589" s="18" t="str">
        <f t="shared" si="49"/>
        <v/>
      </c>
    </row>
    <row r="1590" spans="1:2" x14ac:dyDescent="0.25">
      <c r="A1590" s="15" t="str">
        <f t="shared" si="48"/>
        <v/>
      </c>
      <c r="B1590" s="18" t="str">
        <f t="shared" si="49"/>
        <v/>
      </c>
    </row>
    <row r="1591" spans="1:2" x14ac:dyDescent="0.25">
      <c r="A1591" s="15" t="str">
        <f t="shared" si="48"/>
        <v/>
      </c>
      <c r="B1591" s="18" t="str">
        <f t="shared" si="49"/>
        <v/>
      </c>
    </row>
    <row r="1592" spans="1:2" x14ac:dyDescent="0.25">
      <c r="A1592" s="15" t="str">
        <f t="shared" si="48"/>
        <v/>
      </c>
      <c r="B1592" s="18" t="str">
        <f t="shared" si="49"/>
        <v/>
      </c>
    </row>
    <row r="1593" spans="1:2" x14ac:dyDescent="0.25">
      <c r="A1593" s="15" t="str">
        <f t="shared" si="48"/>
        <v/>
      </c>
      <c r="B1593" s="18" t="str">
        <f t="shared" si="49"/>
        <v/>
      </c>
    </row>
    <row r="1594" spans="1:2" x14ac:dyDescent="0.25">
      <c r="A1594" s="15" t="str">
        <f t="shared" si="48"/>
        <v/>
      </c>
      <c r="B1594" s="18" t="str">
        <f t="shared" si="49"/>
        <v/>
      </c>
    </row>
    <row r="1595" spans="1:2" x14ac:dyDescent="0.25">
      <c r="A1595" s="15" t="str">
        <f t="shared" si="48"/>
        <v/>
      </c>
      <c r="B1595" s="18" t="str">
        <f t="shared" si="49"/>
        <v/>
      </c>
    </row>
    <row r="1596" spans="1:2" x14ac:dyDescent="0.25">
      <c r="A1596" s="15" t="str">
        <f t="shared" si="48"/>
        <v/>
      </c>
      <c r="B1596" s="18" t="str">
        <f t="shared" si="49"/>
        <v/>
      </c>
    </row>
    <row r="1597" spans="1:2" x14ac:dyDescent="0.25">
      <c r="A1597" s="15" t="str">
        <f t="shared" si="48"/>
        <v/>
      </c>
      <c r="B1597" s="18" t="str">
        <f t="shared" si="49"/>
        <v/>
      </c>
    </row>
    <row r="1598" spans="1:2" x14ac:dyDescent="0.25">
      <c r="A1598" s="15" t="str">
        <f t="shared" si="48"/>
        <v/>
      </c>
      <c r="B1598" s="18" t="str">
        <f t="shared" si="49"/>
        <v/>
      </c>
    </row>
    <row r="1599" spans="1:2" x14ac:dyDescent="0.25">
      <c r="A1599" s="15" t="str">
        <f t="shared" si="48"/>
        <v/>
      </c>
      <c r="B1599" s="18" t="str">
        <f t="shared" si="49"/>
        <v/>
      </c>
    </row>
    <row r="1600" spans="1:2" x14ac:dyDescent="0.25">
      <c r="A1600" s="15" t="str">
        <f t="shared" si="48"/>
        <v/>
      </c>
      <c r="B1600" s="18" t="str">
        <f t="shared" si="49"/>
        <v/>
      </c>
    </row>
    <row r="1601" spans="1:2" x14ac:dyDescent="0.25">
      <c r="A1601" s="15" t="str">
        <f t="shared" si="48"/>
        <v/>
      </c>
      <c r="B1601" s="18" t="str">
        <f t="shared" si="49"/>
        <v/>
      </c>
    </row>
    <row r="1602" spans="1:2" x14ac:dyDescent="0.25">
      <c r="A1602" s="15" t="str">
        <f t="shared" ref="A1602:A1665" si="50">B1602&amp;C1602</f>
        <v/>
      </c>
      <c r="B1602" s="18" t="str">
        <f t="shared" si="49"/>
        <v/>
      </c>
    </row>
    <row r="1603" spans="1:2" x14ac:dyDescent="0.25">
      <c r="A1603" s="15" t="str">
        <f t="shared" si="50"/>
        <v/>
      </c>
      <c r="B1603" s="18" t="str">
        <f t="shared" ref="B1603:B1666" si="51">IF(C1603="","",B1602)</f>
        <v/>
      </c>
    </row>
    <row r="1604" spans="1:2" x14ac:dyDescent="0.25">
      <c r="A1604" s="15" t="str">
        <f t="shared" si="50"/>
        <v/>
      </c>
      <c r="B1604" s="18" t="str">
        <f t="shared" si="51"/>
        <v/>
      </c>
    </row>
    <row r="1605" spans="1:2" x14ac:dyDescent="0.25">
      <c r="A1605" s="15" t="str">
        <f t="shared" si="50"/>
        <v/>
      </c>
      <c r="B1605" s="18" t="str">
        <f t="shared" si="51"/>
        <v/>
      </c>
    </row>
    <row r="1606" spans="1:2" x14ac:dyDescent="0.25">
      <c r="A1606" s="15" t="str">
        <f t="shared" si="50"/>
        <v/>
      </c>
      <c r="B1606" s="18" t="str">
        <f t="shared" si="51"/>
        <v/>
      </c>
    </row>
    <row r="1607" spans="1:2" x14ac:dyDescent="0.25">
      <c r="A1607" s="15" t="str">
        <f t="shared" si="50"/>
        <v/>
      </c>
      <c r="B1607" s="18" t="str">
        <f t="shared" si="51"/>
        <v/>
      </c>
    </row>
    <row r="1608" spans="1:2" x14ac:dyDescent="0.25">
      <c r="A1608" s="15" t="str">
        <f t="shared" si="50"/>
        <v/>
      </c>
      <c r="B1608" s="18" t="str">
        <f t="shared" si="51"/>
        <v/>
      </c>
    </row>
    <row r="1609" spans="1:2" x14ac:dyDescent="0.25">
      <c r="A1609" s="15" t="str">
        <f t="shared" si="50"/>
        <v/>
      </c>
      <c r="B1609" s="18" t="str">
        <f t="shared" si="51"/>
        <v/>
      </c>
    </row>
    <row r="1610" spans="1:2" x14ac:dyDescent="0.25">
      <c r="A1610" s="15" t="str">
        <f t="shared" si="50"/>
        <v/>
      </c>
      <c r="B1610" s="18" t="str">
        <f t="shared" si="51"/>
        <v/>
      </c>
    </row>
    <row r="1611" spans="1:2" x14ac:dyDescent="0.25">
      <c r="A1611" s="15" t="str">
        <f t="shared" si="50"/>
        <v/>
      </c>
      <c r="B1611" s="18" t="str">
        <f t="shared" si="51"/>
        <v/>
      </c>
    </row>
    <row r="1612" spans="1:2" x14ac:dyDescent="0.25">
      <c r="A1612" s="15" t="str">
        <f t="shared" si="50"/>
        <v/>
      </c>
      <c r="B1612" s="18" t="str">
        <f t="shared" si="51"/>
        <v/>
      </c>
    </row>
    <row r="1613" spans="1:2" x14ac:dyDescent="0.25">
      <c r="A1613" s="15" t="str">
        <f t="shared" si="50"/>
        <v/>
      </c>
      <c r="B1613" s="18" t="str">
        <f t="shared" si="51"/>
        <v/>
      </c>
    </row>
    <row r="1614" spans="1:2" x14ac:dyDescent="0.25">
      <c r="A1614" s="15" t="str">
        <f t="shared" si="50"/>
        <v/>
      </c>
      <c r="B1614" s="18" t="str">
        <f t="shared" si="51"/>
        <v/>
      </c>
    </row>
    <row r="1615" spans="1:2" x14ac:dyDescent="0.25">
      <c r="A1615" s="15" t="str">
        <f t="shared" si="50"/>
        <v/>
      </c>
      <c r="B1615" s="18" t="str">
        <f t="shared" si="51"/>
        <v/>
      </c>
    </row>
    <row r="1616" spans="1:2" x14ac:dyDescent="0.25">
      <c r="A1616" s="15" t="str">
        <f t="shared" si="50"/>
        <v/>
      </c>
      <c r="B1616" s="18" t="str">
        <f t="shared" si="51"/>
        <v/>
      </c>
    </row>
    <row r="1617" spans="1:2" x14ac:dyDescent="0.25">
      <c r="A1617" s="15" t="str">
        <f t="shared" si="50"/>
        <v/>
      </c>
      <c r="B1617" s="18" t="str">
        <f t="shared" si="51"/>
        <v/>
      </c>
    </row>
    <row r="1618" spans="1:2" x14ac:dyDescent="0.25">
      <c r="A1618" s="15" t="str">
        <f t="shared" si="50"/>
        <v/>
      </c>
      <c r="B1618" s="18" t="str">
        <f t="shared" si="51"/>
        <v/>
      </c>
    </row>
    <row r="1619" spans="1:2" x14ac:dyDescent="0.25">
      <c r="A1619" s="15" t="str">
        <f t="shared" si="50"/>
        <v/>
      </c>
      <c r="B1619" s="18" t="str">
        <f t="shared" si="51"/>
        <v/>
      </c>
    </row>
    <row r="1620" spans="1:2" x14ac:dyDescent="0.25">
      <c r="A1620" s="15" t="str">
        <f t="shared" si="50"/>
        <v/>
      </c>
      <c r="B1620" s="18" t="str">
        <f t="shared" si="51"/>
        <v/>
      </c>
    </row>
    <row r="1621" spans="1:2" x14ac:dyDescent="0.25">
      <c r="A1621" s="15" t="str">
        <f t="shared" si="50"/>
        <v/>
      </c>
      <c r="B1621" s="18" t="str">
        <f t="shared" si="51"/>
        <v/>
      </c>
    </row>
    <row r="1622" spans="1:2" x14ac:dyDescent="0.25">
      <c r="A1622" s="15" t="str">
        <f t="shared" si="50"/>
        <v/>
      </c>
      <c r="B1622" s="18" t="str">
        <f t="shared" si="51"/>
        <v/>
      </c>
    </row>
    <row r="1623" spans="1:2" x14ac:dyDescent="0.25">
      <c r="A1623" s="15" t="str">
        <f t="shared" si="50"/>
        <v/>
      </c>
      <c r="B1623" s="18" t="str">
        <f t="shared" si="51"/>
        <v/>
      </c>
    </row>
    <row r="1624" spans="1:2" x14ac:dyDescent="0.25">
      <c r="A1624" s="15" t="str">
        <f t="shared" si="50"/>
        <v/>
      </c>
      <c r="B1624" s="18" t="str">
        <f t="shared" si="51"/>
        <v/>
      </c>
    </row>
    <row r="1625" spans="1:2" x14ac:dyDescent="0.25">
      <c r="A1625" s="15" t="str">
        <f t="shared" si="50"/>
        <v/>
      </c>
      <c r="B1625" s="18" t="str">
        <f t="shared" si="51"/>
        <v/>
      </c>
    </row>
    <row r="1626" spans="1:2" x14ac:dyDescent="0.25">
      <c r="A1626" s="15" t="str">
        <f t="shared" si="50"/>
        <v/>
      </c>
      <c r="B1626" s="18" t="str">
        <f t="shared" si="51"/>
        <v/>
      </c>
    </row>
    <row r="1627" spans="1:2" x14ac:dyDescent="0.25">
      <c r="A1627" s="15" t="str">
        <f t="shared" si="50"/>
        <v/>
      </c>
      <c r="B1627" s="18" t="str">
        <f t="shared" si="51"/>
        <v/>
      </c>
    </row>
    <row r="1628" spans="1:2" x14ac:dyDescent="0.25">
      <c r="A1628" s="15" t="str">
        <f t="shared" si="50"/>
        <v/>
      </c>
      <c r="B1628" s="18" t="str">
        <f t="shared" si="51"/>
        <v/>
      </c>
    </row>
    <row r="1629" spans="1:2" x14ac:dyDescent="0.25">
      <c r="A1629" s="15" t="str">
        <f t="shared" si="50"/>
        <v/>
      </c>
      <c r="B1629" s="18" t="str">
        <f t="shared" si="51"/>
        <v/>
      </c>
    </row>
    <row r="1630" spans="1:2" x14ac:dyDescent="0.25">
      <c r="A1630" s="15" t="str">
        <f t="shared" si="50"/>
        <v/>
      </c>
      <c r="B1630" s="18" t="str">
        <f t="shared" si="51"/>
        <v/>
      </c>
    </row>
    <row r="1631" spans="1:2" x14ac:dyDescent="0.25">
      <c r="A1631" s="15" t="str">
        <f t="shared" si="50"/>
        <v/>
      </c>
      <c r="B1631" s="18" t="str">
        <f t="shared" si="51"/>
        <v/>
      </c>
    </row>
    <row r="1632" spans="1:2" x14ac:dyDescent="0.25">
      <c r="A1632" s="15" t="str">
        <f t="shared" si="50"/>
        <v/>
      </c>
      <c r="B1632" s="18" t="str">
        <f t="shared" si="51"/>
        <v/>
      </c>
    </row>
    <row r="1633" spans="1:2" x14ac:dyDescent="0.25">
      <c r="A1633" s="15" t="str">
        <f t="shared" si="50"/>
        <v/>
      </c>
      <c r="B1633" s="18" t="str">
        <f t="shared" si="51"/>
        <v/>
      </c>
    </row>
    <row r="1634" spans="1:2" x14ac:dyDescent="0.25">
      <c r="A1634" s="15" t="str">
        <f t="shared" si="50"/>
        <v/>
      </c>
      <c r="B1634" s="18" t="str">
        <f t="shared" si="51"/>
        <v/>
      </c>
    </row>
    <row r="1635" spans="1:2" x14ac:dyDescent="0.25">
      <c r="A1635" s="15" t="str">
        <f t="shared" si="50"/>
        <v/>
      </c>
      <c r="B1635" s="18" t="str">
        <f t="shared" si="51"/>
        <v/>
      </c>
    </row>
    <row r="1636" spans="1:2" x14ac:dyDescent="0.25">
      <c r="A1636" s="15" t="str">
        <f t="shared" si="50"/>
        <v/>
      </c>
      <c r="B1636" s="18" t="str">
        <f t="shared" si="51"/>
        <v/>
      </c>
    </row>
    <row r="1637" spans="1:2" x14ac:dyDescent="0.25">
      <c r="A1637" s="15" t="str">
        <f t="shared" si="50"/>
        <v/>
      </c>
      <c r="B1637" s="18" t="str">
        <f t="shared" si="51"/>
        <v/>
      </c>
    </row>
    <row r="1638" spans="1:2" x14ac:dyDescent="0.25">
      <c r="A1638" s="15" t="str">
        <f t="shared" si="50"/>
        <v/>
      </c>
      <c r="B1638" s="18" t="str">
        <f t="shared" si="51"/>
        <v/>
      </c>
    </row>
    <row r="1639" spans="1:2" x14ac:dyDescent="0.25">
      <c r="A1639" s="15" t="str">
        <f t="shared" si="50"/>
        <v/>
      </c>
      <c r="B1639" s="18" t="str">
        <f t="shared" si="51"/>
        <v/>
      </c>
    </row>
    <row r="1640" spans="1:2" x14ac:dyDescent="0.25">
      <c r="A1640" s="15" t="str">
        <f t="shared" si="50"/>
        <v/>
      </c>
      <c r="B1640" s="18" t="str">
        <f t="shared" si="51"/>
        <v/>
      </c>
    </row>
    <row r="1641" spans="1:2" x14ac:dyDescent="0.25">
      <c r="A1641" s="15" t="str">
        <f t="shared" si="50"/>
        <v/>
      </c>
      <c r="B1641" s="18" t="str">
        <f t="shared" si="51"/>
        <v/>
      </c>
    </row>
    <row r="1642" spans="1:2" x14ac:dyDescent="0.25">
      <c r="A1642" s="15" t="str">
        <f t="shared" si="50"/>
        <v/>
      </c>
      <c r="B1642" s="18" t="str">
        <f t="shared" si="51"/>
        <v/>
      </c>
    </row>
    <row r="1643" spans="1:2" x14ac:dyDescent="0.25">
      <c r="A1643" s="15" t="str">
        <f t="shared" si="50"/>
        <v/>
      </c>
      <c r="B1643" s="18" t="str">
        <f t="shared" si="51"/>
        <v/>
      </c>
    </row>
    <row r="1644" spans="1:2" x14ac:dyDescent="0.25">
      <c r="A1644" s="15" t="str">
        <f t="shared" si="50"/>
        <v/>
      </c>
      <c r="B1644" s="18" t="str">
        <f t="shared" si="51"/>
        <v/>
      </c>
    </row>
    <row r="1645" spans="1:2" x14ac:dyDescent="0.25">
      <c r="A1645" s="15" t="str">
        <f t="shared" si="50"/>
        <v/>
      </c>
      <c r="B1645" s="18" t="str">
        <f t="shared" si="51"/>
        <v/>
      </c>
    </row>
    <row r="1646" spans="1:2" x14ac:dyDescent="0.25">
      <c r="A1646" s="15" t="str">
        <f t="shared" si="50"/>
        <v/>
      </c>
      <c r="B1646" s="18" t="str">
        <f t="shared" si="51"/>
        <v/>
      </c>
    </row>
    <row r="1647" spans="1:2" x14ac:dyDescent="0.25">
      <c r="A1647" s="15" t="str">
        <f t="shared" si="50"/>
        <v/>
      </c>
      <c r="B1647" s="18" t="str">
        <f t="shared" si="51"/>
        <v/>
      </c>
    </row>
    <row r="1648" spans="1:2" x14ac:dyDescent="0.25">
      <c r="A1648" s="15" t="str">
        <f t="shared" si="50"/>
        <v/>
      </c>
      <c r="B1648" s="18" t="str">
        <f t="shared" si="51"/>
        <v/>
      </c>
    </row>
    <row r="1649" spans="1:2" x14ac:dyDescent="0.25">
      <c r="A1649" s="15" t="str">
        <f t="shared" si="50"/>
        <v/>
      </c>
      <c r="B1649" s="18" t="str">
        <f t="shared" si="51"/>
        <v/>
      </c>
    </row>
    <row r="1650" spans="1:2" x14ac:dyDescent="0.25">
      <c r="A1650" s="15" t="str">
        <f t="shared" si="50"/>
        <v/>
      </c>
      <c r="B1650" s="18" t="str">
        <f t="shared" si="51"/>
        <v/>
      </c>
    </row>
    <row r="1651" spans="1:2" x14ac:dyDescent="0.25">
      <c r="A1651" s="15" t="str">
        <f t="shared" si="50"/>
        <v/>
      </c>
      <c r="B1651" s="18" t="str">
        <f t="shared" si="51"/>
        <v/>
      </c>
    </row>
    <row r="1652" spans="1:2" x14ac:dyDescent="0.25">
      <c r="A1652" s="15" t="str">
        <f t="shared" si="50"/>
        <v/>
      </c>
      <c r="B1652" s="18" t="str">
        <f t="shared" si="51"/>
        <v/>
      </c>
    </row>
    <row r="1653" spans="1:2" x14ac:dyDescent="0.25">
      <c r="A1653" s="15" t="str">
        <f t="shared" si="50"/>
        <v/>
      </c>
      <c r="B1653" s="18" t="str">
        <f t="shared" si="51"/>
        <v/>
      </c>
    </row>
    <row r="1654" spans="1:2" x14ac:dyDescent="0.25">
      <c r="A1654" s="15" t="str">
        <f t="shared" si="50"/>
        <v/>
      </c>
      <c r="B1654" s="18" t="str">
        <f t="shared" si="51"/>
        <v/>
      </c>
    </row>
    <row r="1655" spans="1:2" x14ac:dyDescent="0.25">
      <c r="A1655" s="15" t="str">
        <f t="shared" si="50"/>
        <v/>
      </c>
      <c r="B1655" s="18" t="str">
        <f t="shared" si="51"/>
        <v/>
      </c>
    </row>
    <row r="1656" spans="1:2" x14ac:dyDescent="0.25">
      <c r="A1656" s="15" t="str">
        <f t="shared" si="50"/>
        <v/>
      </c>
      <c r="B1656" s="18" t="str">
        <f t="shared" si="51"/>
        <v/>
      </c>
    </row>
    <row r="1657" spans="1:2" x14ac:dyDescent="0.25">
      <c r="A1657" s="15" t="str">
        <f t="shared" si="50"/>
        <v/>
      </c>
      <c r="B1657" s="18" t="str">
        <f t="shared" si="51"/>
        <v/>
      </c>
    </row>
    <row r="1658" spans="1:2" x14ac:dyDescent="0.25">
      <c r="A1658" s="15" t="str">
        <f t="shared" si="50"/>
        <v/>
      </c>
      <c r="B1658" s="18" t="str">
        <f t="shared" si="51"/>
        <v/>
      </c>
    </row>
    <row r="1659" spans="1:2" x14ac:dyDescent="0.25">
      <c r="A1659" s="15" t="str">
        <f t="shared" si="50"/>
        <v/>
      </c>
      <c r="B1659" s="18" t="str">
        <f t="shared" si="51"/>
        <v/>
      </c>
    </row>
    <row r="1660" spans="1:2" x14ac:dyDescent="0.25">
      <c r="A1660" s="15" t="str">
        <f t="shared" si="50"/>
        <v/>
      </c>
      <c r="B1660" s="18" t="str">
        <f t="shared" si="51"/>
        <v/>
      </c>
    </row>
    <row r="1661" spans="1:2" x14ac:dyDescent="0.25">
      <c r="A1661" s="15" t="str">
        <f t="shared" si="50"/>
        <v/>
      </c>
      <c r="B1661" s="18" t="str">
        <f t="shared" si="51"/>
        <v/>
      </c>
    </row>
    <row r="1662" spans="1:2" x14ac:dyDescent="0.25">
      <c r="A1662" s="15" t="str">
        <f t="shared" si="50"/>
        <v/>
      </c>
      <c r="B1662" s="18" t="str">
        <f t="shared" si="51"/>
        <v/>
      </c>
    </row>
    <row r="1663" spans="1:2" x14ac:dyDescent="0.25">
      <c r="A1663" s="15" t="str">
        <f t="shared" si="50"/>
        <v/>
      </c>
      <c r="B1663" s="18" t="str">
        <f t="shared" si="51"/>
        <v/>
      </c>
    </row>
    <row r="1664" spans="1:2" x14ac:dyDescent="0.25">
      <c r="A1664" s="15" t="str">
        <f t="shared" si="50"/>
        <v/>
      </c>
      <c r="B1664" s="18" t="str">
        <f t="shared" si="51"/>
        <v/>
      </c>
    </row>
    <row r="1665" spans="1:2" x14ac:dyDescent="0.25">
      <c r="A1665" s="15" t="str">
        <f t="shared" si="50"/>
        <v/>
      </c>
      <c r="B1665" s="18" t="str">
        <f t="shared" si="51"/>
        <v/>
      </c>
    </row>
    <row r="1666" spans="1:2" x14ac:dyDescent="0.25">
      <c r="A1666" s="15" t="str">
        <f t="shared" ref="A1666:A1729" si="52">B1666&amp;C1666</f>
        <v/>
      </c>
      <c r="B1666" s="18" t="str">
        <f t="shared" si="51"/>
        <v/>
      </c>
    </row>
    <row r="1667" spans="1:2" x14ac:dyDescent="0.25">
      <c r="A1667" s="15" t="str">
        <f t="shared" si="52"/>
        <v/>
      </c>
      <c r="B1667" s="18" t="str">
        <f t="shared" ref="B1667:B1730" si="53">IF(C1667="","",B1666)</f>
        <v/>
      </c>
    </row>
    <row r="1668" spans="1:2" x14ac:dyDescent="0.25">
      <c r="A1668" s="15" t="str">
        <f t="shared" si="52"/>
        <v/>
      </c>
      <c r="B1668" s="18" t="str">
        <f t="shared" si="53"/>
        <v/>
      </c>
    </row>
    <row r="1669" spans="1:2" x14ac:dyDescent="0.25">
      <c r="A1669" s="15" t="str">
        <f t="shared" si="52"/>
        <v/>
      </c>
      <c r="B1669" s="18" t="str">
        <f t="shared" si="53"/>
        <v/>
      </c>
    </row>
    <row r="1670" spans="1:2" x14ac:dyDescent="0.25">
      <c r="A1670" s="15" t="str">
        <f t="shared" si="52"/>
        <v/>
      </c>
      <c r="B1670" s="18" t="str">
        <f t="shared" si="53"/>
        <v/>
      </c>
    </row>
    <row r="1671" spans="1:2" x14ac:dyDescent="0.25">
      <c r="A1671" s="15" t="str">
        <f t="shared" si="52"/>
        <v/>
      </c>
      <c r="B1671" s="18" t="str">
        <f t="shared" si="53"/>
        <v/>
      </c>
    </row>
    <row r="1672" spans="1:2" x14ac:dyDescent="0.25">
      <c r="A1672" s="15" t="str">
        <f t="shared" si="52"/>
        <v/>
      </c>
      <c r="B1672" s="18" t="str">
        <f t="shared" si="53"/>
        <v/>
      </c>
    </row>
    <row r="1673" spans="1:2" x14ac:dyDescent="0.25">
      <c r="A1673" s="15" t="str">
        <f t="shared" si="52"/>
        <v/>
      </c>
      <c r="B1673" s="18" t="str">
        <f t="shared" si="53"/>
        <v/>
      </c>
    </row>
    <row r="1674" spans="1:2" x14ac:dyDescent="0.25">
      <c r="A1674" s="15" t="str">
        <f t="shared" si="52"/>
        <v/>
      </c>
      <c r="B1674" s="18" t="str">
        <f t="shared" si="53"/>
        <v/>
      </c>
    </row>
    <row r="1675" spans="1:2" x14ac:dyDescent="0.25">
      <c r="A1675" s="15" t="str">
        <f t="shared" si="52"/>
        <v/>
      </c>
      <c r="B1675" s="18" t="str">
        <f t="shared" si="53"/>
        <v/>
      </c>
    </row>
    <row r="1676" spans="1:2" x14ac:dyDescent="0.25">
      <c r="A1676" s="15" t="str">
        <f t="shared" si="52"/>
        <v/>
      </c>
      <c r="B1676" s="18" t="str">
        <f t="shared" si="53"/>
        <v/>
      </c>
    </row>
    <row r="1677" spans="1:2" x14ac:dyDescent="0.25">
      <c r="A1677" s="15" t="str">
        <f t="shared" si="52"/>
        <v/>
      </c>
      <c r="B1677" s="18" t="str">
        <f t="shared" si="53"/>
        <v/>
      </c>
    </row>
    <row r="1678" spans="1:2" x14ac:dyDescent="0.25">
      <c r="A1678" s="15" t="str">
        <f t="shared" si="52"/>
        <v/>
      </c>
      <c r="B1678" s="18" t="str">
        <f t="shared" si="53"/>
        <v/>
      </c>
    </row>
    <row r="1679" spans="1:2" x14ac:dyDescent="0.25">
      <c r="A1679" s="15" t="str">
        <f t="shared" si="52"/>
        <v/>
      </c>
      <c r="B1679" s="18" t="str">
        <f t="shared" si="53"/>
        <v/>
      </c>
    </row>
    <row r="1680" spans="1:2" x14ac:dyDescent="0.25">
      <c r="A1680" s="15" t="str">
        <f t="shared" si="52"/>
        <v/>
      </c>
      <c r="B1680" s="18" t="str">
        <f t="shared" si="53"/>
        <v/>
      </c>
    </row>
    <row r="1681" spans="1:2" x14ac:dyDescent="0.25">
      <c r="A1681" s="15" t="str">
        <f t="shared" si="52"/>
        <v/>
      </c>
      <c r="B1681" s="18" t="str">
        <f t="shared" si="53"/>
        <v/>
      </c>
    </row>
    <row r="1682" spans="1:2" x14ac:dyDescent="0.25">
      <c r="A1682" s="15" t="str">
        <f t="shared" si="52"/>
        <v/>
      </c>
      <c r="B1682" s="18" t="str">
        <f t="shared" si="53"/>
        <v/>
      </c>
    </row>
    <row r="1683" spans="1:2" x14ac:dyDescent="0.25">
      <c r="A1683" s="15" t="str">
        <f t="shared" si="52"/>
        <v/>
      </c>
      <c r="B1683" s="18" t="str">
        <f t="shared" si="53"/>
        <v/>
      </c>
    </row>
    <row r="1684" spans="1:2" x14ac:dyDescent="0.25">
      <c r="A1684" s="15" t="str">
        <f t="shared" si="52"/>
        <v/>
      </c>
      <c r="B1684" s="18" t="str">
        <f t="shared" si="53"/>
        <v/>
      </c>
    </row>
    <row r="1685" spans="1:2" x14ac:dyDescent="0.25">
      <c r="A1685" s="15" t="str">
        <f t="shared" si="52"/>
        <v/>
      </c>
      <c r="B1685" s="18" t="str">
        <f t="shared" si="53"/>
        <v/>
      </c>
    </row>
    <row r="1686" spans="1:2" x14ac:dyDescent="0.25">
      <c r="A1686" s="15" t="str">
        <f t="shared" si="52"/>
        <v/>
      </c>
      <c r="B1686" s="18" t="str">
        <f t="shared" si="53"/>
        <v/>
      </c>
    </row>
    <row r="1687" spans="1:2" x14ac:dyDescent="0.25">
      <c r="A1687" s="15" t="str">
        <f t="shared" si="52"/>
        <v/>
      </c>
      <c r="B1687" s="18" t="str">
        <f t="shared" si="53"/>
        <v/>
      </c>
    </row>
    <row r="1688" spans="1:2" x14ac:dyDescent="0.25">
      <c r="A1688" s="15" t="str">
        <f t="shared" si="52"/>
        <v/>
      </c>
      <c r="B1688" s="18" t="str">
        <f t="shared" si="53"/>
        <v/>
      </c>
    </row>
    <row r="1689" spans="1:2" x14ac:dyDescent="0.25">
      <c r="A1689" s="15" t="str">
        <f t="shared" si="52"/>
        <v/>
      </c>
      <c r="B1689" s="18" t="str">
        <f t="shared" si="53"/>
        <v/>
      </c>
    </row>
    <row r="1690" spans="1:2" x14ac:dyDescent="0.25">
      <c r="A1690" s="15" t="str">
        <f t="shared" si="52"/>
        <v/>
      </c>
      <c r="B1690" s="18" t="str">
        <f t="shared" si="53"/>
        <v/>
      </c>
    </row>
    <row r="1691" spans="1:2" x14ac:dyDescent="0.25">
      <c r="A1691" s="15" t="str">
        <f t="shared" si="52"/>
        <v/>
      </c>
      <c r="B1691" s="18" t="str">
        <f t="shared" si="53"/>
        <v/>
      </c>
    </row>
    <row r="1692" spans="1:2" x14ac:dyDescent="0.25">
      <c r="A1692" s="15" t="str">
        <f t="shared" si="52"/>
        <v/>
      </c>
      <c r="B1692" s="18" t="str">
        <f t="shared" si="53"/>
        <v/>
      </c>
    </row>
    <row r="1693" spans="1:2" x14ac:dyDescent="0.25">
      <c r="A1693" s="15" t="str">
        <f t="shared" si="52"/>
        <v/>
      </c>
      <c r="B1693" s="18" t="str">
        <f t="shared" si="53"/>
        <v/>
      </c>
    </row>
    <row r="1694" spans="1:2" x14ac:dyDescent="0.25">
      <c r="A1694" s="15" t="str">
        <f t="shared" si="52"/>
        <v/>
      </c>
      <c r="B1694" s="18" t="str">
        <f t="shared" si="53"/>
        <v/>
      </c>
    </row>
    <row r="1695" spans="1:2" x14ac:dyDescent="0.25">
      <c r="A1695" s="15" t="str">
        <f t="shared" si="52"/>
        <v/>
      </c>
      <c r="B1695" s="18" t="str">
        <f t="shared" si="53"/>
        <v/>
      </c>
    </row>
    <row r="1696" spans="1:2" x14ac:dyDescent="0.25">
      <c r="A1696" s="15" t="str">
        <f t="shared" si="52"/>
        <v/>
      </c>
      <c r="B1696" s="18" t="str">
        <f t="shared" si="53"/>
        <v/>
      </c>
    </row>
    <row r="1697" spans="1:2" x14ac:dyDescent="0.25">
      <c r="A1697" s="15" t="str">
        <f t="shared" si="52"/>
        <v/>
      </c>
      <c r="B1697" s="18" t="str">
        <f t="shared" si="53"/>
        <v/>
      </c>
    </row>
    <row r="1698" spans="1:2" x14ac:dyDescent="0.25">
      <c r="A1698" s="15" t="str">
        <f t="shared" si="52"/>
        <v/>
      </c>
      <c r="B1698" s="18" t="str">
        <f t="shared" si="53"/>
        <v/>
      </c>
    </row>
    <row r="1699" spans="1:2" x14ac:dyDescent="0.25">
      <c r="A1699" s="15" t="str">
        <f t="shared" si="52"/>
        <v/>
      </c>
      <c r="B1699" s="18" t="str">
        <f t="shared" si="53"/>
        <v/>
      </c>
    </row>
    <row r="1700" spans="1:2" x14ac:dyDescent="0.25">
      <c r="A1700" s="15" t="str">
        <f t="shared" si="52"/>
        <v/>
      </c>
      <c r="B1700" s="18" t="str">
        <f t="shared" si="53"/>
        <v/>
      </c>
    </row>
    <row r="1701" spans="1:2" x14ac:dyDescent="0.25">
      <c r="A1701" s="15" t="str">
        <f t="shared" si="52"/>
        <v/>
      </c>
      <c r="B1701" s="18" t="str">
        <f t="shared" si="53"/>
        <v/>
      </c>
    </row>
    <row r="1702" spans="1:2" x14ac:dyDescent="0.25">
      <c r="A1702" s="15" t="str">
        <f t="shared" si="52"/>
        <v/>
      </c>
      <c r="B1702" s="18" t="str">
        <f t="shared" si="53"/>
        <v/>
      </c>
    </row>
    <row r="1703" spans="1:2" x14ac:dyDescent="0.25">
      <c r="A1703" s="15" t="str">
        <f t="shared" si="52"/>
        <v/>
      </c>
      <c r="B1703" s="18" t="str">
        <f t="shared" si="53"/>
        <v/>
      </c>
    </row>
    <row r="1704" spans="1:2" x14ac:dyDescent="0.25">
      <c r="A1704" s="15" t="str">
        <f t="shared" si="52"/>
        <v/>
      </c>
      <c r="B1704" s="18" t="str">
        <f t="shared" si="53"/>
        <v/>
      </c>
    </row>
    <row r="1705" spans="1:2" x14ac:dyDescent="0.25">
      <c r="A1705" s="15" t="str">
        <f t="shared" si="52"/>
        <v/>
      </c>
      <c r="B1705" s="18" t="str">
        <f t="shared" si="53"/>
        <v/>
      </c>
    </row>
    <row r="1706" spans="1:2" x14ac:dyDescent="0.25">
      <c r="A1706" s="15" t="str">
        <f t="shared" si="52"/>
        <v/>
      </c>
      <c r="B1706" s="18" t="str">
        <f t="shared" si="53"/>
        <v/>
      </c>
    </row>
    <row r="1707" spans="1:2" x14ac:dyDescent="0.25">
      <c r="A1707" s="15" t="str">
        <f t="shared" si="52"/>
        <v/>
      </c>
      <c r="B1707" s="18" t="str">
        <f t="shared" si="53"/>
        <v/>
      </c>
    </row>
    <row r="1708" spans="1:2" x14ac:dyDescent="0.25">
      <c r="A1708" s="15" t="str">
        <f t="shared" si="52"/>
        <v/>
      </c>
      <c r="B1708" s="18" t="str">
        <f t="shared" si="53"/>
        <v/>
      </c>
    </row>
    <row r="1709" spans="1:2" x14ac:dyDescent="0.25">
      <c r="A1709" s="15" t="str">
        <f t="shared" si="52"/>
        <v/>
      </c>
      <c r="B1709" s="18" t="str">
        <f t="shared" si="53"/>
        <v/>
      </c>
    </row>
    <row r="1710" spans="1:2" x14ac:dyDescent="0.25">
      <c r="A1710" s="15" t="str">
        <f t="shared" si="52"/>
        <v/>
      </c>
      <c r="B1710" s="18" t="str">
        <f t="shared" si="53"/>
        <v/>
      </c>
    </row>
    <row r="1711" spans="1:2" x14ac:dyDescent="0.25">
      <c r="A1711" s="15" t="str">
        <f t="shared" si="52"/>
        <v/>
      </c>
      <c r="B1711" s="18" t="str">
        <f t="shared" si="53"/>
        <v/>
      </c>
    </row>
    <row r="1712" spans="1:2" x14ac:dyDescent="0.25">
      <c r="A1712" s="15" t="str">
        <f t="shared" si="52"/>
        <v/>
      </c>
      <c r="B1712" s="18" t="str">
        <f t="shared" si="53"/>
        <v/>
      </c>
    </row>
    <row r="1713" spans="1:2" x14ac:dyDescent="0.25">
      <c r="A1713" s="15" t="str">
        <f t="shared" si="52"/>
        <v/>
      </c>
      <c r="B1713" s="18" t="str">
        <f t="shared" si="53"/>
        <v/>
      </c>
    </row>
    <row r="1714" spans="1:2" x14ac:dyDescent="0.25">
      <c r="A1714" s="15" t="str">
        <f t="shared" si="52"/>
        <v/>
      </c>
      <c r="B1714" s="18" t="str">
        <f t="shared" si="53"/>
        <v/>
      </c>
    </row>
    <row r="1715" spans="1:2" x14ac:dyDescent="0.25">
      <c r="A1715" s="15" t="str">
        <f t="shared" si="52"/>
        <v/>
      </c>
      <c r="B1715" s="18" t="str">
        <f t="shared" si="53"/>
        <v/>
      </c>
    </row>
    <row r="1716" spans="1:2" x14ac:dyDescent="0.25">
      <c r="A1716" s="15" t="str">
        <f t="shared" si="52"/>
        <v/>
      </c>
      <c r="B1716" s="18" t="str">
        <f t="shared" si="53"/>
        <v/>
      </c>
    </row>
    <row r="1717" spans="1:2" x14ac:dyDescent="0.25">
      <c r="A1717" s="15" t="str">
        <f t="shared" si="52"/>
        <v/>
      </c>
      <c r="B1717" s="18" t="str">
        <f t="shared" si="53"/>
        <v/>
      </c>
    </row>
    <row r="1718" spans="1:2" x14ac:dyDescent="0.25">
      <c r="A1718" s="15" t="str">
        <f t="shared" si="52"/>
        <v/>
      </c>
      <c r="B1718" s="18" t="str">
        <f t="shared" si="53"/>
        <v/>
      </c>
    </row>
    <row r="1719" spans="1:2" x14ac:dyDescent="0.25">
      <c r="A1719" s="15" t="str">
        <f t="shared" si="52"/>
        <v/>
      </c>
      <c r="B1719" s="18" t="str">
        <f t="shared" si="53"/>
        <v/>
      </c>
    </row>
    <row r="1720" spans="1:2" x14ac:dyDescent="0.25">
      <c r="A1720" s="15" t="str">
        <f t="shared" si="52"/>
        <v/>
      </c>
      <c r="B1720" s="18" t="str">
        <f t="shared" si="53"/>
        <v/>
      </c>
    </row>
    <row r="1721" spans="1:2" x14ac:dyDescent="0.25">
      <c r="A1721" s="15" t="str">
        <f t="shared" si="52"/>
        <v/>
      </c>
      <c r="B1721" s="18" t="str">
        <f t="shared" si="53"/>
        <v/>
      </c>
    </row>
    <row r="1722" spans="1:2" x14ac:dyDescent="0.25">
      <c r="A1722" s="15" t="str">
        <f t="shared" si="52"/>
        <v/>
      </c>
      <c r="B1722" s="18" t="str">
        <f t="shared" si="53"/>
        <v/>
      </c>
    </row>
    <row r="1723" spans="1:2" x14ac:dyDescent="0.25">
      <c r="A1723" s="15" t="str">
        <f t="shared" si="52"/>
        <v/>
      </c>
      <c r="B1723" s="18" t="str">
        <f t="shared" si="53"/>
        <v/>
      </c>
    </row>
    <row r="1724" spans="1:2" x14ac:dyDescent="0.25">
      <c r="A1724" s="15" t="str">
        <f t="shared" si="52"/>
        <v/>
      </c>
      <c r="B1724" s="18" t="str">
        <f t="shared" si="53"/>
        <v/>
      </c>
    </row>
    <row r="1725" spans="1:2" x14ac:dyDescent="0.25">
      <c r="A1725" s="15" t="str">
        <f t="shared" si="52"/>
        <v/>
      </c>
      <c r="B1725" s="18" t="str">
        <f t="shared" si="53"/>
        <v/>
      </c>
    </row>
    <row r="1726" spans="1:2" x14ac:dyDescent="0.25">
      <c r="A1726" s="15" t="str">
        <f t="shared" si="52"/>
        <v/>
      </c>
      <c r="B1726" s="18" t="str">
        <f t="shared" si="53"/>
        <v/>
      </c>
    </row>
    <row r="1727" spans="1:2" x14ac:dyDescent="0.25">
      <c r="A1727" s="15" t="str">
        <f t="shared" si="52"/>
        <v/>
      </c>
      <c r="B1727" s="18" t="str">
        <f t="shared" si="53"/>
        <v/>
      </c>
    </row>
    <row r="1728" spans="1:2" x14ac:dyDescent="0.25">
      <c r="A1728" s="15" t="str">
        <f t="shared" si="52"/>
        <v/>
      </c>
      <c r="B1728" s="18" t="str">
        <f t="shared" si="53"/>
        <v/>
      </c>
    </row>
    <row r="1729" spans="1:2" x14ac:dyDescent="0.25">
      <c r="A1729" s="15" t="str">
        <f t="shared" si="52"/>
        <v/>
      </c>
      <c r="B1729" s="18" t="str">
        <f t="shared" si="53"/>
        <v/>
      </c>
    </row>
    <row r="1730" spans="1:2" x14ac:dyDescent="0.25">
      <c r="A1730" s="15" t="str">
        <f t="shared" ref="A1730:A1793" si="54">B1730&amp;C1730</f>
        <v/>
      </c>
      <c r="B1730" s="18" t="str">
        <f t="shared" si="53"/>
        <v/>
      </c>
    </row>
    <row r="1731" spans="1:2" x14ac:dyDescent="0.25">
      <c r="A1731" s="15" t="str">
        <f t="shared" si="54"/>
        <v/>
      </c>
      <c r="B1731" s="18" t="str">
        <f t="shared" ref="B1731:B1794" si="55">IF(C1731="","",B1730)</f>
        <v/>
      </c>
    </row>
    <row r="1732" spans="1:2" x14ac:dyDescent="0.25">
      <c r="A1732" s="15" t="str">
        <f t="shared" si="54"/>
        <v/>
      </c>
      <c r="B1732" s="18" t="str">
        <f t="shared" si="55"/>
        <v/>
      </c>
    </row>
    <row r="1733" spans="1:2" x14ac:dyDescent="0.25">
      <c r="A1733" s="15" t="str">
        <f t="shared" si="54"/>
        <v/>
      </c>
      <c r="B1733" s="18" t="str">
        <f t="shared" si="55"/>
        <v/>
      </c>
    </row>
    <row r="1734" spans="1:2" x14ac:dyDescent="0.25">
      <c r="A1734" s="15" t="str">
        <f t="shared" si="54"/>
        <v/>
      </c>
      <c r="B1734" s="18" t="str">
        <f t="shared" si="55"/>
        <v/>
      </c>
    </row>
    <row r="1735" spans="1:2" x14ac:dyDescent="0.25">
      <c r="A1735" s="15" t="str">
        <f t="shared" si="54"/>
        <v/>
      </c>
      <c r="B1735" s="18" t="str">
        <f t="shared" si="55"/>
        <v/>
      </c>
    </row>
    <row r="1736" spans="1:2" x14ac:dyDescent="0.25">
      <c r="A1736" s="15" t="str">
        <f t="shared" si="54"/>
        <v/>
      </c>
      <c r="B1736" s="18" t="str">
        <f t="shared" si="55"/>
        <v/>
      </c>
    </row>
    <row r="1737" spans="1:2" x14ac:dyDescent="0.25">
      <c r="A1737" s="15" t="str">
        <f t="shared" si="54"/>
        <v/>
      </c>
      <c r="B1737" s="18" t="str">
        <f t="shared" si="55"/>
        <v/>
      </c>
    </row>
    <row r="1738" spans="1:2" x14ac:dyDescent="0.25">
      <c r="A1738" s="15" t="str">
        <f t="shared" si="54"/>
        <v/>
      </c>
      <c r="B1738" s="18" t="str">
        <f t="shared" si="55"/>
        <v/>
      </c>
    </row>
    <row r="1739" spans="1:2" x14ac:dyDescent="0.25">
      <c r="A1739" s="15" t="str">
        <f t="shared" si="54"/>
        <v/>
      </c>
      <c r="B1739" s="18" t="str">
        <f t="shared" si="55"/>
        <v/>
      </c>
    </row>
    <row r="1740" spans="1:2" x14ac:dyDescent="0.25">
      <c r="A1740" s="15" t="str">
        <f t="shared" si="54"/>
        <v/>
      </c>
      <c r="B1740" s="18" t="str">
        <f t="shared" si="55"/>
        <v/>
      </c>
    </row>
    <row r="1741" spans="1:2" x14ac:dyDescent="0.25">
      <c r="A1741" s="15" t="str">
        <f t="shared" si="54"/>
        <v/>
      </c>
      <c r="B1741" s="18" t="str">
        <f t="shared" si="55"/>
        <v/>
      </c>
    </row>
    <row r="1742" spans="1:2" x14ac:dyDescent="0.25">
      <c r="A1742" s="15" t="str">
        <f t="shared" si="54"/>
        <v/>
      </c>
      <c r="B1742" s="18" t="str">
        <f t="shared" si="55"/>
        <v/>
      </c>
    </row>
    <row r="1743" spans="1:2" x14ac:dyDescent="0.25">
      <c r="A1743" s="15" t="str">
        <f t="shared" si="54"/>
        <v/>
      </c>
      <c r="B1743" s="18" t="str">
        <f t="shared" si="55"/>
        <v/>
      </c>
    </row>
    <row r="1744" spans="1:2" x14ac:dyDescent="0.25">
      <c r="A1744" s="15" t="str">
        <f t="shared" si="54"/>
        <v/>
      </c>
      <c r="B1744" s="18" t="str">
        <f t="shared" si="55"/>
        <v/>
      </c>
    </row>
    <row r="1745" spans="1:2" x14ac:dyDescent="0.25">
      <c r="A1745" s="15" t="str">
        <f t="shared" si="54"/>
        <v/>
      </c>
      <c r="B1745" s="18" t="str">
        <f t="shared" si="55"/>
        <v/>
      </c>
    </row>
    <row r="1746" spans="1:2" x14ac:dyDescent="0.25">
      <c r="A1746" s="15" t="str">
        <f t="shared" si="54"/>
        <v/>
      </c>
      <c r="B1746" s="18" t="str">
        <f t="shared" si="55"/>
        <v/>
      </c>
    </row>
    <row r="1747" spans="1:2" x14ac:dyDescent="0.25">
      <c r="A1747" s="15" t="str">
        <f t="shared" si="54"/>
        <v/>
      </c>
      <c r="B1747" s="18" t="str">
        <f t="shared" si="55"/>
        <v/>
      </c>
    </row>
    <row r="1748" spans="1:2" x14ac:dyDescent="0.25">
      <c r="A1748" s="15" t="str">
        <f t="shared" si="54"/>
        <v/>
      </c>
      <c r="B1748" s="18" t="str">
        <f t="shared" si="55"/>
        <v/>
      </c>
    </row>
    <row r="1749" spans="1:2" x14ac:dyDescent="0.25">
      <c r="A1749" s="15" t="str">
        <f t="shared" si="54"/>
        <v/>
      </c>
      <c r="B1749" s="18" t="str">
        <f t="shared" si="55"/>
        <v/>
      </c>
    </row>
    <row r="1750" spans="1:2" x14ac:dyDescent="0.25">
      <c r="A1750" s="15" t="str">
        <f t="shared" si="54"/>
        <v/>
      </c>
      <c r="B1750" s="18" t="str">
        <f t="shared" si="55"/>
        <v/>
      </c>
    </row>
    <row r="1751" spans="1:2" x14ac:dyDescent="0.25">
      <c r="A1751" s="15" t="str">
        <f t="shared" si="54"/>
        <v/>
      </c>
      <c r="B1751" s="18" t="str">
        <f t="shared" si="55"/>
        <v/>
      </c>
    </row>
    <row r="1752" spans="1:2" x14ac:dyDescent="0.25">
      <c r="A1752" s="15" t="str">
        <f t="shared" si="54"/>
        <v/>
      </c>
      <c r="B1752" s="18" t="str">
        <f t="shared" si="55"/>
        <v/>
      </c>
    </row>
    <row r="1753" spans="1:2" x14ac:dyDescent="0.25">
      <c r="A1753" s="15" t="str">
        <f t="shared" si="54"/>
        <v/>
      </c>
      <c r="B1753" s="18" t="str">
        <f t="shared" si="55"/>
        <v/>
      </c>
    </row>
    <row r="1754" spans="1:2" x14ac:dyDescent="0.25">
      <c r="A1754" s="15" t="str">
        <f t="shared" si="54"/>
        <v/>
      </c>
      <c r="B1754" s="18" t="str">
        <f t="shared" si="55"/>
        <v/>
      </c>
    </row>
    <row r="1755" spans="1:2" x14ac:dyDescent="0.25">
      <c r="A1755" s="15" t="str">
        <f t="shared" si="54"/>
        <v/>
      </c>
      <c r="B1755" s="18" t="str">
        <f t="shared" si="55"/>
        <v/>
      </c>
    </row>
    <row r="1756" spans="1:2" x14ac:dyDescent="0.25">
      <c r="A1756" s="15" t="str">
        <f t="shared" si="54"/>
        <v/>
      </c>
      <c r="B1756" s="18" t="str">
        <f t="shared" si="55"/>
        <v/>
      </c>
    </row>
    <row r="1757" spans="1:2" x14ac:dyDescent="0.25">
      <c r="A1757" s="15" t="str">
        <f t="shared" si="54"/>
        <v/>
      </c>
      <c r="B1757" s="18" t="str">
        <f t="shared" si="55"/>
        <v/>
      </c>
    </row>
    <row r="1758" spans="1:2" x14ac:dyDescent="0.25">
      <c r="A1758" s="15" t="str">
        <f t="shared" si="54"/>
        <v/>
      </c>
      <c r="B1758" s="18" t="str">
        <f t="shared" si="55"/>
        <v/>
      </c>
    </row>
    <row r="1759" spans="1:2" x14ac:dyDescent="0.25">
      <c r="A1759" s="15" t="str">
        <f t="shared" si="54"/>
        <v/>
      </c>
      <c r="B1759" s="18" t="str">
        <f t="shared" si="55"/>
        <v/>
      </c>
    </row>
    <row r="1760" spans="1:2" x14ac:dyDescent="0.25">
      <c r="A1760" s="15" t="str">
        <f t="shared" si="54"/>
        <v/>
      </c>
      <c r="B1760" s="18" t="str">
        <f t="shared" si="55"/>
        <v/>
      </c>
    </row>
    <row r="1761" spans="1:2" x14ac:dyDescent="0.25">
      <c r="A1761" s="15" t="str">
        <f t="shared" si="54"/>
        <v/>
      </c>
      <c r="B1761" s="18" t="str">
        <f t="shared" si="55"/>
        <v/>
      </c>
    </row>
    <row r="1762" spans="1:2" x14ac:dyDescent="0.25">
      <c r="A1762" s="15" t="str">
        <f t="shared" si="54"/>
        <v/>
      </c>
      <c r="B1762" s="18" t="str">
        <f t="shared" si="55"/>
        <v/>
      </c>
    </row>
    <row r="1763" spans="1:2" x14ac:dyDescent="0.25">
      <c r="A1763" s="15" t="str">
        <f t="shared" si="54"/>
        <v/>
      </c>
      <c r="B1763" s="18" t="str">
        <f t="shared" si="55"/>
        <v/>
      </c>
    </row>
    <row r="1764" spans="1:2" x14ac:dyDescent="0.25">
      <c r="A1764" s="15" t="str">
        <f t="shared" si="54"/>
        <v/>
      </c>
      <c r="B1764" s="18" t="str">
        <f t="shared" si="55"/>
        <v/>
      </c>
    </row>
    <row r="1765" spans="1:2" x14ac:dyDescent="0.25">
      <c r="A1765" s="15" t="str">
        <f t="shared" si="54"/>
        <v/>
      </c>
      <c r="B1765" s="18" t="str">
        <f t="shared" si="55"/>
        <v/>
      </c>
    </row>
    <row r="1766" spans="1:2" x14ac:dyDescent="0.25">
      <c r="A1766" s="15" t="str">
        <f t="shared" si="54"/>
        <v/>
      </c>
      <c r="B1766" s="18" t="str">
        <f t="shared" si="55"/>
        <v/>
      </c>
    </row>
    <row r="1767" spans="1:2" x14ac:dyDescent="0.25">
      <c r="A1767" s="15" t="str">
        <f t="shared" si="54"/>
        <v/>
      </c>
      <c r="B1767" s="18" t="str">
        <f t="shared" si="55"/>
        <v/>
      </c>
    </row>
    <row r="1768" spans="1:2" x14ac:dyDescent="0.25">
      <c r="A1768" s="15" t="str">
        <f t="shared" si="54"/>
        <v/>
      </c>
      <c r="B1768" s="18" t="str">
        <f t="shared" si="55"/>
        <v/>
      </c>
    </row>
    <row r="1769" spans="1:2" x14ac:dyDescent="0.25">
      <c r="A1769" s="15" t="str">
        <f t="shared" si="54"/>
        <v/>
      </c>
      <c r="B1769" s="18" t="str">
        <f t="shared" si="55"/>
        <v/>
      </c>
    </row>
    <row r="1770" spans="1:2" x14ac:dyDescent="0.25">
      <c r="A1770" s="15" t="str">
        <f t="shared" si="54"/>
        <v/>
      </c>
      <c r="B1770" s="18" t="str">
        <f t="shared" si="55"/>
        <v/>
      </c>
    </row>
    <row r="1771" spans="1:2" x14ac:dyDescent="0.25">
      <c r="A1771" s="15" t="str">
        <f t="shared" si="54"/>
        <v/>
      </c>
      <c r="B1771" s="18" t="str">
        <f t="shared" si="55"/>
        <v/>
      </c>
    </row>
    <row r="1772" spans="1:2" x14ac:dyDescent="0.25">
      <c r="A1772" s="15" t="str">
        <f t="shared" si="54"/>
        <v/>
      </c>
      <c r="B1772" s="18" t="str">
        <f t="shared" si="55"/>
        <v/>
      </c>
    </row>
    <row r="1773" spans="1:2" x14ac:dyDescent="0.25">
      <c r="A1773" s="15" t="str">
        <f t="shared" si="54"/>
        <v/>
      </c>
      <c r="B1773" s="18" t="str">
        <f t="shared" si="55"/>
        <v/>
      </c>
    </row>
    <row r="1774" spans="1:2" x14ac:dyDescent="0.25">
      <c r="A1774" s="15" t="str">
        <f t="shared" si="54"/>
        <v/>
      </c>
      <c r="B1774" s="18" t="str">
        <f t="shared" si="55"/>
        <v/>
      </c>
    </row>
    <row r="1775" spans="1:2" x14ac:dyDescent="0.25">
      <c r="A1775" s="15" t="str">
        <f t="shared" si="54"/>
        <v/>
      </c>
      <c r="B1775" s="18" t="str">
        <f t="shared" si="55"/>
        <v/>
      </c>
    </row>
    <row r="1776" spans="1:2" x14ac:dyDescent="0.25">
      <c r="A1776" s="15" t="str">
        <f t="shared" si="54"/>
        <v/>
      </c>
      <c r="B1776" s="18" t="str">
        <f t="shared" si="55"/>
        <v/>
      </c>
    </row>
    <row r="1777" spans="1:2" x14ac:dyDescent="0.25">
      <c r="A1777" s="15" t="str">
        <f t="shared" si="54"/>
        <v/>
      </c>
      <c r="B1777" s="18" t="str">
        <f t="shared" si="55"/>
        <v/>
      </c>
    </row>
    <row r="1778" spans="1:2" x14ac:dyDescent="0.25">
      <c r="A1778" s="15" t="str">
        <f t="shared" si="54"/>
        <v/>
      </c>
      <c r="B1778" s="18" t="str">
        <f t="shared" si="55"/>
        <v/>
      </c>
    </row>
    <row r="1779" spans="1:2" x14ac:dyDescent="0.25">
      <c r="A1779" s="15" t="str">
        <f t="shared" si="54"/>
        <v/>
      </c>
      <c r="B1779" s="18" t="str">
        <f t="shared" si="55"/>
        <v/>
      </c>
    </row>
    <row r="1780" spans="1:2" x14ac:dyDescent="0.25">
      <c r="A1780" s="15" t="str">
        <f t="shared" si="54"/>
        <v/>
      </c>
      <c r="B1780" s="18" t="str">
        <f t="shared" si="55"/>
        <v/>
      </c>
    </row>
    <row r="1781" spans="1:2" x14ac:dyDescent="0.25">
      <c r="A1781" s="15" t="str">
        <f t="shared" si="54"/>
        <v/>
      </c>
      <c r="B1781" s="18" t="str">
        <f t="shared" si="55"/>
        <v/>
      </c>
    </row>
    <row r="1782" spans="1:2" x14ac:dyDescent="0.25">
      <c r="A1782" s="15" t="str">
        <f t="shared" si="54"/>
        <v/>
      </c>
      <c r="B1782" s="18" t="str">
        <f t="shared" si="55"/>
        <v/>
      </c>
    </row>
    <row r="1783" spans="1:2" x14ac:dyDescent="0.25">
      <c r="A1783" s="15" t="str">
        <f t="shared" si="54"/>
        <v/>
      </c>
      <c r="B1783" s="18" t="str">
        <f t="shared" si="55"/>
        <v/>
      </c>
    </row>
    <row r="1784" spans="1:2" x14ac:dyDescent="0.25">
      <c r="A1784" s="15" t="str">
        <f t="shared" si="54"/>
        <v/>
      </c>
      <c r="B1784" s="18" t="str">
        <f t="shared" si="55"/>
        <v/>
      </c>
    </row>
    <row r="1785" spans="1:2" x14ac:dyDescent="0.25">
      <c r="A1785" s="15" t="str">
        <f t="shared" si="54"/>
        <v/>
      </c>
      <c r="B1785" s="18" t="str">
        <f t="shared" si="55"/>
        <v/>
      </c>
    </row>
    <row r="1786" spans="1:2" x14ac:dyDescent="0.25">
      <c r="A1786" s="15" t="str">
        <f t="shared" si="54"/>
        <v/>
      </c>
      <c r="B1786" s="18" t="str">
        <f t="shared" si="55"/>
        <v/>
      </c>
    </row>
    <row r="1787" spans="1:2" x14ac:dyDescent="0.25">
      <c r="A1787" s="15" t="str">
        <f t="shared" si="54"/>
        <v/>
      </c>
      <c r="B1787" s="18" t="str">
        <f t="shared" si="55"/>
        <v/>
      </c>
    </row>
    <row r="1788" spans="1:2" x14ac:dyDescent="0.25">
      <c r="A1788" s="15" t="str">
        <f t="shared" si="54"/>
        <v/>
      </c>
      <c r="B1788" s="18" t="str">
        <f t="shared" si="55"/>
        <v/>
      </c>
    </row>
    <row r="1789" spans="1:2" x14ac:dyDescent="0.25">
      <c r="A1789" s="15" t="str">
        <f t="shared" si="54"/>
        <v/>
      </c>
      <c r="B1789" s="18" t="str">
        <f t="shared" si="55"/>
        <v/>
      </c>
    </row>
    <row r="1790" spans="1:2" x14ac:dyDescent="0.25">
      <c r="A1790" s="15" t="str">
        <f t="shared" si="54"/>
        <v/>
      </c>
      <c r="B1790" s="18" t="str">
        <f t="shared" si="55"/>
        <v/>
      </c>
    </row>
    <row r="1791" spans="1:2" x14ac:dyDescent="0.25">
      <c r="A1791" s="15" t="str">
        <f t="shared" si="54"/>
        <v/>
      </c>
      <c r="B1791" s="18" t="str">
        <f t="shared" si="55"/>
        <v/>
      </c>
    </row>
    <row r="1792" spans="1:2" x14ac:dyDescent="0.25">
      <c r="A1792" s="15" t="str">
        <f t="shared" si="54"/>
        <v/>
      </c>
      <c r="B1792" s="18" t="str">
        <f t="shared" si="55"/>
        <v/>
      </c>
    </row>
    <row r="1793" spans="1:2" x14ac:dyDescent="0.25">
      <c r="A1793" s="15" t="str">
        <f t="shared" si="54"/>
        <v/>
      </c>
      <c r="B1793" s="18" t="str">
        <f t="shared" si="55"/>
        <v/>
      </c>
    </row>
    <row r="1794" spans="1:2" x14ac:dyDescent="0.25">
      <c r="A1794" s="15" t="str">
        <f t="shared" ref="A1794:A1857" si="56">B1794&amp;C1794</f>
        <v/>
      </c>
      <c r="B1794" s="18" t="str">
        <f t="shared" si="55"/>
        <v/>
      </c>
    </row>
    <row r="1795" spans="1:2" x14ac:dyDescent="0.25">
      <c r="A1795" s="15" t="str">
        <f t="shared" si="56"/>
        <v/>
      </c>
      <c r="B1795" s="18" t="str">
        <f t="shared" ref="B1795:B1858" si="57">IF(C1795="","",B1794)</f>
        <v/>
      </c>
    </row>
    <row r="1796" spans="1:2" x14ac:dyDescent="0.25">
      <c r="A1796" s="15" t="str">
        <f t="shared" si="56"/>
        <v/>
      </c>
      <c r="B1796" s="18" t="str">
        <f t="shared" si="57"/>
        <v/>
      </c>
    </row>
    <row r="1797" spans="1:2" x14ac:dyDescent="0.25">
      <c r="A1797" s="15" t="str">
        <f t="shared" si="56"/>
        <v/>
      </c>
      <c r="B1797" s="18" t="str">
        <f t="shared" si="57"/>
        <v/>
      </c>
    </row>
    <row r="1798" spans="1:2" x14ac:dyDescent="0.25">
      <c r="A1798" s="15" t="str">
        <f t="shared" si="56"/>
        <v/>
      </c>
      <c r="B1798" s="18" t="str">
        <f t="shared" si="57"/>
        <v/>
      </c>
    </row>
    <row r="1799" spans="1:2" x14ac:dyDescent="0.25">
      <c r="A1799" s="15" t="str">
        <f t="shared" si="56"/>
        <v/>
      </c>
      <c r="B1799" s="18" t="str">
        <f t="shared" si="57"/>
        <v/>
      </c>
    </row>
    <row r="1800" spans="1:2" x14ac:dyDescent="0.25">
      <c r="A1800" s="15" t="str">
        <f t="shared" si="56"/>
        <v/>
      </c>
      <c r="B1800" s="18" t="str">
        <f t="shared" si="57"/>
        <v/>
      </c>
    </row>
    <row r="1801" spans="1:2" x14ac:dyDescent="0.25">
      <c r="A1801" s="15" t="str">
        <f t="shared" si="56"/>
        <v/>
      </c>
      <c r="B1801" s="18" t="str">
        <f t="shared" si="57"/>
        <v/>
      </c>
    </row>
    <row r="1802" spans="1:2" x14ac:dyDescent="0.25">
      <c r="A1802" s="15" t="str">
        <f t="shared" si="56"/>
        <v/>
      </c>
      <c r="B1802" s="18" t="str">
        <f t="shared" si="57"/>
        <v/>
      </c>
    </row>
    <row r="1803" spans="1:2" x14ac:dyDescent="0.25">
      <c r="A1803" s="15" t="str">
        <f t="shared" si="56"/>
        <v/>
      </c>
      <c r="B1803" s="18" t="str">
        <f t="shared" si="57"/>
        <v/>
      </c>
    </row>
    <row r="1804" spans="1:2" x14ac:dyDescent="0.25">
      <c r="A1804" s="15" t="str">
        <f t="shared" si="56"/>
        <v/>
      </c>
      <c r="B1804" s="18" t="str">
        <f t="shared" si="57"/>
        <v/>
      </c>
    </row>
    <row r="1805" spans="1:2" x14ac:dyDescent="0.25">
      <c r="A1805" s="15" t="str">
        <f t="shared" si="56"/>
        <v/>
      </c>
      <c r="B1805" s="18" t="str">
        <f t="shared" si="57"/>
        <v/>
      </c>
    </row>
    <row r="1806" spans="1:2" x14ac:dyDescent="0.25">
      <c r="A1806" s="15" t="str">
        <f t="shared" si="56"/>
        <v/>
      </c>
      <c r="B1806" s="18" t="str">
        <f t="shared" si="57"/>
        <v/>
      </c>
    </row>
    <row r="1807" spans="1:2" x14ac:dyDescent="0.25">
      <c r="A1807" s="15" t="str">
        <f t="shared" si="56"/>
        <v/>
      </c>
      <c r="B1807" s="18" t="str">
        <f t="shared" si="57"/>
        <v/>
      </c>
    </row>
    <row r="1808" spans="1:2" x14ac:dyDescent="0.25">
      <c r="A1808" s="15" t="str">
        <f t="shared" si="56"/>
        <v/>
      </c>
      <c r="B1808" s="18" t="str">
        <f t="shared" si="57"/>
        <v/>
      </c>
    </row>
    <row r="1809" spans="1:2" x14ac:dyDescent="0.25">
      <c r="A1809" s="15" t="str">
        <f t="shared" si="56"/>
        <v/>
      </c>
      <c r="B1809" s="18" t="str">
        <f t="shared" si="57"/>
        <v/>
      </c>
    </row>
    <row r="1810" spans="1:2" x14ac:dyDescent="0.25">
      <c r="A1810" s="15" t="str">
        <f t="shared" si="56"/>
        <v/>
      </c>
      <c r="B1810" s="18" t="str">
        <f t="shared" si="57"/>
        <v/>
      </c>
    </row>
    <row r="1811" spans="1:2" x14ac:dyDescent="0.25">
      <c r="A1811" s="15" t="str">
        <f t="shared" si="56"/>
        <v/>
      </c>
      <c r="B1811" s="18" t="str">
        <f t="shared" si="57"/>
        <v/>
      </c>
    </row>
    <row r="1812" spans="1:2" x14ac:dyDescent="0.25">
      <c r="A1812" s="15" t="str">
        <f t="shared" si="56"/>
        <v/>
      </c>
      <c r="B1812" s="18" t="str">
        <f t="shared" si="57"/>
        <v/>
      </c>
    </row>
    <row r="1813" spans="1:2" x14ac:dyDescent="0.25">
      <c r="A1813" s="15" t="str">
        <f t="shared" si="56"/>
        <v/>
      </c>
      <c r="B1813" s="18" t="str">
        <f t="shared" si="57"/>
        <v/>
      </c>
    </row>
    <row r="1814" spans="1:2" x14ac:dyDescent="0.25">
      <c r="A1814" s="15" t="str">
        <f t="shared" si="56"/>
        <v/>
      </c>
      <c r="B1814" s="18" t="str">
        <f t="shared" si="57"/>
        <v/>
      </c>
    </row>
    <row r="1815" spans="1:2" x14ac:dyDescent="0.25">
      <c r="A1815" s="15" t="str">
        <f t="shared" si="56"/>
        <v/>
      </c>
      <c r="B1815" s="18" t="str">
        <f t="shared" si="57"/>
        <v/>
      </c>
    </row>
    <row r="1816" spans="1:2" x14ac:dyDescent="0.25">
      <c r="A1816" s="15" t="str">
        <f t="shared" si="56"/>
        <v/>
      </c>
      <c r="B1816" s="18" t="str">
        <f t="shared" si="57"/>
        <v/>
      </c>
    </row>
    <row r="1817" spans="1:2" x14ac:dyDescent="0.25">
      <c r="A1817" s="15" t="str">
        <f t="shared" si="56"/>
        <v/>
      </c>
      <c r="B1817" s="18" t="str">
        <f t="shared" si="57"/>
        <v/>
      </c>
    </row>
    <row r="1818" spans="1:2" x14ac:dyDescent="0.25">
      <c r="A1818" s="15" t="str">
        <f t="shared" si="56"/>
        <v/>
      </c>
      <c r="B1818" s="18" t="str">
        <f t="shared" si="57"/>
        <v/>
      </c>
    </row>
    <row r="1819" spans="1:2" x14ac:dyDescent="0.25">
      <c r="A1819" s="15" t="str">
        <f t="shared" si="56"/>
        <v/>
      </c>
      <c r="B1819" s="18" t="str">
        <f t="shared" si="57"/>
        <v/>
      </c>
    </row>
    <row r="1820" spans="1:2" x14ac:dyDescent="0.25">
      <c r="A1820" s="15" t="str">
        <f t="shared" si="56"/>
        <v/>
      </c>
      <c r="B1820" s="18" t="str">
        <f t="shared" si="57"/>
        <v/>
      </c>
    </row>
    <row r="1821" spans="1:2" x14ac:dyDescent="0.25">
      <c r="A1821" s="15" t="str">
        <f t="shared" si="56"/>
        <v/>
      </c>
      <c r="B1821" s="18" t="str">
        <f t="shared" si="57"/>
        <v/>
      </c>
    </row>
    <row r="1822" spans="1:2" x14ac:dyDescent="0.25">
      <c r="A1822" s="15" t="str">
        <f t="shared" si="56"/>
        <v/>
      </c>
      <c r="B1822" s="18" t="str">
        <f t="shared" si="57"/>
        <v/>
      </c>
    </row>
    <row r="1823" spans="1:2" x14ac:dyDescent="0.25">
      <c r="A1823" s="15" t="str">
        <f t="shared" si="56"/>
        <v/>
      </c>
      <c r="B1823" s="18" t="str">
        <f t="shared" si="57"/>
        <v/>
      </c>
    </row>
    <row r="1824" spans="1:2" x14ac:dyDescent="0.25">
      <c r="A1824" s="15" t="str">
        <f t="shared" si="56"/>
        <v/>
      </c>
      <c r="B1824" s="18" t="str">
        <f t="shared" si="57"/>
        <v/>
      </c>
    </row>
    <row r="1825" spans="1:2" x14ac:dyDescent="0.25">
      <c r="A1825" s="15" t="str">
        <f t="shared" si="56"/>
        <v/>
      </c>
      <c r="B1825" s="18" t="str">
        <f t="shared" si="57"/>
        <v/>
      </c>
    </row>
    <row r="1826" spans="1:2" x14ac:dyDescent="0.25">
      <c r="A1826" s="15" t="str">
        <f t="shared" si="56"/>
        <v/>
      </c>
      <c r="B1826" s="18" t="str">
        <f t="shared" si="57"/>
        <v/>
      </c>
    </row>
    <row r="1827" spans="1:2" x14ac:dyDescent="0.25">
      <c r="A1827" s="15" t="str">
        <f t="shared" si="56"/>
        <v/>
      </c>
      <c r="B1827" s="18" t="str">
        <f t="shared" si="57"/>
        <v/>
      </c>
    </row>
    <row r="1828" spans="1:2" x14ac:dyDescent="0.25">
      <c r="A1828" s="15" t="str">
        <f t="shared" si="56"/>
        <v/>
      </c>
      <c r="B1828" s="18" t="str">
        <f t="shared" si="57"/>
        <v/>
      </c>
    </row>
    <row r="1829" spans="1:2" x14ac:dyDescent="0.25">
      <c r="A1829" s="15" t="str">
        <f t="shared" si="56"/>
        <v/>
      </c>
      <c r="B1829" s="18" t="str">
        <f t="shared" si="57"/>
        <v/>
      </c>
    </row>
    <row r="1830" spans="1:2" x14ac:dyDescent="0.25">
      <c r="A1830" s="15" t="str">
        <f t="shared" si="56"/>
        <v/>
      </c>
      <c r="B1830" s="18" t="str">
        <f t="shared" si="57"/>
        <v/>
      </c>
    </row>
    <row r="1831" spans="1:2" x14ac:dyDescent="0.25">
      <c r="A1831" s="15" t="str">
        <f t="shared" si="56"/>
        <v/>
      </c>
      <c r="B1831" s="18" t="str">
        <f t="shared" si="57"/>
        <v/>
      </c>
    </row>
    <row r="1832" spans="1:2" x14ac:dyDescent="0.25">
      <c r="A1832" s="15" t="str">
        <f t="shared" si="56"/>
        <v/>
      </c>
      <c r="B1832" s="18" t="str">
        <f t="shared" si="57"/>
        <v/>
      </c>
    </row>
    <row r="1833" spans="1:2" x14ac:dyDescent="0.25">
      <c r="A1833" s="15" t="str">
        <f t="shared" si="56"/>
        <v/>
      </c>
      <c r="B1833" s="18" t="str">
        <f t="shared" si="57"/>
        <v/>
      </c>
    </row>
    <row r="1834" spans="1:2" x14ac:dyDescent="0.25">
      <c r="A1834" s="15" t="str">
        <f t="shared" si="56"/>
        <v/>
      </c>
      <c r="B1834" s="18" t="str">
        <f t="shared" si="57"/>
        <v/>
      </c>
    </row>
    <row r="1835" spans="1:2" x14ac:dyDescent="0.25">
      <c r="A1835" s="15" t="str">
        <f t="shared" si="56"/>
        <v/>
      </c>
      <c r="B1835" s="18" t="str">
        <f t="shared" si="57"/>
        <v/>
      </c>
    </row>
    <row r="1836" spans="1:2" x14ac:dyDescent="0.25">
      <c r="A1836" s="15" t="str">
        <f t="shared" si="56"/>
        <v/>
      </c>
      <c r="B1836" s="18" t="str">
        <f t="shared" si="57"/>
        <v/>
      </c>
    </row>
    <row r="1837" spans="1:2" x14ac:dyDescent="0.25">
      <c r="A1837" s="15" t="str">
        <f t="shared" si="56"/>
        <v/>
      </c>
      <c r="B1837" s="18" t="str">
        <f t="shared" si="57"/>
        <v/>
      </c>
    </row>
    <row r="1838" spans="1:2" x14ac:dyDescent="0.25">
      <c r="A1838" s="15" t="str">
        <f t="shared" si="56"/>
        <v/>
      </c>
      <c r="B1838" s="18" t="str">
        <f t="shared" si="57"/>
        <v/>
      </c>
    </row>
    <row r="1839" spans="1:2" x14ac:dyDescent="0.25">
      <c r="A1839" s="15" t="str">
        <f t="shared" si="56"/>
        <v/>
      </c>
      <c r="B1839" s="18" t="str">
        <f t="shared" si="57"/>
        <v/>
      </c>
    </row>
    <row r="1840" spans="1:2" x14ac:dyDescent="0.25">
      <c r="A1840" s="15" t="str">
        <f t="shared" si="56"/>
        <v/>
      </c>
      <c r="B1840" s="18" t="str">
        <f t="shared" si="57"/>
        <v/>
      </c>
    </row>
    <row r="1841" spans="1:2" x14ac:dyDescent="0.25">
      <c r="A1841" s="15" t="str">
        <f t="shared" si="56"/>
        <v/>
      </c>
      <c r="B1841" s="18" t="str">
        <f t="shared" si="57"/>
        <v/>
      </c>
    </row>
    <row r="1842" spans="1:2" x14ac:dyDescent="0.25">
      <c r="A1842" s="15" t="str">
        <f t="shared" si="56"/>
        <v/>
      </c>
      <c r="B1842" s="18" t="str">
        <f t="shared" si="57"/>
        <v/>
      </c>
    </row>
    <row r="1843" spans="1:2" x14ac:dyDescent="0.25">
      <c r="A1843" s="15" t="str">
        <f t="shared" si="56"/>
        <v/>
      </c>
      <c r="B1843" s="18" t="str">
        <f t="shared" si="57"/>
        <v/>
      </c>
    </row>
    <row r="1844" spans="1:2" x14ac:dyDescent="0.25">
      <c r="A1844" s="15" t="str">
        <f t="shared" si="56"/>
        <v/>
      </c>
      <c r="B1844" s="18" t="str">
        <f t="shared" si="57"/>
        <v/>
      </c>
    </row>
    <row r="1845" spans="1:2" x14ac:dyDescent="0.25">
      <c r="A1845" s="15" t="str">
        <f t="shared" si="56"/>
        <v/>
      </c>
      <c r="B1845" s="18" t="str">
        <f t="shared" si="57"/>
        <v/>
      </c>
    </row>
    <row r="1846" spans="1:2" x14ac:dyDescent="0.25">
      <c r="A1846" s="15" t="str">
        <f t="shared" si="56"/>
        <v/>
      </c>
      <c r="B1846" s="18" t="str">
        <f t="shared" si="57"/>
        <v/>
      </c>
    </row>
    <row r="1847" spans="1:2" x14ac:dyDescent="0.25">
      <c r="A1847" s="15" t="str">
        <f t="shared" si="56"/>
        <v/>
      </c>
      <c r="B1847" s="18" t="str">
        <f t="shared" si="57"/>
        <v/>
      </c>
    </row>
    <row r="1848" spans="1:2" x14ac:dyDescent="0.25">
      <c r="A1848" s="15" t="str">
        <f t="shared" si="56"/>
        <v/>
      </c>
      <c r="B1848" s="18" t="str">
        <f t="shared" si="57"/>
        <v/>
      </c>
    </row>
    <row r="1849" spans="1:2" x14ac:dyDescent="0.25">
      <c r="A1849" s="15" t="str">
        <f t="shared" si="56"/>
        <v/>
      </c>
      <c r="B1849" s="18" t="str">
        <f t="shared" si="57"/>
        <v/>
      </c>
    </row>
    <row r="1850" spans="1:2" x14ac:dyDescent="0.25">
      <c r="A1850" s="15" t="str">
        <f t="shared" si="56"/>
        <v/>
      </c>
      <c r="B1850" s="18" t="str">
        <f t="shared" si="57"/>
        <v/>
      </c>
    </row>
    <row r="1851" spans="1:2" x14ac:dyDescent="0.25">
      <c r="A1851" s="15" t="str">
        <f t="shared" si="56"/>
        <v/>
      </c>
      <c r="B1851" s="18" t="str">
        <f t="shared" si="57"/>
        <v/>
      </c>
    </row>
    <row r="1852" spans="1:2" x14ac:dyDescent="0.25">
      <c r="A1852" s="15" t="str">
        <f t="shared" si="56"/>
        <v/>
      </c>
      <c r="B1852" s="18" t="str">
        <f t="shared" si="57"/>
        <v/>
      </c>
    </row>
    <row r="1853" spans="1:2" x14ac:dyDescent="0.25">
      <c r="A1853" s="15" t="str">
        <f t="shared" si="56"/>
        <v/>
      </c>
      <c r="B1853" s="18" t="str">
        <f t="shared" si="57"/>
        <v/>
      </c>
    </row>
    <row r="1854" spans="1:2" x14ac:dyDescent="0.25">
      <c r="A1854" s="15" t="str">
        <f t="shared" si="56"/>
        <v/>
      </c>
      <c r="B1854" s="18" t="str">
        <f t="shared" si="57"/>
        <v/>
      </c>
    </row>
    <row r="1855" spans="1:2" x14ac:dyDescent="0.25">
      <c r="A1855" s="15" t="str">
        <f t="shared" si="56"/>
        <v/>
      </c>
      <c r="B1855" s="18" t="str">
        <f t="shared" si="57"/>
        <v/>
      </c>
    </row>
    <row r="1856" spans="1:2" x14ac:dyDescent="0.25">
      <c r="A1856" s="15" t="str">
        <f t="shared" si="56"/>
        <v/>
      </c>
      <c r="B1856" s="18" t="str">
        <f t="shared" si="57"/>
        <v/>
      </c>
    </row>
    <row r="1857" spans="1:2" x14ac:dyDescent="0.25">
      <c r="A1857" s="15" t="str">
        <f t="shared" si="56"/>
        <v/>
      </c>
      <c r="B1857" s="18" t="str">
        <f t="shared" si="57"/>
        <v/>
      </c>
    </row>
    <row r="1858" spans="1:2" x14ac:dyDescent="0.25">
      <c r="A1858" s="15" t="str">
        <f t="shared" ref="A1858:A1921" si="58">B1858&amp;C1858</f>
        <v/>
      </c>
      <c r="B1858" s="18" t="str">
        <f t="shared" si="57"/>
        <v/>
      </c>
    </row>
    <row r="1859" spans="1:2" x14ac:dyDescent="0.25">
      <c r="A1859" s="15" t="str">
        <f t="shared" si="58"/>
        <v/>
      </c>
      <c r="B1859" s="18" t="str">
        <f t="shared" ref="B1859:B1922" si="59">IF(C1859="","",B1858)</f>
        <v/>
      </c>
    </row>
    <row r="1860" spans="1:2" x14ac:dyDescent="0.25">
      <c r="A1860" s="15" t="str">
        <f t="shared" si="58"/>
        <v/>
      </c>
      <c r="B1860" s="18" t="str">
        <f t="shared" si="59"/>
        <v/>
      </c>
    </row>
    <row r="1861" spans="1:2" x14ac:dyDescent="0.25">
      <c r="A1861" s="15" t="str">
        <f t="shared" si="58"/>
        <v/>
      </c>
      <c r="B1861" s="18" t="str">
        <f t="shared" si="59"/>
        <v/>
      </c>
    </row>
    <row r="1862" spans="1:2" x14ac:dyDescent="0.25">
      <c r="A1862" s="15" t="str">
        <f t="shared" si="58"/>
        <v/>
      </c>
      <c r="B1862" s="18" t="str">
        <f t="shared" si="59"/>
        <v/>
      </c>
    </row>
    <row r="1863" spans="1:2" x14ac:dyDescent="0.25">
      <c r="A1863" s="15" t="str">
        <f t="shared" si="58"/>
        <v/>
      </c>
      <c r="B1863" s="18" t="str">
        <f t="shared" si="59"/>
        <v/>
      </c>
    </row>
    <row r="1864" spans="1:2" x14ac:dyDescent="0.25">
      <c r="A1864" s="15" t="str">
        <f t="shared" si="58"/>
        <v/>
      </c>
      <c r="B1864" s="18" t="str">
        <f t="shared" si="59"/>
        <v/>
      </c>
    </row>
    <row r="1865" spans="1:2" x14ac:dyDescent="0.25">
      <c r="A1865" s="15" t="str">
        <f t="shared" si="58"/>
        <v/>
      </c>
      <c r="B1865" s="18" t="str">
        <f t="shared" si="59"/>
        <v/>
      </c>
    </row>
    <row r="1866" spans="1:2" x14ac:dyDescent="0.25">
      <c r="A1866" s="15" t="str">
        <f t="shared" si="58"/>
        <v/>
      </c>
      <c r="B1866" s="18" t="str">
        <f t="shared" si="59"/>
        <v/>
      </c>
    </row>
    <row r="1867" spans="1:2" x14ac:dyDescent="0.25">
      <c r="A1867" s="15" t="str">
        <f t="shared" si="58"/>
        <v/>
      </c>
      <c r="B1867" s="18" t="str">
        <f t="shared" si="59"/>
        <v/>
      </c>
    </row>
    <row r="1868" spans="1:2" x14ac:dyDescent="0.25">
      <c r="A1868" s="15" t="str">
        <f t="shared" si="58"/>
        <v/>
      </c>
      <c r="B1868" s="18" t="str">
        <f t="shared" si="59"/>
        <v/>
      </c>
    </row>
    <row r="1869" spans="1:2" x14ac:dyDescent="0.25">
      <c r="A1869" s="15" t="str">
        <f t="shared" si="58"/>
        <v/>
      </c>
      <c r="B1869" s="18" t="str">
        <f t="shared" si="59"/>
        <v/>
      </c>
    </row>
    <row r="1870" spans="1:2" x14ac:dyDescent="0.25">
      <c r="A1870" s="15" t="str">
        <f t="shared" si="58"/>
        <v/>
      </c>
      <c r="B1870" s="18" t="str">
        <f t="shared" si="59"/>
        <v/>
      </c>
    </row>
    <row r="1871" spans="1:2" x14ac:dyDescent="0.25">
      <c r="A1871" s="15" t="str">
        <f t="shared" si="58"/>
        <v/>
      </c>
      <c r="B1871" s="18" t="str">
        <f t="shared" si="59"/>
        <v/>
      </c>
    </row>
    <row r="1872" spans="1:2" x14ac:dyDescent="0.25">
      <c r="A1872" s="15" t="str">
        <f t="shared" si="58"/>
        <v/>
      </c>
      <c r="B1872" s="18" t="str">
        <f t="shared" si="59"/>
        <v/>
      </c>
    </row>
    <row r="1873" spans="1:2" x14ac:dyDescent="0.25">
      <c r="A1873" s="15" t="str">
        <f t="shared" si="58"/>
        <v/>
      </c>
      <c r="B1873" s="18" t="str">
        <f t="shared" si="59"/>
        <v/>
      </c>
    </row>
    <row r="1874" spans="1:2" x14ac:dyDescent="0.25">
      <c r="A1874" s="15" t="str">
        <f t="shared" si="58"/>
        <v/>
      </c>
      <c r="B1874" s="18" t="str">
        <f t="shared" si="59"/>
        <v/>
      </c>
    </row>
    <row r="1875" spans="1:2" x14ac:dyDescent="0.25">
      <c r="A1875" s="15" t="str">
        <f t="shared" si="58"/>
        <v/>
      </c>
      <c r="B1875" s="18" t="str">
        <f t="shared" si="59"/>
        <v/>
      </c>
    </row>
    <row r="1876" spans="1:2" x14ac:dyDescent="0.25">
      <c r="A1876" s="15" t="str">
        <f t="shared" si="58"/>
        <v/>
      </c>
      <c r="B1876" s="18" t="str">
        <f t="shared" si="59"/>
        <v/>
      </c>
    </row>
    <row r="1877" spans="1:2" x14ac:dyDescent="0.25">
      <c r="A1877" s="15" t="str">
        <f t="shared" si="58"/>
        <v/>
      </c>
      <c r="B1877" s="18" t="str">
        <f t="shared" si="59"/>
        <v/>
      </c>
    </row>
    <row r="1878" spans="1:2" x14ac:dyDescent="0.25">
      <c r="A1878" s="15" t="str">
        <f t="shared" si="58"/>
        <v/>
      </c>
      <c r="B1878" s="18" t="str">
        <f t="shared" si="59"/>
        <v/>
      </c>
    </row>
    <row r="1879" spans="1:2" x14ac:dyDescent="0.25">
      <c r="A1879" s="15" t="str">
        <f t="shared" si="58"/>
        <v/>
      </c>
      <c r="B1879" s="18" t="str">
        <f t="shared" si="59"/>
        <v/>
      </c>
    </row>
    <row r="1880" spans="1:2" x14ac:dyDescent="0.25">
      <c r="A1880" s="15" t="str">
        <f t="shared" si="58"/>
        <v/>
      </c>
      <c r="B1880" s="18" t="str">
        <f t="shared" si="59"/>
        <v/>
      </c>
    </row>
    <row r="1881" spans="1:2" x14ac:dyDescent="0.25">
      <c r="A1881" s="15" t="str">
        <f t="shared" si="58"/>
        <v/>
      </c>
      <c r="B1881" s="18" t="str">
        <f t="shared" si="59"/>
        <v/>
      </c>
    </row>
    <row r="1882" spans="1:2" x14ac:dyDescent="0.25">
      <c r="A1882" s="15" t="str">
        <f t="shared" si="58"/>
        <v/>
      </c>
      <c r="B1882" s="18" t="str">
        <f t="shared" si="59"/>
        <v/>
      </c>
    </row>
    <row r="1883" spans="1:2" x14ac:dyDescent="0.25">
      <c r="A1883" s="15" t="str">
        <f t="shared" si="58"/>
        <v/>
      </c>
      <c r="B1883" s="18" t="str">
        <f t="shared" si="59"/>
        <v/>
      </c>
    </row>
    <row r="1884" spans="1:2" x14ac:dyDescent="0.25">
      <c r="A1884" s="15" t="str">
        <f t="shared" si="58"/>
        <v/>
      </c>
      <c r="B1884" s="18" t="str">
        <f t="shared" si="59"/>
        <v/>
      </c>
    </row>
    <row r="1885" spans="1:2" x14ac:dyDescent="0.25">
      <c r="A1885" s="15" t="str">
        <f t="shared" si="58"/>
        <v/>
      </c>
      <c r="B1885" s="18" t="str">
        <f t="shared" si="59"/>
        <v/>
      </c>
    </row>
    <row r="1886" spans="1:2" x14ac:dyDescent="0.25">
      <c r="A1886" s="15" t="str">
        <f t="shared" si="58"/>
        <v/>
      </c>
      <c r="B1886" s="18" t="str">
        <f t="shared" si="59"/>
        <v/>
      </c>
    </row>
    <row r="1887" spans="1:2" x14ac:dyDescent="0.25">
      <c r="A1887" s="15" t="str">
        <f t="shared" si="58"/>
        <v/>
      </c>
      <c r="B1887" s="18" t="str">
        <f t="shared" si="59"/>
        <v/>
      </c>
    </row>
    <row r="1888" spans="1:2" x14ac:dyDescent="0.25">
      <c r="A1888" s="15" t="str">
        <f t="shared" si="58"/>
        <v/>
      </c>
      <c r="B1888" s="18" t="str">
        <f t="shared" si="59"/>
        <v/>
      </c>
    </row>
    <row r="1889" spans="1:2" x14ac:dyDescent="0.25">
      <c r="A1889" s="15" t="str">
        <f t="shared" si="58"/>
        <v/>
      </c>
      <c r="B1889" s="18" t="str">
        <f t="shared" si="59"/>
        <v/>
      </c>
    </row>
    <row r="1890" spans="1:2" x14ac:dyDescent="0.25">
      <c r="A1890" s="15" t="str">
        <f t="shared" si="58"/>
        <v/>
      </c>
      <c r="B1890" s="18" t="str">
        <f t="shared" si="59"/>
        <v/>
      </c>
    </row>
    <row r="1891" spans="1:2" x14ac:dyDescent="0.25">
      <c r="A1891" s="15" t="str">
        <f t="shared" si="58"/>
        <v/>
      </c>
      <c r="B1891" s="18" t="str">
        <f t="shared" si="59"/>
        <v/>
      </c>
    </row>
    <row r="1892" spans="1:2" x14ac:dyDescent="0.25">
      <c r="A1892" s="15" t="str">
        <f t="shared" si="58"/>
        <v/>
      </c>
      <c r="B1892" s="18" t="str">
        <f t="shared" si="59"/>
        <v/>
      </c>
    </row>
    <row r="1893" spans="1:2" x14ac:dyDescent="0.25">
      <c r="A1893" s="15" t="str">
        <f t="shared" si="58"/>
        <v/>
      </c>
      <c r="B1893" s="18" t="str">
        <f t="shared" si="59"/>
        <v/>
      </c>
    </row>
    <row r="1894" spans="1:2" x14ac:dyDescent="0.25">
      <c r="A1894" s="15" t="str">
        <f t="shared" si="58"/>
        <v/>
      </c>
      <c r="B1894" s="18" t="str">
        <f t="shared" si="59"/>
        <v/>
      </c>
    </row>
    <row r="1895" spans="1:2" x14ac:dyDescent="0.25">
      <c r="A1895" s="15" t="str">
        <f t="shared" si="58"/>
        <v/>
      </c>
      <c r="B1895" s="18" t="str">
        <f t="shared" si="59"/>
        <v/>
      </c>
    </row>
    <row r="1896" spans="1:2" x14ac:dyDescent="0.25">
      <c r="A1896" s="15" t="str">
        <f t="shared" si="58"/>
        <v/>
      </c>
      <c r="B1896" s="18" t="str">
        <f t="shared" si="59"/>
        <v/>
      </c>
    </row>
    <row r="1897" spans="1:2" x14ac:dyDescent="0.25">
      <c r="A1897" s="15" t="str">
        <f t="shared" si="58"/>
        <v/>
      </c>
      <c r="B1897" s="18" t="str">
        <f t="shared" si="59"/>
        <v/>
      </c>
    </row>
    <row r="1898" spans="1:2" x14ac:dyDescent="0.25">
      <c r="A1898" s="15" t="str">
        <f t="shared" si="58"/>
        <v/>
      </c>
      <c r="B1898" s="18" t="str">
        <f t="shared" si="59"/>
        <v/>
      </c>
    </row>
    <row r="1899" spans="1:2" x14ac:dyDescent="0.25">
      <c r="A1899" s="15" t="str">
        <f t="shared" si="58"/>
        <v/>
      </c>
      <c r="B1899" s="18" t="str">
        <f t="shared" si="59"/>
        <v/>
      </c>
    </row>
    <row r="1900" spans="1:2" x14ac:dyDescent="0.25">
      <c r="A1900" s="15" t="str">
        <f t="shared" si="58"/>
        <v/>
      </c>
      <c r="B1900" s="18" t="str">
        <f t="shared" si="59"/>
        <v/>
      </c>
    </row>
    <row r="1901" spans="1:2" x14ac:dyDescent="0.25">
      <c r="A1901" s="15" t="str">
        <f t="shared" si="58"/>
        <v/>
      </c>
      <c r="B1901" s="18" t="str">
        <f t="shared" si="59"/>
        <v/>
      </c>
    </row>
    <row r="1902" spans="1:2" x14ac:dyDescent="0.25">
      <c r="A1902" s="15" t="str">
        <f t="shared" si="58"/>
        <v/>
      </c>
      <c r="B1902" s="18" t="str">
        <f t="shared" si="59"/>
        <v/>
      </c>
    </row>
    <row r="1903" spans="1:2" x14ac:dyDescent="0.25">
      <c r="A1903" s="15" t="str">
        <f t="shared" si="58"/>
        <v/>
      </c>
      <c r="B1903" s="18" t="str">
        <f t="shared" si="59"/>
        <v/>
      </c>
    </row>
    <row r="1904" spans="1:2" x14ac:dyDescent="0.25">
      <c r="A1904" s="15" t="str">
        <f t="shared" si="58"/>
        <v/>
      </c>
      <c r="B1904" s="18" t="str">
        <f t="shared" si="59"/>
        <v/>
      </c>
    </row>
    <row r="1905" spans="1:2" x14ac:dyDescent="0.25">
      <c r="A1905" s="15" t="str">
        <f t="shared" si="58"/>
        <v/>
      </c>
      <c r="B1905" s="18" t="str">
        <f t="shared" si="59"/>
        <v/>
      </c>
    </row>
    <row r="1906" spans="1:2" x14ac:dyDescent="0.25">
      <c r="A1906" s="15" t="str">
        <f t="shared" si="58"/>
        <v/>
      </c>
      <c r="B1906" s="18" t="str">
        <f t="shared" si="59"/>
        <v/>
      </c>
    </row>
    <row r="1907" spans="1:2" x14ac:dyDescent="0.25">
      <c r="A1907" s="15" t="str">
        <f t="shared" si="58"/>
        <v/>
      </c>
      <c r="B1907" s="18" t="str">
        <f t="shared" si="59"/>
        <v/>
      </c>
    </row>
    <row r="1908" spans="1:2" x14ac:dyDescent="0.25">
      <c r="A1908" s="15" t="str">
        <f t="shared" si="58"/>
        <v/>
      </c>
      <c r="B1908" s="18" t="str">
        <f t="shared" si="59"/>
        <v/>
      </c>
    </row>
    <row r="1909" spans="1:2" x14ac:dyDescent="0.25">
      <c r="A1909" s="15" t="str">
        <f t="shared" si="58"/>
        <v/>
      </c>
      <c r="B1909" s="18" t="str">
        <f t="shared" si="59"/>
        <v/>
      </c>
    </row>
    <row r="1910" spans="1:2" x14ac:dyDescent="0.25">
      <c r="A1910" s="15" t="str">
        <f t="shared" si="58"/>
        <v/>
      </c>
      <c r="B1910" s="18" t="str">
        <f t="shared" si="59"/>
        <v/>
      </c>
    </row>
    <row r="1911" spans="1:2" x14ac:dyDescent="0.25">
      <c r="A1911" s="15" t="str">
        <f t="shared" si="58"/>
        <v/>
      </c>
      <c r="B1911" s="18" t="str">
        <f t="shared" si="59"/>
        <v/>
      </c>
    </row>
    <row r="1912" spans="1:2" x14ac:dyDescent="0.25">
      <c r="A1912" s="15" t="str">
        <f t="shared" si="58"/>
        <v/>
      </c>
      <c r="B1912" s="18" t="str">
        <f t="shared" si="59"/>
        <v/>
      </c>
    </row>
    <row r="1913" spans="1:2" x14ac:dyDescent="0.25">
      <c r="A1913" s="15" t="str">
        <f t="shared" si="58"/>
        <v/>
      </c>
      <c r="B1913" s="18" t="str">
        <f t="shared" si="59"/>
        <v/>
      </c>
    </row>
    <row r="1914" spans="1:2" x14ac:dyDescent="0.25">
      <c r="A1914" s="15" t="str">
        <f t="shared" si="58"/>
        <v/>
      </c>
      <c r="B1914" s="18" t="str">
        <f t="shared" si="59"/>
        <v/>
      </c>
    </row>
    <row r="1915" spans="1:2" x14ac:dyDescent="0.25">
      <c r="A1915" s="15" t="str">
        <f t="shared" si="58"/>
        <v/>
      </c>
      <c r="B1915" s="18" t="str">
        <f t="shared" si="59"/>
        <v/>
      </c>
    </row>
    <row r="1916" spans="1:2" x14ac:dyDescent="0.25">
      <c r="A1916" s="15" t="str">
        <f t="shared" si="58"/>
        <v/>
      </c>
      <c r="B1916" s="18" t="str">
        <f t="shared" si="59"/>
        <v/>
      </c>
    </row>
    <row r="1917" spans="1:2" x14ac:dyDescent="0.25">
      <c r="A1917" s="15" t="str">
        <f t="shared" si="58"/>
        <v/>
      </c>
      <c r="B1917" s="18" t="str">
        <f t="shared" si="59"/>
        <v/>
      </c>
    </row>
    <row r="1918" spans="1:2" x14ac:dyDescent="0.25">
      <c r="A1918" s="15" t="str">
        <f t="shared" si="58"/>
        <v/>
      </c>
      <c r="B1918" s="18" t="str">
        <f t="shared" si="59"/>
        <v/>
      </c>
    </row>
    <row r="1919" spans="1:2" x14ac:dyDescent="0.25">
      <c r="A1919" s="15" t="str">
        <f t="shared" si="58"/>
        <v/>
      </c>
      <c r="B1919" s="18" t="str">
        <f t="shared" si="59"/>
        <v/>
      </c>
    </row>
    <row r="1920" spans="1:2" x14ac:dyDescent="0.25">
      <c r="A1920" s="15" t="str">
        <f t="shared" si="58"/>
        <v/>
      </c>
      <c r="B1920" s="18" t="str">
        <f t="shared" si="59"/>
        <v/>
      </c>
    </row>
    <row r="1921" spans="1:2" x14ac:dyDescent="0.25">
      <c r="A1921" s="15" t="str">
        <f t="shared" si="58"/>
        <v/>
      </c>
      <c r="B1921" s="18" t="str">
        <f t="shared" si="59"/>
        <v/>
      </c>
    </row>
    <row r="1922" spans="1:2" x14ac:dyDescent="0.25">
      <c r="A1922" s="15" t="str">
        <f t="shared" ref="A1922:A1985" si="60">B1922&amp;C1922</f>
        <v/>
      </c>
      <c r="B1922" s="18" t="str">
        <f t="shared" si="59"/>
        <v/>
      </c>
    </row>
    <row r="1923" spans="1:2" x14ac:dyDescent="0.25">
      <c r="A1923" s="15" t="str">
        <f t="shared" si="60"/>
        <v/>
      </c>
      <c r="B1923" s="18" t="str">
        <f t="shared" ref="B1923:B1986" si="61">IF(C1923="","",B1922)</f>
        <v/>
      </c>
    </row>
    <row r="1924" spans="1:2" x14ac:dyDescent="0.25">
      <c r="A1924" s="15" t="str">
        <f t="shared" si="60"/>
        <v/>
      </c>
      <c r="B1924" s="18" t="str">
        <f t="shared" si="61"/>
        <v/>
      </c>
    </row>
    <row r="1925" spans="1:2" x14ac:dyDescent="0.25">
      <c r="A1925" s="15" t="str">
        <f t="shared" si="60"/>
        <v/>
      </c>
      <c r="B1925" s="18" t="str">
        <f t="shared" si="61"/>
        <v/>
      </c>
    </row>
    <row r="1926" spans="1:2" x14ac:dyDescent="0.25">
      <c r="A1926" s="15" t="str">
        <f t="shared" si="60"/>
        <v/>
      </c>
      <c r="B1926" s="18" t="str">
        <f t="shared" si="61"/>
        <v/>
      </c>
    </row>
    <row r="1927" spans="1:2" x14ac:dyDescent="0.25">
      <c r="A1927" s="15" t="str">
        <f t="shared" si="60"/>
        <v/>
      </c>
      <c r="B1927" s="18" t="str">
        <f t="shared" si="61"/>
        <v/>
      </c>
    </row>
    <row r="1928" spans="1:2" x14ac:dyDescent="0.25">
      <c r="A1928" s="15" t="str">
        <f t="shared" si="60"/>
        <v/>
      </c>
      <c r="B1928" s="18" t="str">
        <f t="shared" si="61"/>
        <v/>
      </c>
    </row>
    <row r="1929" spans="1:2" x14ac:dyDescent="0.25">
      <c r="A1929" s="15" t="str">
        <f t="shared" si="60"/>
        <v/>
      </c>
      <c r="B1929" s="18" t="str">
        <f t="shared" si="61"/>
        <v/>
      </c>
    </row>
    <row r="1930" spans="1:2" x14ac:dyDescent="0.25">
      <c r="A1930" s="15" t="str">
        <f t="shared" si="60"/>
        <v/>
      </c>
      <c r="B1930" s="18" t="str">
        <f t="shared" si="61"/>
        <v/>
      </c>
    </row>
    <row r="1931" spans="1:2" x14ac:dyDescent="0.25">
      <c r="A1931" s="15" t="str">
        <f t="shared" si="60"/>
        <v/>
      </c>
      <c r="B1931" s="18" t="str">
        <f t="shared" si="61"/>
        <v/>
      </c>
    </row>
    <row r="1932" spans="1:2" x14ac:dyDescent="0.25">
      <c r="A1932" s="15" t="str">
        <f t="shared" si="60"/>
        <v/>
      </c>
      <c r="B1932" s="18" t="str">
        <f t="shared" si="61"/>
        <v/>
      </c>
    </row>
    <row r="1933" spans="1:2" x14ac:dyDescent="0.25">
      <c r="A1933" s="15" t="str">
        <f t="shared" si="60"/>
        <v/>
      </c>
      <c r="B1933" s="18" t="str">
        <f t="shared" si="61"/>
        <v/>
      </c>
    </row>
    <row r="1934" spans="1:2" x14ac:dyDescent="0.25">
      <c r="A1934" s="15" t="str">
        <f t="shared" si="60"/>
        <v/>
      </c>
      <c r="B1934" s="18" t="str">
        <f t="shared" si="61"/>
        <v/>
      </c>
    </row>
    <row r="1935" spans="1:2" x14ac:dyDescent="0.25">
      <c r="A1935" s="15" t="str">
        <f t="shared" si="60"/>
        <v/>
      </c>
      <c r="B1935" s="18" t="str">
        <f t="shared" si="61"/>
        <v/>
      </c>
    </row>
    <row r="1936" spans="1:2" x14ac:dyDescent="0.25">
      <c r="A1936" s="15" t="str">
        <f t="shared" si="60"/>
        <v/>
      </c>
      <c r="B1936" s="18" t="str">
        <f t="shared" si="61"/>
        <v/>
      </c>
    </row>
    <row r="1937" spans="1:2" x14ac:dyDescent="0.25">
      <c r="A1937" s="15" t="str">
        <f t="shared" si="60"/>
        <v/>
      </c>
      <c r="B1937" s="18" t="str">
        <f t="shared" si="61"/>
        <v/>
      </c>
    </row>
    <row r="1938" spans="1:2" x14ac:dyDescent="0.25">
      <c r="A1938" s="15" t="str">
        <f t="shared" si="60"/>
        <v/>
      </c>
      <c r="B1938" s="18" t="str">
        <f t="shared" si="61"/>
        <v/>
      </c>
    </row>
    <row r="1939" spans="1:2" x14ac:dyDescent="0.25">
      <c r="A1939" s="15" t="str">
        <f t="shared" si="60"/>
        <v/>
      </c>
      <c r="B1939" s="18" t="str">
        <f t="shared" si="61"/>
        <v/>
      </c>
    </row>
    <row r="1940" spans="1:2" x14ac:dyDescent="0.25">
      <c r="A1940" s="15" t="str">
        <f t="shared" si="60"/>
        <v/>
      </c>
      <c r="B1940" s="18" t="str">
        <f t="shared" si="61"/>
        <v/>
      </c>
    </row>
    <row r="1941" spans="1:2" x14ac:dyDescent="0.25">
      <c r="A1941" s="15" t="str">
        <f t="shared" si="60"/>
        <v/>
      </c>
      <c r="B1941" s="18" t="str">
        <f t="shared" si="61"/>
        <v/>
      </c>
    </row>
    <row r="1942" spans="1:2" x14ac:dyDescent="0.25">
      <c r="A1942" s="15" t="str">
        <f t="shared" si="60"/>
        <v/>
      </c>
      <c r="B1942" s="18" t="str">
        <f t="shared" si="61"/>
        <v/>
      </c>
    </row>
    <row r="1943" spans="1:2" x14ac:dyDescent="0.25">
      <c r="A1943" s="15" t="str">
        <f t="shared" si="60"/>
        <v/>
      </c>
      <c r="B1943" s="18" t="str">
        <f t="shared" si="61"/>
        <v/>
      </c>
    </row>
    <row r="1944" spans="1:2" x14ac:dyDescent="0.25">
      <c r="A1944" s="15" t="str">
        <f t="shared" si="60"/>
        <v/>
      </c>
      <c r="B1944" s="18" t="str">
        <f t="shared" si="61"/>
        <v/>
      </c>
    </row>
    <row r="1945" spans="1:2" x14ac:dyDescent="0.25">
      <c r="A1945" s="15" t="str">
        <f t="shared" si="60"/>
        <v/>
      </c>
      <c r="B1945" s="18" t="str">
        <f t="shared" si="61"/>
        <v/>
      </c>
    </row>
    <row r="1946" spans="1:2" x14ac:dyDescent="0.25">
      <c r="A1946" s="15" t="str">
        <f t="shared" si="60"/>
        <v/>
      </c>
      <c r="B1946" s="18" t="str">
        <f t="shared" si="61"/>
        <v/>
      </c>
    </row>
    <row r="1947" spans="1:2" x14ac:dyDescent="0.25">
      <c r="A1947" s="15" t="str">
        <f t="shared" si="60"/>
        <v/>
      </c>
      <c r="B1947" s="18" t="str">
        <f t="shared" si="61"/>
        <v/>
      </c>
    </row>
    <row r="1948" spans="1:2" x14ac:dyDescent="0.25">
      <c r="A1948" s="15" t="str">
        <f t="shared" si="60"/>
        <v/>
      </c>
      <c r="B1948" s="18" t="str">
        <f t="shared" si="61"/>
        <v/>
      </c>
    </row>
    <row r="1949" spans="1:2" x14ac:dyDescent="0.25">
      <c r="A1949" s="15" t="str">
        <f t="shared" si="60"/>
        <v/>
      </c>
      <c r="B1949" s="18" t="str">
        <f t="shared" si="61"/>
        <v/>
      </c>
    </row>
    <row r="1950" spans="1:2" x14ac:dyDescent="0.25">
      <c r="A1950" s="15" t="str">
        <f t="shared" si="60"/>
        <v/>
      </c>
      <c r="B1950" s="18" t="str">
        <f t="shared" si="61"/>
        <v/>
      </c>
    </row>
    <row r="1951" spans="1:2" x14ac:dyDescent="0.25">
      <c r="A1951" s="15" t="str">
        <f t="shared" si="60"/>
        <v/>
      </c>
      <c r="B1951" s="18" t="str">
        <f t="shared" si="61"/>
        <v/>
      </c>
    </row>
    <row r="1952" spans="1:2" x14ac:dyDescent="0.25">
      <c r="A1952" s="15" t="str">
        <f t="shared" si="60"/>
        <v/>
      </c>
      <c r="B1952" s="18" t="str">
        <f t="shared" si="61"/>
        <v/>
      </c>
    </row>
    <row r="1953" spans="1:2" x14ac:dyDescent="0.25">
      <c r="A1953" s="15" t="str">
        <f t="shared" si="60"/>
        <v/>
      </c>
      <c r="B1953" s="18" t="str">
        <f t="shared" si="61"/>
        <v/>
      </c>
    </row>
    <row r="1954" spans="1:2" x14ac:dyDescent="0.25">
      <c r="A1954" s="15" t="str">
        <f t="shared" si="60"/>
        <v/>
      </c>
      <c r="B1954" s="18" t="str">
        <f t="shared" si="61"/>
        <v/>
      </c>
    </row>
    <row r="1955" spans="1:2" x14ac:dyDescent="0.25">
      <c r="A1955" s="15" t="str">
        <f t="shared" si="60"/>
        <v/>
      </c>
      <c r="B1955" s="18" t="str">
        <f t="shared" si="61"/>
        <v/>
      </c>
    </row>
    <row r="1956" spans="1:2" x14ac:dyDescent="0.25">
      <c r="A1956" s="15" t="str">
        <f t="shared" si="60"/>
        <v/>
      </c>
      <c r="B1956" s="18" t="str">
        <f t="shared" si="61"/>
        <v/>
      </c>
    </row>
    <row r="1957" spans="1:2" x14ac:dyDescent="0.25">
      <c r="A1957" s="15" t="str">
        <f t="shared" si="60"/>
        <v/>
      </c>
      <c r="B1957" s="18" t="str">
        <f t="shared" si="61"/>
        <v/>
      </c>
    </row>
    <row r="1958" spans="1:2" x14ac:dyDescent="0.25">
      <c r="A1958" s="15" t="str">
        <f t="shared" si="60"/>
        <v/>
      </c>
      <c r="B1958" s="18" t="str">
        <f t="shared" si="61"/>
        <v/>
      </c>
    </row>
    <row r="1959" spans="1:2" x14ac:dyDescent="0.25">
      <c r="A1959" s="15" t="str">
        <f t="shared" si="60"/>
        <v/>
      </c>
      <c r="B1959" s="18" t="str">
        <f t="shared" si="61"/>
        <v/>
      </c>
    </row>
    <row r="1960" spans="1:2" x14ac:dyDescent="0.25">
      <c r="A1960" s="15" t="str">
        <f t="shared" si="60"/>
        <v/>
      </c>
      <c r="B1960" s="18" t="str">
        <f t="shared" si="61"/>
        <v/>
      </c>
    </row>
    <row r="1961" spans="1:2" x14ac:dyDescent="0.25">
      <c r="A1961" s="15" t="str">
        <f t="shared" si="60"/>
        <v/>
      </c>
      <c r="B1961" s="18" t="str">
        <f t="shared" si="61"/>
        <v/>
      </c>
    </row>
    <row r="1962" spans="1:2" x14ac:dyDescent="0.25">
      <c r="A1962" s="15" t="str">
        <f t="shared" si="60"/>
        <v/>
      </c>
      <c r="B1962" s="18" t="str">
        <f t="shared" si="61"/>
        <v/>
      </c>
    </row>
    <row r="1963" spans="1:2" x14ac:dyDescent="0.25">
      <c r="A1963" s="15" t="str">
        <f t="shared" si="60"/>
        <v/>
      </c>
      <c r="B1963" s="18" t="str">
        <f t="shared" si="61"/>
        <v/>
      </c>
    </row>
    <row r="1964" spans="1:2" x14ac:dyDescent="0.25">
      <c r="A1964" s="15" t="str">
        <f t="shared" si="60"/>
        <v/>
      </c>
      <c r="B1964" s="18" t="str">
        <f t="shared" si="61"/>
        <v/>
      </c>
    </row>
    <row r="1965" spans="1:2" x14ac:dyDescent="0.25">
      <c r="A1965" s="15" t="str">
        <f t="shared" si="60"/>
        <v/>
      </c>
      <c r="B1965" s="18" t="str">
        <f t="shared" si="61"/>
        <v/>
      </c>
    </row>
    <row r="1966" spans="1:2" x14ac:dyDescent="0.25">
      <c r="A1966" s="15" t="str">
        <f t="shared" si="60"/>
        <v/>
      </c>
      <c r="B1966" s="18" t="str">
        <f t="shared" si="61"/>
        <v/>
      </c>
    </row>
    <row r="1967" spans="1:2" x14ac:dyDescent="0.25">
      <c r="A1967" s="15" t="str">
        <f t="shared" si="60"/>
        <v/>
      </c>
      <c r="B1967" s="18" t="str">
        <f t="shared" si="61"/>
        <v/>
      </c>
    </row>
    <row r="1968" spans="1:2" x14ac:dyDescent="0.25">
      <c r="A1968" s="15" t="str">
        <f t="shared" si="60"/>
        <v/>
      </c>
      <c r="B1968" s="18" t="str">
        <f t="shared" si="61"/>
        <v/>
      </c>
    </row>
    <row r="1969" spans="1:2" x14ac:dyDescent="0.25">
      <c r="A1969" s="15" t="str">
        <f t="shared" si="60"/>
        <v/>
      </c>
      <c r="B1969" s="18" t="str">
        <f t="shared" si="61"/>
        <v/>
      </c>
    </row>
    <row r="1970" spans="1:2" x14ac:dyDescent="0.25">
      <c r="A1970" s="15" t="str">
        <f t="shared" si="60"/>
        <v/>
      </c>
      <c r="B1970" s="18" t="str">
        <f t="shared" si="61"/>
        <v/>
      </c>
    </row>
    <row r="1971" spans="1:2" x14ac:dyDescent="0.25">
      <c r="A1971" s="15" t="str">
        <f t="shared" si="60"/>
        <v/>
      </c>
      <c r="B1971" s="18" t="str">
        <f t="shared" si="61"/>
        <v/>
      </c>
    </row>
    <row r="1972" spans="1:2" x14ac:dyDescent="0.25">
      <c r="A1972" s="15" t="str">
        <f t="shared" si="60"/>
        <v/>
      </c>
      <c r="B1972" s="18" t="str">
        <f t="shared" si="61"/>
        <v/>
      </c>
    </row>
    <row r="1973" spans="1:2" x14ac:dyDescent="0.25">
      <c r="A1973" s="15" t="str">
        <f t="shared" si="60"/>
        <v/>
      </c>
      <c r="B1973" s="18" t="str">
        <f t="shared" si="61"/>
        <v/>
      </c>
    </row>
    <row r="1974" spans="1:2" x14ac:dyDescent="0.25">
      <c r="A1974" s="15" t="str">
        <f t="shared" si="60"/>
        <v/>
      </c>
      <c r="B1974" s="18" t="str">
        <f t="shared" si="61"/>
        <v/>
      </c>
    </row>
    <row r="1975" spans="1:2" x14ac:dyDescent="0.25">
      <c r="A1975" s="15" t="str">
        <f t="shared" si="60"/>
        <v/>
      </c>
      <c r="B1975" s="18" t="str">
        <f t="shared" si="61"/>
        <v/>
      </c>
    </row>
    <row r="1976" spans="1:2" x14ac:dyDescent="0.25">
      <c r="A1976" s="15" t="str">
        <f t="shared" si="60"/>
        <v/>
      </c>
      <c r="B1976" s="18" t="str">
        <f t="shared" si="61"/>
        <v/>
      </c>
    </row>
    <row r="1977" spans="1:2" x14ac:dyDescent="0.25">
      <c r="A1977" s="15" t="str">
        <f t="shared" si="60"/>
        <v/>
      </c>
      <c r="B1977" s="18" t="str">
        <f t="shared" si="61"/>
        <v/>
      </c>
    </row>
    <row r="1978" spans="1:2" x14ac:dyDescent="0.25">
      <c r="A1978" s="15" t="str">
        <f t="shared" si="60"/>
        <v/>
      </c>
      <c r="B1978" s="18" t="str">
        <f t="shared" si="61"/>
        <v/>
      </c>
    </row>
    <row r="1979" spans="1:2" x14ac:dyDescent="0.25">
      <c r="A1979" s="15" t="str">
        <f t="shared" si="60"/>
        <v/>
      </c>
      <c r="B1979" s="18" t="str">
        <f t="shared" si="61"/>
        <v/>
      </c>
    </row>
    <row r="1980" spans="1:2" x14ac:dyDescent="0.25">
      <c r="A1980" s="15" t="str">
        <f t="shared" si="60"/>
        <v/>
      </c>
      <c r="B1980" s="18" t="str">
        <f t="shared" si="61"/>
        <v/>
      </c>
    </row>
    <row r="1981" spans="1:2" x14ac:dyDescent="0.25">
      <c r="A1981" s="15" t="str">
        <f t="shared" si="60"/>
        <v/>
      </c>
      <c r="B1981" s="18" t="str">
        <f t="shared" si="61"/>
        <v/>
      </c>
    </row>
    <row r="1982" spans="1:2" x14ac:dyDescent="0.25">
      <c r="A1982" s="15" t="str">
        <f t="shared" si="60"/>
        <v/>
      </c>
      <c r="B1982" s="18" t="str">
        <f t="shared" si="61"/>
        <v/>
      </c>
    </row>
    <row r="1983" spans="1:2" x14ac:dyDescent="0.25">
      <c r="A1983" s="15" t="str">
        <f t="shared" si="60"/>
        <v/>
      </c>
      <c r="B1983" s="18" t="str">
        <f t="shared" si="61"/>
        <v/>
      </c>
    </row>
    <row r="1984" spans="1:2" x14ac:dyDescent="0.25">
      <c r="A1984" s="15" t="str">
        <f t="shared" si="60"/>
        <v/>
      </c>
      <c r="B1984" s="18" t="str">
        <f t="shared" si="61"/>
        <v/>
      </c>
    </row>
    <row r="1985" spans="1:2" x14ac:dyDescent="0.25">
      <c r="A1985" s="15" t="str">
        <f t="shared" si="60"/>
        <v/>
      </c>
      <c r="B1985" s="18" t="str">
        <f t="shared" si="61"/>
        <v/>
      </c>
    </row>
    <row r="1986" spans="1:2" x14ac:dyDescent="0.25">
      <c r="A1986" s="15" t="str">
        <f t="shared" ref="A1986:A2049" si="62">B1986&amp;C1986</f>
        <v/>
      </c>
      <c r="B1986" s="18" t="str">
        <f t="shared" si="61"/>
        <v/>
      </c>
    </row>
    <row r="1987" spans="1:2" x14ac:dyDescent="0.25">
      <c r="A1987" s="15" t="str">
        <f t="shared" si="62"/>
        <v/>
      </c>
      <c r="B1987" s="18" t="str">
        <f t="shared" ref="B1987:B2050" si="63">IF(C1987="","",B1986)</f>
        <v/>
      </c>
    </row>
    <row r="1988" spans="1:2" x14ac:dyDescent="0.25">
      <c r="A1988" s="15" t="str">
        <f t="shared" si="62"/>
        <v/>
      </c>
      <c r="B1988" s="18" t="str">
        <f t="shared" si="63"/>
        <v/>
      </c>
    </row>
    <row r="1989" spans="1:2" x14ac:dyDescent="0.25">
      <c r="A1989" s="15" t="str">
        <f t="shared" si="62"/>
        <v/>
      </c>
      <c r="B1989" s="18" t="str">
        <f t="shared" si="63"/>
        <v/>
      </c>
    </row>
    <row r="1990" spans="1:2" x14ac:dyDescent="0.25">
      <c r="A1990" s="15" t="str">
        <f t="shared" si="62"/>
        <v/>
      </c>
      <c r="B1990" s="18" t="str">
        <f t="shared" si="63"/>
        <v/>
      </c>
    </row>
    <row r="1991" spans="1:2" x14ac:dyDescent="0.25">
      <c r="A1991" s="15" t="str">
        <f t="shared" si="62"/>
        <v/>
      </c>
      <c r="B1991" s="18" t="str">
        <f t="shared" si="63"/>
        <v/>
      </c>
    </row>
    <row r="1992" spans="1:2" x14ac:dyDescent="0.25">
      <c r="A1992" s="15" t="str">
        <f t="shared" si="62"/>
        <v/>
      </c>
      <c r="B1992" s="18" t="str">
        <f t="shared" si="63"/>
        <v/>
      </c>
    </row>
    <row r="1993" spans="1:2" x14ac:dyDescent="0.25">
      <c r="A1993" s="15" t="str">
        <f t="shared" si="62"/>
        <v/>
      </c>
      <c r="B1993" s="18" t="str">
        <f t="shared" si="63"/>
        <v/>
      </c>
    </row>
    <row r="1994" spans="1:2" x14ac:dyDescent="0.25">
      <c r="A1994" s="15" t="str">
        <f t="shared" si="62"/>
        <v/>
      </c>
      <c r="B1994" s="18" t="str">
        <f t="shared" si="63"/>
        <v/>
      </c>
    </row>
    <row r="1995" spans="1:2" x14ac:dyDescent="0.25">
      <c r="A1995" s="15" t="str">
        <f t="shared" si="62"/>
        <v/>
      </c>
      <c r="B1995" s="18" t="str">
        <f t="shared" si="63"/>
        <v/>
      </c>
    </row>
    <row r="1996" spans="1:2" x14ac:dyDescent="0.25">
      <c r="A1996" s="15" t="str">
        <f t="shared" si="62"/>
        <v/>
      </c>
      <c r="B1996" s="18" t="str">
        <f t="shared" si="63"/>
        <v/>
      </c>
    </row>
    <row r="1997" spans="1:2" x14ac:dyDescent="0.25">
      <c r="A1997" s="15" t="str">
        <f t="shared" si="62"/>
        <v/>
      </c>
      <c r="B1997" s="18" t="str">
        <f t="shared" si="63"/>
        <v/>
      </c>
    </row>
    <row r="1998" spans="1:2" x14ac:dyDescent="0.25">
      <c r="A1998" s="15" t="str">
        <f t="shared" si="62"/>
        <v/>
      </c>
      <c r="B1998" s="18" t="str">
        <f t="shared" si="63"/>
        <v/>
      </c>
    </row>
    <row r="1999" spans="1:2" x14ac:dyDescent="0.25">
      <c r="A1999" s="15" t="str">
        <f t="shared" si="62"/>
        <v/>
      </c>
      <c r="B1999" s="18" t="str">
        <f t="shared" si="63"/>
        <v/>
      </c>
    </row>
    <row r="2000" spans="1:2" x14ac:dyDescent="0.25">
      <c r="A2000" s="15" t="str">
        <f t="shared" si="62"/>
        <v/>
      </c>
      <c r="B2000" s="18" t="str">
        <f t="shared" si="63"/>
        <v/>
      </c>
    </row>
    <row r="2001" spans="1:2" x14ac:dyDescent="0.25">
      <c r="A2001" s="15" t="str">
        <f t="shared" si="62"/>
        <v/>
      </c>
      <c r="B2001" s="18" t="str">
        <f t="shared" si="63"/>
        <v/>
      </c>
    </row>
    <row r="2002" spans="1:2" x14ac:dyDescent="0.25">
      <c r="A2002" s="15" t="str">
        <f t="shared" si="62"/>
        <v/>
      </c>
      <c r="B2002" s="18" t="str">
        <f t="shared" si="63"/>
        <v/>
      </c>
    </row>
    <row r="2003" spans="1:2" x14ac:dyDescent="0.25">
      <c r="A2003" s="15" t="str">
        <f t="shared" si="62"/>
        <v/>
      </c>
      <c r="B2003" s="18" t="str">
        <f t="shared" si="63"/>
        <v/>
      </c>
    </row>
    <row r="2004" spans="1:2" x14ac:dyDescent="0.25">
      <c r="A2004" s="15" t="str">
        <f t="shared" si="62"/>
        <v/>
      </c>
      <c r="B2004" s="18" t="str">
        <f t="shared" si="63"/>
        <v/>
      </c>
    </row>
    <row r="2005" spans="1:2" x14ac:dyDescent="0.25">
      <c r="A2005" s="15" t="str">
        <f t="shared" si="62"/>
        <v/>
      </c>
      <c r="B2005" s="18" t="str">
        <f t="shared" si="63"/>
        <v/>
      </c>
    </row>
    <row r="2006" spans="1:2" x14ac:dyDescent="0.25">
      <c r="A2006" s="15" t="str">
        <f t="shared" si="62"/>
        <v/>
      </c>
      <c r="B2006" s="18" t="str">
        <f t="shared" si="63"/>
        <v/>
      </c>
    </row>
    <row r="2007" spans="1:2" x14ac:dyDescent="0.25">
      <c r="A2007" s="15" t="str">
        <f t="shared" si="62"/>
        <v/>
      </c>
      <c r="B2007" s="18" t="str">
        <f t="shared" si="63"/>
        <v/>
      </c>
    </row>
    <row r="2008" spans="1:2" x14ac:dyDescent="0.25">
      <c r="A2008" s="15" t="str">
        <f t="shared" si="62"/>
        <v/>
      </c>
      <c r="B2008" s="18" t="str">
        <f t="shared" si="63"/>
        <v/>
      </c>
    </row>
    <row r="2009" spans="1:2" x14ac:dyDescent="0.25">
      <c r="A2009" s="15" t="str">
        <f t="shared" si="62"/>
        <v/>
      </c>
      <c r="B2009" s="18" t="str">
        <f t="shared" si="63"/>
        <v/>
      </c>
    </row>
    <row r="2010" spans="1:2" x14ac:dyDescent="0.25">
      <c r="A2010" s="15" t="str">
        <f t="shared" si="62"/>
        <v/>
      </c>
      <c r="B2010" s="18" t="str">
        <f t="shared" si="63"/>
        <v/>
      </c>
    </row>
    <row r="2011" spans="1:2" x14ac:dyDescent="0.25">
      <c r="A2011" s="15" t="str">
        <f t="shared" si="62"/>
        <v/>
      </c>
      <c r="B2011" s="18" t="str">
        <f t="shared" si="63"/>
        <v/>
      </c>
    </row>
    <row r="2012" spans="1:2" x14ac:dyDescent="0.25">
      <c r="A2012" s="15" t="str">
        <f t="shared" si="62"/>
        <v/>
      </c>
      <c r="B2012" s="18" t="str">
        <f t="shared" si="63"/>
        <v/>
      </c>
    </row>
    <row r="2013" spans="1:2" x14ac:dyDescent="0.25">
      <c r="A2013" s="15" t="str">
        <f t="shared" si="62"/>
        <v/>
      </c>
      <c r="B2013" s="18" t="str">
        <f t="shared" si="63"/>
        <v/>
      </c>
    </row>
    <row r="2014" spans="1:2" x14ac:dyDescent="0.25">
      <c r="A2014" s="15" t="str">
        <f t="shared" si="62"/>
        <v/>
      </c>
      <c r="B2014" s="18" t="str">
        <f t="shared" si="63"/>
        <v/>
      </c>
    </row>
    <row r="2015" spans="1:2" x14ac:dyDescent="0.25">
      <c r="A2015" s="15" t="str">
        <f t="shared" si="62"/>
        <v/>
      </c>
      <c r="B2015" s="18" t="str">
        <f t="shared" si="63"/>
        <v/>
      </c>
    </row>
    <row r="2016" spans="1:2" x14ac:dyDescent="0.25">
      <c r="A2016" s="15" t="str">
        <f t="shared" si="62"/>
        <v/>
      </c>
      <c r="B2016" s="18" t="str">
        <f t="shared" si="63"/>
        <v/>
      </c>
    </row>
    <row r="2017" spans="1:2" x14ac:dyDescent="0.25">
      <c r="A2017" s="15" t="str">
        <f t="shared" si="62"/>
        <v/>
      </c>
      <c r="B2017" s="18" t="str">
        <f t="shared" si="63"/>
        <v/>
      </c>
    </row>
    <row r="2018" spans="1:2" x14ac:dyDescent="0.25">
      <c r="A2018" s="15" t="str">
        <f t="shared" si="62"/>
        <v/>
      </c>
      <c r="B2018" s="18" t="str">
        <f t="shared" si="63"/>
        <v/>
      </c>
    </row>
    <row r="2019" spans="1:2" x14ac:dyDescent="0.25">
      <c r="A2019" s="15" t="str">
        <f t="shared" si="62"/>
        <v/>
      </c>
      <c r="B2019" s="18" t="str">
        <f t="shared" si="63"/>
        <v/>
      </c>
    </row>
    <row r="2020" spans="1:2" x14ac:dyDescent="0.25">
      <c r="A2020" s="15" t="str">
        <f t="shared" si="62"/>
        <v/>
      </c>
      <c r="B2020" s="18" t="str">
        <f t="shared" si="63"/>
        <v/>
      </c>
    </row>
    <row r="2021" spans="1:2" x14ac:dyDescent="0.25">
      <c r="A2021" s="15" t="str">
        <f t="shared" si="62"/>
        <v/>
      </c>
      <c r="B2021" s="18" t="str">
        <f t="shared" si="63"/>
        <v/>
      </c>
    </row>
    <row r="2022" spans="1:2" x14ac:dyDescent="0.25">
      <c r="A2022" s="15" t="str">
        <f t="shared" si="62"/>
        <v/>
      </c>
      <c r="B2022" s="18" t="str">
        <f t="shared" si="63"/>
        <v/>
      </c>
    </row>
    <row r="2023" spans="1:2" x14ac:dyDescent="0.25">
      <c r="A2023" s="15" t="str">
        <f t="shared" si="62"/>
        <v/>
      </c>
      <c r="B2023" s="18" t="str">
        <f t="shared" si="63"/>
        <v/>
      </c>
    </row>
    <row r="2024" spans="1:2" x14ac:dyDescent="0.25">
      <c r="A2024" s="15" t="str">
        <f t="shared" si="62"/>
        <v/>
      </c>
      <c r="B2024" s="18" t="str">
        <f t="shared" si="63"/>
        <v/>
      </c>
    </row>
    <row r="2025" spans="1:2" x14ac:dyDescent="0.25">
      <c r="A2025" s="15" t="str">
        <f t="shared" si="62"/>
        <v/>
      </c>
      <c r="B2025" s="18" t="str">
        <f t="shared" si="63"/>
        <v/>
      </c>
    </row>
    <row r="2026" spans="1:2" x14ac:dyDescent="0.25">
      <c r="A2026" s="15" t="str">
        <f t="shared" si="62"/>
        <v/>
      </c>
      <c r="B2026" s="18" t="str">
        <f t="shared" si="63"/>
        <v/>
      </c>
    </row>
    <row r="2027" spans="1:2" x14ac:dyDescent="0.25">
      <c r="A2027" s="15" t="str">
        <f t="shared" si="62"/>
        <v/>
      </c>
      <c r="B2027" s="18" t="str">
        <f t="shared" si="63"/>
        <v/>
      </c>
    </row>
    <row r="2028" spans="1:2" x14ac:dyDescent="0.25">
      <c r="A2028" s="15" t="str">
        <f t="shared" si="62"/>
        <v/>
      </c>
      <c r="B2028" s="18" t="str">
        <f t="shared" si="63"/>
        <v/>
      </c>
    </row>
    <row r="2029" spans="1:2" x14ac:dyDescent="0.25">
      <c r="A2029" s="15" t="str">
        <f t="shared" si="62"/>
        <v/>
      </c>
      <c r="B2029" s="18" t="str">
        <f t="shared" si="63"/>
        <v/>
      </c>
    </row>
    <row r="2030" spans="1:2" x14ac:dyDescent="0.25">
      <c r="A2030" s="15" t="str">
        <f t="shared" si="62"/>
        <v/>
      </c>
      <c r="B2030" s="18" t="str">
        <f t="shared" si="63"/>
        <v/>
      </c>
    </row>
    <row r="2031" spans="1:2" x14ac:dyDescent="0.25">
      <c r="A2031" s="15" t="str">
        <f t="shared" si="62"/>
        <v/>
      </c>
      <c r="B2031" s="18" t="str">
        <f t="shared" si="63"/>
        <v/>
      </c>
    </row>
    <row r="2032" spans="1:2" x14ac:dyDescent="0.25">
      <c r="A2032" s="15" t="str">
        <f t="shared" si="62"/>
        <v/>
      </c>
      <c r="B2032" s="18" t="str">
        <f t="shared" si="63"/>
        <v/>
      </c>
    </row>
    <row r="2033" spans="1:2" x14ac:dyDescent="0.25">
      <c r="A2033" s="15" t="str">
        <f t="shared" si="62"/>
        <v/>
      </c>
      <c r="B2033" s="18" t="str">
        <f t="shared" si="63"/>
        <v/>
      </c>
    </row>
    <row r="2034" spans="1:2" x14ac:dyDescent="0.25">
      <c r="A2034" s="15" t="str">
        <f t="shared" si="62"/>
        <v/>
      </c>
      <c r="B2034" s="18" t="str">
        <f t="shared" si="63"/>
        <v/>
      </c>
    </row>
    <row r="2035" spans="1:2" x14ac:dyDescent="0.25">
      <c r="A2035" s="15" t="str">
        <f t="shared" si="62"/>
        <v/>
      </c>
      <c r="B2035" s="18" t="str">
        <f t="shared" si="63"/>
        <v/>
      </c>
    </row>
    <row r="2036" spans="1:2" x14ac:dyDescent="0.25">
      <c r="A2036" s="15" t="str">
        <f t="shared" si="62"/>
        <v/>
      </c>
      <c r="B2036" s="18" t="str">
        <f t="shared" si="63"/>
        <v/>
      </c>
    </row>
    <row r="2037" spans="1:2" x14ac:dyDescent="0.25">
      <c r="A2037" s="15" t="str">
        <f t="shared" si="62"/>
        <v/>
      </c>
      <c r="B2037" s="18" t="str">
        <f t="shared" si="63"/>
        <v/>
      </c>
    </row>
    <row r="2038" spans="1:2" x14ac:dyDescent="0.25">
      <c r="A2038" s="15" t="str">
        <f t="shared" si="62"/>
        <v/>
      </c>
      <c r="B2038" s="18" t="str">
        <f t="shared" si="63"/>
        <v/>
      </c>
    </row>
    <row r="2039" spans="1:2" x14ac:dyDescent="0.25">
      <c r="A2039" s="15" t="str">
        <f t="shared" si="62"/>
        <v/>
      </c>
      <c r="B2039" s="18" t="str">
        <f t="shared" si="63"/>
        <v/>
      </c>
    </row>
    <row r="2040" spans="1:2" x14ac:dyDescent="0.25">
      <c r="A2040" s="15" t="str">
        <f t="shared" si="62"/>
        <v/>
      </c>
      <c r="B2040" s="18" t="str">
        <f t="shared" si="63"/>
        <v/>
      </c>
    </row>
    <row r="2041" spans="1:2" x14ac:dyDescent="0.25">
      <c r="A2041" s="15" t="str">
        <f t="shared" si="62"/>
        <v/>
      </c>
      <c r="B2041" s="18" t="str">
        <f t="shared" si="63"/>
        <v/>
      </c>
    </row>
    <row r="2042" spans="1:2" x14ac:dyDescent="0.25">
      <c r="A2042" s="15" t="str">
        <f t="shared" si="62"/>
        <v/>
      </c>
      <c r="B2042" s="18" t="str">
        <f t="shared" si="63"/>
        <v/>
      </c>
    </row>
    <row r="2043" spans="1:2" x14ac:dyDescent="0.25">
      <c r="A2043" s="15" t="str">
        <f t="shared" si="62"/>
        <v/>
      </c>
      <c r="B2043" s="18" t="str">
        <f t="shared" si="63"/>
        <v/>
      </c>
    </row>
    <row r="2044" spans="1:2" x14ac:dyDescent="0.25">
      <c r="A2044" s="15" t="str">
        <f t="shared" si="62"/>
        <v/>
      </c>
      <c r="B2044" s="18" t="str">
        <f t="shared" si="63"/>
        <v/>
      </c>
    </row>
    <row r="2045" spans="1:2" x14ac:dyDescent="0.25">
      <c r="A2045" s="15" t="str">
        <f t="shared" si="62"/>
        <v/>
      </c>
      <c r="B2045" s="18" t="str">
        <f t="shared" si="63"/>
        <v/>
      </c>
    </row>
    <row r="2046" spans="1:2" x14ac:dyDescent="0.25">
      <c r="A2046" s="15" t="str">
        <f t="shared" si="62"/>
        <v/>
      </c>
      <c r="B2046" s="18" t="str">
        <f t="shared" si="63"/>
        <v/>
      </c>
    </row>
    <row r="2047" spans="1:2" x14ac:dyDescent="0.25">
      <c r="A2047" s="15" t="str">
        <f t="shared" si="62"/>
        <v/>
      </c>
      <c r="B2047" s="18" t="str">
        <f t="shared" si="63"/>
        <v/>
      </c>
    </row>
    <row r="2048" spans="1:2" x14ac:dyDescent="0.25">
      <c r="A2048" s="15" t="str">
        <f t="shared" si="62"/>
        <v/>
      </c>
      <c r="B2048" s="18" t="str">
        <f t="shared" si="63"/>
        <v/>
      </c>
    </row>
    <row r="2049" spans="1:2" x14ac:dyDescent="0.25">
      <c r="A2049" s="15" t="str">
        <f t="shared" si="62"/>
        <v/>
      </c>
      <c r="B2049" s="18" t="str">
        <f t="shared" si="63"/>
        <v/>
      </c>
    </row>
    <row r="2050" spans="1:2" x14ac:dyDescent="0.25">
      <c r="A2050" s="15" t="str">
        <f t="shared" ref="A2050:A2113" si="64">B2050&amp;C2050</f>
        <v/>
      </c>
      <c r="B2050" s="18" t="str">
        <f t="shared" si="63"/>
        <v/>
      </c>
    </row>
    <row r="2051" spans="1:2" x14ac:dyDescent="0.25">
      <c r="A2051" s="15" t="str">
        <f t="shared" si="64"/>
        <v/>
      </c>
      <c r="B2051" s="18" t="str">
        <f t="shared" ref="B2051:B2114" si="65">IF(C2051="","",B2050)</f>
        <v/>
      </c>
    </row>
    <row r="2052" spans="1:2" x14ac:dyDescent="0.25">
      <c r="A2052" s="15" t="str">
        <f t="shared" si="64"/>
        <v/>
      </c>
      <c r="B2052" s="18" t="str">
        <f t="shared" si="65"/>
        <v/>
      </c>
    </row>
    <row r="2053" spans="1:2" x14ac:dyDescent="0.25">
      <c r="A2053" s="15" t="str">
        <f t="shared" si="64"/>
        <v/>
      </c>
      <c r="B2053" s="18" t="str">
        <f t="shared" si="65"/>
        <v/>
      </c>
    </row>
    <row r="2054" spans="1:2" x14ac:dyDescent="0.25">
      <c r="A2054" s="15" t="str">
        <f t="shared" si="64"/>
        <v/>
      </c>
      <c r="B2054" s="18" t="str">
        <f t="shared" si="65"/>
        <v/>
      </c>
    </row>
    <row r="2055" spans="1:2" x14ac:dyDescent="0.25">
      <c r="A2055" s="15" t="str">
        <f t="shared" si="64"/>
        <v/>
      </c>
      <c r="B2055" s="18" t="str">
        <f t="shared" si="65"/>
        <v/>
      </c>
    </row>
    <row r="2056" spans="1:2" x14ac:dyDescent="0.25">
      <c r="A2056" s="15" t="str">
        <f t="shared" si="64"/>
        <v/>
      </c>
      <c r="B2056" s="18" t="str">
        <f t="shared" si="65"/>
        <v/>
      </c>
    </row>
    <row r="2057" spans="1:2" x14ac:dyDescent="0.25">
      <c r="A2057" s="15" t="str">
        <f t="shared" si="64"/>
        <v/>
      </c>
      <c r="B2057" s="18" t="str">
        <f t="shared" si="65"/>
        <v/>
      </c>
    </row>
    <row r="2058" spans="1:2" x14ac:dyDescent="0.25">
      <c r="A2058" s="15" t="str">
        <f t="shared" si="64"/>
        <v/>
      </c>
      <c r="B2058" s="18" t="str">
        <f t="shared" si="65"/>
        <v/>
      </c>
    </row>
    <row r="2059" spans="1:2" x14ac:dyDescent="0.25">
      <c r="A2059" s="15" t="str">
        <f t="shared" si="64"/>
        <v/>
      </c>
      <c r="B2059" s="18" t="str">
        <f t="shared" si="65"/>
        <v/>
      </c>
    </row>
    <row r="2060" spans="1:2" x14ac:dyDescent="0.25">
      <c r="A2060" s="15" t="str">
        <f t="shared" si="64"/>
        <v/>
      </c>
      <c r="B2060" s="18" t="str">
        <f t="shared" si="65"/>
        <v/>
      </c>
    </row>
    <row r="2061" spans="1:2" x14ac:dyDescent="0.25">
      <c r="A2061" s="15" t="str">
        <f t="shared" si="64"/>
        <v/>
      </c>
      <c r="B2061" s="18" t="str">
        <f t="shared" si="65"/>
        <v/>
      </c>
    </row>
    <row r="2062" spans="1:2" x14ac:dyDescent="0.25">
      <c r="A2062" s="15" t="str">
        <f t="shared" si="64"/>
        <v/>
      </c>
      <c r="B2062" s="18" t="str">
        <f t="shared" si="65"/>
        <v/>
      </c>
    </row>
    <row r="2063" spans="1:2" x14ac:dyDescent="0.25">
      <c r="A2063" s="15" t="str">
        <f t="shared" si="64"/>
        <v/>
      </c>
      <c r="B2063" s="18" t="str">
        <f t="shared" si="65"/>
        <v/>
      </c>
    </row>
    <row r="2064" spans="1:2" x14ac:dyDescent="0.25">
      <c r="A2064" s="15" t="str">
        <f t="shared" si="64"/>
        <v/>
      </c>
      <c r="B2064" s="18" t="str">
        <f t="shared" si="65"/>
        <v/>
      </c>
    </row>
    <row r="2065" spans="1:2" x14ac:dyDescent="0.25">
      <c r="A2065" s="15" t="str">
        <f t="shared" si="64"/>
        <v/>
      </c>
      <c r="B2065" s="18" t="str">
        <f t="shared" si="65"/>
        <v/>
      </c>
    </row>
    <row r="2066" spans="1:2" x14ac:dyDescent="0.25">
      <c r="A2066" s="15" t="str">
        <f t="shared" si="64"/>
        <v/>
      </c>
      <c r="B2066" s="18" t="str">
        <f t="shared" si="65"/>
        <v/>
      </c>
    </row>
    <row r="2067" spans="1:2" x14ac:dyDescent="0.25">
      <c r="A2067" s="15" t="str">
        <f t="shared" si="64"/>
        <v/>
      </c>
      <c r="B2067" s="18" t="str">
        <f t="shared" si="65"/>
        <v/>
      </c>
    </row>
    <row r="2068" spans="1:2" x14ac:dyDescent="0.25">
      <c r="A2068" s="15" t="str">
        <f t="shared" si="64"/>
        <v/>
      </c>
      <c r="B2068" s="18" t="str">
        <f t="shared" si="65"/>
        <v/>
      </c>
    </row>
    <row r="2069" spans="1:2" x14ac:dyDescent="0.25">
      <c r="A2069" s="15" t="str">
        <f t="shared" si="64"/>
        <v/>
      </c>
      <c r="B2069" s="18" t="str">
        <f t="shared" si="65"/>
        <v/>
      </c>
    </row>
    <row r="2070" spans="1:2" x14ac:dyDescent="0.25">
      <c r="A2070" s="15" t="str">
        <f t="shared" si="64"/>
        <v/>
      </c>
      <c r="B2070" s="18" t="str">
        <f t="shared" si="65"/>
        <v/>
      </c>
    </row>
    <row r="2071" spans="1:2" x14ac:dyDescent="0.25">
      <c r="A2071" s="15" t="str">
        <f t="shared" si="64"/>
        <v/>
      </c>
      <c r="B2071" s="18" t="str">
        <f t="shared" si="65"/>
        <v/>
      </c>
    </row>
    <row r="2072" spans="1:2" x14ac:dyDescent="0.25">
      <c r="A2072" s="15" t="str">
        <f t="shared" si="64"/>
        <v/>
      </c>
      <c r="B2072" s="18" t="str">
        <f t="shared" si="65"/>
        <v/>
      </c>
    </row>
    <row r="2073" spans="1:2" x14ac:dyDescent="0.25">
      <c r="A2073" s="15" t="str">
        <f t="shared" si="64"/>
        <v/>
      </c>
      <c r="B2073" s="18" t="str">
        <f t="shared" si="65"/>
        <v/>
      </c>
    </row>
    <row r="2074" spans="1:2" x14ac:dyDescent="0.25">
      <c r="A2074" s="15" t="str">
        <f t="shared" si="64"/>
        <v/>
      </c>
      <c r="B2074" s="18" t="str">
        <f t="shared" si="65"/>
        <v/>
      </c>
    </row>
    <row r="2075" spans="1:2" x14ac:dyDescent="0.25">
      <c r="A2075" s="15" t="str">
        <f t="shared" si="64"/>
        <v/>
      </c>
      <c r="B2075" s="18" t="str">
        <f t="shared" si="65"/>
        <v/>
      </c>
    </row>
    <row r="2076" spans="1:2" x14ac:dyDescent="0.25">
      <c r="A2076" s="15" t="str">
        <f t="shared" si="64"/>
        <v/>
      </c>
      <c r="B2076" s="18" t="str">
        <f t="shared" si="65"/>
        <v/>
      </c>
    </row>
    <row r="2077" spans="1:2" x14ac:dyDescent="0.25">
      <c r="A2077" s="15" t="str">
        <f t="shared" si="64"/>
        <v/>
      </c>
      <c r="B2077" s="18" t="str">
        <f t="shared" si="65"/>
        <v/>
      </c>
    </row>
    <row r="2078" spans="1:2" x14ac:dyDescent="0.25">
      <c r="A2078" s="15" t="str">
        <f t="shared" si="64"/>
        <v/>
      </c>
      <c r="B2078" s="18" t="str">
        <f t="shared" si="65"/>
        <v/>
      </c>
    </row>
    <row r="2079" spans="1:2" x14ac:dyDescent="0.25">
      <c r="A2079" s="15" t="str">
        <f t="shared" si="64"/>
        <v/>
      </c>
      <c r="B2079" s="18" t="str">
        <f t="shared" si="65"/>
        <v/>
      </c>
    </row>
    <row r="2080" spans="1:2" x14ac:dyDescent="0.25">
      <c r="A2080" s="15" t="str">
        <f t="shared" si="64"/>
        <v/>
      </c>
      <c r="B2080" s="18" t="str">
        <f t="shared" si="65"/>
        <v/>
      </c>
    </row>
    <row r="2081" spans="1:2" x14ac:dyDescent="0.25">
      <c r="A2081" s="15" t="str">
        <f t="shared" si="64"/>
        <v/>
      </c>
      <c r="B2081" s="18" t="str">
        <f t="shared" si="65"/>
        <v/>
      </c>
    </row>
    <row r="2082" spans="1:2" x14ac:dyDescent="0.25">
      <c r="A2082" s="15" t="str">
        <f t="shared" si="64"/>
        <v/>
      </c>
      <c r="B2082" s="18" t="str">
        <f t="shared" si="65"/>
        <v/>
      </c>
    </row>
    <row r="2083" spans="1:2" x14ac:dyDescent="0.25">
      <c r="A2083" s="15" t="str">
        <f t="shared" si="64"/>
        <v/>
      </c>
      <c r="B2083" s="18" t="str">
        <f t="shared" si="65"/>
        <v/>
      </c>
    </row>
    <row r="2084" spans="1:2" x14ac:dyDescent="0.25">
      <c r="A2084" s="15" t="str">
        <f t="shared" si="64"/>
        <v/>
      </c>
      <c r="B2084" s="18" t="str">
        <f t="shared" si="65"/>
        <v/>
      </c>
    </row>
    <row r="2085" spans="1:2" x14ac:dyDescent="0.25">
      <c r="A2085" s="15" t="str">
        <f t="shared" si="64"/>
        <v/>
      </c>
      <c r="B2085" s="18" t="str">
        <f t="shared" si="65"/>
        <v/>
      </c>
    </row>
    <row r="2086" spans="1:2" x14ac:dyDescent="0.25">
      <c r="A2086" s="15" t="str">
        <f t="shared" si="64"/>
        <v/>
      </c>
      <c r="B2086" s="18" t="str">
        <f t="shared" si="65"/>
        <v/>
      </c>
    </row>
    <row r="2087" spans="1:2" x14ac:dyDescent="0.25">
      <c r="A2087" s="15" t="str">
        <f t="shared" si="64"/>
        <v/>
      </c>
      <c r="B2087" s="18" t="str">
        <f t="shared" si="65"/>
        <v/>
      </c>
    </row>
    <row r="2088" spans="1:2" x14ac:dyDescent="0.25">
      <c r="A2088" s="15" t="str">
        <f t="shared" si="64"/>
        <v/>
      </c>
      <c r="B2088" s="18" t="str">
        <f t="shared" si="65"/>
        <v/>
      </c>
    </row>
    <row r="2089" spans="1:2" x14ac:dyDescent="0.25">
      <c r="A2089" s="15" t="str">
        <f t="shared" si="64"/>
        <v/>
      </c>
      <c r="B2089" s="18" t="str">
        <f t="shared" si="65"/>
        <v/>
      </c>
    </row>
    <row r="2090" spans="1:2" x14ac:dyDescent="0.25">
      <c r="A2090" s="15" t="str">
        <f t="shared" si="64"/>
        <v/>
      </c>
      <c r="B2090" s="18" t="str">
        <f t="shared" si="65"/>
        <v/>
      </c>
    </row>
    <row r="2091" spans="1:2" x14ac:dyDescent="0.25">
      <c r="A2091" s="15" t="str">
        <f t="shared" si="64"/>
        <v/>
      </c>
      <c r="B2091" s="18" t="str">
        <f t="shared" si="65"/>
        <v/>
      </c>
    </row>
    <row r="2092" spans="1:2" x14ac:dyDescent="0.25">
      <c r="A2092" s="15" t="str">
        <f t="shared" si="64"/>
        <v/>
      </c>
      <c r="B2092" s="18" t="str">
        <f t="shared" si="65"/>
        <v/>
      </c>
    </row>
    <row r="2093" spans="1:2" x14ac:dyDescent="0.25">
      <c r="A2093" s="15" t="str">
        <f t="shared" si="64"/>
        <v/>
      </c>
      <c r="B2093" s="18" t="str">
        <f t="shared" si="65"/>
        <v/>
      </c>
    </row>
    <row r="2094" spans="1:2" x14ac:dyDescent="0.25">
      <c r="A2094" s="15" t="str">
        <f t="shared" si="64"/>
        <v/>
      </c>
      <c r="B2094" s="18" t="str">
        <f t="shared" si="65"/>
        <v/>
      </c>
    </row>
    <row r="2095" spans="1:2" x14ac:dyDescent="0.25">
      <c r="A2095" s="15" t="str">
        <f t="shared" si="64"/>
        <v/>
      </c>
      <c r="B2095" s="18" t="str">
        <f t="shared" si="65"/>
        <v/>
      </c>
    </row>
    <row r="2096" spans="1:2" x14ac:dyDescent="0.25">
      <c r="A2096" s="15" t="str">
        <f t="shared" si="64"/>
        <v/>
      </c>
      <c r="B2096" s="18" t="str">
        <f t="shared" si="65"/>
        <v/>
      </c>
    </row>
    <row r="2097" spans="1:2" x14ac:dyDescent="0.25">
      <c r="A2097" s="15" t="str">
        <f t="shared" si="64"/>
        <v/>
      </c>
      <c r="B2097" s="18" t="str">
        <f t="shared" si="65"/>
        <v/>
      </c>
    </row>
    <row r="2098" spans="1:2" x14ac:dyDescent="0.25">
      <c r="A2098" s="15" t="str">
        <f t="shared" si="64"/>
        <v/>
      </c>
      <c r="B2098" s="18" t="str">
        <f t="shared" si="65"/>
        <v/>
      </c>
    </row>
    <row r="2099" spans="1:2" x14ac:dyDescent="0.25">
      <c r="A2099" s="15" t="str">
        <f t="shared" si="64"/>
        <v/>
      </c>
      <c r="B2099" s="18" t="str">
        <f t="shared" si="65"/>
        <v/>
      </c>
    </row>
    <row r="2100" spans="1:2" x14ac:dyDescent="0.25">
      <c r="A2100" s="15" t="str">
        <f t="shared" si="64"/>
        <v/>
      </c>
      <c r="B2100" s="18" t="str">
        <f t="shared" si="65"/>
        <v/>
      </c>
    </row>
    <row r="2101" spans="1:2" x14ac:dyDescent="0.25">
      <c r="A2101" s="15" t="str">
        <f t="shared" si="64"/>
        <v/>
      </c>
      <c r="B2101" s="18" t="str">
        <f t="shared" si="65"/>
        <v/>
      </c>
    </row>
    <row r="2102" spans="1:2" x14ac:dyDescent="0.25">
      <c r="A2102" s="15" t="str">
        <f t="shared" si="64"/>
        <v/>
      </c>
      <c r="B2102" s="18" t="str">
        <f t="shared" si="65"/>
        <v/>
      </c>
    </row>
    <row r="2103" spans="1:2" x14ac:dyDescent="0.25">
      <c r="A2103" s="15" t="str">
        <f t="shared" si="64"/>
        <v/>
      </c>
      <c r="B2103" s="18" t="str">
        <f t="shared" si="65"/>
        <v/>
      </c>
    </row>
    <row r="2104" spans="1:2" x14ac:dyDescent="0.25">
      <c r="A2104" s="15" t="str">
        <f t="shared" si="64"/>
        <v/>
      </c>
      <c r="B2104" s="18" t="str">
        <f t="shared" si="65"/>
        <v/>
      </c>
    </row>
    <row r="2105" spans="1:2" x14ac:dyDescent="0.25">
      <c r="A2105" s="15" t="str">
        <f t="shared" si="64"/>
        <v/>
      </c>
      <c r="B2105" s="18" t="str">
        <f t="shared" si="65"/>
        <v/>
      </c>
    </row>
    <row r="2106" spans="1:2" x14ac:dyDescent="0.25">
      <c r="A2106" s="15" t="str">
        <f t="shared" si="64"/>
        <v/>
      </c>
      <c r="B2106" s="18" t="str">
        <f t="shared" si="65"/>
        <v/>
      </c>
    </row>
    <row r="2107" spans="1:2" x14ac:dyDescent="0.25">
      <c r="A2107" s="15" t="str">
        <f t="shared" si="64"/>
        <v/>
      </c>
      <c r="B2107" s="18" t="str">
        <f t="shared" si="65"/>
        <v/>
      </c>
    </row>
    <row r="2108" spans="1:2" x14ac:dyDescent="0.25">
      <c r="A2108" s="15" t="str">
        <f t="shared" si="64"/>
        <v/>
      </c>
      <c r="B2108" s="18" t="str">
        <f t="shared" si="65"/>
        <v/>
      </c>
    </row>
    <row r="2109" spans="1:2" x14ac:dyDescent="0.25">
      <c r="A2109" s="15" t="str">
        <f t="shared" si="64"/>
        <v/>
      </c>
      <c r="B2109" s="18" t="str">
        <f t="shared" si="65"/>
        <v/>
      </c>
    </row>
    <row r="2110" spans="1:2" x14ac:dyDescent="0.25">
      <c r="A2110" s="15" t="str">
        <f t="shared" si="64"/>
        <v/>
      </c>
      <c r="B2110" s="18" t="str">
        <f t="shared" si="65"/>
        <v/>
      </c>
    </row>
    <row r="2111" spans="1:2" x14ac:dyDescent="0.25">
      <c r="A2111" s="15" t="str">
        <f t="shared" si="64"/>
        <v/>
      </c>
      <c r="B2111" s="18" t="str">
        <f t="shared" si="65"/>
        <v/>
      </c>
    </row>
    <row r="2112" spans="1:2" x14ac:dyDescent="0.25">
      <c r="A2112" s="15" t="str">
        <f t="shared" si="64"/>
        <v/>
      </c>
      <c r="B2112" s="18" t="str">
        <f t="shared" si="65"/>
        <v/>
      </c>
    </row>
    <row r="2113" spans="1:2" x14ac:dyDescent="0.25">
      <c r="A2113" s="15" t="str">
        <f t="shared" si="64"/>
        <v/>
      </c>
      <c r="B2113" s="18" t="str">
        <f t="shared" si="65"/>
        <v/>
      </c>
    </row>
    <row r="2114" spans="1:2" x14ac:dyDescent="0.25">
      <c r="A2114" s="15" t="str">
        <f t="shared" ref="A2114:A2177" si="66">B2114&amp;C2114</f>
        <v/>
      </c>
      <c r="B2114" s="18" t="str">
        <f t="shared" si="65"/>
        <v/>
      </c>
    </row>
    <row r="2115" spans="1:2" x14ac:dyDescent="0.25">
      <c r="A2115" s="15" t="str">
        <f t="shared" si="66"/>
        <v/>
      </c>
      <c r="B2115" s="18" t="str">
        <f t="shared" ref="B2115:B2178" si="67">IF(C2115="","",B2114)</f>
        <v/>
      </c>
    </row>
    <row r="2116" spans="1:2" x14ac:dyDescent="0.25">
      <c r="A2116" s="15" t="str">
        <f t="shared" si="66"/>
        <v/>
      </c>
      <c r="B2116" s="18" t="str">
        <f t="shared" si="67"/>
        <v/>
      </c>
    </row>
    <row r="2117" spans="1:2" x14ac:dyDescent="0.25">
      <c r="A2117" s="15" t="str">
        <f t="shared" si="66"/>
        <v/>
      </c>
      <c r="B2117" s="18" t="str">
        <f t="shared" si="67"/>
        <v/>
      </c>
    </row>
    <row r="2118" spans="1:2" x14ac:dyDescent="0.25">
      <c r="A2118" s="15" t="str">
        <f t="shared" si="66"/>
        <v/>
      </c>
      <c r="B2118" s="18" t="str">
        <f t="shared" si="67"/>
        <v/>
      </c>
    </row>
    <row r="2119" spans="1:2" x14ac:dyDescent="0.25">
      <c r="A2119" s="15" t="str">
        <f t="shared" si="66"/>
        <v/>
      </c>
      <c r="B2119" s="18" t="str">
        <f t="shared" si="67"/>
        <v/>
      </c>
    </row>
    <row r="2120" spans="1:2" x14ac:dyDescent="0.25">
      <c r="A2120" s="15" t="str">
        <f t="shared" si="66"/>
        <v/>
      </c>
      <c r="B2120" s="18" t="str">
        <f t="shared" si="67"/>
        <v/>
      </c>
    </row>
    <row r="2121" spans="1:2" x14ac:dyDescent="0.25">
      <c r="A2121" s="15" t="str">
        <f t="shared" si="66"/>
        <v/>
      </c>
      <c r="B2121" s="18" t="str">
        <f t="shared" si="67"/>
        <v/>
      </c>
    </row>
    <row r="2122" spans="1:2" x14ac:dyDescent="0.25">
      <c r="A2122" s="15" t="str">
        <f t="shared" si="66"/>
        <v/>
      </c>
      <c r="B2122" s="18" t="str">
        <f t="shared" si="67"/>
        <v/>
      </c>
    </row>
    <row r="2123" spans="1:2" x14ac:dyDescent="0.25">
      <c r="A2123" s="15" t="str">
        <f t="shared" si="66"/>
        <v/>
      </c>
      <c r="B2123" s="18" t="str">
        <f t="shared" si="67"/>
        <v/>
      </c>
    </row>
    <row r="2124" spans="1:2" x14ac:dyDescent="0.25">
      <c r="A2124" s="15" t="str">
        <f t="shared" si="66"/>
        <v/>
      </c>
      <c r="B2124" s="18" t="str">
        <f t="shared" si="67"/>
        <v/>
      </c>
    </row>
    <row r="2125" spans="1:2" x14ac:dyDescent="0.25">
      <c r="A2125" s="15" t="str">
        <f t="shared" si="66"/>
        <v/>
      </c>
      <c r="B2125" s="18" t="str">
        <f t="shared" si="67"/>
        <v/>
      </c>
    </row>
    <row r="2126" spans="1:2" x14ac:dyDescent="0.25">
      <c r="A2126" s="15" t="str">
        <f t="shared" si="66"/>
        <v/>
      </c>
      <c r="B2126" s="18" t="str">
        <f t="shared" si="67"/>
        <v/>
      </c>
    </row>
    <row r="2127" spans="1:2" x14ac:dyDescent="0.25">
      <c r="A2127" s="15" t="str">
        <f t="shared" si="66"/>
        <v/>
      </c>
      <c r="B2127" s="18" t="str">
        <f t="shared" si="67"/>
        <v/>
      </c>
    </row>
    <row r="2128" spans="1:2" x14ac:dyDescent="0.25">
      <c r="A2128" s="15" t="str">
        <f t="shared" si="66"/>
        <v/>
      </c>
      <c r="B2128" s="18" t="str">
        <f t="shared" si="67"/>
        <v/>
      </c>
    </row>
    <row r="2129" spans="1:2" x14ac:dyDescent="0.25">
      <c r="A2129" s="15" t="str">
        <f t="shared" si="66"/>
        <v/>
      </c>
      <c r="B2129" s="18" t="str">
        <f t="shared" si="67"/>
        <v/>
      </c>
    </row>
    <row r="2130" spans="1:2" x14ac:dyDescent="0.25">
      <c r="A2130" s="15" t="str">
        <f t="shared" si="66"/>
        <v/>
      </c>
      <c r="B2130" s="18" t="str">
        <f t="shared" si="67"/>
        <v/>
      </c>
    </row>
    <row r="2131" spans="1:2" x14ac:dyDescent="0.25">
      <c r="A2131" s="15" t="str">
        <f t="shared" si="66"/>
        <v/>
      </c>
      <c r="B2131" s="18" t="str">
        <f t="shared" si="67"/>
        <v/>
      </c>
    </row>
    <row r="2132" spans="1:2" x14ac:dyDescent="0.25">
      <c r="A2132" s="15" t="str">
        <f t="shared" si="66"/>
        <v/>
      </c>
      <c r="B2132" s="18" t="str">
        <f t="shared" si="67"/>
        <v/>
      </c>
    </row>
    <row r="2133" spans="1:2" x14ac:dyDescent="0.25">
      <c r="A2133" s="15" t="str">
        <f t="shared" si="66"/>
        <v/>
      </c>
      <c r="B2133" s="18" t="str">
        <f t="shared" si="67"/>
        <v/>
      </c>
    </row>
    <row r="2134" spans="1:2" x14ac:dyDescent="0.25">
      <c r="A2134" s="15" t="str">
        <f t="shared" si="66"/>
        <v/>
      </c>
      <c r="B2134" s="18" t="str">
        <f t="shared" si="67"/>
        <v/>
      </c>
    </row>
    <row r="2135" spans="1:2" x14ac:dyDescent="0.25">
      <c r="A2135" s="15" t="str">
        <f t="shared" si="66"/>
        <v/>
      </c>
      <c r="B2135" s="18" t="str">
        <f t="shared" si="67"/>
        <v/>
      </c>
    </row>
    <row r="2136" spans="1:2" x14ac:dyDescent="0.25">
      <c r="A2136" s="15" t="str">
        <f t="shared" si="66"/>
        <v/>
      </c>
      <c r="B2136" s="18" t="str">
        <f t="shared" si="67"/>
        <v/>
      </c>
    </row>
    <row r="2137" spans="1:2" x14ac:dyDescent="0.25">
      <c r="A2137" s="15" t="str">
        <f t="shared" si="66"/>
        <v/>
      </c>
      <c r="B2137" s="18" t="str">
        <f t="shared" si="67"/>
        <v/>
      </c>
    </row>
    <row r="2138" spans="1:2" x14ac:dyDescent="0.25">
      <c r="A2138" s="15" t="str">
        <f t="shared" si="66"/>
        <v/>
      </c>
      <c r="B2138" s="18" t="str">
        <f t="shared" si="67"/>
        <v/>
      </c>
    </row>
    <row r="2139" spans="1:2" x14ac:dyDescent="0.25">
      <c r="A2139" s="15" t="str">
        <f t="shared" si="66"/>
        <v/>
      </c>
      <c r="B2139" s="18" t="str">
        <f t="shared" si="67"/>
        <v/>
      </c>
    </row>
    <row r="2140" spans="1:2" x14ac:dyDescent="0.25">
      <c r="A2140" s="15" t="str">
        <f t="shared" si="66"/>
        <v/>
      </c>
      <c r="B2140" s="18" t="str">
        <f t="shared" si="67"/>
        <v/>
      </c>
    </row>
    <row r="2141" spans="1:2" x14ac:dyDescent="0.25">
      <c r="A2141" s="15" t="str">
        <f t="shared" si="66"/>
        <v/>
      </c>
      <c r="B2141" s="18" t="str">
        <f t="shared" si="67"/>
        <v/>
      </c>
    </row>
    <row r="2142" spans="1:2" x14ac:dyDescent="0.25">
      <c r="A2142" s="15" t="str">
        <f t="shared" si="66"/>
        <v/>
      </c>
      <c r="B2142" s="18" t="str">
        <f t="shared" si="67"/>
        <v/>
      </c>
    </row>
    <row r="2143" spans="1:2" x14ac:dyDescent="0.25">
      <c r="A2143" s="15" t="str">
        <f t="shared" si="66"/>
        <v/>
      </c>
      <c r="B2143" s="18" t="str">
        <f t="shared" si="67"/>
        <v/>
      </c>
    </row>
    <row r="2144" spans="1:2" x14ac:dyDescent="0.25">
      <c r="A2144" s="15" t="str">
        <f t="shared" si="66"/>
        <v/>
      </c>
      <c r="B2144" s="18" t="str">
        <f t="shared" si="67"/>
        <v/>
      </c>
    </row>
    <row r="2145" spans="1:2" x14ac:dyDescent="0.25">
      <c r="A2145" s="15" t="str">
        <f t="shared" si="66"/>
        <v/>
      </c>
      <c r="B2145" s="18" t="str">
        <f t="shared" si="67"/>
        <v/>
      </c>
    </row>
    <row r="2146" spans="1:2" x14ac:dyDescent="0.25">
      <c r="A2146" s="15" t="str">
        <f t="shared" si="66"/>
        <v/>
      </c>
      <c r="B2146" s="18" t="str">
        <f t="shared" si="67"/>
        <v/>
      </c>
    </row>
    <row r="2147" spans="1:2" x14ac:dyDescent="0.25">
      <c r="A2147" s="15" t="str">
        <f t="shared" si="66"/>
        <v/>
      </c>
      <c r="B2147" s="18" t="str">
        <f t="shared" si="67"/>
        <v/>
      </c>
    </row>
    <row r="2148" spans="1:2" x14ac:dyDescent="0.25">
      <c r="A2148" s="15" t="str">
        <f t="shared" si="66"/>
        <v/>
      </c>
      <c r="B2148" s="18" t="str">
        <f t="shared" si="67"/>
        <v/>
      </c>
    </row>
    <row r="2149" spans="1:2" x14ac:dyDescent="0.25">
      <c r="A2149" s="15" t="str">
        <f t="shared" si="66"/>
        <v/>
      </c>
      <c r="B2149" s="18" t="str">
        <f t="shared" si="67"/>
        <v/>
      </c>
    </row>
    <row r="2150" spans="1:2" x14ac:dyDescent="0.25">
      <c r="A2150" s="15" t="str">
        <f t="shared" si="66"/>
        <v/>
      </c>
      <c r="B2150" s="18" t="str">
        <f t="shared" si="67"/>
        <v/>
      </c>
    </row>
    <row r="2151" spans="1:2" x14ac:dyDescent="0.25">
      <c r="A2151" s="15" t="str">
        <f t="shared" si="66"/>
        <v/>
      </c>
      <c r="B2151" s="18" t="str">
        <f t="shared" si="67"/>
        <v/>
      </c>
    </row>
    <row r="2152" spans="1:2" x14ac:dyDescent="0.25">
      <c r="A2152" s="15" t="str">
        <f t="shared" si="66"/>
        <v/>
      </c>
      <c r="B2152" s="18" t="str">
        <f t="shared" si="67"/>
        <v/>
      </c>
    </row>
    <row r="2153" spans="1:2" x14ac:dyDescent="0.25">
      <c r="A2153" s="15" t="str">
        <f t="shared" si="66"/>
        <v/>
      </c>
      <c r="B2153" s="18" t="str">
        <f t="shared" si="67"/>
        <v/>
      </c>
    </row>
    <row r="2154" spans="1:2" x14ac:dyDescent="0.25">
      <c r="A2154" s="15" t="str">
        <f t="shared" si="66"/>
        <v/>
      </c>
      <c r="B2154" s="18" t="str">
        <f t="shared" si="67"/>
        <v/>
      </c>
    </row>
    <row r="2155" spans="1:2" x14ac:dyDescent="0.25">
      <c r="A2155" s="15" t="str">
        <f t="shared" si="66"/>
        <v/>
      </c>
      <c r="B2155" s="18" t="str">
        <f t="shared" si="67"/>
        <v/>
      </c>
    </row>
    <row r="2156" spans="1:2" x14ac:dyDescent="0.25">
      <c r="A2156" s="15" t="str">
        <f t="shared" si="66"/>
        <v/>
      </c>
      <c r="B2156" s="18" t="str">
        <f t="shared" si="67"/>
        <v/>
      </c>
    </row>
    <row r="2157" spans="1:2" x14ac:dyDescent="0.25">
      <c r="A2157" s="15" t="str">
        <f t="shared" si="66"/>
        <v/>
      </c>
      <c r="B2157" s="18" t="str">
        <f t="shared" si="67"/>
        <v/>
      </c>
    </row>
    <row r="2158" spans="1:2" x14ac:dyDescent="0.25">
      <c r="A2158" s="15" t="str">
        <f t="shared" si="66"/>
        <v/>
      </c>
      <c r="B2158" s="18" t="str">
        <f t="shared" si="67"/>
        <v/>
      </c>
    </row>
    <row r="2159" spans="1:2" x14ac:dyDescent="0.25">
      <c r="A2159" s="15" t="str">
        <f t="shared" si="66"/>
        <v/>
      </c>
      <c r="B2159" s="18" t="str">
        <f t="shared" si="67"/>
        <v/>
      </c>
    </row>
    <row r="2160" spans="1:2" x14ac:dyDescent="0.25">
      <c r="A2160" s="15" t="str">
        <f t="shared" si="66"/>
        <v/>
      </c>
      <c r="B2160" s="18" t="str">
        <f t="shared" si="67"/>
        <v/>
      </c>
    </row>
    <row r="2161" spans="1:2" x14ac:dyDescent="0.25">
      <c r="A2161" s="15" t="str">
        <f t="shared" si="66"/>
        <v/>
      </c>
      <c r="B2161" s="18" t="str">
        <f t="shared" si="67"/>
        <v/>
      </c>
    </row>
    <row r="2162" spans="1:2" x14ac:dyDescent="0.25">
      <c r="A2162" s="15" t="str">
        <f t="shared" si="66"/>
        <v/>
      </c>
      <c r="B2162" s="18" t="str">
        <f t="shared" si="67"/>
        <v/>
      </c>
    </row>
    <row r="2163" spans="1:2" x14ac:dyDescent="0.25">
      <c r="A2163" s="15" t="str">
        <f t="shared" si="66"/>
        <v/>
      </c>
      <c r="B2163" s="18" t="str">
        <f t="shared" si="67"/>
        <v/>
      </c>
    </row>
    <row r="2164" spans="1:2" x14ac:dyDescent="0.25">
      <c r="A2164" s="15" t="str">
        <f t="shared" si="66"/>
        <v/>
      </c>
      <c r="B2164" s="18" t="str">
        <f t="shared" si="67"/>
        <v/>
      </c>
    </row>
    <row r="2165" spans="1:2" x14ac:dyDescent="0.25">
      <c r="A2165" s="15" t="str">
        <f t="shared" si="66"/>
        <v/>
      </c>
      <c r="B2165" s="18" t="str">
        <f t="shared" si="67"/>
        <v/>
      </c>
    </row>
    <row r="2166" spans="1:2" x14ac:dyDescent="0.25">
      <c r="A2166" s="15" t="str">
        <f t="shared" si="66"/>
        <v/>
      </c>
      <c r="B2166" s="18" t="str">
        <f t="shared" si="67"/>
        <v/>
      </c>
    </row>
    <row r="2167" spans="1:2" x14ac:dyDescent="0.25">
      <c r="A2167" s="15" t="str">
        <f t="shared" si="66"/>
        <v/>
      </c>
      <c r="B2167" s="18" t="str">
        <f t="shared" si="67"/>
        <v/>
      </c>
    </row>
    <row r="2168" spans="1:2" x14ac:dyDescent="0.25">
      <c r="A2168" s="15" t="str">
        <f t="shared" si="66"/>
        <v/>
      </c>
      <c r="B2168" s="18" t="str">
        <f t="shared" si="67"/>
        <v/>
      </c>
    </row>
    <row r="2169" spans="1:2" x14ac:dyDescent="0.25">
      <c r="A2169" s="15" t="str">
        <f t="shared" si="66"/>
        <v/>
      </c>
      <c r="B2169" s="18" t="str">
        <f t="shared" si="67"/>
        <v/>
      </c>
    </row>
    <row r="2170" spans="1:2" x14ac:dyDescent="0.25">
      <c r="A2170" s="15" t="str">
        <f t="shared" si="66"/>
        <v/>
      </c>
      <c r="B2170" s="18" t="str">
        <f t="shared" si="67"/>
        <v/>
      </c>
    </row>
    <row r="2171" spans="1:2" x14ac:dyDescent="0.25">
      <c r="A2171" s="15" t="str">
        <f t="shared" si="66"/>
        <v/>
      </c>
      <c r="B2171" s="18" t="str">
        <f t="shared" si="67"/>
        <v/>
      </c>
    </row>
    <row r="2172" spans="1:2" x14ac:dyDescent="0.25">
      <c r="A2172" s="15" t="str">
        <f t="shared" si="66"/>
        <v/>
      </c>
      <c r="B2172" s="18" t="str">
        <f t="shared" si="67"/>
        <v/>
      </c>
    </row>
    <row r="2173" spans="1:2" x14ac:dyDescent="0.25">
      <c r="A2173" s="15" t="str">
        <f t="shared" si="66"/>
        <v/>
      </c>
      <c r="B2173" s="18" t="str">
        <f t="shared" si="67"/>
        <v/>
      </c>
    </row>
    <row r="2174" spans="1:2" x14ac:dyDescent="0.25">
      <c r="A2174" s="15" t="str">
        <f t="shared" si="66"/>
        <v/>
      </c>
      <c r="B2174" s="18" t="str">
        <f t="shared" si="67"/>
        <v/>
      </c>
    </row>
    <row r="2175" spans="1:2" x14ac:dyDescent="0.25">
      <c r="A2175" s="15" t="str">
        <f t="shared" si="66"/>
        <v/>
      </c>
      <c r="B2175" s="18" t="str">
        <f t="shared" si="67"/>
        <v/>
      </c>
    </row>
    <row r="2176" spans="1:2" x14ac:dyDescent="0.25">
      <c r="A2176" s="15" t="str">
        <f t="shared" si="66"/>
        <v/>
      </c>
      <c r="B2176" s="18" t="str">
        <f t="shared" si="67"/>
        <v/>
      </c>
    </row>
    <row r="2177" spans="1:2" x14ac:dyDescent="0.25">
      <c r="A2177" s="15" t="str">
        <f t="shared" si="66"/>
        <v/>
      </c>
      <c r="B2177" s="18" t="str">
        <f t="shared" si="67"/>
        <v/>
      </c>
    </row>
    <row r="2178" spans="1:2" x14ac:dyDescent="0.25">
      <c r="A2178" s="15" t="str">
        <f t="shared" ref="A2178:A2241" si="68">B2178&amp;C2178</f>
        <v/>
      </c>
      <c r="B2178" s="18" t="str">
        <f t="shared" si="67"/>
        <v/>
      </c>
    </row>
    <row r="2179" spans="1:2" x14ac:dyDescent="0.25">
      <c r="A2179" s="15" t="str">
        <f t="shared" si="68"/>
        <v/>
      </c>
      <c r="B2179" s="18" t="str">
        <f t="shared" ref="B2179:B2242" si="69">IF(C2179="","",B2178)</f>
        <v/>
      </c>
    </row>
    <row r="2180" spans="1:2" x14ac:dyDescent="0.25">
      <c r="A2180" s="15" t="str">
        <f t="shared" si="68"/>
        <v/>
      </c>
      <c r="B2180" s="18" t="str">
        <f t="shared" si="69"/>
        <v/>
      </c>
    </row>
    <row r="2181" spans="1:2" x14ac:dyDescent="0.25">
      <c r="A2181" s="15" t="str">
        <f t="shared" si="68"/>
        <v/>
      </c>
      <c r="B2181" s="18" t="str">
        <f t="shared" si="69"/>
        <v/>
      </c>
    </row>
    <row r="2182" spans="1:2" x14ac:dyDescent="0.25">
      <c r="A2182" s="15" t="str">
        <f t="shared" si="68"/>
        <v/>
      </c>
      <c r="B2182" s="18" t="str">
        <f t="shared" si="69"/>
        <v/>
      </c>
    </row>
    <row r="2183" spans="1:2" x14ac:dyDescent="0.25">
      <c r="A2183" s="15" t="str">
        <f t="shared" si="68"/>
        <v/>
      </c>
      <c r="B2183" s="18" t="str">
        <f t="shared" si="69"/>
        <v/>
      </c>
    </row>
    <row r="2184" spans="1:2" x14ac:dyDescent="0.25">
      <c r="A2184" s="15" t="str">
        <f t="shared" si="68"/>
        <v/>
      </c>
      <c r="B2184" s="18" t="str">
        <f t="shared" si="69"/>
        <v/>
      </c>
    </row>
    <row r="2185" spans="1:2" x14ac:dyDescent="0.25">
      <c r="A2185" s="15" t="str">
        <f t="shared" si="68"/>
        <v/>
      </c>
      <c r="B2185" s="18" t="str">
        <f t="shared" si="69"/>
        <v/>
      </c>
    </row>
    <row r="2186" spans="1:2" x14ac:dyDescent="0.25">
      <c r="A2186" s="15" t="str">
        <f t="shared" si="68"/>
        <v/>
      </c>
      <c r="B2186" s="18" t="str">
        <f t="shared" si="69"/>
        <v/>
      </c>
    </row>
    <row r="2187" spans="1:2" x14ac:dyDescent="0.25">
      <c r="A2187" s="15" t="str">
        <f t="shared" si="68"/>
        <v/>
      </c>
      <c r="B2187" s="18" t="str">
        <f t="shared" si="69"/>
        <v/>
      </c>
    </row>
    <row r="2188" spans="1:2" x14ac:dyDescent="0.25">
      <c r="A2188" s="15" t="str">
        <f t="shared" si="68"/>
        <v/>
      </c>
      <c r="B2188" s="18" t="str">
        <f t="shared" si="69"/>
        <v/>
      </c>
    </row>
    <row r="2189" spans="1:2" x14ac:dyDescent="0.25">
      <c r="A2189" s="15" t="str">
        <f t="shared" si="68"/>
        <v/>
      </c>
      <c r="B2189" s="18" t="str">
        <f t="shared" si="69"/>
        <v/>
      </c>
    </row>
    <row r="2190" spans="1:2" x14ac:dyDescent="0.25">
      <c r="A2190" s="15" t="str">
        <f t="shared" si="68"/>
        <v/>
      </c>
      <c r="B2190" s="18" t="str">
        <f t="shared" si="69"/>
        <v/>
      </c>
    </row>
    <row r="2191" spans="1:2" x14ac:dyDescent="0.25">
      <c r="A2191" s="15" t="str">
        <f t="shared" si="68"/>
        <v/>
      </c>
      <c r="B2191" s="18" t="str">
        <f t="shared" si="69"/>
        <v/>
      </c>
    </row>
    <row r="2192" spans="1:2" x14ac:dyDescent="0.25">
      <c r="A2192" s="15" t="str">
        <f t="shared" si="68"/>
        <v/>
      </c>
      <c r="B2192" s="18" t="str">
        <f t="shared" si="69"/>
        <v/>
      </c>
    </row>
    <row r="2193" spans="1:2" x14ac:dyDescent="0.25">
      <c r="A2193" s="15" t="str">
        <f t="shared" si="68"/>
        <v/>
      </c>
      <c r="B2193" s="18" t="str">
        <f t="shared" si="69"/>
        <v/>
      </c>
    </row>
    <row r="2194" spans="1:2" x14ac:dyDescent="0.25">
      <c r="A2194" s="15" t="str">
        <f t="shared" si="68"/>
        <v/>
      </c>
      <c r="B2194" s="18" t="str">
        <f t="shared" si="69"/>
        <v/>
      </c>
    </row>
    <row r="2195" spans="1:2" x14ac:dyDescent="0.25">
      <c r="A2195" s="15" t="str">
        <f t="shared" si="68"/>
        <v/>
      </c>
      <c r="B2195" s="18" t="str">
        <f t="shared" si="69"/>
        <v/>
      </c>
    </row>
    <row r="2196" spans="1:2" x14ac:dyDescent="0.25">
      <c r="A2196" s="15" t="str">
        <f t="shared" si="68"/>
        <v/>
      </c>
      <c r="B2196" s="18" t="str">
        <f t="shared" si="69"/>
        <v/>
      </c>
    </row>
    <row r="2197" spans="1:2" x14ac:dyDescent="0.25">
      <c r="A2197" s="15" t="str">
        <f t="shared" si="68"/>
        <v/>
      </c>
      <c r="B2197" s="18" t="str">
        <f t="shared" si="69"/>
        <v/>
      </c>
    </row>
    <row r="2198" spans="1:2" x14ac:dyDescent="0.25">
      <c r="A2198" s="15" t="str">
        <f t="shared" si="68"/>
        <v/>
      </c>
      <c r="B2198" s="18" t="str">
        <f t="shared" si="69"/>
        <v/>
      </c>
    </row>
    <row r="2199" spans="1:2" x14ac:dyDescent="0.25">
      <c r="A2199" s="15" t="str">
        <f t="shared" si="68"/>
        <v/>
      </c>
      <c r="B2199" s="18" t="str">
        <f t="shared" si="69"/>
        <v/>
      </c>
    </row>
    <row r="2200" spans="1:2" x14ac:dyDescent="0.25">
      <c r="A2200" s="15" t="str">
        <f t="shared" si="68"/>
        <v/>
      </c>
      <c r="B2200" s="18" t="str">
        <f t="shared" si="69"/>
        <v/>
      </c>
    </row>
    <row r="2201" spans="1:2" x14ac:dyDescent="0.25">
      <c r="A2201" s="15" t="str">
        <f t="shared" si="68"/>
        <v/>
      </c>
      <c r="B2201" s="18" t="str">
        <f t="shared" si="69"/>
        <v/>
      </c>
    </row>
    <row r="2202" spans="1:2" x14ac:dyDescent="0.25">
      <c r="A2202" s="15" t="str">
        <f t="shared" si="68"/>
        <v/>
      </c>
      <c r="B2202" s="18" t="str">
        <f t="shared" si="69"/>
        <v/>
      </c>
    </row>
    <row r="2203" spans="1:2" x14ac:dyDescent="0.25">
      <c r="A2203" s="15" t="str">
        <f t="shared" si="68"/>
        <v/>
      </c>
      <c r="B2203" s="18" t="str">
        <f t="shared" si="69"/>
        <v/>
      </c>
    </row>
    <row r="2204" spans="1:2" x14ac:dyDescent="0.25">
      <c r="A2204" s="15" t="str">
        <f t="shared" si="68"/>
        <v/>
      </c>
      <c r="B2204" s="18" t="str">
        <f t="shared" si="69"/>
        <v/>
      </c>
    </row>
    <row r="2205" spans="1:2" x14ac:dyDescent="0.25">
      <c r="A2205" s="15" t="str">
        <f t="shared" si="68"/>
        <v/>
      </c>
      <c r="B2205" s="18" t="str">
        <f t="shared" si="69"/>
        <v/>
      </c>
    </row>
    <row r="2206" spans="1:2" x14ac:dyDescent="0.25">
      <c r="A2206" s="15" t="str">
        <f t="shared" si="68"/>
        <v/>
      </c>
      <c r="B2206" s="18" t="str">
        <f t="shared" si="69"/>
        <v/>
      </c>
    </row>
    <row r="2207" spans="1:2" x14ac:dyDescent="0.25">
      <c r="A2207" s="15" t="str">
        <f t="shared" si="68"/>
        <v/>
      </c>
      <c r="B2207" s="18" t="str">
        <f t="shared" si="69"/>
        <v/>
      </c>
    </row>
    <row r="2208" spans="1:2" x14ac:dyDescent="0.25">
      <c r="A2208" s="15" t="str">
        <f t="shared" si="68"/>
        <v/>
      </c>
      <c r="B2208" s="18" t="str">
        <f t="shared" si="69"/>
        <v/>
      </c>
    </row>
    <row r="2209" spans="1:2" x14ac:dyDescent="0.25">
      <c r="A2209" s="15" t="str">
        <f t="shared" si="68"/>
        <v/>
      </c>
      <c r="B2209" s="18" t="str">
        <f t="shared" si="69"/>
        <v/>
      </c>
    </row>
    <row r="2210" spans="1:2" x14ac:dyDescent="0.25">
      <c r="A2210" s="15" t="str">
        <f t="shared" si="68"/>
        <v/>
      </c>
      <c r="B2210" s="18" t="str">
        <f t="shared" si="69"/>
        <v/>
      </c>
    </row>
    <row r="2211" spans="1:2" x14ac:dyDescent="0.25">
      <c r="A2211" s="15" t="str">
        <f t="shared" si="68"/>
        <v/>
      </c>
      <c r="B2211" s="18" t="str">
        <f t="shared" si="69"/>
        <v/>
      </c>
    </row>
    <row r="2212" spans="1:2" x14ac:dyDescent="0.25">
      <c r="A2212" s="15" t="str">
        <f t="shared" si="68"/>
        <v/>
      </c>
      <c r="B2212" s="18" t="str">
        <f t="shared" si="69"/>
        <v/>
      </c>
    </row>
    <row r="2213" spans="1:2" x14ac:dyDescent="0.25">
      <c r="A2213" s="15" t="str">
        <f t="shared" si="68"/>
        <v/>
      </c>
      <c r="B2213" s="18" t="str">
        <f t="shared" si="69"/>
        <v/>
      </c>
    </row>
    <row r="2214" spans="1:2" x14ac:dyDescent="0.25">
      <c r="A2214" s="15" t="str">
        <f t="shared" si="68"/>
        <v/>
      </c>
      <c r="B2214" s="18" t="str">
        <f t="shared" si="69"/>
        <v/>
      </c>
    </row>
    <row r="2215" spans="1:2" x14ac:dyDescent="0.25">
      <c r="A2215" s="15" t="str">
        <f t="shared" si="68"/>
        <v/>
      </c>
      <c r="B2215" s="18" t="str">
        <f t="shared" si="69"/>
        <v/>
      </c>
    </row>
    <row r="2216" spans="1:2" x14ac:dyDescent="0.25">
      <c r="A2216" s="15" t="str">
        <f t="shared" si="68"/>
        <v/>
      </c>
      <c r="B2216" s="18" t="str">
        <f t="shared" si="69"/>
        <v/>
      </c>
    </row>
    <row r="2217" spans="1:2" x14ac:dyDescent="0.25">
      <c r="A2217" s="15" t="str">
        <f t="shared" si="68"/>
        <v/>
      </c>
      <c r="B2217" s="18" t="str">
        <f t="shared" si="69"/>
        <v/>
      </c>
    </row>
    <row r="2218" spans="1:2" x14ac:dyDescent="0.25">
      <c r="A2218" s="15" t="str">
        <f t="shared" si="68"/>
        <v/>
      </c>
      <c r="B2218" s="18" t="str">
        <f t="shared" si="69"/>
        <v/>
      </c>
    </row>
    <row r="2219" spans="1:2" x14ac:dyDescent="0.25">
      <c r="A2219" s="15" t="str">
        <f t="shared" si="68"/>
        <v/>
      </c>
      <c r="B2219" s="18" t="str">
        <f t="shared" si="69"/>
        <v/>
      </c>
    </row>
    <row r="2220" spans="1:2" x14ac:dyDescent="0.25">
      <c r="A2220" s="15" t="str">
        <f t="shared" si="68"/>
        <v/>
      </c>
      <c r="B2220" s="18" t="str">
        <f t="shared" si="69"/>
        <v/>
      </c>
    </row>
    <row r="2221" spans="1:2" x14ac:dyDescent="0.25">
      <c r="A2221" s="15" t="str">
        <f t="shared" si="68"/>
        <v/>
      </c>
      <c r="B2221" s="18" t="str">
        <f t="shared" si="69"/>
        <v/>
      </c>
    </row>
    <row r="2222" spans="1:2" x14ac:dyDescent="0.25">
      <c r="A2222" s="15" t="str">
        <f t="shared" si="68"/>
        <v/>
      </c>
      <c r="B2222" s="18" t="str">
        <f t="shared" si="69"/>
        <v/>
      </c>
    </row>
    <row r="2223" spans="1:2" x14ac:dyDescent="0.25">
      <c r="A2223" s="15" t="str">
        <f t="shared" si="68"/>
        <v/>
      </c>
      <c r="B2223" s="18" t="str">
        <f t="shared" si="69"/>
        <v/>
      </c>
    </row>
    <row r="2224" spans="1:2" x14ac:dyDescent="0.25">
      <c r="A2224" s="15" t="str">
        <f t="shared" si="68"/>
        <v/>
      </c>
      <c r="B2224" s="18" t="str">
        <f t="shared" si="69"/>
        <v/>
      </c>
    </row>
    <row r="2225" spans="1:2" x14ac:dyDescent="0.25">
      <c r="A2225" s="15" t="str">
        <f t="shared" si="68"/>
        <v/>
      </c>
      <c r="B2225" s="18" t="str">
        <f t="shared" si="69"/>
        <v/>
      </c>
    </row>
    <row r="2226" spans="1:2" x14ac:dyDescent="0.25">
      <c r="A2226" s="15" t="str">
        <f t="shared" si="68"/>
        <v/>
      </c>
      <c r="B2226" s="18" t="str">
        <f t="shared" si="69"/>
        <v/>
      </c>
    </row>
    <row r="2227" spans="1:2" x14ac:dyDescent="0.25">
      <c r="A2227" s="15" t="str">
        <f t="shared" si="68"/>
        <v/>
      </c>
      <c r="B2227" s="18" t="str">
        <f t="shared" si="69"/>
        <v/>
      </c>
    </row>
    <row r="2228" spans="1:2" x14ac:dyDescent="0.25">
      <c r="A2228" s="15" t="str">
        <f t="shared" si="68"/>
        <v/>
      </c>
      <c r="B2228" s="18" t="str">
        <f t="shared" si="69"/>
        <v/>
      </c>
    </row>
    <row r="2229" spans="1:2" x14ac:dyDescent="0.25">
      <c r="A2229" s="15" t="str">
        <f t="shared" si="68"/>
        <v/>
      </c>
      <c r="B2229" s="18" t="str">
        <f t="shared" si="69"/>
        <v/>
      </c>
    </row>
    <row r="2230" spans="1:2" x14ac:dyDescent="0.25">
      <c r="A2230" s="15" t="str">
        <f t="shared" si="68"/>
        <v/>
      </c>
      <c r="B2230" s="18" t="str">
        <f t="shared" si="69"/>
        <v/>
      </c>
    </row>
    <row r="2231" spans="1:2" x14ac:dyDescent="0.25">
      <c r="A2231" s="15" t="str">
        <f t="shared" si="68"/>
        <v/>
      </c>
      <c r="B2231" s="18" t="str">
        <f t="shared" si="69"/>
        <v/>
      </c>
    </row>
    <row r="2232" spans="1:2" x14ac:dyDescent="0.25">
      <c r="A2232" s="15" t="str">
        <f t="shared" si="68"/>
        <v/>
      </c>
      <c r="B2232" s="18" t="str">
        <f t="shared" si="69"/>
        <v/>
      </c>
    </row>
    <row r="2233" spans="1:2" x14ac:dyDescent="0.25">
      <c r="A2233" s="15" t="str">
        <f t="shared" si="68"/>
        <v/>
      </c>
      <c r="B2233" s="18" t="str">
        <f t="shared" si="69"/>
        <v/>
      </c>
    </row>
    <row r="2234" spans="1:2" x14ac:dyDescent="0.25">
      <c r="A2234" s="15" t="str">
        <f t="shared" si="68"/>
        <v/>
      </c>
      <c r="B2234" s="18" t="str">
        <f t="shared" si="69"/>
        <v/>
      </c>
    </row>
    <row r="2235" spans="1:2" x14ac:dyDescent="0.25">
      <c r="A2235" s="15" t="str">
        <f t="shared" si="68"/>
        <v/>
      </c>
      <c r="B2235" s="18" t="str">
        <f t="shared" si="69"/>
        <v/>
      </c>
    </row>
    <row r="2236" spans="1:2" x14ac:dyDescent="0.25">
      <c r="A2236" s="15" t="str">
        <f t="shared" si="68"/>
        <v/>
      </c>
      <c r="B2236" s="18" t="str">
        <f t="shared" si="69"/>
        <v/>
      </c>
    </row>
    <row r="2237" spans="1:2" x14ac:dyDescent="0.25">
      <c r="A2237" s="15" t="str">
        <f t="shared" si="68"/>
        <v/>
      </c>
      <c r="B2237" s="18" t="str">
        <f t="shared" si="69"/>
        <v/>
      </c>
    </row>
    <row r="2238" spans="1:2" x14ac:dyDescent="0.25">
      <c r="A2238" s="15" t="str">
        <f t="shared" si="68"/>
        <v/>
      </c>
      <c r="B2238" s="18" t="str">
        <f t="shared" si="69"/>
        <v/>
      </c>
    </row>
    <row r="2239" spans="1:2" x14ac:dyDescent="0.25">
      <c r="A2239" s="15" t="str">
        <f t="shared" si="68"/>
        <v/>
      </c>
      <c r="B2239" s="18" t="str">
        <f t="shared" si="69"/>
        <v/>
      </c>
    </row>
    <row r="2240" spans="1:2" x14ac:dyDescent="0.25">
      <c r="A2240" s="15" t="str">
        <f t="shared" si="68"/>
        <v/>
      </c>
      <c r="B2240" s="18" t="str">
        <f t="shared" si="69"/>
        <v/>
      </c>
    </row>
    <row r="2241" spans="1:2" x14ac:dyDescent="0.25">
      <c r="A2241" s="15" t="str">
        <f t="shared" si="68"/>
        <v/>
      </c>
      <c r="B2241" s="18" t="str">
        <f t="shared" si="69"/>
        <v/>
      </c>
    </row>
    <row r="2242" spans="1:2" x14ac:dyDescent="0.25">
      <c r="A2242" s="15" t="str">
        <f t="shared" ref="A2242:A2305" si="70">B2242&amp;C2242</f>
        <v/>
      </c>
      <c r="B2242" s="18" t="str">
        <f t="shared" si="69"/>
        <v/>
      </c>
    </row>
    <row r="2243" spans="1:2" x14ac:dyDescent="0.25">
      <c r="A2243" s="15" t="str">
        <f t="shared" si="70"/>
        <v/>
      </c>
      <c r="B2243" s="18" t="str">
        <f t="shared" ref="B2243:B2306" si="71">IF(C2243="","",B2242)</f>
        <v/>
      </c>
    </row>
    <row r="2244" spans="1:2" x14ac:dyDescent="0.25">
      <c r="A2244" s="15" t="str">
        <f t="shared" si="70"/>
        <v/>
      </c>
      <c r="B2244" s="18" t="str">
        <f t="shared" si="71"/>
        <v/>
      </c>
    </row>
    <row r="2245" spans="1:2" x14ac:dyDescent="0.25">
      <c r="A2245" s="15" t="str">
        <f t="shared" si="70"/>
        <v/>
      </c>
      <c r="B2245" s="18" t="str">
        <f t="shared" si="71"/>
        <v/>
      </c>
    </row>
    <row r="2246" spans="1:2" x14ac:dyDescent="0.25">
      <c r="A2246" s="15" t="str">
        <f t="shared" si="70"/>
        <v/>
      </c>
      <c r="B2246" s="18" t="str">
        <f t="shared" si="71"/>
        <v/>
      </c>
    </row>
    <row r="2247" spans="1:2" x14ac:dyDescent="0.25">
      <c r="A2247" s="15" t="str">
        <f t="shared" si="70"/>
        <v/>
      </c>
      <c r="B2247" s="18" t="str">
        <f t="shared" si="71"/>
        <v/>
      </c>
    </row>
    <row r="2248" spans="1:2" x14ac:dyDescent="0.25">
      <c r="A2248" s="15" t="str">
        <f t="shared" si="70"/>
        <v/>
      </c>
      <c r="B2248" s="18" t="str">
        <f t="shared" si="71"/>
        <v/>
      </c>
    </row>
    <row r="2249" spans="1:2" x14ac:dyDescent="0.25">
      <c r="A2249" s="15" t="str">
        <f t="shared" si="70"/>
        <v/>
      </c>
      <c r="B2249" s="18" t="str">
        <f t="shared" si="71"/>
        <v/>
      </c>
    </row>
    <row r="2250" spans="1:2" x14ac:dyDescent="0.25">
      <c r="A2250" s="15" t="str">
        <f t="shared" si="70"/>
        <v/>
      </c>
      <c r="B2250" s="18" t="str">
        <f t="shared" si="71"/>
        <v/>
      </c>
    </row>
    <row r="2251" spans="1:2" x14ac:dyDescent="0.25">
      <c r="A2251" s="15" t="str">
        <f t="shared" si="70"/>
        <v/>
      </c>
      <c r="B2251" s="18" t="str">
        <f t="shared" si="71"/>
        <v/>
      </c>
    </row>
    <row r="2252" spans="1:2" x14ac:dyDescent="0.25">
      <c r="A2252" s="15" t="str">
        <f t="shared" si="70"/>
        <v/>
      </c>
      <c r="B2252" s="18" t="str">
        <f t="shared" si="71"/>
        <v/>
      </c>
    </row>
    <row r="2253" spans="1:2" x14ac:dyDescent="0.25">
      <c r="A2253" s="15" t="str">
        <f t="shared" si="70"/>
        <v/>
      </c>
      <c r="B2253" s="18" t="str">
        <f t="shared" si="71"/>
        <v/>
      </c>
    </row>
    <row r="2254" spans="1:2" x14ac:dyDescent="0.25">
      <c r="A2254" s="15" t="str">
        <f t="shared" si="70"/>
        <v/>
      </c>
      <c r="B2254" s="18" t="str">
        <f t="shared" si="71"/>
        <v/>
      </c>
    </row>
    <row r="2255" spans="1:2" x14ac:dyDescent="0.25">
      <c r="A2255" s="15" t="str">
        <f t="shared" si="70"/>
        <v/>
      </c>
      <c r="B2255" s="18" t="str">
        <f t="shared" si="71"/>
        <v/>
      </c>
    </row>
    <row r="2256" spans="1:2" x14ac:dyDescent="0.25">
      <c r="A2256" s="15" t="str">
        <f t="shared" si="70"/>
        <v/>
      </c>
      <c r="B2256" s="18" t="str">
        <f t="shared" si="71"/>
        <v/>
      </c>
    </row>
    <row r="2257" spans="1:2" x14ac:dyDescent="0.25">
      <c r="A2257" s="15" t="str">
        <f t="shared" si="70"/>
        <v/>
      </c>
      <c r="B2257" s="18" t="str">
        <f t="shared" si="71"/>
        <v/>
      </c>
    </row>
    <row r="2258" spans="1:2" x14ac:dyDescent="0.25">
      <c r="A2258" s="15" t="str">
        <f t="shared" si="70"/>
        <v/>
      </c>
      <c r="B2258" s="18" t="str">
        <f t="shared" si="71"/>
        <v/>
      </c>
    </row>
    <row r="2259" spans="1:2" x14ac:dyDescent="0.25">
      <c r="A2259" s="15" t="str">
        <f t="shared" si="70"/>
        <v/>
      </c>
      <c r="B2259" s="18" t="str">
        <f t="shared" si="71"/>
        <v/>
      </c>
    </row>
    <row r="2260" spans="1:2" x14ac:dyDescent="0.25">
      <c r="A2260" s="15" t="str">
        <f t="shared" si="70"/>
        <v/>
      </c>
      <c r="B2260" s="18" t="str">
        <f t="shared" si="71"/>
        <v/>
      </c>
    </row>
    <row r="2261" spans="1:2" x14ac:dyDescent="0.25">
      <c r="A2261" s="15" t="str">
        <f t="shared" si="70"/>
        <v/>
      </c>
      <c r="B2261" s="18" t="str">
        <f t="shared" si="71"/>
        <v/>
      </c>
    </row>
    <row r="2262" spans="1:2" x14ac:dyDescent="0.25">
      <c r="A2262" s="15" t="str">
        <f t="shared" si="70"/>
        <v/>
      </c>
      <c r="B2262" s="18" t="str">
        <f t="shared" si="71"/>
        <v/>
      </c>
    </row>
    <row r="2263" spans="1:2" x14ac:dyDescent="0.25">
      <c r="A2263" s="15" t="str">
        <f t="shared" si="70"/>
        <v/>
      </c>
      <c r="B2263" s="18" t="str">
        <f t="shared" si="71"/>
        <v/>
      </c>
    </row>
    <row r="2264" spans="1:2" x14ac:dyDescent="0.25">
      <c r="A2264" s="15" t="str">
        <f t="shared" si="70"/>
        <v/>
      </c>
      <c r="B2264" s="18" t="str">
        <f t="shared" si="71"/>
        <v/>
      </c>
    </row>
    <row r="2265" spans="1:2" x14ac:dyDescent="0.25">
      <c r="A2265" s="15" t="str">
        <f t="shared" si="70"/>
        <v/>
      </c>
      <c r="B2265" s="18" t="str">
        <f t="shared" si="71"/>
        <v/>
      </c>
    </row>
    <row r="2266" spans="1:2" x14ac:dyDescent="0.25">
      <c r="A2266" s="15" t="str">
        <f t="shared" si="70"/>
        <v/>
      </c>
      <c r="B2266" s="18" t="str">
        <f t="shared" si="71"/>
        <v/>
      </c>
    </row>
    <row r="2267" spans="1:2" x14ac:dyDescent="0.25">
      <c r="A2267" s="15" t="str">
        <f t="shared" si="70"/>
        <v/>
      </c>
      <c r="B2267" s="18" t="str">
        <f t="shared" si="71"/>
        <v/>
      </c>
    </row>
    <row r="2268" spans="1:2" x14ac:dyDescent="0.25">
      <c r="A2268" s="15" t="str">
        <f t="shared" si="70"/>
        <v/>
      </c>
      <c r="B2268" s="18" t="str">
        <f t="shared" si="71"/>
        <v/>
      </c>
    </row>
    <row r="2269" spans="1:2" x14ac:dyDescent="0.25">
      <c r="A2269" s="15" t="str">
        <f t="shared" si="70"/>
        <v/>
      </c>
      <c r="B2269" s="18" t="str">
        <f t="shared" si="71"/>
        <v/>
      </c>
    </row>
    <row r="2270" spans="1:2" x14ac:dyDescent="0.25">
      <c r="A2270" s="15" t="str">
        <f t="shared" si="70"/>
        <v/>
      </c>
      <c r="B2270" s="18" t="str">
        <f t="shared" si="71"/>
        <v/>
      </c>
    </row>
    <row r="2271" spans="1:2" x14ac:dyDescent="0.25">
      <c r="A2271" s="15" t="str">
        <f t="shared" si="70"/>
        <v/>
      </c>
      <c r="B2271" s="18" t="str">
        <f t="shared" si="71"/>
        <v/>
      </c>
    </row>
    <row r="2272" spans="1:2" x14ac:dyDescent="0.25">
      <c r="A2272" s="15" t="str">
        <f t="shared" si="70"/>
        <v/>
      </c>
      <c r="B2272" s="18" t="str">
        <f t="shared" si="71"/>
        <v/>
      </c>
    </row>
    <row r="2273" spans="1:2" x14ac:dyDescent="0.25">
      <c r="A2273" s="15" t="str">
        <f t="shared" si="70"/>
        <v/>
      </c>
      <c r="B2273" s="18" t="str">
        <f t="shared" si="71"/>
        <v/>
      </c>
    </row>
    <row r="2274" spans="1:2" x14ac:dyDescent="0.25">
      <c r="A2274" s="15" t="str">
        <f t="shared" si="70"/>
        <v/>
      </c>
      <c r="B2274" s="18" t="str">
        <f t="shared" si="71"/>
        <v/>
      </c>
    </row>
    <row r="2275" spans="1:2" x14ac:dyDescent="0.25">
      <c r="A2275" s="15" t="str">
        <f t="shared" si="70"/>
        <v/>
      </c>
      <c r="B2275" s="18" t="str">
        <f t="shared" si="71"/>
        <v/>
      </c>
    </row>
    <row r="2276" spans="1:2" x14ac:dyDescent="0.25">
      <c r="A2276" s="15" t="str">
        <f t="shared" si="70"/>
        <v/>
      </c>
      <c r="B2276" s="18" t="str">
        <f t="shared" si="71"/>
        <v/>
      </c>
    </row>
    <row r="2277" spans="1:2" x14ac:dyDescent="0.25">
      <c r="A2277" s="15" t="str">
        <f t="shared" si="70"/>
        <v/>
      </c>
      <c r="B2277" s="18" t="str">
        <f t="shared" si="71"/>
        <v/>
      </c>
    </row>
    <row r="2278" spans="1:2" x14ac:dyDescent="0.25">
      <c r="A2278" s="15" t="str">
        <f t="shared" si="70"/>
        <v/>
      </c>
      <c r="B2278" s="18" t="str">
        <f t="shared" si="71"/>
        <v/>
      </c>
    </row>
    <row r="2279" spans="1:2" x14ac:dyDescent="0.25">
      <c r="A2279" s="15" t="str">
        <f t="shared" si="70"/>
        <v/>
      </c>
      <c r="B2279" s="18" t="str">
        <f t="shared" si="71"/>
        <v/>
      </c>
    </row>
    <row r="2280" spans="1:2" x14ac:dyDescent="0.25">
      <c r="A2280" s="15" t="str">
        <f t="shared" si="70"/>
        <v/>
      </c>
      <c r="B2280" s="18" t="str">
        <f t="shared" si="71"/>
        <v/>
      </c>
    </row>
    <row r="2281" spans="1:2" x14ac:dyDescent="0.25">
      <c r="A2281" s="15" t="str">
        <f t="shared" si="70"/>
        <v/>
      </c>
      <c r="B2281" s="18" t="str">
        <f t="shared" si="71"/>
        <v/>
      </c>
    </row>
    <row r="2282" spans="1:2" x14ac:dyDescent="0.25">
      <c r="A2282" s="15" t="str">
        <f t="shared" si="70"/>
        <v/>
      </c>
      <c r="B2282" s="18" t="str">
        <f t="shared" si="71"/>
        <v/>
      </c>
    </row>
    <row r="2283" spans="1:2" x14ac:dyDescent="0.25">
      <c r="A2283" s="15" t="str">
        <f t="shared" si="70"/>
        <v/>
      </c>
      <c r="B2283" s="18" t="str">
        <f t="shared" si="71"/>
        <v/>
      </c>
    </row>
    <row r="2284" spans="1:2" x14ac:dyDescent="0.25">
      <c r="A2284" s="15" t="str">
        <f t="shared" si="70"/>
        <v/>
      </c>
      <c r="B2284" s="18" t="str">
        <f t="shared" si="71"/>
        <v/>
      </c>
    </row>
    <row r="2285" spans="1:2" x14ac:dyDescent="0.25">
      <c r="A2285" s="15" t="str">
        <f t="shared" si="70"/>
        <v/>
      </c>
      <c r="B2285" s="18" t="str">
        <f t="shared" si="71"/>
        <v/>
      </c>
    </row>
    <row r="2286" spans="1:2" x14ac:dyDescent="0.25">
      <c r="A2286" s="15" t="str">
        <f t="shared" si="70"/>
        <v/>
      </c>
      <c r="B2286" s="18" t="str">
        <f t="shared" si="71"/>
        <v/>
      </c>
    </row>
    <row r="2287" spans="1:2" x14ac:dyDescent="0.25">
      <c r="A2287" s="15" t="str">
        <f t="shared" si="70"/>
        <v/>
      </c>
      <c r="B2287" s="18" t="str">
        <f t="shared" si="71"/>
        <v/>
      </c>
    </row>
    <row r="2288" spans="1:2" x14ac:dyDescent="0.25">
      <c r="A2288" s="15" t="str">
        <f t="shared" si="70"/>
        <v/>
      </c>
      <c r="B2288" s="18" t="str">
        <f t="shared" si="71"/>
        <v/>
      </c>
    </row>
    <row r="2289" spans="1:2" x14ac:dyDescent="0.25">
      <c r="A2289" s="15" t="str">
        <f t="shared" si="70"/>
        <v/>
      </c>
      <c r="B2289" s="18" t="str">
        <f t="shared" si="71"/>
        <v/>
      </c>
    </row>
    <row r="2290" spans="1:2" x14ac:dyDescent="0.25">
      <c r="A2290" s="15" t="str">
        <f t="shared" si="70"/>
        <v/>
      </c>
      <c r="B2290" s="18" t="str">
        <f t="shared" si="71"/>
        <v/>
      </c>
    </row>
    <row r="2291" spans="1:2" x14ac:dyDescent="0.25">
      <c r="A2291" s="15" t="str">
        <f t="shared" si="70"/>
        <v/>
      </c>
      <c r="B2291" s="18" t="str">
        <f t="shared" si="71"/>
        <v/>
      </c>
    </row>
    <row r="2292" spans="1:2" x14ac:dyDescent="0.25">
      <c r="A2292" s="15" t="str">
        <f t="shared" si="70"/>
        <v/>
      </c>
      <c r="B2292" s="18" t="str">
        <f t="shared" si="71"/>
        <v/>
      </c>
    </row>
    <row r="2293" spans="1:2" x14ac:dyDescent="0.25">
      <c r="A2293" s="15" t="str">
        <f t="shared" si="70"/>
        <v/>
      </c>
      <c r="B2293" s="18" t="str">
        <f t="shared" si="71"/>
        <v/>
      </c>
    </row>
    <row r="2294" spans="1:2" x14ac:dyDescent="0.25">
      <c r="A2294" s="15" t="str">
        <f t="shared" si="70"/>
        <v/>
      </c>
      <c r="B2294" s="18" t="str">
        <f t="shared" si="71"/>
        <v/>
      </c>
    </row>
    <row r="2295" spans="1:2" x14ac:dyDescent="0.25">
      <c r="A2295" s="15" t="str">
        <f t="shared" si="70"/>
        <v/>
      </c>
      <c r="B2295" s="18" t="str">
        <f t="shared" si="71"/>
        <v/>
      </c>
    </row>
    <row r="2296" spans="1:2" x14ac:dyDescent="0.25">
      <c r="A2296" s="15" t="str">
        <f t="shared" si="70"/>
        <v/>
      </c>
      <c r="B2296" s="18" t="str">
        <f t="shared" si="71"/>
        <v/>
      </c>
    </row>
    <row r="2297" spans="1:2" x14ac:dyDescent="0.25">
      <c r="A2297" s="15" t="str">
        <f t="shared" si="70"/>
        <v/>
      </c>
      <c r="B2297" s="18" t="str">
        <f t="shared" si="71"/>
        <v/>
      </c>
    </row>
    <row r="2298" spans="1:2" x14ac:dyDescent="0.25">
      <c r="A2298" s="15" t="str">
        <f t="shared" si="70"/>
        <v/>
      </c>
      <c r="B2298" s="18" t="str">
        <f t="shared" si="71"/>
        <v/>
      </c>
    </row>
    <row r="2299" spans="1:2" x14ac:dyDescent="0.25">
      <c r="A2299" s="15" t="str">
        <f t="shared" si="70"/>
        <v/>
      </c>
      <c r="B2299" s="18" t="str">
        <f t="shared" si="71"/>
        <v/>
      </c>
    </row>
    <row r="2300" spans="1:2" x14ac:dyDescent="0.25">
      <c r="A2300" s="15" t="str">
        <f t="shared" si="70"/>
        <v/>
      </c>
      <c r="B2300" s="18" t="str">
        <f t="shared" si="71"/>
        <v/>
      </c>
    </row>
    <row r="2301" spans="1:2" x14ac:dyDescent="0.25">
      <c r="A2301" s="15" t="str">
        <f t="shared" si="70"/>
        <v/>
      </c>
      <c r="B2301" s="18" t="str">
        <f t="shared" si="71"/>
        <v/>
      </c>
    </row>
    <row r="2302" spans="1:2" x14ac:dyDescent="0.25">
      <c r="A2302" s="15" t="str">
        <f t="shared" si="70"/>
        <v/>
      </c>
      <c r="B2302" s="18" t="str">
        <f t="shared" si="71"/>
        <v/>
      </c>
    </row>
    <row r="2303" spans="1:2" x14ac:dyDescent="0.25">
      <c r="A2303" s="15" t="str">
        <f t="shared" si="70"/>
        <v/>
      </c>
      <c r="B2303" s="18" t="str">
        <f t="shared" si="71"/>
        <v/>
      </c>
    </row>
    <row r="2304" spans="1:2" x14ac:dyDescent="0.25">
      <c r="A2304" s="15" t="str">
        <f t="shared" si="70"/>
        <v/>
      </c>
      <c r="B2304" s="18" t="str">
        <f t="shared" si="71"/>
        <v/>
      </c>
    </row>
    <row r="2305" spans="1:2" x14ac:dyDescent="0.25">
      <c r="A2305" s="15" t="str">
        <f t="shared" si="70"/>
        <v/>
      </c>
      <c r="B2305" s="18" t="str">
        <f t="shared" si="71"/>
        <v/>
      </c>
    </row>
    <row r="2306" spans="1:2" x14ac:dyDescent="0.25">
      <c r="A2306" s="15" t="str">
        <f t="shared" ref="A2306:A2369" si="72">B2306&amp;C2306</f>
        <v/>
      </c>
      <c r="B2306" s="18" t="str">
        <f t="shared" si="71"/>
        <v/>
      </c>
    </row>
    <row r="2307" spans="1:2" x14ac:dyDescent="0.25">
      <c r="A2307" s="15" t="str">
        <f t="shared" si="72"/>
        <v/>
      </c>
      <c r="B2307" s="18" t="str">
        <f t="shared" ref="B2307:B2370" si="73">IF(C2307="","",B2306)</f>
        <v/>
      </c>
    </row>
    <row r="2308" spans="1:2" x14ac:dyDescent="0.25">
      <c r="A2308" s="15" t="str">
        <f t="shared" si="72"/>
        <v/>
      </c>
      <c r="B2308" s="18" t="str">
        <f t="shared" si="73"/>
        <v/>
      </c>
    </row>
    <row r="2309" spans="1:2" x14ac:dyDescent="0.25">
      <c r="A2309" s="15" t="str">
        <f t="shared" si="72"/>
        <v/>
      </c>
      <c r="B2309" s="18" t="str">
        <f t="shared" si="73"/>
        <v/>
      </c>
    </row>
    <row r="2310" spans="1:2" x14ac:dyDescent="0.25">
      <c r="A2310" s="15" t="str">
        <f t="shared" si="72"/>
        <v/>
      </c>
      <c r="B2310" s="18" t="str">
        <f t="shared" si="73"/>
        <v/>
      </c>
    </row>
    <row r="2311" spans="1:2" x14ac:dyDescent="0.25">
      <c r="A2311" s="15" t="str">
        <f t="shared" si="72"/>
        <v/>
      </c>
      <c r="B2311" s="18" t="str">
        <f t="shared" si="73"/>
        <v/>
      </c>
    </row>
    <row r="2312" spans="1:2" x14ac:dyDescent="0.25">
      <c r="A2312" s="15" t="str">
        <f t="shared" si="72"/>
        <v/>
      </c>
      <c r="B2312" s="18" t="str">
        <f t="shared" si="73"/>
        <v/>
      </c>
    </row>
    <row r="2313" spans="1:2" x14ac:dyDescent="0.25">
      <c r="A2313" s="15" t="str">
        <f t="shared" si="72"/>
        <v/>
      </c>
      <c r="B2313" s="18" t="str">
        <f t="shared" si="73"/>
        <v/>
      </c>
    </row>
    <row r="2314" spans="1:2" x14ac:dyDescent="0.25">
      <c r="A2314" s="15" t="str">
        <f t="shared" si="72"/>
        <v/>
      </c>
      <c r="B2314" s="18" t="str">
        <f t="shared" si="73"/>
        <v/>
      </c>
    </row>
    <row r="2315" spans="1:2" x14ac:dyDescent="0.25">
      <c r="A2315" s="15" t="str">
        <f t="shared" si="72"/>
        <v/>
      </c>
      <c r="B2315" s="18" t="str">
        <f t="shared" si="73"/>
        <v/>
      </c>
    </row>
    <row r="2316" spans="1:2" x14ac:dyDescent="0.25">
      <c r="A2316" s="15" t="str">
        <f t="shared" si="72"/>
        <v/>
      </c>
      <c r="B2316" s="18" t="str">
        <f t="shared" si="73"/>
        <v/>
      </c>
    </row>
    <row r="2317" spans="1:2" x14ac:dyDescent="0.25">
      <c r="A2317" s="15" t="str">
        <f t="shared" si="72"/>
        <v/>
      </c>
      <c r="B2317" s="18" t="str">
        <f t="shared" si="73"/>
        <v/>
      </c>
    </row>
    <row r="2318" spans="1:2" x14ac:dyDescent="0.25">
      <c r="A2318" s="15" t="str">
        <f t="shared" si="72"/>
        <v/>
      </c>
      <c r="B2318" s="18" t="str">
        <f t="shared" si="73"/>
        <v/>
      </c>
    </row>
    <row r="2319" spans="1:2" x14ac:dyDescent="0.25">
      <c r="A2319" s="15" t="str">
        <f t="shared" si="72"/>
        <v/>
      </c>
      <c r="B2319" s="18" t="str">
        <f t="shared" si="73"/>
        <v/>
      </c>
    </row>
    <row r="2320" spans="1:2" x14ac:dyDescent="0.25">
      <c r="A2320" s="15" t="str">
        <f t="shared" si="72"/>
        <v/>
      </c>
      <c r="B2320" s="18" t="str">
        <f t="shared" si="73"/>
        <v/>
      </c>
    </row>
    <row r="2321" spans="1:2" x14ac:dyDescent="0.25">
      <c r="A2321" s="15" t="str">
        <f t="shared" si="72"/>
        <v/>
      </c>
      <c r="B2321" s="18" t="str">
        <f t="shared" si="73"/>
        <v/>
      </c>
    </row>
    <row r="2322" spans="1:2" x14ac:dyDescent="0.25">
      <c r="A2322" s="15" t="str">
        <f t="shared" si="72"/>
        <v/>
      </c>
      <c r="B2322" s="18" t="str">
        <f t="shared" si="73"/>
        <v/>
      </c>
    </row>
    <row r="2323" spans="1:2" x14ac:dyDescent="0.25">
      <c r="A2323" s="15" t="str">
        <f t="shared" si="72"/>
        <v/>
      </c>
      <c r="B2323" s="18" t="str">
        <f t="shared" si="73"/>
        <v/>
      </c>
    </row>
    <row r="2324" spans="1:2" x14ac:dyDescent="0.25">
      <c r="A2324" s="15" t="str">
        <f t="shared" si="72"/>
        <v/>
      </c>
      <c r="B2324" s="18" t="str">
        <f t="shared" si="73"/>
        <v/>
      </c>
    </row>
    <row r="2325" spans="1:2" x14ac:dyDescent="0.25">
      <c r="A2325" s="15" t="str">
        <f t="shared" si="72"/>
        <v/>
      </c>
      <c r="B2325" s="18" t="str">
        <f t="shared" si="73"/>
        <v/>
      </c>
    </row>
    <row r="2326" spans="1:2" x14ac:dyDescent="0.25">
      <c r="A2326" s="15" t="str">
        <f t="shared" si="72"/>
        <v/>
      </c>
      <c r="B2326" s="18" t="str">
        <f t="shared" si="73"/>
        <v/>
      </c>
    </row>
    <row r="2327" spans="1:2" x14ac:dyDescent="0.25">
      <c r="A2327" s="15" t="str">
        <f t="shared" si="72"/>
        <v/>
      </c>
      <c r="B2327" s="18" t="str">
        <f t="shared" si="73"/>
        <v/>
      </c>
    </row>
    <row r="2328" spans="1:2" x14ac:dyDescent="0.25">
      <c r="A2328" s="15" t="str">
        <f t="shared" si="72"/>
        <v/>
      </c>
      <c r="B2328" s="18" t="str">
        <f t="shared" si="73"/>
        <v/>
      </c>
    </row>
    <row r="2329" spans="1:2" x14ac:dyDescent="0.25">
      <c r="A2329" s="15" t="str">
        <f t="shared" si="72"/>
        <v/>
      </c>
      <c r="B2329" s="18" t="str">
        <f t="shared" si="73"/>
        <v/>
      </c>
    </row>
    <row r="2330" spans="1:2" x14ac:dyDescent="0.25">
      <c r="A2330" s="15" t="str">
        <f t="shared" si="72"/>
        <v/>
      </c>
      <c r="B2330" s="18" t="str">
        <f t="shared" si="73"/>
        <v/>
      </c>
    </row>
    <row r="2331" spans="1:2" x14ac:dyDescent="0.25">
      <c r="A2331" s="15" t="str">
        <f t="shared" si="72"/>
        <v/>
      </c>
      <c r="B2331" s="18" t="str">
        <f t="shared" si="73"/>
        <v/>
      </c>
    </row>
    <row r="2332" spans="1:2" x14ac:dyDescent="0.25">
      <c r="A2332" s="15" t="str">
        <f t="shared" si="72"/>
        <v/>
      </c>
      <c r="B2332" s="18" t="str">
        <f t="shared" si="73"/>
        <v/>
      </c>
    </row>
    <row r="2333" spans="1:2" x14ac:dyDescent="0.25">
      <c r="A2333" s="15" t="str">
        <f t="shared" si="72"/>
        <v/>
      </c>
      <c r="B2333" s="18" t="str">
        <f t="shared" si="73"/>
        <v/>
      </c>
    </row>
    <row r="2334" spans="1:2" x14ac:dyDescent="0.25">
      <c r="A2334" s="15" t="str">
        <f t="shared" si="72"/>
        <v/>
      </c>
      <c r="B2334" s="18" t="str">
        <f t="shared" si="73"/>
        <v/>
      </c>
    </row>
    <row r="2335" spans="1:2" x14ac:dyDescent="0.25">
      <c r="A2335" s="15" t="str">
        <f t="shared" si="72"/>
        <v/>
      </c>
      <c r="B2335" s="18" t="str">
        <f t="shared" si="73"/>
        <v/>
      </c>
    </row>
    <row r="2336" spans="1:2" x14ac:dyDescent="0.25">
      <c r="A2336" s="15" t="str">
        <f t="shared" si="72"/>
        <v/>
      </c>
      <c r="B2336" s="18" t="str">
        <f t="shared" si="73"/>
        <v/>
      </c>
    </row>
    <row r="2337" spans="1:2" x14ac:dyDescent="0.25">
      <c r="A2337" s="15" t="str">
        <f t="shared" si="72"/>
        <v/>
      </c>
      <c r="B2337" s="18" t="str">
        <f t="shared" si="73"/>
        <v/>
      </c>
    </row>
    <row r="2338" spans="1:2" x14ac:dyDescent="0.25">
      <c r="A2338" s="15" t="str">
        <f t="shared" si="72"/>
        <v/>
      </c>
      <c r="B2338" s="18" t="str">
        <f t="shared" si="73"/>
        <v/>
      </c>
    </row>
    <row r="2339" spans="1:2" x14ac:dyDescent="0.25">
      <c r="A2339" s="15" t="str">
        <f t="shared" si="72"/>
        <v/>
      </c>
      <c r="B2339" s="18" t="str">
        <f t="shared" si="73"/>
        <v/>
      </c>
    </row>
    <row r="2340" spans="1:2" x14ac:dyDescent="0.25">
      <c r="A2340" s="15" t="str">
        <f t="shared" si="72"/>
        <v/>
      </c>
      <c r="B2340" s="18" t="str">
        <f t="shared" si="73"/>
        <v/>
      </c>
    </row>
    <row r="2341" spans="1:2" x14ac:dyDescent="0.25">
      <c r="A2341" s="15" t="str">
        <f t="shared" si="72"/>
        <v/>
      </c>
      <c r="B2341" s="18" t="str">
        <f t="shared" si="73"/>
        <v/>
      </c>
    </row>
    <row r="2342" spans="1:2" x14ac:dyDescent="0.25">
      <c r="A2342" s="15" t="str">
        <f t="shared" si="72"/>
        <v/>
      </c>
      <c r="B2342" s="18" t="str">
        <f t="shared" si="73"/>
        <v/>
      </c>
    </row>
    <row r="2343" spans="1:2" x14ac:dyDescent="0.25">
      <c r="A2343" s="15" t="str">
        <f t="shared" si="72"/>
        <v/>
      </c>
      <c r="B2343" s="18" t="str">
        <f t="shared" si="73"/>
        <v/>
      </c>
    </row>
    <row r="2344" spans="1:2" x14ac:dyDescent="0.25">
      <c r="A2344" s="15" t="str">
        <f t="shared" si="72"/>
        <v/>
      </c>
      <c r="B2344" s="18" t="str">
        <f t="shared" si="73"/>
        <v/>
      </c>
    </row>
    <row r="2345" spans="1:2" x14ac:dyDescent="0.25">
      <c r="A2345" s="15" t="str">
        <f t="shared" si="72"/>
        <v/>
      </c>
      <c r="B2345" s="18" t="str">
        <f t="shared" si="73"/>
        <v/>
      </c>
    </row>
    <row r="2346" spans="1:2" x14ac:dyDescent="0.25">
      <c r="A2346" s="15" t="str">
        <f t="shared" si="72"/>
        <v/>
      </c>
      <c r="B2346" s="18" t="str">
        <f t="shared" si="73"/>
        <v/>
      </c>
    </row>
    <row r="2347" spans="1:2" x14ac:dyDescent="0.25">
      <c r="A2347" s="15" t="str">
        <f t="shared" si="72"/>
        <v/>
      </c>
      <c r="B2347" s="18" t="str">
        <f t="shared" si="73"/>
        <v/>
      </c>
    </row>
    <row r="2348" spans="1:2" x14ac:dyDescent="0.25">
      <c r="A2348" s="15" t="str">
        <f t="shared" si="72"/>
        <v/>
      </c>
      <c r="B2348" s="18" t="str">
        <f t="shared" si="73"/>
        <v/>
      </c>
    </row>
    <row r="2349" spans="1:2" x14ac:dyDescent="0.25">
      <c r="A2349" s="15" t="str">
        <f t="shared" si="72"/>
        <v/>
      </c>
      <c r="B2349" s="18" t="str">
        <f t="shared" si="73"/>
        <v/>
      </c>
    </row>
    <row r="2350" spans="1:2" x14ac:dyDescent="0.25">
      <c r="A2350" s="15" t="str">
        <f t="shared" si="72"/>
        <v/>
      </c>
      <c r="B2350" s="18" t="str">
        <f t="shared" si="73"/>
        <v/>
      </c>
    </row>
    <row r="2351" spans="1:2" x14ac:dyDescent="0.25">
      <c r="A2351" s="15" t="str">
        <f t="shared" si="72"/>
        <v/>
      </c>
      <c r="B2351" s="18" t="str">
        <f t="shared" si="73"/>
        <v/>
      </c>
    </row>
    <row r="2352" spans="1:2" x14ac:dyDescent="0.25">
      <c r="A2352" s="15" t="str">
        <f t="shared" si="72"/>
        <v/>
      </c>
      <c r="B2352" s="18" t="str">
        <f t="shared" si="73"/>
        <v/>
      </c>
    </row>
    <row r="2353" spans="1:2" x14ac:dyDescent="0.25">
      <c r="A2353" s="15" t="str">
        <f t="shared" si="72"/>
        <v/>
      </c>
      <c r="B2353" s="18" t="str">
        <f t="shared" si="73"/>
        <v/>
      </c>
    </row>
    <row r="2354" spans="1:2" x14ac:dyDescent="0.25">
      <c r="A2354" s="15" t="str">
        <f t="shared" si="72"/>
        <v/>
      </c>
      <c r="B2354" s="18" t="str">
        <f t="shared" si="73"/>
        <v/>
      </c>
    </row>
    <row r="2355" spans="1:2" x14ac:dyDescent="0.25">
      <c r="A2355" s="15" t="str">
        <f t="shared" si="72"/>
        <v/>
      </c>
      <c r="B2355" s="18" t="str">
        <f t="shared" si="73"/>
        <v/>
      </c>
    </row>
    <row r="2356" spans="1:2" x14ac:dyDescent="0.25">
      <c r="A2356" s="15" t="str">
        <f t="shared" si="72"/>
        <v/>
      </c>
      <c r="B2356" s="18" t="str">
        <f t="shared" si="73"/>
        <v/>
      </c>
    </row>
    <row r="2357" spans="1:2" x14ac:dyDescent="0.25">
      <c r="A2357" s="15" t="str">
        <f t="shared" si="72"/>
        <v/>
      </c>
      <c r="B2357" s="18" t="str">
        <f t="shared" si="73"/>
        <v/>
      </c>
    </row>
    <row r="2358" spans="1:2" x14ac:dyDescent="0.25">
      <c r="A2358" s="15" t="str">
        <f t="shared" si="72"/>
        <v/>
      </c>
      <c r="B2358" s="18" t="str">
        <f t="shared" si="73"/>
        <v/>
      </c>
    </row>
    <row r="2359" spans="1:2" x14ac:dyDescent="0.25">
      <c r="A2359" s="15" t="str">
        <f t="shared" si="72"/>
        <v/>
      </c>
      <c r="B2359" s="18" t="str">
        <f t="shared" si="73"/>
        <v/>
      </c>
    </row>
    <row r="2360" spans="1:2" x14ac:dyDescent="0.25">
      <c r="A2360" s="15" t="str">
        <f t="shared" si="72"/>
        <v/>
      </c>
      <c r="B2360" s="18" t="str">
        <f t="shared" si="73"/>
        <v/>
      </c>
    </row>
    <row r="2361" spans="1:2" x14ac:dyDescent="0.25">
      <c r="A2361" s="15" t="str">
        <f t="shared" si="72"/>
        <v/>
      </c>
      <c r="B2361" s="18" t="str">
        <f t="shared" si="73"/>
        <v/>
      </c>
    </row>
    <row r="2362" spans="1:2" x14ac:dyDescent="0.25">
      <c r="A2362" s="15" t="str">
        <f t="shared" si="72"/>
        <v/>
      </c>
      <c r="B2362" s="18" t="str">
        <f t="shared" si="73"/>
        <v/>
      </c>
    </row>
    <row r="2363" spans="1:2" x14ac:dyDescent="0.25">
      <c r="A2363" s="15" t="str">
        <f t="shared" si="72"/>
        <v/>
      </c>
      <c r="B2363" s="18" t="str">
        <f t="shared" si="73"/>
        <v/>
      </c>
    </row>
    <row r="2364" spans="1:2" x14ac:dyDescent="0.25">
      <c r="A2364" s="15" t="str">
        <f t="shared" si="72"/>
        <v/>
      </c>
      <c r="B2364" s="18" t="str">
        <f t="shared" si="73"/>
        <v/>
      </c>
    </row>
    <row r="2365" spans="1:2" x14ac:dyDescent="0.25">
      <c r="A2365" s="15" t="str">
        <f t="shared" si="72"/>
        <v/>
      </c>
      <c r="B2365" s="18" t="str">
        <f t="shared" si="73"/>
        <v/>
      </c>
    </row>
    <row r="2366" spans="1:2" x14ac:dyDescent="0.25">
      <c r="A2366" s="15" t="str">
        <f t="shared" si="72"/>
        <v/>
      </c>
      <c r="B2366" s="18" t="str">
        <f t="shared" si="73"/>
        <v/>
      </c>
    </row>
    <row r="2367" spans="1:2" x14ac:dyDescent="0.25">
      <c r="A2367" s="15" t="str">
        <f t="shared" si="72"/>
        <v/>
      </c>
      <c r="B2367" s="18" t="str">
        <f t="shared" si="73"/>
        <v/>
      </c>
    </row>
    <row r="2368" spans="1:2" x14ac:dyDescent="0.25">
      <c r="A2368" s="15" t="str">
        <f t="shared" si="72"/>
        <v/>
      </c>
      <c r="B2368" s="18" t="str">
        <f t="shared" si="73"/>
        <v/>
      </c>
    </row>
    <row r="2369" spans="1:2" x14ac:dyDescent="0.25">
      <c r="A2369" s="15" t="str">
        <f t="shared" si="72"/>
        <v/>
      </c>
      <c r="B2369" s="18" t="str">
        <f t="shared" si="73"/>
        <v/>
      </c>
    </row>
    <row r="2370" spans="1:2" x14ac:dyDescent="0.25">
      <c r="A2370" s="15" t="str">
        <f t="shared" ref="A2370:A2433" si="74">B2370&amp;C2370</f>
        <v/>
      </c>
      <c r="B2370" s="18" t="str">
        <f t="shared" si="73"/>
        <v/>
      </c>
    </row>
    <row r="2371" spans="1:2" x14ac:dyDescent="0.25">
      <c r="A2371" s="15" t="str">
        <f t="shared" si="74"/>
        <v/>
      </c>
      <c r="B2371" s="18" t="str">
        <f t="shared" ref="B2371:B2434" si="75">IF(C2371="","",B2370)</f>
        <v/>
      </c>
    </row>
    <row r="2372" spans="1:2" x14ac:dyDescent="0.25">
      <c r="A2372" s="15" t="str">
        <f t="shared" si="74"/>
        <v/>
      </c>
      <c r="B2372" s="18" t="str">
        <f t="shared" si="75"/>
        <v/>
      </c>
    </row>
    <row r="2373" spans="1:2" x14ac:dyDescent="0.25">
      <c r="A2373" s="15" t="str">
        <f t="shared" si="74"/>
        <v/>
      </c>
      <c r="B2373" s="18" t="str">
        <f t="shared" si="75"/>
        <v/>
      </c>
    </row>
    <row r="2374" spans="1:2" x14ac:dyDescent="0.25">
      <c r="A2374" s="15" t="str">
        <f t="shared" si="74"/>
        <v/>
      </c>
      <c r="B2374" s="18" t="str">
        <f t="shared" si="75"/>
        <v/>
      </c>
    </row>
    <row r="2375" spans="1:2" x14ac:dyDescent="0.25">
      <c r="A2375" s="15" t="str">
        <f t="shared" si="74"/>
        <v/>
      </c>
      <c r="B2375" s="18" t="str">
        <f t="shared" si="75"/>
        <v/>
      </c>
    </row>
    <row r="2376" spans="1:2" x14ac:dyDescent="0.25">
      <c r="A2376" s="15" t="str">
        <f t="shared" si="74"/>
        <v/>
      </c>
      <c r="B2376" s="18" t="str">
        <f t="shared" si="75"/>
        <v/>
      </c>
    </row>
    <row r="2377" spans="1:2" x14ac:dyDescent="0.25">
      <c r="A2377" s="15" t="str">
        <f t="shared" si="74"/>
        <v/>
      </c>
      <c r="B2377" s="18" t="str">
        <f t="shared" si="75"/>
        <v/>
      </c>
    </row>
    <row r="2378" spans="1:2" x14ac:dyDescent="0.25">
      <c r="A2378" s="15" t="str">
        <f t="shared" si="74"/>
        <v/>
      </c>
      <c r="B2378" s="18" t="str">
        <f t="shared" si="75"/>
        <v/>
      </c>
    </row>
    <row r="2379" spans="1:2" x14ac:dyDescent="0.25">
      <c r="A2379" s="15" t="str">
        <f t="shared" si="74"/>
        <v/>
      </c>
      <c r="B2379" s="18" t="str">
        <f t="shared" si="75"/>
        <v/>
      </c>
    </row>
    <row r="2380" spans="1:2" x14ac:dyDescent="0.25">
      <c r="A2380" s="15" t="str">
        <f t="shared" si="74"/>
        <v/>
      </c>
      <c r="B2380" s="18" t="str">
        <f t="shared" si="75"/>
        <v/>
      </c>
    </row>
    <row r="2381" spans="1:2" x14ac:dyDescent="0.25">
      <c r="A2381" s="15" t="str">
        <f t="shared" si="74"/>
        <v/>
      </c>
      <c r="B2381" s="18" t="str">
        <f t="shared" si="75"/>
        <v/>
      </c>
    </row>
    <row r="2382" spans="1:2" x14ac:dyDescent="0.25">
      <c r="A2382" s="15" t="str">
        <f t="shared" si="74"/>
        <v/>
      </c>
      <c r="B2382" s="18" t="str">
        <f t="shared" si="75"/>
        <v/>
      </c>
    </row>
    <row r="2383" spans="1:2" x14ac:dyDescent="0.25">
      <c r="A2383" s="15" t="str">
        <f t="shared" si="74"/>
        <v/>
      </c>
      <c r="B2383" s="18" t="str">
        <f t="shared" si="75"/>
        <v/>
      </c>
    </row>
    <row r="2384" spans="1:2" x14ac:dyDescent="0.25">
      <c r="A2384" s="15" t="str">
        <f t="shared" si="74"/>
        <v/>
      </c>
      <c r="B2384" s="18" t="str">
        <f t="shared" si="75"/>
        <v/>
      </c>
    </row>
    <row r="2385" spans="1:2" x14ac:dyDescent="0.25">
      <c r="A2385" s="15" t="str">
        <f t="shared" si="74"/>
        <v/>
      </c>
      <c r="B2385" s="18" t="str">
        <f t="shared" si="75"/>
        <v/>
      </c>
    </row>
    <row r="2386" spans="1:2" x14ac:dyDescent="0.25">
      <c r="A2386" s="15" t="str">
        <f t="shared" si="74"/>
        <v/>
      </c>
      <c r="B2386" s="18" t="str">
        <f t="shared" si="75"/>
        <v/>
      </c>
    </row>
    <row r="2387" spans="1:2" x14ac:dyDescent="0.25">
      <c r="A2387" s="15" t="str">
        <f t="shared" si="74"/>
        <v/>
      </c>
      <c r="B2387" s="18" t="str">
        <f t="shared" si="75"/>
        <v/>
      </c>
    </row>
    <row r="2388" spans="1:2" x14ac:dyDescent="0.25">
      <c r="A2388" s="15" t="str">
        <f t="shared" si="74"/>
        <v/>
      </c>
      <c r="B2388" s="18" t="str">
        <f t="shared" si="75"/>
        <v/>
      </c>
    </row>
    <row r="2389" spans="1:2" x14ac:dyDescent="0.25">
      <c r="A2389" s="15" t="str">
        <f t="shared" si="74"/>
        <v/>
      </c>
      <c r="B2389" s="18" t="str">
        <f t="shared" si="75"/>
        <v/>
      </c>
    </row>
    <row r="2390" spans="1:2" x14ac:dyDescent="0.25">
      <c r="A2390" s="15" t="str">
        <f t="shared" si="74"/>
        <v/>
      </c>
      <c r="B2390" s="18" t="str">
        <f t="shared" si="75"/>
        <v/>
      </c>
    </row>
    <row r="2391" spans="1:2" x14ac:dyDescent="0.25">
      <c r="A2391" s="15" t="str">
        <f t="shared" si="74"/>
        <v/>
      </c>
      <c r="B2391" s="18" t="str">
        <f t="shared" si="75"/>
        <v/>
      </c>
    </row>
    <row r="2392" spans="1:2" x14ac:dyDescent="0.25">
      <c r="A2392" s="15" t="str">
        <f t="shared" si="74"/>
        <v/>
      </c>
      <c r="B2392" s="18" t="str">
        <f t="shared" si="75"/>
        <v/>
      </c>
    </row>
    <row r="2393" spans="1:2" x14ac:dyDescent="0.25">
      <c r="A2393" s="15" t="str">
        <f t="shared" si="74"/>
        <v/>
      </c>
      <c r="B2393" s="18" t="str">
        <f t="shared" si="75"/>
        <v/>
      </c>
    </row>
    <row r="2394" spans="1:2" x14ac:dyDescent="0.25">
      <c r="A2394" s="15" t="str">
        <f t="shared" si="74"/>
        <v/>
      </c>
      <c r="B2394" s="18" t="str">
        <f t="shared" si="75"/>
        <v/>
      </c>
    </row>
    <row r="2395" spans="1:2" x14ac:dyDescent="0.25">
      <c r="A2395" s="15" t="str">
        <f t="shared" si="74"/>
        <v/>
      </c>
      <c r="B2395" s="18" t="str">
        <f t="shared" si="75"/>
        <v/>
      </c>
    </row>
    <row r="2396" spans="1:2" x14ac:dyDescent="0.25">
      <c r="A2396" s="15" t="str">
        <f t="shared" si="74"/>
        <v/>
      </c>
      <c r="B2396" s="18" t="str">
        <f t="shared" si="75"/>
        <v/>
      </c>
    </row>
    <row r="2397" spans="1:2" x14ac:dyDescent="0.25">
      <c r="A2397" s="15" t="str">
        <f t="shared" si="74"/>
        <v/>
      </c>
      <c r="B2397" s="18" t="str">
        <f t="shared" si="75"/>
        <v/>
      </c>
    </row>
    <row r="2398" spans="1:2" x14ac:dyDescent="0.25">
      <c r="A2398" s="15" t="str">
        <f t="shared" si="74"/>
        <v/>
      </c>
      <c r="B2398" s="18" t="str">
        <f t="shared" si="75"/>
        <v/>
      </c>
    </row>
    <row r="2399" spans="1:2" x14ac:dyDescent="0.25">
      <c r="A2399" s="15" t="str">
        <f t="shared" si="74"/>
        <v/>
      </c>
      <c r="B2399" s="18" t="str">
        <f t="shared" si="75"/>
        <v/>
      </c>
    </row>
    <row r="2400" spans="1:2" x14ac:dyDescent="0.25">
      <c r="A2400" s="15" t="str">
        <f t="shared" si="74"/>
        <v/>
      </c>
      <c r="B2400" s="18" t="str">
        <f t="shared" si="75"/>
        <v/>
      </c>
    </row>
    <row r="2401" spans="1:2" x14ac:dyDescent="0.25">
      <c r="A2401" s="15" t="str">
        <f t="shared" si="74"/>
        <v/>
      </c>
      <c r="B2401" s="18" t="str">
        <f t="shared" si="75"/>
        <v/>
      </c>
    </row>
    <row r="2402" spans="1:2" x14ac:dyDescent="0.25">
      <c r="A2402" s="15" t="str">
        <f t="shared" si="74"/>
        <v/>
      </c>
      <c r="B2402" s="18" t="str">
        <f t="shared" si="75"/>
        <v/>
      </c>
    </row>
    <row r="2403" spans="1:2" x14ac:dyDescent="0.25">
      <c r="A2403" s="15" t="str">
        <f t="shared" si="74"/>
        <v/>
      </c>
      <c r="B2403" s="18" t="str">
        <f t="shared" si="75"/>
        <v/>
      </c>
    </row>
    <row r="2404" spans="1:2" x14ac:dyDescent="0.25">
      <c r="A2404" s="15" t="str">
        <f t="shared" si="74"/>
        <v/>
      </c>
      <c r="B2404" s="18" t="str">
        <f t="shared" si="75"/>
        <v/>
      </c>
    </row>
    <row r="2405" spans="1:2" x14ac:dyDescent="0.25">
      <c r="A2405" s="15" t="str">
        <f t="shared" si="74"/>
        <v/>
      </c>
      <c r="B2405" s="18" t="str">
        <f t="shared" si="75"/>
        <v/>
      </c>
    </row>
    <row r="2406" spans="1:2" x14ac:dyDescent="0.25">
      <c r="A2406" s="15" t="str">
        <f t="shared" si="74"/>
        <v/>
      </c>
      <c r="B2406" s="18" t="str">
        <f t="shared" si="75"/>
        <v/>
      </c>
    </row>
    <row r="2407" spans="1:2" x14ac:dyDescent="0.25">
      <c r="A2407" s="15" t="str">
        <f t="shared" si="74"/>
        <v/>
      </c>
      <c r="B2407" s="18" t="str">
        <f t="shared" si="75"/>
        <v/>
      </c>
    </row>
    <row r="2408" spans="1:2" x14ac:dyDescent="0.25">
      <c r="A2408" s="15" t="str">
        <f t="shared" si="74"/>
        <v/>
      </c>
      <c r="B2408" s="18" t="str">
        <f t="shared" si="75"/>
        <v/>
      </c>
    </row>
    <row r="2409" spans="1:2" x14ac:dyDescent="0.25">
      <c r="A2409" s="15" t="str">
        <f t="shared" si="74"/>
        <v/>
      </c>
      <c r="B2409" s="18" t="str">
        <f t="shared" si="75"/>
        <v/>
      </c>
    </row>
    <row r="2410" spans="1:2" x14ac:dyDescent="0.25">
      <c r="A2410" s="15" t="str">
        <f t="shared" si="74"/>
        <v/>
      </c>
      <c r="B2410" s="18" t="str">
        <f t="shared" si="75"/>
        <v/>
      </c>
    </row>
    <row r="2411" spans="1:2" x14ac:dyDescent="0.25">
      <c r="A2411" s="15" t="str">
        <f t="shared" si="74"/>
        <v/>
      </c>
      <c r="B2411" s="18" t="str">
        <f t="shared" si="75"/>
        <v/>
      </c>
    </row>
    <row r="2412" spans="1:2" x14ac:dyDescent="0.25">
      <c r="A2412" s="15" t="str">
        <f t="shared" si="74"/>
        <v/>
      </c>
      <c r="B2412" s="18" t="str">
        <f t="shared" si="75"/>
        <v/>
      </c>
    </row>
    <row r="2413" spans="1:2" x14ac:dyDescent="0.25">
      <c r="A2413" s="15" t="str">
        <f t="shared" si="74"/>
        <v/>
      </c>
      <c r="B2413" s="18" t="str">
        <f t="shared" si="75"/>
        <v/>
      </c>
    </row>
    <row r="2414" spans="1:2" x14ac:dyDescent="0.25">
      <c r="A2414" s="15" t="str">
        <f t="shared" si="74"/>
        <v/>
      </c>
      <c r="B2414" s="18" t="str">
        <f t="shared" si="75"/>
        <v/>
      </c>
    </row>
    <row r="2415" spans="1:2" x14ac:dyDescent="0.25">
      <c r="A2415" s="15" t="str">
        <f t="shared" si="74"/>
        <v/>
      </c>
      <c r="B2415" s="18" t="str">
        <f t="shared" si="75"/>
        <v/>
      </c>
    </row>
    <row r="2416" spans="1:2" x14ac:dyDescent="0.25">
      <c r="A2416" s="15" t="str">
        <f t="shared" si="74"/>
        <v/>
      </c>
      <c r="B2416" s="18" t="str">
        <f t="shared" si="75"/>
        <v/>
      </c>
    </row>
    <row r="2417" spans="1:2" x14ac:dyDescent="0.25">
      <c r="A2417" s="15" t="str">
        <f t="shared" si="74"/>
        <v/>
      </c>
      <c r="B2417" s="18" t="str">
        <f t="shared" si="75"/>
        <v/>
      </c>
    </row>
    <row r="2418" spans="1:2" x14ac:dyDescent="0.25">
      <c r="A2418" s="15" t="str">
        <f t="shared" si="74"/>
        <v/>
      </c>
      <c r="B2418" s="18" t="str">
        <f t="shared" si="75"/>
        <v/>
      </c>
    </row>
    <row r="2419" spans="1:2" x14ac:dyDescent="0.25">
      <c r="A2419" s="15" t="str">
        <f t="shared" si="74"/>
        <v/>
      </c>
      <c r="B2419" s="18" t="str">
        <f t="shared" si="75"/>
        <v/>
      </c>
    </row>
    <row r="2420" spans="1:2" x14ac:dyDescent="0.25">
      <c r="A2420" s="15" t="str">
        <f t="shared" si="74"/>
        <v/>
      </c>
      <c r="B2420" s="18" t="str">
        <f t="shared" si="75"/>
        <v/>
      </c>
    </row>
    <row r="2421" spans="1:2" x14ac:dyDescent="0.25">
      <c r="A2421" s="15" t="str">
        <f t="shared" si="74"/>
        <v/>
      </c>
      <c r="B2421" s="18" t="str">
        <f t="shared" si="75"/>
        <v/>
      </c>
    </row>
    <row r="2422" spans="1:2" x14ac:dyDescent="0.25">
      <c r="A2422" s="15" t="str">
        <f t="shared" si="74"/>
        <v/>
      </c>
      <c r="B2422" s="18" t="str">
        <f t="shared" si="75"/>
        <v/>
      </c>
    </row>
    <row r="2423" spans="1:2" x14ac:dyDescent="0.25">
      <c r="A2423" s="15" t="str">
        <f t="shared" si="74"/>
        <v/>
      </c>
      <c r="B2423" s="18" t="str">
        <f t="shared" si="75"/>
        <v/>
      </c>
    </row>
    <row r="2424" spans="1:2" x14ac:dyDescent="0.25">
      <c r="A2424" s="15" t="str">
        <f t="shared" si="74"/>
        <v/>
      </c>
      <c r="B2424" s="18" t="str">
        <f t="shared" si="75"/>
        <v/>
      </c>
    </row>
    <row r="2425" spans="1:2" x14ac:dyDescent="0.25">
      <c r="A2425" s="15" t="str">
        <f t="shared" si="74"/>
        <v/>
      </c>
      <c r="B2425" s="18" t="str">
        <f t="shared" si="75"/>
        <v/>
      </c>
    </row>
    <row r="2426" spans="1:2" x14ac:dyDescent="0.25">
      <c r="A2426" s="15" t="str">
        <f t="shared" si="74"/>
        <v/>
      </c>
      <c r="B2426" s="18" t="str">
        <f t="shared" si="75"/>
        <v/>
      </c>
    </row>
    <row r="2427" spans="1:2" x14ac:dyDescent="0.25">
      <c r="A2427" s="15" t="str">
        <f t="shared" si="74"/>
        <v/>
      </c>
      <c r="B2427" s="18" t="str">
        <f t="shared" si="75"/>
        <v/>
      </c>
    </row>
    <row r="2428" spans="1:2" x14ac:dyDescent="0.25">
      <c r="A2428" s="15" t="str">
        <f t="shared" si="74"/>
        <v/>
      </c>
      <c r="B2428" s="18" t="str">
        <f t="shared" si="75"/>
        <v/>
      </c>
    </row>
    <row r="2429" spans="1:2" x14ac:dyDescent="0.25">
      <c r="A2429" s="15" t="str">
        <f t="shared" si="74"/>
        <v/>
      </c>
      <c r="B2429" s="18" t="str">
        <f t="shared" si="75"/>
        <v/>
      </c>
    </row>
    <row r="2430" spans="1:2" x14ac:dyDescent="0.25">
      <c r="A2430" s="15" t="str">
        <f t="shared" si="74"/>
        <v/>
      </c>
      <c r="B2430" s="18" t="str">
        <f t="shared" si="75"/>
        <v/>
      </c>
    </row>
    <row r="2431" spans="1:2" x14ac:dyDescent="0.25">
      <c r="A2431" s="15" t="str">
        <f t="shared" si="74"/>
        <v/>
      </c>
      <c r="B2431" s="18" t="str">
        <f t="shared" si="75"/>
        <v/>
      </c>
    </row>
    <row r="2432" spans="1:2" x14ac:dyDescent="0.25">
      <c r="A2432" s="15" t="str">
        <f t="shared" si="74"/>
        <v/>
      </c>
      <c r="B2432" s="18" t="str">
        <f t="shared" si="75"/>
        <v/>
      </c>
    </row>
    <row r="2433" spans="1:2" x14ac:dyDescent="0.25">
      <c r="A2433" s="15" t="str">
        <f t="shared" si="74"/>
        <v/>
      </c>
      <c r="B2433" s="18" t="str">
        <f t="shared" si="75"/>
        <v/>
      </c>
    </row>
    <row r="2434" spans="1:2" x14ac:dyDescent="0.25">
      <c r="A2434" s="15" t="str">
        <f t="shared" ref="A2434:A2497" si="76">B2434&amp;C2434</f>
        <v/>
      </c>
      <c r="B2434" s="18" t="str">
        <f t="shared" si="75"/>
        <v/>
      </c>
    </row>
    <row r="2435" spans="1:2" x14ac:dyDescent="0.25">
      <c r="A2435" s="15" t="str">
        <f t="shared" si="76"/>
        <v/>
      </c>
      <c r="B2435" s="18" t="str">
        <f t="shared" ref="B2435:B2498" si="77">IF(C2435="","",B2434)</f>
        <v/>
      </c>
    </row>
    <row r="2436" spans="1:2" x14ac:dyDescent="0.25">
      <c r="A2436" s="15" t="str">
        <f t="shared" si="76"/>
        <v/>
      </c>
      <c r="B2436" s="18" t="str">
        <f t="shared" si="77"/>
        <v/>
      </c>
    </row>
    <row r="2437" spans="1:2" x14ac:dyDescent="0.25">
      <c r="A2437" s="15" t="str">
        <f t="shared" si="76"/>
        <v/>
      </c>
      <c r="B2437" s="18" t="str">
        <f t="shared" si="77"/>
        <v/>
      </c>
    </row>
    <row r="2438" spans="1:2" x14ac:dyDescent="0.25">
      <c r="A2438" s="15" t="str">
        <f t="shared" si="76"/>
        <v/>
      </c>
      <c r="B2438" s="18" t="str">
        <f t="shared" si="77"/>
        <v/>
      </c>
    </row>
    <row r="2439" spans="1:2" x14ac:dyDescent="0.25">
      <c r="A2439" s="15" t="str">
        <f t="shared" si="76"/>
        <v/>
      </c>
      <c r="B2439" s="18" t="str">
        <f t="shared" si="77"/>
        <v/>
      </c>
    </row>
    <row r="2440" spans="1:2" x14ac:dyDescent="0.25">
      <c r="A2440" s="15" t="str">
        <f t="shared" si="76"/>
        <v/>
      </c>
      <c r="B2440" s="18" t="str">
        <f t="shared" si="77"/>
        <v/>
      </c>
    </row>
    <row r="2441" spans="1:2" x14ac:dyDescent="0.25">
      <c r="A2441" s="15" t="str">
        <f t="shared" si="76"/>
        <v/>
      </c>
      <c r="B2441" s="18" t="str">
        <f t="shared" si="77"/>
        <v/>
      </c>
    </row>
    <row r="2442" spans="1:2" x14ac:dyDescent="0.25">
      <c r="A2442" s="15" t="str">
        <f t="shared" si="76"/>
        <v/>
      </c>
      <c r="B2442" s="18" t="str">
        <f t="shared" si="77"/>
        <v/>
      </c>
    </row>
    <row r="2443" spans="1:2" x14ac:dyDescent="0.25">
      <c r="A2443" s="15" t="str">
        <f t="shared" si="76"/>
        <v/>
      </c>
      <c r="B2443" s="18" t="str">
        <f t="shared" si="77"/>
        <v/>
      </c>
    </row>
    <row r="2444" spans="1:2" x14ac:dyDescent="0.25">
      <c r="A2444" s="15" t="str">
        <f t="shared" si="76"/>
        <v/>
      </c>
      <c r="B2444" s="18" t="str">
        <f t="shared" si="77"/>
        <v/>
      </c>
    </row>
    <row r="2445" spans="1:2" x14ac:dyDescent="0.25">
      <c r="A2445" s="15" t="str">
        <f t="shared" si="76"/>
        <v/>
      </c>
      <c r="B2445" s="18" t="str">
        <f t="shared" si="77"/>
        <v/>
      </c>
    </row>
    <row r="2446" spans="1:2" x14ac:dyDescent="0.25">
      <c r="A2446" s="15" t="str">
        <f t="shared" si="76"/>
        <v/>
      </c>
      <c r="B2446" s="18" t="str">
        <f t="shared" si="77"/>
        <v/>
      </c>
    </row>
    <row r="2447" spans="1:2" x14ac:dyDescent="0.25">
      <c r="A2447" s="15" t="str">
        <f t="shared" si="76"/>
        <v/>
      </c>
      <c r="B2447" s="18" t="str">
        <f t="shared" si="77"/>
        <v/>
      </c>
    </row>
    <row r="2448" spans="1:2" x14ac:dyDescent="0.25">
      <c r="A2448" s="15" t="str">
        <f t="shared" si="76"/>
        <v/>
      </c>
      <c r="B2448" s="18" t="str">
        <f t="shared" si="77"/>
        <v/>
      </c>
    </row>
    <row r="2449" spans="1:2" x14ac:dyDescent="0.25">
      <c r="A2449" s="15" t="str">
        <f t="shared" si="76"/>
        <v/>
      </c>
      <c r="B2449" s="18" t="str">
        <f t="shared" si="77"/>
        <v/>
      </c>
    </row>
    <row r="2450" spans="1:2" x14ac:dyDescent="0.25">
      <c r="A2450" s="15" t="str">
        <f t="shared" si="76"/>
        <v/>
      </c>
      <c r="B2450" s="18" t="str">
        <f t="shared" si="77"/>
        <v/>
      </c>
    </row>
    <row r="2451" spans="1:2" x14ac:dyDescent="0.25">
      <c r="A2451" s="15" t="str">
        <f t="shared" si="76"/>
        <v/>
      </c>
      <c r="B2451" s="18" t="str">
        <f t="shared" si="77"/>
        <v/>
      </c>
    </row>
    <row r="2452" spans="1:2" x14ac:dyDescent="0.25">
      <c r="A2452" s="15" t="str">
        <f t="shared" si="76"/>
        <v/>
      </c>
      <c r="B2452" s="18" t="str">
        <f t="shared" si="77"/>
        <v/>
      </c>
    </row>
    <row r="2453" spans="1:2" x14ac:dyDescent="0.25">
      <c r="A2453" s="15" t="str">
        <f t="shared" si="76"/>
        <v/>
      </c>
      <c r="B2453" s="18" t="str">
        <f t="shared" si="77"/>
        <v/>
      </c>
    </row>
    <row r="2454" spans="1:2" x14ac:dyDescent="0.25">
      <c r="A2454" s="15" t="str">
        <f t="shared" si="76"/>
        <v/>
      </c>
      <c r="B2454" s="18" t="str">
        <f t="shared" si="77"/>
        <v/>
      </c>
    </row>
    <row r="2455" spans="1:2" x14ac:dyDescent="0.25">
      <c r="A2455" s="15" t="str">
        <f t="shared" si="76"/>
        <v/>
      </c>
      <c r="B2455" s="18" t="str">
        <f t="shared" si="77"/>
        <v/>
      </c>
    </row>
    <row r="2456" spans="1:2" x14ac:dyDescent="0.25">
      <c r="A2456" s="15" t="str">
        <f t="shared" si="76"/>
        <v/>
      </c>
      <c r="B2456" s="18" t="str">
        <f t="shared" si="77"/>
        <v/>
      </c>
    </row>
    <row r="2457" spans="1:2" x14ac:dyDescent="0.25">
      <c r="A2457" s="15" t="str">
        <f t="shared" si="76"/>
        <v/>
      </c>
      <c r="B2457" s="18" t="str">
        <f t="shared" si="77"/>
        <v/>
      </c>
    </row>
    <row r="2458" spans="1:2" x14ac:dyDescent="0.25">
      <c r="A2458" s="15" t="str">
        <f t="shared" si="76"/>
        <v/>
      </c>
      <c r="B2458" s="18" t="str">
        <f t="shared" si="77"/>
        <v/>
      </c>
    </row>
    <row r="2459" spans="1:2" x14ac:dyDescent="0.25">
      <c r="A2459" s="15" t="str">
        <f t="shared" si="76"/>
        <v/>
      </c>
      <c r="B2459" s="18" t="str">
        <f t="shared" si="77"/>
        <v/>
      </c>
    </row>
    <row r="2460" spans="1:2" x14ac:dyDescent="0.25">
      <c r="A2460" s="15" t="str">
        <f t="shared" si="76"/>
        <v/>
      </c>
      <c r="B2460" s="18" t="str">
        <f t="shared" si="77"/>
        <v/>
      </c>
    </row>
    <row r="2461" spans="1:2" x14ac:dyDescent="0.25">
      <c r="A2461" s="15" t="str">
        <f t="shared" si="76"/>
        <v/>
      </c>
      <c r="B2461" s="18" t="str">
        <f t="shared" si="77"/>
        <v/>
      </c>
    </row>
    <row r="2462" spans="1:2" x14ac:dyDescent="0.25">
      <c r="A2462" s="15" t="str">
        <f t="shared" si="76"/>
        <v/>
      </c>
      <c r="B2462" s="18" t="str">
        <f t="shared" si="77"/>
        <v/>
      </c>
    </row>
    <row r="2463" spans="1:2" x14ac:dyDescent="0.25">
      <c r="A2463" s="15" t="str">
        <f t="shared" si="76"/>
        <v/>
      </c>
      <c r="B2463" s="18" t="str">
        <f t="shared" si="77"/>
        <v/>
      </c>
    </row>
    <row r="2464" spans="1:2" x14ac:dyDescent="0.25">
      <c r="A2464" s="15" t="str">
        <f t="shared" si="76"/>
        <v/>
      </c>
      <c r="B2464" s="18" t="str">
        <f t="shared" si="77"/>
        <v/>
      </c>
    </row>
    <row r="2465" spans="1:2" x14ac:dyDescent="0.25">
      <c r="A2465" s="15" t="str">
        <f t="shared" si="76"/>
        <v/>
      </c>
      <c r="B2465" s="18" t="str">
        <f t="shared" si="77"/>
        <v/>
      </c>
    </row>
    <row r="2466" spans="1:2" x14ac:dyDescent="0.25">
      <c r="A2466" s="15" t="str">
        <f t="shared" si="76"/>
        <v/>
      </c>
      <c r="B2466" s="18" t="str">
        <f t="shared" si="77"/>
        <v/>
      </c>
    </row>
    <row r="2467" spans="1:2" x14ac:dyDescent="0.25">
      <c r="A2467" s="15" t="str">
        <f t="shared" si="76"/>
        <v/>
      </c>
      <c r="B2467" s="18" t="str">
        <f t="shared" si="77"/>
        <v/>
      </c>
    </row>
    <row r="2468" spans="1:2" x14ac:dyDescent="0.25">
      <c r="A2468" s="15" t="str">
        <f t="shared" si="76"/>
        <v/>
      </c>
      <c r="B2468" s="18" t="str">
        <f t="shared" si="77"/>
        <v/>
      </c>
    </row>
    <row r="2469" spans="1:2" x14ac:dyDescent="0.25">
      <c r="A2469" s="15" t="str">
        <f t="shared" si="76"/>
        <v/>
      </c>
      <c r="B2469" s="18" t="str">
        <f t="shared" si="77"/>
        <v/>
      </c>
    </row>
    <row r="2470" spans="1:2" x14ac:dyDescent="0.25">
      <c r="A2470" s="15" t="str">
        <f t="shared" si="76"/>
        <v/>
      </c>
      <c r="B2470" s="18" t="str">
        <f t="shared" si="77"/>
        <v/>
      </c>
    </row>
    <row r="2471" spans="1:2" x14ac:dyDescent="0.25">
      <c r="A2471" s="15" t="str">
        <f t="shared" si="76"/>
        <v/>
      </c>
      <c r="B2471" s="18" t="str">
        <f t="shared" si="77"/>
        <v/>
      </c>
    </row>
    <row r="2472" spans="1:2" x14ac:dyDescent="0.25">
      <c r="A2472" s="15" t="str">
        <f t="shared" si="76"/>
        <v/>
      </c>
      <c r="B2472" s="18" t="str">
        <f t="shared" si="77"/>
        <v/>
      </c>
    </row>
    <row r="2473" spans="1:2" x14ac:dyDescent="0.25">
      <c r="A2473" s="15" t="str">
        <f t="shared" si="76"/>
        <v/>
      </c>
      <c r="B2473" s="18" t="str">
        <f t="shared" si="77"/>
        <v/>
      </c>
    </row>
    <row r="2474" spans="1:2" x14ac:dyDescent="0.25">
      <c r="A2474" s="15" t="str">
        <f t="shared" si="76"/>
        <v/>
      </c>
      <c r="B2474" s="18" t="str">
        <f t="shared" si="77"/>
        <v/>
      </c>
    </row>
    <row r="2475" spans="1:2" x14ac:dyDescent="0.25">
      <c r="A2475" s="15" t="str">
        <f t="shared" si="76"/>
        <v/>
      </c>
      <c r="B2475" s="18" t="str">
        <f t="shared" si="77"/>
        <v/>
      </c>
    </row>
    <row r="2476" spans="1:2" x14ac:dyDescent="0.25">
      <c r="A2476" s="15" t="str">
        <f t="shared" si="76"/>
        <v/>
      </c>
      <c r="B2476" s="18" t="str">
        <f t="shared" si="77"/>
        <v/>
      </c>
    </row>
    <row r="2477" spans="1:2" x14ac:dyDescent="0.25">
      <c r="A2477" s="15" t="str">
        <f t="shared" si="76"/>
        <v/>
      </c>
      <c r="B2477" s="18" t="str">
        <f t="shared" si="77"/>
        <v/>
      </c>
    </row>
    <row r="2478" spans="1:2" x14ac:dyDescent="0.25">
      <c r="A2478" s="15" t="str">
        <f t="shared" si="76"/>
        <v/>
      </c>
      <c r="B2478" s="18" t="str">
        <f t="shared" si="77"/>
        <v/>
      </c>
    </row>
    <row r="2479" spans="1:2" x14ac:dyDescent="0.25">
      <c r="A2479" s="15" t="str">
        <f t="shared" si="76"/>
        <v/>
      </c>
      <c r="B2479" s="18" t="str">
        <f t="shared" si="77"/>
        <v/>
      </c>
    </row>
    <row r="2480" spans="1:2" x14ac:dyDescent="0.25">
      <c r="A2480" s="15" t="str">
        <f t="shared" si="76"/>
        <v/>
      </c>
      <c r="B2480" s="18" t="str">
        <f t="shared" si="77"/>
        <v/>
      </c>
    </row>
    <row r="2481" spans="1:2" x14ac:dyDescent="0.25">
      <c r="A2481" s="15" t="str">
        <f t="shared" si="76"/>
        <v/>
      </c>
      <c r="B2481" s="18" t="str">
        <f t="shared" si="77"/>
        <v/>
      </c>
    </row>
    <row r="2482" spans="1:2" x14ac:dyDescent="0.25">
      <c r="A2482" s="15" t="str">
        <f t="shared" si="76"/>
        <v/>
      </c>
      <c r="B2482" s="18" t="str">
        <f t="shared" si="77"/>
        <v/>
      </c>
    </row>
    <row r="2483" spans="1:2" x14ac:dyDescent="0.25">
      <c r="A2483" s="15" t="str">
        <f t="shared" si="76"/>
        <v/>
      </c>
      <c r="B2483" s="18" t="str">
        <f t="shared" si="77"/>
        <v/>
      </c>
    </row>
    <row r="2484" spans="1:2" x14ac:dyDescent="0.25">
      <c r="A2484" s="15" t="str">
        <f t="shared" si="76"/>
        <v/>
      </c>
      <c r="B2484" s="18" t="str">
        <f t="shared" si="77"/>
        <v/>
      </c>
    </row>
    <row r="2485" spans="1:2" x14ac:dyDescent="0.25">
      <c r="A2485" s="15" t="str">
        <f t="shared" si="76"/>
        <v/>
      </c>
      <c r="B2485" s="18" t="str">
        <f t="shared" si="77"/>
        <v/>
      </c>
    </row>
    <row r="2486" spans="1:2" x14ac:dyDescent="0.25">
      <c r="A2486" s="15" t="str">
        <f t="shared" si="76"/>
        <v/>
      </c>
      <c r="B2486" s="18" t="str">
        <f t="shared" si="77"/>
        <v/>
      </c>
    </row>
    <row r="2487" spans="1:2" x14ac:dyDescent="0.25">
      <c r="A2487" s="15" t="str">
        <f t="shared" si="76"/>
        <v/>
      </c>
      <c r="B2487" s="18" t="str">
        <f t="shared" si="77"/>
        <v/>
      </c>
    </row>
    <row r="2488" spans="1:2" x14ac:dyDescent="0.25">
      <c r="A2488" s="15" t="str">
        <f t="shared" si="76"/>
        <v/>
      </c>
      <c r="B2488" s="18" t="str">
        <f t="shared" si="77"/>
        <v/>
      </c>
    </row>
    <row r="2489" spans="1:2" x14ac:dyDescent="0.25">
      <c r="A2489" s="15" t="str">
        <f t="shared" si="76"/>
        <v/>
      </c>
      <c r="B2489" s="18" t="str">
        <f t="shared" si="77"/>
        <v/>
      </c>
    </row>
    <row r="2490" spans="1:2" x14ac:dyDescent="0.25">
      <c r="A2490" s="15" t="str">
        <f t="shared" si="76"/>
        <v/>
      </c>
      <c r="B2490" s="18" t="str">
        <f t="shared" si="77"/>
        <v/>
      </c>
    </row>
    <row r="2491" spans="1:2" x14ac:dyDescent="0.25">
      <c r="A2491" s="15" t="str">
        <f t="shared" si="76"/>
        <v/>
      </c>
      <c r="B2491" s="18" t="str">
        <f t="shared" si="77"/>
        <v/>
      </c>
    </row>
    <row r="2492" spans="1:2" x14ac:dyDescent="0.25">
      <c r="A2492" s="15" t="str">
        <f t="shared" si="76"/>
        <v/>
      </c>
      <c r="B2492" s="18" t="str">
        <f t="shared" si="77"/>
        <v/>
      </c>
    </row>
    <row r="2493" spans="1:2" x14ac:dyDescent="0.25">
      <c r="A2493" s="15" t="str">
        <f t="shared" si="76"/>
        <v/>
      </c>
      <c r="B2493" s="18" t="str">
        <f t="shared" si="77"/>
        <v/>
      </c>
    </row>
    <row r="2494" spans="1:2" x14ac:dyDescent="0.25">
      <c r="A2494" s="15" t="str">
        <f t="shared" si="76"/>
        <v/>
      </c>
      <c r="B2494" s="18" t="str">
        <f t="shared" si="77"/>
        <v/>
      </c>
    </row>
    <row r="2495" spans="1:2" x14ac:dyDescent="0.25">
      <c r="A2495" s="15" t="str">
        <f t="shared" si="76"/>
        <v/>
      </c>
      <c r="B2495" s="18" t="str">
        <f t="shared" si="77"/>
        <v/>
      </c>
    </row>
    <row r="2496" spans="1:2" x14ac:dyDescent="0.25">
      <c r="A2496" s="15" t="str">
        <f t="shared" si="76"/>
        <v/>
      </c>
      <c r="B2496" s="18" t="str">
        <f t="shared" si="77"/>
        <v/>
      </c>
    </row>
    <row r="2497" spans="1:2" x14ac:dyDescent="0.25">
      <c r="A2497" s="15" t="str">
        <f t="shared" si="76"/>
        <v/>
      </c>
      <c r="B2497" s="18" t="str">
        <f t="shared" si="77"/>
        <v/>
      </c>
    </row>
    <row r="2498" spans="1:2" x14ac:dyDescent="0.25">
      <c r="A2498" s="15" t="str">
        <f t="shared" ref="A2498:A2561" si="78">B2498&amp;C2498</f>
        <v/>
      </c>
      <c r="B2498" s="18" t="str">
        <f t="shared" si="77"/>
        <v/>
      </c>
    </row>
    <row r="2499" spans="1:2" x14ac:dyDescent="0.25">
      <c r="A2499" s="15" t="str">
        <f t="shared" si="78"/>
        <v/>
      </c>
      <c r="B2499" s="18" t="str">
        <f t="shared" ref="B2499:B2562" si="79">IF(C2499="","",B2498)</f>
        <v/>
      </c>
    </row>
    <row r="2500" spans="1:2" x14ac:dyDescent="0.25">
      <c r="A2500" s="15" t="str">
        <f t="shared" si="78"/>
        <v/>
      </c>
      <c r="B2500" s="18" t="str">
        <f t="shared" si="79"/>
        <v/>
      </c>
    </row>
    <row r="2501" spans="1:2" x14ac:dyDescent="0.25">
      <c r="A2501" s="15" t="str">
        <f t="shared" si="78"/>
        <v/>
      </c>
      <c r="B2501" s="18" t="str">
        <f t="shared" si="79"/>
        <v/>
      </c>
    </row>
    <row r="2502" spans="1:2" x14ac:dyDescent="0.25">
      <c r="A2502" s="15" t="str">
        <f t="shared" si="78"/>
        <v/>
      </c>
      <c r="B2502" s="18" t="str">
        <f t="shared" si="79"/>
        <v/>
      </c>
    </row>
    <row r="2503" spans="1:2" x14ac:dyDescent="0.25">
      <c r="A2503" s="15" t="str">
        <f t="shared" si="78"/>
        <v/>
      </c>
      <c r="B2503" s="18" t="str">
        <f t="shared" si="79"/>
        <v/>
      </c>
    </row>
    <row r="2504" spans="1:2" x14ac:dyDescent="0.25">
      <c r="A2504" s="15" t="str">
        <f t="shared" si="78"/>
        <v/>
      </c>
      <c r="B2504" s="18" t="str">
        <f t="shared" si="79"/>
        <v/>
      </c>
    </row>
    <row r="2505" spans="1:2" x14ac:dyDescent="0.25">
      <c r="A2505" s="15" t="str">
        <f t="shared" si="78"/>
        <v/>
      </c>
      <c r="B2505" s="18" t="str">
        <f t="shared" si="79"/>
        <v/>
      </c>
    </row>
    <row r="2506" spans="1:2" x14ac:dyDescent="0.25">
      <c r="A2506" s="15" t="str">
        <f t="shared" si="78"/>
        <v/>
      </c>
      <c r="B2506" s="18" t="str">
        <f t="shared" si="79"/>
        <v/>
      </c>
    </row>
    <row r="2507" spans="1:2" x14ac:dyDescent="0.25">
      <c r="A2507" s="15" t="str">
        <f t="shared" si="78"/>
        <v/>
      </c>
      <c r="B2507" s="18" t="str">
        <f t="shared" si="79"/>
        <v/>
      </c>
    </row>
    <row r="2508" spans="1:2" x14ac:dyDescent="0.25">
      <c r="A2508" s="15" t="str">
        <f t="shared" si="78"/>
        <v/>
      </c>
      <c r="B2508" s="18" t="str">
        <f t="shared" si="79"/>
        <v/>
      </c>
    </row>
    <row r="2509" spans="1:2" x14ac:dyDescent="0.25">
      <c r="A2509" s="15" t="str">
        <f t="shared" si="78"/>
        <v/>
      </c>
      <c r="B2509" s="18" t="str">
        <f t="shared" si="79"/>
        <v/>
      </c>
    </row>
    <row r="2510" spans="1:2" x14ac:dyDescent="0.25">
      <c r="A2510" s="15" t="str">
        <f t="shared" si="78"/>
        <v/>
      </c>
      <c r="B2510" s="18" t="str">
        <f t="shared" si="79"/>
        <v/>
      </c>
    </row>
    <row r="2511" spans="1:2" x14ac:dyDescent="0.25">
      <c r="A2511" s="15" t="str">
        <f t="shared" si="78"/>
        <v/>
      </c>
      <c r="B2511" s="18" t="str">
        <f t="shared" si="79"/>
        <v/>
      </c>
    </row>
    <row r="2512" spans="1:2" x14ac:dyDescent="0.25">
      <c r="A2512" s="15" t="str">
        <f t="shared" si="78"/>
        <v/>
      </c>
      <c r="B2512" s="18" t="str">
        <f t="shared" si="79"/>
        <v/>
      </c>
    </row>
    <row r="2513" spans="1:2" x14ac:dyDescent="0.25">
      <c r="A2513" s="15" t="str">
        <f t="shared" si="78"/>
        <v/>
      </c>
      <c r="B2513" s="18" t="str">
        <f t="shared" si="79"/>
        <v/>
      </c>
    </row>
    <row r="2514" spans="1:2" x14ac:dyDescent="0.25">
      <c r="A2514" s="15" t="str">
        <f t="shared" si="78"/>
        <v/>
      </c>
      <c r="B2514" s="18" t="str">
        <f t="shared" si="79"/>
        <v/>
      </c>
    </row>
    <row r="2515" spans="1:2" x14ac:dyDescent="0.25">
      <c r="A2515" s="15" t="str">
        <f t="shared" si="78"/>
        <v/>
      </c>
      <c r="B2515" s="18" t="str">
        <f t="shared" si="79"/>
        <v/>
      </c>
    </row>
    <row r="2516" spans="1:2" x14ac:dyDescent="0.25">
      <c r="A2516" s="15" t="str">
        <f t="shared" si="78"/>
        <v/>
      </c>
      <c r="B2516" s="18" t="str">
        <f t="shared" si="79"/>
        <v/>
      </c>
    </row>
    <row r="2517" spans="1:2" x14ac:dyDescent="0.25">
      <c r="A2517" s="15" t="str">
        <f t="shared" si="78"/>
        <v/>
      </c>
      <c r="B2517" s="18" t="str">
        <f t="shared" si="79"/>
        <v/>
      </c>
    </row>
    <row r="2518" spans="1:2" x14ac:dyDescent="0.25">
      <c r="A2518" s="15" t="str">
        <f t="shared" si="78"/>
        <v/>
      </c>
      <c r="B2518" s="18" t="str">
        <f t="shared" si="79"/>
        <v/>
      </c>
    </row>
    <row r="2519" spans="1:2" x14ac:dyDescent="0.25">
      <c r="A2519" s="15" t="str">
        <f t="shared" si="78"/>
        <v/>
      </c>
      <c r="B2519" s="18" t="str">
        <f t="shared" si="79"/>
        <v/>
      </c>
    </row>
    <row r="2520" spans="1:2" x14ac:dyDescent="0.25">
      <c r="A2520" s="15" t="str">
        <f t="shared" si="78"/>
        <v/>
      </c>
      <c r="B2520" s="18" t="str">
        <f t="shared" si="79"/>
        <v/>
      </c>
    </row>
    <row r="2521" spans="1:2" x14ac:dyDescent="0.25">
      <c r="A2521" s="15" t="str">
        <f t="shared" si="78"/>
        <v/>
      </c>
      <c r="B2521" s="18" t="str">
        <f t="shared" si="79"/>
        <v/>
      </c>
    </row>
    <row r="2522" spans="1:2" x14ac:dyDescent="0.25">
      <c r="A2522" s="15" t="str">
        <f t="shared" si="78"/>
        <v/>
      </c>
      <c r="B2522" s="18" t="str">
        <f t="shared" si="79"/>
        <v/>
      </c>
    </row>
    <row r="2523" spans="1:2" x14ac:dyDescent="0.25">
      <c r="A2523" s="15" t="str">
        <f t="shared" si="78"/>
        <v/>
      </c>
      <c r="B2523" s="18" t="str">
        <f t="shared" si="79"/>
        <v/>
      </c>
    </row>
    <row r="2524" spans="1:2" x14ac:dyDescent="0.25">
      <c r="A2524" s="15" t="str">
        <f t="shared" si="78"/>
        <v/>
      </c>
      <c r="B2524" s="18" t="str">
        <f t="shared" si="79"/>
        <v/>
      </c>
    </row>
    <row r="2525" spans="1:2" x14ac:dyDescent="0.25">
      <c r="A2525" s="15" t="str">
        <f t="shared" si="78"/>
        <v/>
      </c>
      <c r="B2525" s="18" t="str">
        <f t="shared" si="79"/>
        <v/>
      </c>
    </row>
    <row r="2526" spans="1:2" x14ac:dyDescent="0.25">
      <c r="A2526" s="15" t="str">
        <f t="shared" si="78"/>
        <v/>
      </c>
      <c r="B2526" s="18" t="str">
        <f t="shared" si="79"/>
        <v/>
      </c>
    </row>
    <row r="2527" spans="1:2" x14ac:dyDescent="0.25">
      <c r="A2527" s="15" t="str">
        <f t="shared" si="78"/>
        <v/>
      </c>
      <c r="B2527" s="18" t="str">
        <f t="shared" si="79"/>
        <v/>
      </c>
    </row>
    <row r="2528" spans="1:2" x14ac:dyDescent="0.25">
      <c r="A2528" s="15" t="str">
        <f t="shared" si="78"/>
        <v/>
      </c>
      <c r="B2528" s="18" t="str">
        <f t="shared" si="79"/>
        <v/>
      </c>
    </row>
    <row r="2529" spans="1:2" x14ac:dyDescent="0.25">
      <c r="A2529" s="15" t="str">
        <f t="shared" si="78"/>
        <v/>
      </c>
      <c r="B2529" s="18" t="str">
        <f t="shared" si="79"/>
        <v/>
      </c>
    </row>
    <row r="2530" spans="1:2" x14ac:dyDescent="0.25">
      <c r="A2530" s="15" t="str">
        <f t="shared" si="78"/>
        <v/>
      </c>
      <c r="B2530" s="18" t="str">
        <f t="shared" si="79"/>
        <v/>
      </c>
    </row>
    <row r="2531" spans="1:2" x14ac:dyDescent="0.25">
      <c r="A2531" s="15" t="str">
        <f t="shared" si="78"/>
        <v/>
      </c>
      <c r="B2531" s="18" t="str">
        <f t="shared" si="79"/>
        <v/>
      </c>
    </row>
    <row r="2532" spans="1:2" x14ac:dyDescent="0.25">
      <c r="A2532" s="15" t="str">
        <f t="shared" si="78"/>
        <v/>
      </c>
      <c r="B2532" s="18" t="str">
        <f t="shared" si="79"/>
        <v/>
      </c>
    </row>
    <row r="2533" spans="1:2" x14ac:dyDescent="0.25">
      <c r="A2533" s="15" t="str">
        <f t="shared" si="78"/>
        <v/>
      </c>
      <c r="B2533" s="18" t="str">
        <f t="shared" si="79"/>
        <v/>
      </c>
    </row>
    <row r="2534" spans="1:2" x14ac:dyDescent="0.25">
      <c r="A2534" s="15" t="str">
        <f t="shared" si="78"/>
        <v/>
      </c>
      <c r="B2534" s="18" t="str">
        <f t="shared" si="79"/>
        <v/>
      </c>
    </row>
    <row r="2535" spans="1:2" x14ac:dyDescent="0.25">
      <c r="A2535" s="15" t="str">
        <f t="shared" si="78"/>
        <v/>
      </c>
      <c r="B2535" s="18" t="str">
        <f t="shared" si="79"/>
        <v/>
      </c>
    </row>
    <row r="2536" spans="1:2" x14ac:dyDescent="0.25">
      <c r="A2536" s="15" t="str">
        <f t="shared" si="78"/>
        <v/>
      </c>
      <c r="B2536" s="18" t="str">
        <f t="shared" si="79"/>
        <v/>
      </c>
    </row>
    <row r="2537" spans="1:2" x14ac:dyDescent="0.25">
      <c r="A2537" s="15" t="str">
        <f t="shared" si="78"/>
        <v/>
      </c>
      <c r="B2537" s="18" t="str">
        <f t="shared" si="79"/>
        <v/>
      </c>
    </row>
    <row r="2538" spans="1:2" x14ac:dyDescent="0.25">
      <c r="A2538" s="15" t="str">
        <f t="shared" si="78"/>
        <v/>
      </c>
      <c r="B2538" s="18" t="str">
        <f t="shared" si="79"/>
        <v/>
      </c>
    </row>
    <row r="2539" spans="1:2" x14ac:dyDescent="0.25">
      <c r="A2539" s="15" t="str">
        <f t="shared" si="78"/>
        <v/>
      </c>
      <c r="B2539" s="18" t="str">
        <f t="shared" si="79"/>
        <v/>
      </c>
    </row>
    <row r="2540" spans="1:2" x14ac:dyDescent="0.25">
      <c r="A2540" s="15" t="str">
        <f t="shared" si="78"/>
        <v/>
      </c>
      <c r="B2540" s="18" t="str">
        <f t="shared" si="79"/>
        <v/>
      </c>
    </row>
    <row r="2541" spans="1:2" x14ac:dyDescent="0.25">
      <c r="A2541" s="15" t="str">
        <f t="shared" si="78"/>
        <v/>
      </c>
      <c r="B2541" s="18" t="str">
        <f t="shared" si="79"/>
        <v/>
      </c>
    </row>
    <row r="2542" spans="1:2" x14ac:dyDescent="0.25">
      <c r="A2542" s="15" t="str">
        <f t="shared" si="78"/>
        <v/>
      </c>
      <c r="B2542" s="18" t="str">
        <f t="shared" si="79"/>
        <v/>
      </c>
    </row>
    <row r="2543" spans="1:2" x14ac:dyDescent="0.25">
      <c r="A2543" s="15" t="str">
        <f t="shared" si="78"/>
        <v/>
      </c>
      <c r="B2543" s="18" t="str">
        <f t="shared" si="79"/>
        <v/>
      </c>
    </row>
    <row r="2544" spans="1:2" x14ac:dyDescent="0.25">
      <c r="A2544" s="15" t="str">
        <f t="shared" si="78"/>
        <v/>
      </c>
      <c r="B2544" s="18" t="str">
        <f t="shared" si="79"/>
        <v/>
      </c>
    </row>
    <row r="2545" spans="1:2" x14ac:dyDescent="0.25">
      <c r="A2545" s="15" t="str">
        <f t="shared" si="78"/>
        <v/>
      </c>
      <c r="B2545" s="18" t="str">
        <f t="shared" si="79"/>
        <v/>
      </c>
    </row>
    <row r="2546" spans="1:2" x14ac:dyDescent="0.25">
      <c r="A2546" s="15" t="str">
        <f t="shared" si="78"/>
        <v/>
      </c>
      <c r="B2546" s="18" t="str">
        <f t="shared" si="79"/>
        <v/>
      </c>
    </row>
    <row r="2547" spans="1:2" x14ac:dyDescent="0.25">
      <c r="A2547" s="15" t="str">
        <f t="shared" si="78"/>
        <v/>
      </c>
      <c r="B2547" s="18" t="str">
        <f t="shared" si="79"/>
        <v/>
      </c>
    </row>
    <row r="2548" spans="1:2" x14ac:dyDescent="0.25">
      <c r="A2548" s="15" t="str">
        <f t="shared" si="78"/>
        <v/>
      </c>
      <c r="B2548" s="18" t="str">
        <f t="shared" si="79"/>
        <v/>
      </c>
    </row>
    <row r="2549" spans="1:2" x14ac:dyDescent="0.25">
      <c r="A2549" s="15" t="str">
        <f t="shared" si="78"/>
        <v/>
      </c>
      <c r="B2549" s="18" t="str">
        <f t="shared" si="79"/>
        <v/>
      </c>
    </row>
    <row r="2550" spans="1:2" x14ac:dyDescent="0.25">
      <c r="A2550" s="15" t="str">
        <f t="shared" si="78"/>
        <v/>
      </c>
      <c r="B2550" s="18" t="str">
        <f t="shared" si="79"/>
        <v/>
      </c>
    </row>
    <row r="2551" spans="1:2" x14ac:dyDescent="0.25">
      <c r="A2551" s="15" t="str">
        <f t="shared" si="78"/>
        <v/>
      </c>
      <c r="B2551" s="18" t="str">
        <f t="shared" si="79"/>
        <v/>
      </c>
    </row>
    <row r="2552" spans="1:2" x14ac:dyDescent="0.25">
      <c r="A2552" s="15" t="str">
        <f t="shared" si="78"/>
        <v/>
      </c>
      <c r="B2552" s="18" t="str">
        <f t="shared" si="79"/>
        <v/>
      </c>
    </row>
    <row r="2553" spans="1:2" x14ac:dyDescent="0.25">
      <c r="A2553" s="15" t="str">
        <f t="shared" si="78"/>
        <v/>
      </c>
      <c r="B2553" s="18" t="str">
        <f t="shared" si="79"/>
        <v/>
      </c>
    </row>
    <row r="2554" spans="1:2" x14ac:dyDescent="0.25">
      <c r="A2554" s="15" t="str">
        <f t="shared" si="78"/>
        <v/>
      </c>
      <c r="B2554" s="18" t="str">
        <f t="shared" si="79"/>
        <v/>
      </c>
    </row>
    <row r="2555" spans="1:2" x14ac:dyDescent="0.25">
      <c r="A2555" s="15" t="str">
        <f t="shared" si="78"/>
        <v/>
      </c>
      <c r="B2555" s="18" t="str">
        <f t="shared" si="79"/>
        <v/>
      </c>
    </row>
    <row r="2556" spans="1:2" x14ac:dyDescent="0.25">
      <c r="A2556" s="15" t="str">
        <f t="shared" si="78"/>
        <v/>
      </c>
      <c r="B2556" s="18" t="str">
        <f t="shared" si="79"/>
        <v/>
      </c>
    </row>
    <row r="2557" spans="1:2" x14ac:dyDescent="0.25">
      <c r="A2557" s="15" t="str">
        <f t="shared" si="78"/>
        <v/>
      </c>
      <c r="B2557" s="18" t="str">
        <f t="shared" si="79"/>
        <v/>
      </c>
    </row>
    <row r="2558" spans="1:2" x14ac:dyDescent="0.25">
      <c r="A2558" s="15" t="str">
        <f t="shared" si="78"/>
        <v/>
      </c>
      <c r="B2558" s="18" t="str">
        <f t="shared" si="79"/>
        <v/>
      </c>
    </row>
    <row r="2559" spans="1:2" x14ac:dyDescent="0.25">
      <c r="A2559" s="15" t="str">
        <f t="shared" si="78"/>
        <v/>
      </c>
      <c r="B2559" s="18" t="str">
        <f t="shared" si="79"/>
        <v/>
      </c>
    </row>
    <row r="2560" spans="1:2" x14ac:dyDescent="0.25">
      <c r="A2560" s="15" t="str">
        <f t="shared" si="78"/>
        <v/>
      </c>
      <c r="B2560" s="18" t="str">
        <f t="shared" si="79"/>
        <v/>
      </c>
    </row>
    <row r="2561" spans="1:2" x14ac:dyDescent="0.25">
      <c r="A2561" s="15" t="str">
        <f t="shared" si="78"/>
        <v/>
      </c>
      <c r="B2561" s="18" t="str">
        <f t="shared" si="79"/>
        <v/>
      </c>
    </row>
    <row r="2562" spans="1:2" x14ac:dyDescent="0.25">
      <c r="A2562" s="15" t="str">
        <f t="shared" ref="A2562:A2625" si="80">B2562&amp;C2562</f>
        <v/>
      </c>
      <c r="B2562" s="18" t="str">
        <f t="shared" si="79"/>
        <v/>
      </c>
    </row>
    <row r="2563" spans="1:2" x14ac:dyDescent="0.25">
      <c r="A2563" s="15" t="str">
        <f t="shared" si="80"/>
        <v/>
      </c>
      <c r="B2563" s="18" t="str">
        <f t="shared" ref="B2563:B2626" si="81">IF(C2563="","",B2562)</f>
        <v/>
      </c>
    </row>
    <row r="2564" spans="1:2" x14ac:dyDescent="0.25">
      <c r="A2564" s="15" t="str">
        <f t="shared" si="80"/>
        <v/>
      </c>
      <c r="B2564" s="18" t="str">
        <f t="shared" si="81"/>
        <v/>
      </c>
    </row>
    <row r="2565" spans="1:2" x14ac:dyDescent="0.25">
      <c r="A2565" s="15" t="str">
        <f t="shared" si="80"/>
        <v/>
      </c>
      <c r="B2565" s="18" t="str">
        <f t="shared" si="81"/>
        <v/>
      </c>
    </row>
    <row r="2566" spans="1:2" x14ac:dyDescent="0.25">
      <c r="A2566" s="15" t="str">
        <f t="shared" si="80"/>
        <v/>
      </c>
      <c r="B2566" s="18" t="str">
        <f t="shared" si="81"/>
        <v/>
      </c>
    </row>
    <row r="2567" spans="1:2" x14ac:dyDescent="0.25">
      <c r="A2567" s="15" t="str">
        <f t="shared" si="80"/>
        <v/>
      </c>
      <c r="B2567" s="18" t="str">
        <f t="shared" si="81"/>
        <v/>
      </c>
    </row>
    <row r="2568" spans="1:2" x14ac:dyDescent="0.25">
      <c r="A2568" s="15" t="str">
        <f t="shared" si="80"/>
        <v/>
      </c>
      <c r="B2568" s="18" t="str">
        <f t="shared" si="81"/>
        <v/>
      </c>
    </row>
    <row r="2569" spans="1:2" x14ac:dyDescent="0.25">
      <c r="A2569" s="15" t="str">
        <f t="shared" si="80"/>
        <v/>
      </c>
      <c r="B2569" s="18" t="str">
        <f t="shared" si="81"/>
        <v/>
      </c>
    </row>
    <row r="2570" spans="1:2" x14ac:dyDescent="0.25">
      <c r="A2570" s="15" t="str">
        <f t="shared" si="80"/>
        <v/>
      </c>
      <c r="B2570" s="18" t="str">
        <f t="shared" si="81"/>
        <v/>
      </c>
    </row>
    <row r="2571" spans="1:2" x14ac:dyDescent="0.25">
      <c r="A2571" s="15" t="str">
        <f t="shared" si="80"/>
        <v/>
      </c>
      <c r="B2571" s="18" t="str">
        <f t="shared" si="81"/>
        <v/>
      </c>
    </row>
    <row r="2572" spans="1:2" x14ac:dyDescent="0.25">
      <c r="A2572" s="15" t="str">
        <f t="shared" si="80"/>
        <v/>
      </c>
      <c r="B2572" s="18" t="str">
        <f t="shared" si="81"/>
        <v/>
      </c>
    </row>
    <row r="2573" spans="1:2" x14ac:dyDescent="0.25">
      <c r="A2573" s="15" t="str">
        <f t="shared" si="80"/>
        <v/>
      </c>
      <c r="B2573" s="18" t="str">
        <f t="shared" si="81"/>
        <v/>
      </c>
    </row>
    <row r="2574" spans="1:2" x14ac:dyDescent="0.25">
      <c r="A2574" s="15" t="str">
        <f t="shared" si="80"/>
        <v/>
      </c>
      <c r="B2574" s="18" t="str">
        <f t="shared" si="81"/>
        <v/>
      </c>
    </row>
    <row r="2575" spans="1:2" x14ac:dyDescent="0.25">
      <c r="A2575" s="15" t="str">
        <f t="shared" si="80"/>
        <v/>
      </c>
      <c r="B2575" s="18" t="str">
        <f t="shared" si="81"/>
        <v/>
      </c>
    </row>
    <row r="2576" spans="1:2" x14ac:dyDescent="0.25">
      <c r="A2576" s="15" t="str">
        <f t="shared" si="80"/>
        <v/>
      </c>
      <c r="B2576" s="18" t="str">
        <f t="shared" si="81"/>
        <v/>
      </c>
    </row>
    <row r="2577" spans="1:2" x14ac:dyDescent="0.25">
      <c r="A2577" s="15" t="str">
        <f t="shared" si="80"/>
        <v/>
      </c>
      <c r="B2577" s="18" t="str">
        <f t="shared" si="81"/>
        <v/>
      </c>
    </row>
    <row r="2578" spans="1:2" x14ac:dyDescent="0.25">
      <c r="A2578" s="15" t="str">
        <f t="shared" si="80"/>
        <v/>
      </c>
      <c r="B2578" s="18" t="str">
        <f t="shared" si="81"/>
        <v/>
      </c>
    </row>
    <row r="2579" spans="1:2" x14ac:dyDescent="0.25">
      <c r="A2579" s="15" t="str">
        <f t="shared" si="80"/>
        <v/>
      </c>
      <c r="B2579" s="18" t="str">
        <f t="shared" si="81"/>
        <v/>
      </c>
    </row>
    <row r="2580" spans="1:2" x14ac:dyDescent="0.25">
      <c r="A2580" s="15" t="str">
        <f t="shared" si="80"/>
        <v/>
      </c>
      <c r="B2580" s="18" t="str">
        <f t="shared" si="81"/>
        <v/>
      </c>
    </row>
    <row r="2581" spans="1:2" x14ac:dyDescent="0.25">
      <c r="A2581" s="15" t="str">
        <f t="shared" si="80"/>
        <v/>
      </c>
      <c r="B2581" s="18" t="str">
        <f t="shared" si="81"/>
        <v/>
      </c>
    </row>
    <row r="2582" spans="1:2" x14ac:dyDescent="0.25">
      <c r="A2582" s="15" t="str">
        <f t="shared" si="80"/>
        <v/>
      </c>
      <c r="B2582" s="18" t="str">
        <f t="shared" si="81"/>
        <v/>
      </c>
    </row>
    <row r="2583" spans="1:2" x14ac:dyDescent="0.25">
      <c r="A2583" s="15" t="str">
        <f t="shared" si="80"/>
        <v/>
      </c>
      <c r="B2583" s="18" t="str">
        <f t="shared" si="81"/>
        <v/>
      </c>
    </row>
    <row r="2584" spans="1:2" x14ac:dyDescent="0.25">
      <c r="A2584" s="15" t="str">
        <f t="shared" si="80"/>
        <v/>
      </c>
      <c r="B2584" s="18" t="str">
        <f t="shared" si="81"/>
        <v/>
      </c>
    </row>
    <row r="2585" spans="1:2" x14ac:dyDescent="0.25">
      <c r="A2585" s="15" t="str">
        <f t="shared" si="80"/>
        <v/>
      </c>
      <c r="B2585" s="18" t="str">
        <f t="shared" si="81"/>
        <v/>
      </c>
    </row>
    <row r="2586" spans="1:2" x14ac:dyDescent="0.25">
      <c r="A2586" s="15" t="str">
        <f t="shared" si="80"/>
        <v/>
      </c>
      <c r="B2586" s="18" t="str">
        <f t="shared" si="81"/>
        <v/>
      </c>
    </row>
    <row r="2587" spans="1:2" x14ac:dyDescent="0.25">
      <c r="A2587" s="15" t="str">
        <f t="shared" si="80"/>
        <v/>
      </c>
      <c r="B2587" s="18" t="str">
        <f t="shared" si="81"/>
        <v/>
      </c>
    </row>
    <row r="2588" spans="1:2" x14ac:dyDescent="0.25">
      <c r="A2588" s="15" t="str">
        <f t="shared" si="80"/>
        <v/>
      </c>
      <c r="B2588" s="18" t="str">
        <f t="shared" si="81"/>
        <v/>
      </c>
    </row>
    <row r="2589" spans="1:2" x14ac:dyDescent="0.25">
      <c r="A2589" s="15" t="str">
        <f t="shared" si="80"/>
        <v/>
      </c>
      <c r="B2589" s="18" t="str">
        <f t="shared" si="81"/>
        <v/>
      </c>
    </row>
    <row r="2590" spans="1:2" x14ac:dyDescent="0.25">
      <c r="A2590" s="15" t="str">
        <f t="shared" si="80"/>
        <v/>
      </c>
      <c r="B2590" s="18" t="str">
        <f t="shared" si="81"/>
        <v/>
      </c>
    </row>
    <row r="2591" spans="1:2" x14ac:dyDescent="0.25">
      <c r="A2591" s="15" t="str">
        <f t="shared" si="80"/>
        <v/>
      </c>
      <c r="B2591" s="18" t="str">
        <f t="shared" si="81"/>
        <v/>
      </c>
    </row>
    <row r="2592" spans="1:2" x14ac:dyDescent="0.25">
      <c r="A2592" s="15" t="str">
        <f t="shared" si="80"/>
        <v/>
      </c>
      <c r="B2592" s="18" t="str">
        <f t="shared" si="81"/>
        <v/>
      </c>
    </row>
    <row r="2593" spans="1:2" x14ac:dyDescent="0.25">
      <c r="A2593" s="15" t="str">
        <f t="shared" si="80"/>
        <v/>
      </c>
      <c r="B2593" s="18" t="str">
        <f t="shared" si="81"/>
        <v/>
      </c>
    </row>
    <row r="2594" spans="1:2" x14ac:dyDescent="0.25">
      <c r="A2594" s="15" t="str">
        <f t="shared" si="80"/>
        <v/>
      </c>
      <c r="B2594" s="18" t="str">
        <f t="shared" si="81"/>
        <v/>
      </c>
    </row>
    <row r="2595" spans="1:2" x14ac:dyDescent="0.25">
      <c r="A2595" s="15" t="str">
        <f t="shared" si="80"/>
        <v/>
      </c>
      <c r="B2595" s="18" t="str">
        <f t="shared" si="81"/>
        <v/>
      </c>
    </row>
    <row r="2596" spans="1:2" x14ac:dyDescent="0.25">
      <c r="A2596" s="15" t="str">
        <f t="shared" si="80"/>
        <v/>
      </c>
      <c r="B2596" s="18" t="str">
        <f t="shared" si="81"/>
        <v/>
      </c>
    </row>
    <row r="2597" spans="1:2" x14ac:dyDescent="0.25">
      <c r="A2597" s="15" t="str">
        <f t="shared" si="80"/>
        <v/>
      </c>
      <c r="B2597" s="18" t="str">
        <f t="shared" si="81"/>
        <v/>
      </c>
    </row>
    <row r="2598" spans="1:2" x14ac:dyDescent="0.25">
      <c r="A2598" s="15" t="str">
        <f t="shared" si="80"/>
        <v/>
      </c>
      <c r="B2598" s="18" t="str">
        <f t="shared" si="81"/>
        <v/>
      </c>
    </row>
    <row r="2599" spans="1:2" x14ac:dyDescent="0.25">
      <c r="A2599" s="15" t="str">
        <f t="shared" si="80"/>
        <v/>
      </c>
      <c r="B2599" s="18" t="str">
        <f t="shared" si="81"/>
        <v/>
      </c>
    </row>
    <row r="2600" spans="1:2" x14ac:dyDescent="0.25">
      <c r="A2600" s="15" t="str">
        <f t="shared" si="80"/>
        <v/>
      </c>
      <c r="B2600" s="18" t="str">
        <f t="shared" si="81"/>
        <v/>
      </c>
    </row>
    <row r="2601" spans="1:2" x14ac:dyDescent="0.25">
      <c r="A2601" s="15" t="str">
        <f t="shared" si="80"/>
        <v/>
      </c>
      <c r="B2601" s="18" t="str">
        <f t="shared" si="81"/>
        <v/>
      </c>
    </row>
    <row r="2602" spans="1:2" x14ac:dyDescent="0.25">
      <c r="A2602" s="15" t="str">
        <f t="shared" si="80"/>
        <v/>
      </c>
      <c r="B2602" s="18" t="str">
        <f t="shared" si="81"/>
        <v/>
      </c>
    </row>
    <row r="2603" spans="1:2" x14ac:dyDescent="0.25">
      <c r="A2603" s="15" t="str">
        <f t="shared" si="80"/>
        <v/>
      </c>
      <c r="B2603" s="18" t="str">
        <f t="shared" si="81"/>
        <v/>
      </c>
    </row>
    <row r="2604" spans="1:2" x14ac:dyDescent="0.25">
      <c r="A2604" s="15" t="str">
        <f t="shared" si="80"/>
        <v/>
      </c>
      <c r="B2604" s="18" t="str">
        <f t="shared" si="81"/>
        <v/>
      </c>
    </row>
    <row r="2605" spans="1:2" x14ac:dyDescent="0.25">
      <c r="A2605" s="15" t="str">
        <f t="shared" si="80"/>
        <v/>
      </c>
      <c r="B2605" s="18" t="str">
        <f t="shared" si="81"/>
        <v/>
      </c>
    </row>
    <row r="2606" spans="1:2" x14ac:dyDescent="0.25">
      <c r="A2606" s="15" t="str">
        <f t="shared" si="80"/>
        <v/>
      </c>
      <c r="B2606" s="18" t="str">
        <f t="shared" si="81"/>
        <v/>
      </c>
    </row>
    <row r="2607" spans="1:2" x14ac:dyDescent="0.25">
      <c r="A2607" s="15" t="str">
        <f t="shared" si="80"/>
        <v/>
      </c>
      <c r="B2607" s="18" t="str">
        <f t="shared" si="81"/>
        <v/>
      </c>
    </row>
    <row r="2608" spans="1:2" x14ac:dyDescent="0.25">
      <c r="A2608" s="15" t="str">
        <f t="shared" si="80"/>
        <v/>
      </c>
      <c r="B2608" s="18" t="str">
        <f t="shared" si="81"/>
        <v/>
      </c>
    </row>
    <row r="2609" spans="1:2" x14ac:dyDescent="0.25">
      <c r="A2609" s="15" t="str">
        <f t="shared" si="80"/>
        <v/>
      </c>
      <c r="B2609" s="18" t="str">
        <f t="shared" si="81"/>
        <v/>
      </c>
    </row>
    <row r="2610" spans="1:2" x14ac:dyDescent="0.25">
      <c r="A2610" s="15" t="str">
        <f t="shared" si="80"/>
        <v/>
      </c>
      <c r="B2610" s="18" t="str">
        <f t="shared" si="81"/>
        <v/>
      </c>
    </row>
    <row r="2611" spans="1:2" x14ac:dyDescent="0.25">
      <c r="A2611" s="15" t="str">
        <f t="shared" si="80"/>
        <v/>
      </c>
      <c r="B2611" s="18" t="str">
        <f t="shared" si="81"/>
        <v/>
      </c>
    </row>
    <row r="2612" spans="1:2" x14ac:dyDescent="0.25">
      <c r="A2612" s="15" t="str">
        <f t="shared" si="80"/>
        <v/>
      </c>
      <c r="B2612" s="18" t="str">
        <f t="shared" si="81"/>
        <v/>
      </c>
    </row>
    <row r="2613" spans="1:2" x14ac:dyDescent="0.25">
      <c r="A2613" s="15" t="str">
        <f t="shared" si="80"/>
        <v/>
      </c>
      <c r="B2613" s="18" t="str">
        <f t="shared" si="81"/>
        <v/>
      </c>
    </row>
    <row r="2614" spans="1:2" x14ac:dyDescent="0.25">
      <c r="A2614" s="15" t="str">
        <f t="shared" si="80"/>
        <v/>
      </c>
      <c r="B2614" s="18" t="str">
        <f t="shared" si="81"/>
        <v/>
      </c>
    </row>
    <row r="2615" spans="1:2" x14ac:dyDescent="0.25">
      <c r="A2615" s="15" t="str">
        <f t="shared" si="80"/>
        <v/>
      </c>
      <c r="B2615" s="18" t="str">
        <f t="shared" si="81"/>
        <v/>
      </c>
    </row>
    <row r="2616" spans="1:2" x14ac:dyDescent="0.25">
      <c r="A2616" s="15" t="str">
        <f t="shared" si="80"/>
        <v/>
      </c>
      <c r="B2616" s="18" t="str">
        <f t="shared" si="81"/>
        <v/>
      </c>
    </row>
    <row r="2617" spans="1:2" x14ac:dyDescent="0.25">
      <c r="A2617" s="15" t="str">
        <f t="shared" si="80"/>
        <v/>
      </c>
      <c r="B2617" s="18" t="str">
        <f t="shared" si="81"/>
        <v/>
      </c>
    </row>
    <row r="2618" spans="1:2" x14ac:dyDescent="0.25">
      <c r="A2618" s="15" t="str">
        <f t="shared" si="80"/>
        <v/>
      </c>
      <c r="B2618" s="18" t="str">
        <f t="shared" si="81"/>
        <v/>
      </c>
    </row>
    <row r="2619" spans="1:2" x14ac:dyDescent="0.25">
      <c r="A2619" s="15" t="str">
        <f t="shared" si="80"/>
        <v/>
      </c>
      <c r="B2619" s="18" t="str">
        <f t="shared" si="81"/>
        <v/>
      </c>
    </row>
    <row r="2620" spans="1:2" x14ac:dyDescent="0.25">
      <c r="A2620" s="15" t="str">
        <f t="shared" si="80"/>
        <v/>
      </c>
      <c r="B2620" s="18" t="str">
        <f t="shared" si="81"/>
        <v/>
      </c>
    </row>
    <row r="2621" spans="1:2" x14ac:dyDescent="0.25">
      <c r="A2621" s="15" t="str">
        <f t="shared" si="80"/>
        <v/>
      </c>
      <c r="B2621" s="18" t="str">
        <f t="shared" si="81"/>
        <v/>
      </c>
    </row>
    <row r="2622" spans="1:2" x14ac:dyDescent="0.25">
      <c r="A2622" s="15" t="str">
        <f t="shared" si="80"/>
        <v/>
      </c>
      <c r="B2622" s="18" t="str">
        <f t="shared" si="81"/>
        <v/>
      </c>
    </row>
    <row r="2623" spans="1:2" x14ac:dyDescent="0.25">
      <c r="A2623" s="15" t="str">
        <f t="shared" si="80"/>
        <v/>
      </c>
      <c r="B2623" s="18" t="str">
        <f t="shared" si="81"/>
        <v/>
      </c>
    </row>
    <row r="2624" spans="1:2" x14ac:dyDescent="0.25">
      <c r="A2624" s="15" t="str">
        <f t="shared" si="80"/>
        <v/>
      </c>
      <c r="B2624" s="18" t="str">
        <f t="shared" si="81"/>
        <v/>
      </c>
    </row>
    <row r="2625" spans="1:2" x14ac:dyDescent="0.25">
      <c r="A2625" s="15" t="str">
        <f t="shared" si="80"/>
        <v/>
      </c>
      <c r="B2625" s="18" t="str">
        <f t="shared" si="81"/>
        <v/>
      </c>
    </row>
    <row r="2626" spans="1:2" x14ac:dyDescent="0.25">
      <c r="A2626" s="15" t="str">
        <f t="shared" ref="A2626:A2689" si="82">B2626&amp;C2626</f>
        <v/>
      </c>
      <c r="B2626" s="18" t="str">
        <f t="shared" si="81"/>
        <v/>
      </c>
    </row>
    <row r="2627" spans="1:2" x14ac:dyDescent="0.25">
      <c r="A2627" s="15" t="str">
        <f t="shared" si="82"/>
        <v/>
      </c>
      <c r="B2627" s="18" t="str">
        <f t="shared" ref="B2627:B2690" si="83">IF(C2627="","",B2626)</f>
        <v/>
      </c>
    </row>
    <row r="2628" spans="1:2" x14ac:dyDescent="0.25">
      <c r="A2628" s="15" t="str">
        <f t="shared" si="82"/>
        <v/>
      </c>
      <c r="B2628" s="18" t="str">
        <f t="shared" si="83"/>
        <v/>
      </c>
    </row>
    <row r="2629" spans="1:2" x14ac:dyDescent="0.25">
      <c r="A2629" s="15" t="str">
        <f t="shared" si="82"/>
        <v/>
      </c>
      <c r="B2629" s="18" t="str">
        <f t="shared" si="83"/>
        <v/>
      </c>
    </row>
    <row r="2630" spans="1:2" x14ac:dyDescent="0.25">
      <c r="A2630" s="15" t="str">
        <f t="shared" si="82"/>
        <v/>
      </c>
      <c r="B2630" s="18" t="str">
        <f t="shared" si="83"/>
        <v/>
      </c>
    </row>
    <row r="2631" spans="1:2" x14ac:dyDescent="0.25">
      <c r="A2631" s="15" t="str">
        <f t="shared" si="82"/>
        <v/>
      </c>
      <c r="B2631" s="18" t="str">
        <f t="shared" si="83"/>
        <v/>
      </c>
    </row>
    <row r="2632" spans="1:2" x14ac:dyDescent="0.25">
      <c r="A2632" s="15" t="str">
        <f t="shared" si="82"/>
        <v/>
      </c>
      <c r="B2632" s="18" t="str">
        <f t="shared" si="83"/>
        <v/>
      </c>
    </row>
    <row r="2633" spans="1:2" x14ac:dyDescent="0.25">
      <c r="A2633" s="15" t="str">
        <f t="shared" si="82"/>
        <v/>
      </c>
      <c r="B2633" s="18" t="str">
        <f t="shared" si="83"/>
        <v/>
      </c>
    </row>
    <row r="2634" spans="1:2" x14ac:dyDescent="0.25">
      <c r="A2634" s="15" t="str">
        <f t="shared" si="82"/>
        <v/>
      </c>
      <c r="B2634" s="18" t="str">
        <f t="shared" si="83"/>
        <v/>
      </c>
    </row>
    <row r="2635" spans="1:2" x14ac:dyDescent="0.25">
      <c r="A2635" s="15" t="str">
        <f t="shared" si="82"/>
        <v/>
      </c>
      <c r="B2635" s="18" t="str">
        <f t="shared" si="83"/>
        <v/>
      </c>
    </row>
    <row r="2636" spans="1:2" x14ac:dyDescent="0.25">
      <c r="A2636" s="15" t="str">
        <f t="shared" si="82"/>
        <v/>
      </c>
      <c r="B2636" s="18" t="str">
        <f t="shared" si="83"/>
        <v/>
      </c>
    </row>
    <row r="2637" spans="1:2" x14ac:dyDescent="0.25">
      <c r="A2637" s="15" t="str">
        <f t="shared" si="82"/>
        <v/>
      </c>
      <c r="B2637" s="18" t="str">
        <f t="shared" si="83"/>
        <v/>
      </c>
    </row>
    <row r="2638" spans="1:2" x14ac:dyDescent="0.25">
      <c r="A2638" s="15" t="str">
        <f t="shared" si="82"/>
        <v/>
      </c>
      <c r="B2638" s="18" t="str">
        <f t="shared" si="83"/>
        <v/>
      </c>
    </row>
    <row r="2639" spans="1:2" x14ac:dyDescent="0.25">
      <c r="A2639" s="15" t="str">
        <f t="shared" si="82"/>
        <v/>
      </c>
      <c r="B2639" s="18" t="str">
        <f t="shared" si="83"/>
        <v/>
      </c>
    </row>
    <row r="2640" spans="1:2" x14ac:dyDescent="0.25">
      <c r="A2640" s="15" t="str">
        <f t="shared" si="82"/>
        <v/>
      </c>
      <c r="B2640" s="18" t="str">
        <f t="shared" si="83"/>
        <v/>
      </c>
    </row>
    <row r="2641" spans="1:2" x14ac:dyDescent="0.25">
      <c r="A2641" s="15" t="str">
        <f t="shared" si="82"/>
        <v/>
      </c>
      <c r="B2641" s="18" t="str">
        <f t="shared" si="83"/>
        <v/>
      </c>
    </row>
    <row r="2642" spans="1:2" x14ac:dyDescent="0.25">
      <c r="A2642" s="15" t="str">
        <f t="shared" si="82"/>
        <v/>
      </c>
      <c r="B2642" s="18" t="str">
        <f t="shared" si="83"/>
        <v/>
      </c>
    </row>
    <row r="2643" spans="1:2" x14ac:dyDescent="0.25">
      <c r="A2643" s="15" t="str">
        <f t="shared" si="82"/>
        <v/>
      </c>
      <c r="B2643" s="18" t="str">
        <f t="shared" si="83"/>
        <v/>
      </c>
    </row>
    <row r="2644" spans="1:2" x14ac:dyDescent="0.25">
      <c r="A2644" s="15" t="str">
        <f t="shared" si="82"/>
        <v/>
      </c>
      <c r="B2644" s="18" t="str">
        <f t="shared" si="83"/>
        <v/>
      </c>
    </row>
    <row r="2645" spans="1:2" x14ac:dyDescent="0.25">
      <c r="A2645" s="15" t="str">
        <f t="shared" si="82"/>
        <v/>
      </c>
      <c r="B2645" s="18" t="str">
        <f t="shared" si="83"/>
        <v/>
      </c>
    </row>
    <row r="2646" spans="1:2" x14ac:dyDescent="0.25">
      <c r="A2646" s="15" t="str">
        <f t="shared" si="82"/>
        <v/>
      </c>
      <c r="B2646" s="18" t="str">
        <f t="shared" si="83"/>
        <v/>
      </c>
    </row>
    <row r="2647" spans="1:2" x14ac:dyDescent="0.25">
      <c r="A2647" s="15" t="str">
        <f t="shared" si="82"/>
        <v/>
      </c>
      <c r="B2647" s="18" t="str">
        <f t="shared" si="83"/>
        <v/>
      </c>
    </row>
    <row r="2648" spans="1:2" x14ac:dyDescent="0.25">
      <c r="A2648" s="15" t="str">
        <f t="shared" si="82"/>
        <v/>
      </c>
      <c r="B2648" s="18" t="str">
        <f t="shared" si="83"/>
        <v/>
      </c>
    </row>
    <row r="2649" spans="1:2" x14ac:dyDescent="0.25">
      <c r="A2649" s="15" t="str">
        <f t="shared" si="82"/>
        <v/>
      </c>
      <c r="B2649" s="18" t="str">
        <f t="shared" si="83"/>
        <v/>
      </c>
    </row>
    <row r="2650" spans="1:2" x14ac:dyDescent="0.25">
      <c r="A2650" s="15" t="str">
        <f t="shared" si="82"/>
        <v/>
      </c>
      <c r="B2650" s="18" t="str">
        <f t="shared" si="83"/>
        <v/>
      </c>
    </row>
    <row r="2651" spans="1:2" x14ac:dyDescent="0.25">
      <c r="A2651" s="15" t="str">
        <f t="shared" si="82"/>
        <v/>
      </c>
      <c r="B2651" s="18" t="str">
        <f t="shared" si="83"/>
        <v/>
      </c>
    </row>
    <row r="2652" spans="1:2" x14ac:dyDescent="0.25">
      <c r="A2652" s="15" t="str">
        <f t="shared" si="82"/>
        <v/>
      </c>
      <c r="B2652" s="18" t="str">
        <f t="shared" si="83"/>
        <v/>
      </c>
    </row>
    <row r="2653" spans="1:2" x14ac:dyDescent="0.25">
      <c r="A2653" s="15" t="str">
        <f t="shared" si="82"/>
        <v/>
      </c>
      <c r="B2653" s="18" t="str">
        <f t="shared" si="83"/>
        <v/>
      </c>
    </row>
    <row r="2654" spans="1:2" x14ac:dyDescent="0.25">
      <c r="A2654" s="15" t="str">
        <f t="shared" si="82"/>
        <v/>
      </c>
      <c r="B2654" s="18" t="str">
        <f t="shared" si="83"/>
        <v/>
      </c>
    </row>
    <row r="2655" spans="1:2" x14ac:dyDescent="0.25">
      <c r="A2655" s="15" t="str">
        <f t="shared" si="82"/>
        <v/>
      </c>
      <c r="B2655" s="18" t="str">
        <f t="shared" si="83"/>
        <v/>
      </c>
    </row>
    <row r="2656" spans="1:2" x14ac:dyDescent="0.25">
      <c r="A2656" s="15" t="str">
        <f t="shared" si="82"/>
        <v/>
      </c>
      <c r="B2656" s="18" t="str">
        <f t="shared" si="83"/>
        <v/>
      </c>
    </row>
    <row r="2657" spans="1:2" x14ac:dyDescent="0.25">
      <c r="A2657" s="15" t="str">
        <f t="shared" si="82"/>
        <v/>
      </c>
      <c r="B2657" s="18" t="str">
        <f t="shared" si="83"/>
        <v/>
      </c>
    </row>
    <row r="2658" spans="1:2" x14ac:dyDescent="0.25">
      <c r="A2658" s="15" t="str">
        <f t="shared" si="82"/>
        <v/>
      </c>
      <c r="B2658" s="18" t="str">
        <f t="shared" si="83"/>
        <v/>
      </c>
    </row>
    <row r="2659" spans="1:2" x14ac:dyDescent="0.25">
      <c r="A2659" s="15" t="str">
        <f t="shared" si="82"/>
        <v/>
      </c>
      <c r="B2659" s="18" t="str">
        <f t="shared" si="83"/>
        <v/>
      </c>
    </row>
    <row r="2660" spans="1:2" x14ac:dyDescent="0.25">
      <c r="A2660" s="15" t="str">
        <f t="shared" si="82"/>
        <v/>
      </c>
      <c r="B2660" s="18" t="str">
        <f t="shared" si="83"/>
        <v/>
      </c>
    </row>
    <row r="2661" spans="1:2" x14ac:dyDescent="0.25">
      <c r="A2661" s="15" t="str">
        <f t="shared" si="82"/>
        <v/>
      </c>
      <c r="B2661" s="18" t="str">
        <f t="shared" si="83"/>
        <v/>
      </c>
    </row>
    <row r="2662" spans="1:2" x14ac:dyDescent="0.25">
      <c r="A2662" s="15" t="str">
        <f t="shared" si="82"/>
        <v/>
      </c>
      <c r="B2662" s="18" t="str">
        <f t="shared" si="83"/>
        <v/>
      </c>
    </row>
    <row r="2663" spans="1:2" x14ac:dyDescent="0.25">
      <c r="A2663" s="15" t="str">
        <f t="shared" si="82"/>
        <v/>
      </c>
      <c r="B2663" s="18" t="str">
        <f t="shared" si="83"/>
        <v/>
      </c>
    </row>
    <row r="2664" spans="1:2" x14ac:dyDescent="0.25">
      <c r="A2664" s="15" t="str">
        <f t="shared" si="82"/>
        <v/>
      </c>
      <c r="B2664" s="18" t="str">
        <f t="shared" si="83"/>
        <v/>
      </c>
    </row>
    <row r="2665" spans="1:2" x14ac:dyDescent="0.25">
      <c r="A2665" s="15" t="str">
        <f t="shared" si="82"/>
        <v/>
      </c>
      <c r="B2665" s="18" t="str">
        <f t="shared" si="83"/>
        <v/>
      </c>
    </row>
    <row r="2666" spans="1:2" x14ac:dyDescent="0.25">
      <c r="A2666" s="15" t="str">
        <f t="shared" si="82"/>
        <v/>
      </c>
      <c r="B2666" s="18" t="str">
        <f t="shared" si="83"/>
        <v/>
      </c>
    </row>
    <row r="2667" spans="1:2" x14ac:dyDescent="0.25">
      <c r="A2667" s="15" t="str">
        <f t="shared" si="82"/>
        <v/>
      </c>
      <c r="B2667" s="18" t="str">
        <f t="shared" si="83"/>
        <v/>
      </c>
    </row>
    <row r="2668" spans="1:2" x14ac:dyDescent="0.25">
      <c r="A2668" s="15" t="str">
        <f t="shared" si="82"/>
        <v/>
      </c>
      <c r="B2668" s="18" t="str">
        <f t="shared" si="83"/>
        <v/>
      </c>
    </row>
    <row r="2669" spans="1:2" x14ac:dyDescent="0.25">
      <c r="A2669" s="15" t="str">
        <f t="shared" si="82"/>
        <v/>
      </c>
      <c r="B2669" s="18" t="str">
        <f t="shared" si="83"/>
        <v/>
      </c>
    </row>
    <row r="2670" spans="1:2" x14ac:dyDescent="0.25">
      <c r="A2670" s="15" t="str">
        <f t="shared" si="82"/>
        <v/>
      </c>
      <c r="B2670" s="18" t="str">
        <f t="shared" si="83"/>
        <v/>
      </c>
    </row>
    <row r="2671" spans="1:2" x14ac:dyDescent="0.25">
      <c r="A2671" s="15" t="str">
        <f t="shared" si="82"/>
        <v/>
      </c>
      <c r="B2671" s="18" t="str">
        <f t="shared" si="83"/>
        <v/>
      </c>
    </row>
    <row r="2672" spans="1:2" x14ac:dyDescent="0.25">
      <c r="A2672" s="15" t="str">
        <f t="shared" si="82"/>
        <v/>
      </c>
      <c r="B2672" s="18" t="str">
        <f t="shared" si="83"/>
        <v/>
      </c>
    </row>
    <row r="2673" spans="1:2" x14ac:dyDescent="0.25">
      <c r="A2673" s="15" t="str">
        <f t="shared" si="82"/>
        <v/>
      </c>
      <c r="B2673" s="18" t="str">
        <f t="shared" si="83"/>
        <v/>
      </c>
    </row>
    <row r="2674" spans="1:2" x14ac:dyDescent="0.25">
      <c r="A2674" s="15" t="str">
        <f t="shared" si="82"/>
        <v/>
      </c>
      <c r="B2674" s="18" t="str">
        <f t="shared" si="83"/>
        <v/>
      </c>
    </row>
    <row r="2675" spans="1:2" x14ac:dyDescent="0.25">
      <c r="A2675" s="15" t="str">
        <f t="shared" si="82"/>
        <v/>
      </c>
      <c r="B2675" s="18" t="str">
        <f t="shared" si="83"/>
        <v/>
      </c>
    </row>
    <row r="2676" spans="1:2" x14ac:dyDescent="0.25">
      <c r="A2676" s="15" t="str">
        <f t="shared" si="82"/>
        <v/>
      </c>
      <c r="B2676" s="18" t="str">
        <f t="shared" si="83"/>
        <v/>
      </c>
    </row>
    <row r="2677" spans="1:2" x14ac:dyDescent="0.25">
      <c r="A2677" s="15" t="str">
        <f t="shared" si="82"/>
        <v/>
      </c>
      <c r="B2677" s="18" t="str">
        <f t="shared" si="83"/>
        <v/>
      </c>
    </row>
    <row r="2678" spans="1:2" x14ac:dyDescent="0.25">
      <c r="A2678" s="15" t="str">
        <f t="shared" si="82"/>
        <v/>
      </c>
      <c r="B2678" s="18" t="str">
        <f t="shared" si="83"/>
        <v/>
      </c>
    </row>
    <row r="2679" spans="1:2" x14ac:dyDescent="0.25">
      <c r="A2679" s="15" t="str">
        <f t="shared" si="82"/>
        <v/>
      </c>
      <c r="B2679" s="18" t="str">
        <f t="shared" si="83"/>
        <v/>
      </c>
    </row>
    <row r="2680" spans="1:2" x14ac:dyDescent="0.25">
      <c r="A2680" s="15" t="str">
        <f t="shared" si="82"/>
        <v/>
      </c>
      <c r="B2680" s="18" t="str">
        <f t="shared" si="83"/>
        <v/>
      </c>
    </row>
    <row r="2681" spans="1:2" x14ac:dyDescent="0.25">
      <c r="A2681" s="15" t="str">
        <f t="shared" si="82"/>
        <v/>
      </c>
      <c r="B2681" s="18" t="str">
        <f t="shared" si="83"/>
        <v/>
      </c>
    </row>
    <row r="2682" spans="1:2" x14ac:dyDescent="0.25">
      <c r="A2682" s="15" t="str">
        <f t="shared" si="82"/>
        <v/>
      </c>
      <c r="B2682" s="18" t="str">
        <f t="shared" si="83"/>
        <v/>
      </c>
    </row>
    <row r="2683" spans="1:2" x14ac:dyDescent="0.25">
      <c r="A2683" s="15" t="str">
        <f t="shared" si="82"/>
        <v/>
      </c>
      <c r="B2683" s="18" t="str">
        <f t="shared" si="83"/>
        <v/>
      </c>
    </row>
    <row r="2684" spans="1:2" x14ac:dyDescent="0.25">
      <c r="A2684" s="15" t="str">
        <f t="shared" si="82"/>
        <v/>
      </c>
      <c r="B2684" s="18" t="str">
        <f t="shared" si="83"/>
        <v/>
      </c>
    </row>
    <row r="2685" spans="1:2" x14ac:dyDescent="0.25">
      <c r="A2685" s="15" t="str">
        <f t="shared" si="82"/>
        <v/>
      </c>
      <c r="B2685" s="18" t="str">
        <f t="shared" si="83"/>
        <v/>
      </c>
    </row>
    <row r="2686" spans="1:2" x14ac:dyDescent="0.25">
      <c r="A2686" s="15" t="str">
        <f t="shared" si="82"/>
        <v/>
      </c>
      <c r="B2686" s="18" t="str">
        <f t="shared" si="83"/>
        <v/>
      </c>
    </row>
    <row r="2687" spans="1:2" x14ac:dyDescent="0.25">
      <c r="A2687" s="15" t="str">
        <f t="shared" si="82"/>
        <v/>
      </c>
      <c r="B2687" s="18" t="str">
        <f t="shared" si="83"/>
        <v/>
      </c>
    </row>
    <row r="2688" spans="1:2" x14ac:dyDescent="0.25">
      <c r="A2688" s="15" t="str">
        <f t="shared" si="82"/>
        <v/>
      </c>
      <c r="B2688" s="18" t="str">
        <f t="shared" si="83"/>
        <v/>
      </c>
    </row>
    <row r="2689" spans="1:2" x14ac:dyDescent="0.25">
      <c r="A2689" s="15" t="str">
        <f t="shared" si="82"/>
        <v/>
      </c>
      <c r="B2689" s="18" t="str">
        <f t="shared" si="83"/>
        <v/>
      </c>
    </row>
    <row r="2690" spans="1:2" x14ac:dyDescent="0.25">
      <c r="A2690" s="15" t="str">
        <f t="shared" ref="A2690:A2753" si="84">B2690&amp;C2690</f>
        <v/>
      </c>
      <c r="B2690" s="18" t="str">
        <f t="shared" si="83"/>
        <v/>
      </c>
    </row>
    <row r="2691" spans="1:2" x14ac:dyDescent="0.25">
      <c r="A2691" s="15" t="str">
        <f t="shared" si="84"/>
        <v/>
      </c>
      <c r="B2691" s="18" t="str">
        <f t="shared" ref="B2691:B2754" si="85">IF(C2691="","",B2690)</f>
        <v/>
      </c>
    </row>
    <row r="2692" spans="1:2" x14ac:dyDescent="0.25">
      <c r="A2692" s="15" t="str">
        <f t="shared" si="84"/>
        <v/>
      </c>
      <c r="B2692" s="18" t="str">
        <f t="shared" si="85"/>
        <v/>
      </c>
    </row>
    <row r="2693" spans="1:2" x14ac:dyDescent="0.25">
      <c r="A2693" s="15" t="str">
        <f t="shared" si="84"/>
        <v/>
      </c>
      <c r="B2693" s="18" t="str">
        <f t="shared" si="85"/>
        <v/>
      </c>
    </row>
    <row r="2694" spans="1:2" x14ac:dyDescent="0.25">
      <c r="A2694" s="15" t="str">
        <f t="shared" si="84"/>
        <v/>
      </c>
      <c r="B2694" s="18" t="str">
        <f t="shared" si="85"/>
        <v/>
      </c>
    </row>
    <row r="2695" spans="1:2" x14ac:dyDescent="0.25">
      <c r="A2695" s="15" t="str">
        <f t="shared" si="84"/>
        <v/>
      </c>
      <c r="B2695" s="18" t="str">
        <f t="shared" si="85"/>
        <v/>
      </c>
    </row>
    <row r="2696" spans="1:2" x14ac:dyDescent="0.25">
      <c r="A2696" s="15" t="str">
        <f t="shared" si="84"/>
        <v/>
      </c>
      <c r="B2696" s="18" t="str">
        <f t="shared" si="85"/>
        <v/>
      </c>
    </row>
    <row r="2697" spans="1:2" x14ac:dyDescent="0.25">
      <c r="A2697" s="15" t="str">
        <f t="shared" si="84"/>
        <v/>
      </c>
      <c r="B2697" s="18" t="str">
        <f t="shared" si="85"/>
        <v/>
      </c>
    </row>
    <row r="2698" spans="1:2" x14ac:dyDescent="0.25">
      <c r="A2698" s="15" t="str">
        <f t="shared" si="84"/>
        <v/>
      </c>
      <c r="B2698" s="18" t="str">
        <f t="shared" si="85"/>
        <v/>
      </c>
    </row>
    <row r="2699" spans="1:2" x14ac:dyDescent="0.25">
      <c r="A2699" s="15" t="str">
        <f t="shared" si="84"/>
        <v/>
      </c>
      <c r="B2699" s="18" t="str">
        <f t="shared" si="85"/>
        <v/>
      </c>
    </row>
    <row r="2700" spans="1:2" x14ac:dyDescent="0.25">
      <c r="A2700" s="15" t="str">
        <f t="shared" si="84"/>
        <v/>
      </c>
      <c r="B2700" s="18" t="str">
        <f t="shared" si="85"/>
        <v/>
      </c>
    </row>
    <row r="2701" spans="1:2" x14ac:dyDescent="0.25">
      <c r="A2701" s="15" t="str">
        <f t="shared" si="84"/>
        <v/>
      </c>
      <c r="B2701" s="18" t="str">
        <f t="shared" si="85"/>
        <v/>
      </c>
    </row>
    <row r="2702" spans="1:2" x14ac:dyDescent="0.25">
      <c r="A2702" s="15" t="str">
        <f t="shared" si="84"/>
        <v/>
      </c>
      <c r="B2702" s="18" t="str">
        <f t="shared" si="85"/>
        <v/>
      </c>
    </row>
    <row r="2703" spans="1:2" x14ac:dyDescent="0.25">
      <c r="A2703" s="15" t="str">
        <f t="shared" si="84"/>
        <v/>
      </c>
      <c r="B2703" s="18" t="str">
        <f t="shared" si="85"/>
        <v/>
      </c>
    </row>
    <row r="2704" spans="1:2" x14ac:dyDescent="0.25">
      <c r="A2704" s="15" t="str">
        <f t="shared" si="84"/>
        <v/>
      </c>
      <c r="B2704" s="18" t="str">
        <f t="shared" si="85"/>
        <v/>
      </c>
    </row>
    <row r="2705" spans="1:2" x14ac:dyDescent="0.25">
      <c r="A2705" s="15" t="str">
        <f t="shared" si="84"/>
        <v/>
      </c>
      <c r="B2705" s="18" t="str">
        <f t="shared" si="85"/>
        <v/>
      </c>
    </row>
    <row r="2706" spans="1:2" x14ac:dyDescent="0.25">
      <c r="A2706" s="15" t="str">
        <f t="shared" si="84"/>
        <v/>
      </c>
      <c r="B2706" s="18" t="str">
        <f t="shared" si="85"/>
        <v/>
      </c>
    </row>
    <row r="2707" spans="1:2" x14ac:dyDescent="0.25">
      <c r="A2707" s="15" t="str">
        <f t="shared" si="84"/>
        <v/>
      </c>
      <c r="B2707" s="18" t="str">
        <f t="shared" si="85"/>
        <v/>
      </c>
    </row>
    <row r="2708" spans="1:2" x14ac:dyDescent="0.25">
      <c r="A2708" s="15" t="str">
        <f t="shared" si="84"/>
        <v/>
      </c>
      <c r="B2708" s="18" t="str">
        <f t="shared" si="85"/>
        <v/>
      </c>
    </row>
    <row r="2709" spans="1:2" x14ac:dyDescent="0.25">
      <c r="A2709" s="15" t="str">
        <f t="shared" si="84"/>
        <v/>
      </c>
      <c r="B2709" s="18" t="str">
        <f t="shared" si="85"/>
        <v/>
      </c>
    </row>
    <row r="2710" spans="1:2" x14ac:dyDescent="0.25">
      <c r="A2710" s="15" t="str">
        <f t="shared" si="84"/>
        <v/>
      </c>
      <c r="B2710" s="18" t="str">
        <f t="shared" si="85"/>
        <v/>
      </c>
    </row>
    <row r="2711" spans="1:2" x14ac:dyDescent="0.25">
      <c r="A2711" s="15" t="str">
        <f t="shared" si="84"/>
        <v/>
      </c>
      <c r="B2711" s="18" t="str">
        <f t="shared" si="85"/>
        <v/>
      </c>
    </row>
    <row r="2712" spans="1:2" x14ac:dyDescent="0.25">
      <c r="A2712" s="15" t="str">
        <f t="shared" si="84"/>
        <v/>
      </c>
      <c r="B2712" s="18" t="str">
        <f t="shared" si="85"/>
        <v/>
      </c>
    </row>
    <row r="2713" spans="1:2" x14ac:dyDescent="0.25">
      <c r="A2713" s="15" t="str">
        <f t="shared" si="84"/>
        <v/>
      </c>
      <c r="B2713" s="18" t="str">
        <f t="shared" si="85"/>
        <v/>
      </c>
    </row>
    <row r="2714" spans="1:2" x14ac:dyDescent="0.25">
      <c r="A2714" s="15" t="str">
        <f t="shared" si="84"/>
        <v/>
      </c>
      <c r="B2714" s="18" t="str">
        <f t="shared" si="85"/>
        <v/>
      </c>
    </row>
    <row r="2715" spans="1:2" x14ac:dyDescent="0.25">
      <c r="A2715" s="15" t="str">
        <f t="shared" si="84"/>
        <v/>
      </c>
      <c r="B2715" s="18" t="str">
        <f t="shared" si="85"/>
        <v/>
      </c>
    </row>
    <row r="2716" spans="1:2" x14ac:dyDescent="0.25">
      <c r="A2716" s="15" t="str">
        <f t="shared" si="84"/>
        <v/>
      </c>
      <c r="B2716" s="18" t="str">
        <f t="shared" si="85"/>
        <v/>
      </c>
    </row>
    <row r="2717" spans="1:2" x14ac:dyDescent="0.25">
      <c r="A2717" s="15" t="str">
        <f t="shared" si="84"/>
        <v/>
      </c>
      <c r="B2717" s="18" t="str">
        <f t="shared" si="85"/>
        <v/>
      </c>
    </row>
    <row r="2718" spans="1:2" x14ac:dyDescent="0.25">
      <c r="A2718" s="15" t="str">
        <f t="shared" si="84"/>
        <v/>
      </c>
      <c r="B2718" s="18" t="str">
        <f t="shared" si="85"/>
        <v/>
      </c>
    </row>
    <row r="2719" spans="1:2" x14ac:dyDescent="0.25">
      <c r="A2719" s="15" t="str">
        <f t="shared" si="84"/>
        <v/>
      </c>
      <c r="B2719" s="18" t="str">
        <f t="shared" si="85"/>
        <v/>
      </c>
    </row>
    <row r="2720" spans="1:2" x14ac:dyDescent="0.25">
      <c r="A2720" s="15" t="str">
        <f t="shared" si="84"/>
        <v/>
      </c>
      <c r="B2720" s="18" t="str">
        <f t="shared" si="85"/>
        <v/>
      </c>
    </row>
    <row r="2721" spans="1:2" x14ac:dyDescent="0.25">
      <c r="A2721" s="15" t="str">
        <f t="shared" si="84"/>
        <v/>
      </c>
      <c r="B2721" s="18" t="str">
        <f t="shared" si="85"/>
        <v/>
      </c>
    </row>
    <row r="2722" spans="1:2" x14ac:dyDescent="0.25">
      <c r="A2722" s="15" t="str">
        <f t="shared" si="84"/>
        <v/>
      </c>
      <c r="B2722" s="18" t="str">
        <f t="shared" si="85"/>
        <v/>
      </c>
    </row>
    <row r="2723" spans="1:2" x14ac:dyDescent="0.25">
      <c r="A2723" s="15" t="str">
        <f t="shared" si="84"/>
        <v/>
      </c>
      <c r="B2723" s="18" t="str">
        <f t="shared" si="85"/>
        <v/>
      </c>
    </row>
    <row r="2724" spans="1:2" x14ac:dyDescent="0.25">
      <c r="A2724" s="15" t="str">
        <f t="shared" si="84"/>
        <v/>
      </c>
      <c r="B2724" s="18" t="str">
        <f t="shared" si="85"/>
        <v/>
      </c>
    </row>
    <row r="2725" spans="1:2" x14ac:dyDescent="0.25">
      <c r="A2725" s="15" t="str">
        <f t="shared" si="84"/>
        <v/>
      </c>
      <c r="B2725" s="18" t="str">
        <f t="shared" si="85"/>
        <v/>
      </c>
    </row>
    <row r="2726" spans="1:2" x14ac:dyDescent="0.25">
      <c r="A2726" s="15" t="str">
        <f t="shared" si="84"/>
        <v/>
      </c>
      <c r="B2726" s="18" t="str">
        <f t="shared" si="85"/>
        <v/>
      </c>
    </row>
    <row r="2727" spans="1:2" x14ac:dyDescent="0.25">
      <c r="A2727" s="15" t="str">
        <f t="shared" si="84"/>
        <v/>
      </c>
      <c r="B2727" s="18" t="str">
        <f t="shared" si="85"/>
        <v/>
      </c>
    </row>
    <row r="2728" spans="1:2" x14ac:dyDescent="0.25">
      <c r="A2728" s="15" t="str">
        <f t="shared" si="84"/>
        <v/>
      </c>
      <c r="B2728" s="18" t="str">
        <f t="shared" si="85"/>
        <v/>
      </c>
    </row>
    <row r="2729" spans="1:2" x14ac:dyDescent="0.25">
      <c r="A2729" s="15" t="str">
        <f t="shared" si="84"/>
        <v/>
      </c>
      <c r="B2729" s="18" t="str">
        <f t="shared" si="85"/>
        <v/>
      </c>
    </row>
    <row r="2730" spans="1:2" x14ac:dyDescent="0.25">
      <c r="A2730" s="15" t="str">
        <f t="shared" si="84"/>
        <v/>
      </c>
      <c r="B2730" s="18" t="str">
        <f t="shared" si="85"/>
        <v/>
      </c>
    </row>
    <row r="2731" spans="1:2" x14ac:dyDescent="0.25">
      <c r="A2731" s="15" t="str">
        <f t="shared" si="84"/>
        <v/>
      </c>
      <c r="B2731" s="18" t="str">
        <f t="shared" si="85"/>
        <v/>
      </c>
    </row>
    <row r="2732" spans="1:2" x14ac:dyDescent="0.25">
      <c r="A2732" s="15" t="str">
        <f t="shared" si="84"/>
        <v/>
      </c>
      <c r="B2732" s="18" t="str">
        <f t="shared" si="85"/>
        <v/>
      </c>
    </row>
    <row r="2733" spans="1:2" x14ac:dyDescent="0.25">
      <c r="A2733" s="15" t="str">
        <f t="shared" si="84"/>
        <v/>
      </c>
      <c r="B2733" s="18" t="str">
        <f t="shared" si="85"/>
        <v/>
      </c>
    </row>
    <row r="2734" spans="1:2" x14ac:dyDescent="0.25">
      <c r="A2734" s="15" t="str">
        <f t="shared" si="84"/>
        <v/>
      </c>
      <c r="B2734" s="18" t="str">
        <f t="shared" si="85"/>
        <v/>
      </c>
    </row>
    <row r="2735" spans="1:2" x14ac:dyDescent="0.25">
      <c r="A2735" s="15" t="str">
        <f t="shared" si="84"/>
        <v/>
      </c>
      <c r="B2735" s="18" t="str">
        <f t="shared" si="85"/>
        <v/>
      </c>
    </row>
    <row r="2736" spans="1:2" x14ac:dyDescent="0.25">
      <c r="A2736" s="15" t="str">
        <f t="shared" si="84"/>
        <v/>
      </c>
      <c r="B2736" s="18" t="str">
        <f t="shared" si="85"/>
        <v/>
      </c>
    </row>
    <row r="2737" spans="1:2" x14ac:dyDescent="0.25">
      <c r="A2737" s="15" t="str">
        <f t="shared" si="84"/>
        <v/>
      </c>
      <c r="B2737" s="18" t="str">
        <f t="shared" si="85"/>
        <v/>
      </c>
    </row>
    <row r="2738" spans="1:2" x14ac:dyDescent="0.25">
      <c r="A2738" s="15" t="str">
        <f t="shared" si="84"/>
        <v/>
      </c>
      <c r="B2738" s="18" t="str">
        <f t="shared" si="85"/>
        <v/>
      </c>
    </row>
    <row r="2739" spans="1:2" x14ac:dyDescent="0.25">
      <c r="A2739" s="15" t="str">
        <f t="shared" si="84"/>
        <v/>
      </c>
      <c r="B2739" s="18" t="str">
        <f t="shared" si="85"/>
        <v/>
      </c>
    </row>
    <row r="2740" spans="1:2" x14ac:dyDescent="0.25">
      <c r="A2740" s="15" t="str">
        <f t="shared" si="84"/>
        <v/>
      </c>
      <c r="B2740" s="18" t="str">
        <f t="shared" si="85"/>
        <v/>
      </c>
    </row>
    <row r="2741" spans="1:2" x14ac:dyDescent="0.25">
      <c r="A2741" s="15" t="str">
        <f t="shared" si="84"/>
        <v/>
      </c>
      <c r="B2741" s="18" t="str">
        <f t="shared" si="85"/>
        <v/>
      </c>
    </row>
    <row r="2742" spans="1:2" x14ac:dyDescent="0.25">
      <c r="A2742" s="15" t="str">
        <f t="shared" si="84"/>
        <v/>
      </c>
      <c r="B2742" s="18" t="str">
        <f t="shared" si="85"/>
        <v/>
      </c>
    </row>
    <row r="2743" spans="1:2" x14ac:dyDescent="0.25">
      <c r="A2743" s="15" t="str">
        <f t="shared" si="84"/>
        <v/>
      </c>
      <c r="B2743" s="18" t="str">
        <f t="shared" si="85"/>
        <v/>
      </c>
    </row>
    <row r="2744" spans="1:2" x14ac:dyDescent="0.25">
      <c r="A2744" s="15" t="str">
        <f t="shared" si="84"/>
        <v/>
      </c>
      <c r="B2744" s="18" t="str">
        <f t="shared" si="85"/>
        <v/>
      </c>
    </row>
    <row r="2745" spans="1:2" x14ac:dyDescent="0.25">
      <c r="A2745" s="15" t="str">
        <f t="shared" si="84"/>
        <v/>
      </c>
      <c r="B2745" s="18" t="str">
        <f t="shared" si="85"/>
        <v/>
      </c>
    </row>
    <row r="2746" spans="1:2" x14ac:dyDescent="0.25">
      <c r="A2746" s="15" t="str">
        <f t="shared" si="84"/>
        <v/>
      </c>
      <c r="B2746" s="18" t="str">
        <f t="shared" si="85"/>
        <v/>
      </c>
    </row>
    <row r="2747" spans="1:2" x14ac:dyDescent="0.25">
      <c r="A2747" s="15" t="str">
        <f t="shared" si="84"/>
        <v/>
      </c>
      <c r="B2747" s="18" t="str">
        <f t="shared" si="85"/>
        <v/>
      </c>
    </row>
    <row r="2748" spans="1:2" x14ac:dyDescent="0.25">
      <c r="A2748" s="15" t="str">
        <f t="shared" si="84"/>
        <v/>
      </c>
      <c r="B2748" s="18" t="str">
        <f t="shared" si="85"/>
        <v/>
      </c>
    </row>
    <row r="2749" spans="1:2" x14ac:dyDescent="0.25">
      <c r="A2749" s="15" t="str">
        <f t="shared" si="84"/>
        <v/>
      </c>
      <c r="B2749" s="18" t="str">
        <f t="shared" si="85"/>
        <v/>
      </c>
    </row>
    <row r="2750" spans="1:2" x14ac:dyDescent="0.25">
      <c r="A2750" s="15" t="str">
        <f t="shared" si="84"/>
        <v/>
      </c>
      <c r="B2750" s="18" t="str">
        <f t="shared" si="85"/>
        <v/>
      </c>
    </row>
    <row r="2751" spans="1:2" x14ac:dyDescent="0.25">
      <c r="A2751" s="15" t="str">
        <f t="shared" si="84"/>
        <v/>
      </c>
      <c r="B2751" s="18" t="str">
        <f t="shared" si="85"/>
        <v/>
      </c>
    </row>
    <row r="2752" spans="1:2" x14ac:dyDescent="0.25">
      <c r="A2752" s="15" t="str">
        <f t="shared" si="84"/>
        <v/>
      </c>
      <c r="B2752" s="18" t="str">
        <f t="shared" si="85"/>
        <v/>
      </c>
    </row>
    <row r="2753" spans="1:2" x14ac:dyDescent="0.25">
      <c r="A2753" s="15" t="str">
        <f t="shared" si="84"/>
        <v/>
      </c>
      <c r="B2753" s="18" t="str">
        <f t="shared" si="85"/>
        <v/>
      </c>
    </row>
    <row r="2754" spans="1:2" x14ac:dyDescent="0.25">
      <c r="A2754" s="15" t="str">
        <f t="shared" ref="A2754:A2817" si="86">B2754&amp;C2754</f>
        <v/>
      </c>
      <c r="B2754" s="18" t="str">
        <f t="shared" si="85"/>
        <v/>
      </c>
    </row>
    <row r="2755" spans="1:2" x14ac:dyDescent="0.25">
      <c r="A2755" s="15" t="str">
        <f t="shared" si="86"/>
        <v/>
      </c>
      <c r="B2755" s="18" t="str">
        <f t="shared" ref="B2755:B2818" si="87">IF(C2755="","",B2754)</f>
        <v/>
      </c>
    </row>
    <row r="2756" spans="1:2" x14ac:dyDescent="0.25">
      <c r="A2756" s="15" t="str">
        <f t="shared" si="86"/>
        <v/>
      </c>
      <c r="B2756" s="18" t="str">
        <f t="shared" si="87"/>
        <v/>
      </c>
    </row>
    <row r="2757" spans="1:2" x14ac:dyDescent="0.25">
      <c r="A2757" s="15" t="str">
        <f t="shared" si="86"/>
        <v/>
      </c>
      <c r="B2757" s="18" t="str">
        <f t="shared" si="87"/>
        <v/>
      </c>
    </row>
    <row r="2758" spans="1:2" x14ac:dyDescent="0.25">
      <c r="A2758" s="15" t="str">
        <f t="shared" si="86"/>
        <v/>
      </c>
      <c r="B2758" s="18" t="str">
        <f t="shared" si="87"/>
        <v/>
      </c>
    </row>
    <row r="2759" spans="1:2" x14ac:dyDescent="0.25">
      <c r="A2759" s="15" t="str">
        <f t="shared" si="86"/>
        <v/>
      </c>
      <c r="B2759" s="18" t="str">
        <f t="shared" si="87"/>
        <v/>
      </c>
    </row>
    <row r="2760" spans="1:2" x14ac:dyDescent="0.25">
      <c r="A2760" s="15" t="str">
        <f t="shared" si="86"/>
        <v/>
      </c>
      <c r="B2760" s="18" t="str">
        <f t="shared" si="87"/>
        <v/>
      </c>
    </row>
    <row r="2761" spans="1:2" x14ac:dyDescent="0.25">
      <c r="A2761" s="15" t="str">
        <f t="shared" si="86"/>
        <v/>
      </c>
      <c r="B2761" s="18" t="str">
        <f t="shared" si="87"/>
        <v/>
      </c>
    </row>
    <row r="2762" spans="1:2" x14ac:dyDescent="0.25">
      <c r="A2762" s="15" t="str">
        <f t="shared" si="86"/>
        <v/>
      </c>
      <c r="B2762" s="18" t="str">
        <f t="shared" si="87"/>
        <v/>
      </c>
    </row>
    <row r="2763" spans="1:2" x14ac:dyDescent="0.25">
      <c r="A2763" s="15" t="str">
        <f t="shared" si="86"/>
        <v/>
      </c>
      <c r="B2763" s="18" t="str">
        <f t="shared" si="87"/>
        <v/>
      </c>
    </row>
    <row r="2764" spans="1:2" x14ac:dyDescent="0.25">
      <c r="A2764" s="15" t="str">
        <f t="shared" si="86"/>
        <v/>
      </c>
      <c r="B2764" s="18" t="str">
        <f t="shared" si="87"/>
        <v/>
      </c>
    </row>
    <row r="2765" spans="1:2" x14ac:dyDescent="0.25">
      <c r="A2765" s="15" t="str">
        <f t="shared" si="86"/>
        <v/>
      </c>
      <c r="B2765" s="18" t="str">
        <f t="shared" si="87"/>
        <v/>
      </c>
    </row>
    <row r="2766" spans="1:2" x14ac:dyDescent="0.25">
      <c r="A2766" s="15" t="str">
        <f t="shared" si="86"/>
        <v/>
      </c>
      <c r="B2766" s="18" t="str">
        <f t="shared" si="87"/>
        <v/>
      </c>
    </row>
    <row r="2767" spans="1:2" x14ac:dyDescent="0.25">
      <c r="A2767" s="15" t="str">
        <f t="shared" si="86"/>
        <v/>
      </c>
      <c r="B2767" s="18" t="str">
        <f t="shared" si="87"/>
        <v/>
      </c>
    </row>
    <row r="2768" spans="1:2" x14ac:dyDescent="0.25">
      <c r="A2768" s="15" t="str">
        <f t="shared" si="86"/>
        <v/>
      </c>
      <c r="B2768" s="18" t="str">
        <f t="shared" si="87"/>
        <v/>
      </c>
    </row>
    <row r="2769" spans="1:2" x14ac:dyDescent="0.25">
      <c r="A2769" s="15" t="str">
        <f t="shared" si="86"/>
        <v/>
      </c>
      <c r="B2769" s="18" t="str">
        <f t="shared" si="87"/>
        <v/>
      </c>
    </row>
    <row r="2770" spans="1:2" x14ac:dyDescent="0.25">
      <c r="A2770" s="15" t="str">
        <f t="shared" si="86"/>
        <v/>
      </c>
      <c r="B2770" s="18" t="str">
        <f t="shared" si="87"/>
        <v/>
      </c>
    </row>
    <row r="2771" spans="1:2" x14ac:dyDescent="0.25">
      <c r="A2771" s="15" t="str">
        <f t="shared" si="86"/>
        <v/>
      </c>
      <c r="B2771" s="18" t="str">
        <f t="shared" si="87"/>
        <v/>
      </c>
    </row>
    <row r="2772" spans="1:2" x14ac:dyDescent="0.25">
      <c r="A2772" s="15" t="str">
        <f t="shared" si="86"/>
        <v/>
      </c>
      <c r="B2772" s="18" t="str">
        <f t="shared" si="87"/>
        <v/>
      </c>
    </row>
    <row r="2773" spans="1:2" x14ac:dyDescent="0.25">
      <c r="A2773" s="15" t="str">
        <f t="shared" si="86"/>
        <v/>
      </c>
      <c r="B2773" s="18" t="str">
        <f t="shared" si="87"/>
        <v/>
      </c>
    </row>
    <row r="2774" spans="1:2" x14ac:dyDescent="0.25">
      <c r="A2774" s="15" t="str">
        <f t="shared" si="86"/>
        <v/>
      </c>
      <c r="B2774" s="18" t="str">
        <f t="shared" si="87"/>
        <v/>
      </c>
    </row>
    <row r="2775" spans="1:2" x14ac:dyDescent="0.25">
      <c r="A2775" s="15" t="str">
        <f t="shared" si="86"/>
        <v/>
      </c>
      <c r="B2775" s="18" t="str">
        <f t="shared" si="87"/>
        <v/>
      </c>
    </row>
    <row r="2776" spans="1:2" x14ac:dyDescent="0.25">
      <c r="A2776" s="15" t="str">
        <f t="shared" si="86"/>
        <v/>
      </c>
      <c r="B2776" s="18" t="str">
        <f t="shared" si="87"/>
        <v/>
      </c>
    </row>
    <row r="2777" spans="1:2" x14ac:dyDescent="0.25">
      <c r="A2777" s="15" t="str">
        <f t="shared" si="86"/>
        <v/>
      </c>
      <c r="B2777" s="18" t="str">
        <f t="shared" si="87"/>
        <v/>
      </c>
    </row>
    <row r="2778" spans="1:2" x14ac:dyDescent="0.25">
      <c r="A2778" s="15" t="str">
        <f t="shared" si="86"/>
        <v/>
      </c>
      <c r="B2778" s="18" t="str">
        <f t="shared" si="87"/>
        <v/>
      </c>
    </row>
    <row r="2779" spans="1:2" x14ac:dyDescent="0.25">
      <c r="A2779" s="15" t="str">
        <f t="shared" si="86"/>
        <v/>
      </c>
      <c r="B2779" s="18" t="str">
        <f t="shared" si="87"/>
        <v/>
      </c>
    </row>
    <row r="2780" spans="1:2" x14ac:dyDescent="0.25">
      <c r="A2780" s="15" t="str">
        <f t="shared" si="86"/>
        <v/>
      </c>
      <c r="B2780" s="18" t="str">
        <f t="shared" si="87"/>
        <v/>
      </c>
    </row>
    <row r="2781" spans="1:2" x14ac:dyDescent="0.25">
      <c r="A2781" s="15" t="str">
        <f t="shared" si="86"/>
        <v/>
      </c>
      <c r="B2781" s="18" t="str">
        <f t="shared" si="87"/>
        <v/>
      </c>
    </row>
    <row r="2782" spans="1:2" x14ac:dyDescent="0.25">
      <c r="A2782" s="15" t="str">
        <f t="shared" si="86"/>
        <v/>
      </c>
      <c r="B2782" s="18" t="str">
        <f t="shared" si="87"/>
        <v/>
      </c>
    </row>
    <row r="2783" spans="1:2" x14ac:dyDescent="0.25">
      <c r="A2783" s="15" t="str">
        <f t="shared" si="86"/>
        <v/>
      </c>
      <c r="B2783" s="18" t="str">
        <f t="shared" si="87"/>
        <v/>
      </c>
    </row>
    <row r="2784" spans="1:2" x14ac:dyDescent="0.25">
      <c r="A2784" s="15" t="str">
        <f t="shared" si="86"/>
        <v/>
      </c>
      <c r="B2784" s="18" t="str">
        <f t="shared" si="87"/>
        <v/>
      </c>
    </row>
    <row r="2785" spans="1:2" x14ac:dyDescent="0.25">
      <c r="A2785" s="15" t="str">
        <f t="shared" si="86"/>
        <v/>
      </c>
      <c r="B2785" s="18" t="str">
        <f t="shared" si="87"/>
        <v/>
      </c>
    </row>
    <row r="2786" spans="1:2" x14ac:dyDescent="0.25">
      <c r="A2786" s="15" t="str">
        <f t="shared" si="86"/>
        <v/>
      </c>
      <c r="B2786" s="18" t="str">
        <f t="shared" si="87"/>
        <v/>
      </c>
    </row>
    <row r="2787" spans="1:2" x14ac:dyDescent="0.25">
      <c r="A2787" s="15" t="str">
        <f t="shared" si="86"/>
        <v/>
      </c>
      <c r="B2787" s="18" t="str">
        <f t="shared" si="87"/>
        <v/>
      </c>
    </row>
    <row r="2788" spans="1:2" x14ac:dyDescent="0.25">
      <c r="A2788" s="15" t="str">
        <f t="shared" si="86"/>
        <v/>
      </c>
      <c r="B2788" s="18" t="str">
        <f t="shared" si="87"/>
        <v/>
      </c>
    </row>
    <row r="2789" spans="1:2" x14ac:dyDescent="0.25">
      <c r="A2789" s="15" t="str">
        <f t="shared" si="86"/>
        <v/>
      </c>
      <c r="B2789" s="18" t="str">
        <f t="shared" si="87"/>
        <v/>
      </c>
    </row>
    <row r="2790" spans="1:2" x14ac:dyDescent="0.25">
      <c r="A2790" s="15" t="str">
        <f t="shared" si="86"/>
        <v/>
      </c>
      <c r="B2790" s="18" t="str">
        <f t="shared" si="87"/>
        <v/>
      </c>
    </row>
    <row r="2791" spans="1:2" x14ac:dyDescent="0.25">
      <c r="A2791" s="15" t="str">
        <f t="shared" si="86"/>
        <v/>
      </c>
      <c r="B2791" s="18" t="str">
        <f t="shared" si="87"/>
        <v/>
      </c>
    </row>
    <row r="2792" spans="1:2" x14ac:dyDescent="0.25">
      <c r="A2792" s="15" t="str">
        <f t="shared" si="86"/>
        <v/>
      </c>
      <c r="B2792" s="18" t="str">
        <f t="shared" si="87"/>
        <v/>
      </c>
    </row>
    <row r="2793" spans="1:2" x14ac:dyDescent="0.25">
      <c r="A2793" s="15" t="str">
        <f t="shared" si="86"/>
        <v/>
      </c>
      <c r="B2793" s="18" t="str">
        <f t="shared" si="87"/>
        <v/>
      </c>
    </row>
    <row r="2794" spans="1:2" x14ac:dyDescent="0.25">
      <c r="A2794" s="15" t="str">
        <f t="shared" si="86"/>
        <v/>
      </c>
      <c r="B2794" s="18" t="str">
        <f t="shared" si="87"/>
        <v/>
      </c>
    </row>
    <row r="2795" spans="1:2" x14ac:dyDescent="0.25">
      <c r="A2795" s="15" t="str">
        <f t="shared" si="86"/>
        <v/>
      </c>
      <c r="B2795" s="18" t="str">
        <f t="shared" si="87"/>
        <v/>
      </c>
    </row>
    <row r="2796" spans="1:2" x14ac:dyDescent="0.25">
      <c r="A2796" s="15" t="str">
        <f t="shared" si="86"/>
        <v/>
      </c>
      <c r="B2796" s="18" t="str">
        <f t="shared" si="87"/>
        <v/>
      </c>
    </row>
    <row r="2797" spans="1:2" x14ac:dyDescent="0.25">
      <c r="A2797" s="15" t="str">
        <f t="shared" si="86"/>
        <v/>
      </c>
      <c r="B2797" s="18" t="str">
        <f t="shared" si="87"/>
        <v/>
      </c>
    </row>
    <row r="2798" spans="1:2" x14ac:dyDescent="0.25">
      <c r="A2798" s="15" t="str">
        <f t="shared" si="86"/>
        <v/>
      </c>
      <c r="B2798" s="18" t="str">
        <f t="shared" si="87"/>
        <v/>
      </c>
    </row>
    <row r="2799" spans="1:2" x14ac:dyDescent="0.25">
      <c r="A2799" s="15" t="str">
        <f t="shared" si="86"/>
        <v/>
      </c>
      <c r="B2799" s="18" t="str">
        <f t="shared" si="87"/>
        <v/>
      </c>
    </row>
    <row r="2800" spans="1:2" x14ac:dyDescent="0.25">
      <c r="A2800" s="15" t="str">
        <f t="shared" si="86"/>
        <v/>
      </c>
      <c r="B2800" s="18" t="str">
        <f t="shared" si="87"/>
        <v/>
      </c>
    </row>
    <row r="2801" spans="1:2" x14ac:dyDescent="0.25">
      <c r="A2801" s="15" t="str">
        <f t="shared" si="86"/>
        <v/>
      </c>
      <c r="B2801" s="18" t="str">
        <f t="shared" si="87"/>
        <v/>
      </c>
    </row>
    <row r="2802" spans="1:2" x14ac:dyDescent="0.25">
      <c r="A2802" s="15" t="str">
        <f t="shared" si="86"/>
        <v/>
      </c>
      <c r="B2802" s="18" t="str">
        <f t="shared" si="87"/>
        <v/>
      </c>
    </row>
    <row r="2803" spans="1:2" x14ac:dyDescent="0.25">
      <c r="A2803" s="15" t="str">
        <f t="shared" si="86"/>
        <v/>
      </c>
      <c r="B2803" s="18" t="str">
        <f t="shared" si="87"/>
        <v/>
      </c>
    </row>
    <row r="2804" spans="1:2" x14ac:dyDescent="0.25">
      <c r="A2804" s="15" t="str">
        <f t="shared" si="86"/>
        <v/>
      </c>
      <c r="B2804" s="18" t="str">
        <f t="shared" si="87"/>
        <v/>
      </c>
    </row>
    <row r="2805" spans="1:2" x14ac:dyDescent="0.25">
      <c r="A2805" s="15" t="str">
        <f t="shared" si="86"/>
        <v/>
      </c>
      <c r="B2805" s="18" t="str">
        <f t="shared" si="87"/>
        <v/>
      </c>
    </row>
    <row r="2806" spans="1:2" x14ac:dyDescent="0.25">
      <c r="A2806" s="15" t="str">
        <f t="shared" si="86"/>
        <v/>
      </c>
      <c r="B2806" s="18" t="str">
        <f t="shared" si="87"/>
        <v/>
      </c>
    </row>
    <row r="2807" spans="1:2" x14ac:dyDescent="0.25">
      <c r="A2807" s="15" t="str">
        <f t="shared" si="86"/>
        <v/>
      </c>
      <c r="B2807" s="18" t="str">
        <f t="shared" si="87"/>
        <v/>
      </c>
    </row>
    <row r="2808" spans="1:2" x14ac:dyDescent="0.25">
      <c r="A2808" s="15" t="str">
        <f t="shared" si="86"/>
        <v/>
      </c>
      <c r="B2808" s="18" t="str">
        <f t="shared" si="87"/>
        <v/>
      </c>
    </row>
    <row r="2809" spans="1:2" x14ac:dyDescent="0.25">
      <c r="A2809" s="15" t="str">
        <f t="shared" si="86"/>
        <v/>
      </c>
      <c r="B2809" s="18" t="str">
        <f t="shared" si="87"/>
        <v/>
      </c>
    </row>
    <row r="2810" spans="1:2" x14ac:dyDescent="0.25">
      <c r="A2810" s="15" t="str">
        <f t="shared" si="86"/>
        <v/>
      </c>
      <c r="B2810" s="18" t="str">
        <f t="shared" si="87"/>
        <v/>
      </c>
    </row>
    <row r="2811" spans="1:2" x14ac:dyDescent="0.25">
      <c r="A2811" s="15" t="str">
        <f t="shared" si="86"/>
        <v/>
      </c>
      <c r="B2811" s="18" t="str">
        <f t="shared" si="87"/>
        <v/>
      </c>
    </row>
    <row r="2812" spans="1:2" x14ac:dyDescent="0.25">
      <c r="A2812" s="15" t="str">
        <f t="shared" si="86"/>
        <v/>
      </c>
      <c r="B2812" s="18" t="str">
        <f t="shared" si="87"/>
        <v/>
      </c>
    </row>
    <row r="2813" spans="1:2" x14ac:dyDescent="0.25">
      <c r="A2813" s="15" t="str">
        <f t="shared" si="86"/>
        <v/>
      </c>
      <c r="B2813" s="18" t="str">
        <f t="shared" si="87"/>
        <v/>
      </c>
    </row>
    <row r="2814" spans="1:2" x14ac:dyDescent="0.25">
      <c r="A2814" s="15" t="str">
        <f t="shared" si="86"/>
        <v/>
      </c>
      <c r="B2814" s="18" t="str">
        <f t="shared" si="87"/>
        <v/>
      </c>
    </row>
    <row r="2815" spans="1:2" x14ac:dyDescent="0.25">
      <c r="A2815" s="15" t="str">
        <f t="shared" si="86"/>
        <v/>
      </c>
      <c r="B2815" s="18" t="str">
        <f t="shared" si="87"/>
        <v/>
      </c>
    </row>
    <row r="2816" spans="1:2" x14ac:dyDescent="0.25">
      <c r="A2816" s="15" t="str">
        <f t="shared" si="86"/>
        <v/>
      </c>
      <c r="B2816" s="18" t="str">
        <f t="shared" si="87"/>
        <v/>
      </c>
    </row>
    <row r="2817" spans="1:2" x14ac:dyDescent="0.25">
      <c r="A2817" s="15" t="str">
        <f t="shared" si="86"/>
        <v/>
      </c>
      <c r="B2817" s="18" t="str">
        <f t="shared" si="87"/>
        <v/>
      </c>
    </row>
    <row r="2818" spans="1:2" x14ac:dyDescent="0.25">
      <c r="A2818" s="15" t="str">
        <f t="shared" ref="A2818:A2881" si="88">B2818&amp;C2818</f>
        <v/>
      </c>
      <c r="B2818" s="18" t="str">
        <f t="shared" si="87"/>
        <v/>
      </c>
    </row>
    <row r="2819" spans="1:2" x14ac:dyDescent="0.25">
      <c r="A2819" s="15" t="str">
        <f t="shared" si="88"/>
        <v/>
      </c>
      <c r="B2819" s="18" t="str">
        <f t="shared" ref="B2819:B2882" si="89">IF(C2819="","",B2818)</f>
        <v/>
      </c>
    </row>
    <row r="2820" spans="1:2" x14ac:dyDescent="0.25">
      <c r="A2820" s="15" t="str">
        <f t="shared" si="88"/>
        <v/>
      </c>
      <c r="B2820" s="18" t="str">
        <f t="shared" si="89"/>
        <v/>
      </c>
    </row>
    <row r="2821" spans="1:2" x14ac:dyDescent="0.25">
      <c r="A2821" s="15" t="str">
        <f t="shared" si="88"/>
        <v/>
      </c>
      <c r="B2821" s="18" t="str">
        <f t="shared" si="89"/>
        <v/>
      </c>
    </row>
    <row r="2822" spans="1:2" x14ac:dyDescent="0.25">
      <c r="A2822" s="15" t="str">
        <f t="shared" si="88"/>
        <v/>
      </c>
      <c r="B2822" s="18" t="str">
        <f t="shared" si="89"/>
        <v/>
      </c>
    </row>
    <row r="2823" spans="1:2" x14ac:dyDescent="0.25">
      <c r="A2823" s="15" t="str">
        <f t="shared" si="88"/>
        <v/>
      </c>
      <c r="B2823" s="18" t="str">
        <f t="shared" si="89"/>
        <v/>
      </c>
    </row>
    <row r="2824" spans="1:2" x14ac:dyDescent="0.25">
      <c r="A2824" s="15" t="str">
        <f t="shared" si="88"/>
        <v/>
      </c>
      <c r="B2824" s="18" t="str">
        <f t="shared" si="89"/>
        <v/>
      </c>
    </row>
    <row r="2825" spans="1:2" x14ac:dyDescent="0.25">
      <c r="A2825" s="15" t="str">
        <f t="shared" si="88"/>
        <v/>
      </c>
      <c r="B2825" s="18" t="str">
        <f t="shared" si="89"/>
        <v/>
      </c>
    </row>
    <row r="2826" spans="1:2" x14ac:dyDescent="0.25">
      <c r="A2826" s="15" t="str">
        <f t="shared" si="88"/>
        <v/>
      </c>
      <c r="B2826" s="18" t="str">
        <f t="shared" si="89"/>
        <v/>
      </c>
    </row>
    <row r="2827" spans="1:2" x14ac:dyDescent="0.25">
      <c r="A2827" s="15" t="str">
        <f t="shared" si="88"/>
        <v/>
      </c>
      <c r="B2827" s="18" t="str">
        <f t="shared" si="89"/>
        <v/>
      </c>
    </row>
    <row r="2828" spans="1:2" x14ac:dyDescent="0.25">
      <c r="A2828" s="15" t="str">
        <f t="shared" si="88"/>
        <v/>
      </c>
      <c r="B2828" s="18" t="str">
        <f t="shared" si="89"/>
        <v/>
      </c>
    </row>
    <row r="2829" spans="1:2" x14ac:dyDescent="0.25">
      <c r="A2829" s="15" t="str">
        <f t="shared" si="88"/>
        <v/>
      </c>
      <c r="B2829" s="18" t="str">
        <f t="shared" si="89"/>
        <v/>
      </c>
    </row>
    <row r="2830" spans="1:2" x14ac:dyDescent="0.25">
      <c r="A2830" s="15" t="str">
        <f t="shared" si="88"/>
        <v/>
      </c>
      <c r="B2830" s="18" t="str">
        <f t="shared" si="89"/>
        <v/>
      </c>
    </row>
    <row r="2831" spans="1:2" x14ac:dyDescent="0.25">
      <c r="A2831" s="15" t="str">
        <f t="shared" si="88"/>
        <v/>
      </c>
      <c r="B2831" s="18" t="str">
        <f t="shared" si="89"/>
        <v/>
      </c>
    </row>
    <row r="2832" spans="1:2" x14ac:dyDescent="0.25">
      <c r="A2832" s="15" t="str">
        <f t="shared" si="88"/>
        <v/>
      </c>
      <c r="B2832" s="18" t="str">
        <f t="shared" si="89"/>
        <v/>
      </c>
    </row>
    <row r="2833" spans="1:2" x14ac:dyDescent="0.25">
      <c r="A2833" s="15" t="str">
        <f t="shared" si="88"/>
        <v/>
      </c>
      <c r="B2833" s="18" t="str">
        <f t="shared" si="89"/>
        <v/>
      </c>
    </row>
    <row r="2834" spans="1:2" x14ac:dyDescent="0.25">
      <c r="A2834" s="15" t="str">
        <f t="shared" si="88"/>
        <v/>
      </c>
      <c r="B2834" s="18" t="str">
        <f t="shared" si="89"/>
        <v/>
      </c>
    </row>
    <row r="2835" spans="1:2" x14ac:dyDescent="0.25">
      <c r="A2835" s="15" t="str">
        <f t="shared" si="88"/>
        <v/>
      </c>
      <c r="B2835" s="18" t="str">
        <f t="shared" si="89"/>
        <v/>
      </c>
    </row>
    <row r="2836" spans="1:2" x14ac:dyDescent="0.25">
      <c r="A2836" s="15" t="str">
        <f t="shared" si="88"/>
        <v/>
      </c>
      <c r="B2836" s="18" t="str">
        <f t="shared" si="89"/>
        <v/>
      </c>
    </row>
    <row r="2837" spans="1:2" x14ac:dyDescent="0.25">
      <c r="A2837" s="15" t="str">
        <f t="shared" si="88"/>
        <v/>
      </c>
      <c r="B2837" s="18" t="str">
        <f t="shared" si="89"/>
        <v/>
      </c>
    </row>
    <row r="2838" spans="1:2" x14ac:dyDescent="0.25">
      <c r="A2838" s="15" t="str">
        <f t="shared" si="88"/>
        <v/>
      </c>
      <c r="B2838" s="18" t="str">
        <f t="shared" si="89"/>
        <v/>
      </c>
    </row>
    <row r="2839" spans="1:2" x14ac:dyDescent="0.25">
      <c r="A2839" s="15" t="str">
        <f t="shared" si="88"/>
        <v/>
      </c>
      <c r="B2839" s="18" t="str">
        <f t="shared" si="89"/>
        <v/>
      </c>
    </row>
    <row r="2840" spans="1:2" x14ac:dyDescent="0.25">
      <c r="A2840" s="15" t="str">
        <f t="shared" si="88"/>
        <v/>
      </c>
      <c r="B2840" s="18" t="str">
        <f t="shared" si="89"/>
        <v/>
      </c>
    </row>
    <row r="2841" spans="1:2" x14ac:dyDescent="0.25">
      <c r="A2841" s="15" t="str">
        <f t="shared" si="88"/>
        <v/>
      </c>
      <c r="B2841" s="18" t="str">
        <f t="shared" si="89"/>
        <v/>
      </c>
    </row>
    <row r="2842" spans="1:2" x14ac:dyDescent="0.25">
      <c r="A2842" s="15" t="str">
        <f t="shared" si="88"/>
        <v/>
      </c>
      <c r="B2842" s="18" t="str">
        <f t="shared" si="89"/>
        <v/>
      </c>
    </row>
    <row r="2843" spans="1:2" x14ac:dyDescent="0.25">
      <c r="A2843" s="15" t="str">
        <f t="shared" si="88"/>
        <v/>
      </c>
      <c r="B2843" s="18" t="str">
        <f t="shared" si="89"/>
        <v/>
      </c>
    </row>
    <row r="2844" spans="1:2" x14ac:dyDescent="0.25">
      <c r="A2844" s="15" t="str">
        <f t="shared" si="88"/>
        <v/>
      </c>
      <c r="B2844" s="18" t="str">
        <f t="shared" si="89"/>
        <v/>
      </c>
    </row>
    <row r="2845" spans="1:2" x14ac:dyDescent="0.25">
      <c r="A2845" s="15" t="str">
        <f t="shared" si="88"/>
        <v/>
      </c>
      <c r="B2845" s="18" t="str">
        <f t="shared" si="89"/>
        <v/>
      </c>
    </row>
    <row r="2846" spans="1:2" x14ac:dyDescent="0.25">
      <c r="A2846" s="15" t="str">
        <f t="shared" si="88"/>
        <v/>
      </c>
      <c r="B2846" s="18" t="str">
        <f t="shared" si="89"/>
        <v/>
      </c>
    </row>
    <row r="2847" spans="1:2" x14ac:dyDescent="0.25">
      <c r="A2847" s="15" t="str">
        <f t="shared" si="88"/>
        <v/>
      </c>
      <c r="B2847" s="18" t="str">
        <f t="shared" si="89"/>
        <v/>
      </c>
    </row>
    <row r="2848" spans="1:2" x14ac:dyDescent="0.25">
      <c r="A2848" s="15" t="str">
        <f t="shared" si="88"/>
        <v/>
      </c>
      <c r="B2848" s="18" t="str">
        <f t="shared" si="89"/>
        <v/>
      </c>
    </row>
    <row r="2849" spans="1:2" x14ac:dyDescent="0.25">
      <c r="A2849" s="15" t="str">
        <f t="shared" si="88"/>
        <v/>
      </c>
      <c r="B2849" s="18" t="str">
        <f t="shared" si="89"/>
        <v/>
      </c>
    </row>
    <row r="2850" spans="1:2" x14ac:dyDescent="0.25">
      <c r="A2850" s="15" t="str">
        <f t="shared" si="88"/>
        <v/>
      </c>
      <c r="B2850" s="18" t="str">
        <f t="shared" si="89"/>
        <v/>
      </c>
    </row>
    <row r="2851" spans="1:2" x14ac:dyDescent="0.25">
      <c r="A2851" s="15" t="str">
        <f t="shared" si="88"/>
        <v/>
      </c>
      <c r="B2851" s="18" t="str">
        <f t="shared" si="89"/>
        <v/>
      </c>
    </row>
    <row r="2852" spans="1:2" x14ac:dyDescent="0.25">
      <c r="A2852" s="15" t="str">
        <f t="shared" si="88"/>
        <v/>
      </c>
      <c r="B2852" s="18" t="str">
        <f t="shared" si="89"/>
        <v/>
      </c>
    </row>
    <row r="2853" spans="1:2" x14ac:dyDescent="0.25">
      <c r="A2853" s="15" t="str">
        <f t="shared" si="88"/>
        <v/>
      </c>
      <c r="B2853" s="18" t="str">
        <f t="shared" si="89"/>
        <v/>
      </c>
    </row>
    <row r="2854" spans="1:2" x14ac:dyDescent="0.25">
      <c r="A2854" s="15" t="str">
        <f t="shared" si="88"/>
        <v/>
      </c>
      <c r="B2854" s="18" t="str">
        <f t="shared" si="89"/>
        <v/>
      </c>
    </row>
    <row r="2855" spans="1:2" x14ac:dyDescent="0.25">
      <c r="A2855" s="15" t="str">
        <f t="shared" si="88"/>
        <v/>
      </c>
      <c r="B2855" s="18" t="str">
        <f t="shared" si="89"/>
        <v/>
      </c>
    </row>
    <row r="2856" spans="1:2" x14ac:dyDescent="0.25">
      <c r="A2856" s="15" t="str">
        <f t="shared" si="88"/>
        <v/>
      </c>
      <c r="B2856" s="18" t="str">
        <f t="shared" si="89"/>
        <v/>
      </c>
    </row>
    <row r="2857" spans="1:2" x14ac:dyDescent="0.25">
      <c r="A2857" s="15" t="str">
        <f t="shared" si="88"/>
        <v/>
      </c>
      <c r="B2857" s="18" t="str">
        <f t="shared" si="89"/>
        <v/>
      </c>
    </row>
    <row r="2858" spans="1:2" x14ac:dyDescent="0.25">
      <c r="A2858" s="15" t="str">
        <f t="shared" si="88"/>
        <v/>
      </c>
      <c r="B2858" s="18" t="str">
        <f t="shared" si="89"/>
        <v/>
      </c>
    </row>
    <row r="2859" spans="1:2" x14ac:dyDescent="0.25">
      <c r="A2859" s="15" t="str">
        <f t="shared" si="88"/>
        <v/>
      </c>
      <c r="B2859" s="18" t="str">
        <f t="shared" si="89"/>
        <v/>
      </c>
    </row>
    <row r="2860" spans="1:2" x14ac:dyDescent="0.25">
      <c r="A2860" s="15" t="str">
        <f t="shared" si="88"/>
        <v/>
      </c>
      <c r="B2860" s="18" t="str">
        <f t="shared" si="89"/>
        <v/>
      </c>
    </row>
    <row r="2861" spans="1:2" x14ac:dyDescent="0.25">
      <c r="A2861" s="15" t="str">
        <f t="shared" si="88"/>
        <v/>
      </c>
      <c r="B2861" s="18" t="str">
        <f t="shared" si="89"/>
        <v/>
      </c>
    </row>
    <row r="2862" spans="1:2" x14ac:dyDescent="0.25">
      <c r="A2862" s="15" t="str">
        <f t="shared" si="88"/>
        <v/>
      </c>
      <c r="B2862" s="18" t="str">
        <f t="shared" si="89"/>
        <v/>
      </c>
    </row>
    <row r="2863" spans="1:2" x14ac:dyDescent="0.25">
      <c r="A2863" s="15" t="str">
        <f t="shared" si="88"/>
        <v/>
      </c>
      <c r="B2863" s="18" t="str">
        <f t="shared" si="89"/>
        <v/>
      </c>
    </row>
    <row r="2864" spans="1:2" x14ac:dyDescent="0.25">
      <c r="A2864" s="15" t="str">
        <f t="shared" si="88"/>
        <v/>
      </c>
      <c r="B2864" s="18" t="str">
        <f t="shared" si="89"/>
        <v/>
      </c>
    </row>
    <row r="2865" spans="1:2" x14ac:dyDescent="0.25">
      <c r="A2865" s="15" t="str">
        <f t="shared" si="88"/>
        <v/>
      </c>
      <c r="B2865" s="18" t="str">
        <f t="shared" si="89"/>
        <v/>
      </c>
    </row>
    <row r="2866" spans="1:2" x14ac:dyDescent="0.25">
      <c r="A2866" s="15" t="str">
        <f t="shared" si="88"/>
        <v/>
      </c>
      <c r="B2866" s="18" t="str">
        <f t="shared" si="89"/>
        <v/>
      </c>
    </row>
    <row r="2867" spans="1:2" x14ac:dyDescent="0.25">
      <c r="A2867" s="15" t="str">
        <f t="shared" si="88"/>
        <v/>
      </c>
      <c r="B2867" s="18" t="str">
        <f t="shared" si="89"/>
        <v/>
      </c>
    </row>
    <row r="2868" spans="1:2" x14ac:dyDescent="0.25">
      <c r="A2868" s="15" t="str">
        <f t="shared" si="88"/>
        <v/>
      </c>
      <c r="B2868" s="18" t="str">
        <f t="shared" si="89"/>
        <v/>
      </c>
    </row>
    <row r="2869" spans="1:2" x14ac:dyDescent="0.25">
      <c r="A2869" s="15" t="str">
        <f t="shared" si="88"/>
        <v/>
      </c>
      <c r="B2869" s="18" t="str">
        <f t="shared" si="89"/>
        <v/>
      </c>
    </row>
    <row r="2870" spans="1:2" x14ac:dyDescent="0.25">
      <c r="A2870" s="15" t="str">
        <f t="shared" si="88"/>
        <v/>
      </c>
      <c r="B2870" s="18" t="str">
        <f t="shared" si="89"/>
        <v/>
      </c>
    </row>
    <row r="2871" spans="1:2" x14ac:dyDescent="0.25">
      <c r="A2871" s="15" t="str">
        <f t="shared" si="88"/>
        <v/>
      </c>
      <c r="B2871" s="18" t="str">
        <f t="shared" si="89"/>
        <v/>
      </c>
    </row>
    <row r="2872" spans="1:2" x14ac:dyDescent="0.25">
      <c r="A2872" s="15" t="str">
        <f t="shared" si="88"/>
        <v/>
      </c>
      <c r="B2872" s="18" t="str">
        <f t="shared" si="89"/>
        <v/>
      </c>
    </row>
    <row r="2873" spans="1:2" x14ac:dyDescent="0.25">
      <c r="A2873" s="15" t="str">
        <f t="shared" si="88"/>
        <v/>
      </c>
      <c r="B2873" s="18" t="str">
        <f t="shared" si="89"/>
        <v/>
      </c>
    </row>
    <row r="2874" spans="1:2" x14ac:dyDescent="0.25">
      <c r="A2874" s="15" t="str">
        <f t="shared" si="88"/>
        <v/>
      </c>
      <c r="B2874" s="18" t="str">
        <f t="shared" si="89"/>
        <v/>
      </c>
    </row>
    <row r="2875" spans="1:2" x14ac:dyDescent="0.25">
      <c r="A2875" s="15" t="str">
        <f t="shared" si="88"/>
        <v/>
      </c>
      <c r="B2875" s="18" t="str">
        <f t="shared" si="89"/>
        <v/>
      </c>
    </row>
    <row r="2876" spans="1:2" x14ac:dyDescent="0.25">
      <c r="A2876" s="15" t="str">
        <f t="shared" si="88"/>
        <v/>
      </c>
      <c r="B2876" s="18" t="str">
        <f t="shared" si="89"/>
        <v/>
      </c>
    </row>
    <row r="2877" spans="1:2" x14ac:dyDescent="0.25">
      <c r="A2877" s="15" t="str">
        <f t="shared" si="88"/>
        <v/>
      </c>
      <c r="B2877" s="18" t="str">
        <f t="shared" si="89"/>
        <v/>
      </c>
    </row>
    <row r="2878" spans="1:2" x14ac:dyDescent="0.25">
      <c r="A2878" s="15" t="str">
        <f t="shared" si="88"/>
        <v/>
      </c>
      <c r="B2878" s="18" t="str">
        <f t="shared" si="89"/>
        <v/>
      </c>
    </row>
    <row r="2879" spans="1:2" x14ac:dyDescent="0.25">
      <c r="A2879" s="15" t="str">
        <f t="shared" si="88"/>
        <v/>
      </c>
      <c r="B2879" s="18" t="str">
        <f t="shared" si="89"/>
        <v/>
      </c>
    </row>
    <row r="2880" spans="1:2" x14ac:dyDescent="0.25">
      <c r="A2880" s="15" t="str">
        <f t="shared" si="88"/>
        <v/>
      </c>
      <c r="B2880" s="18" t="str">
        <f t="shared" si="89"/>
        <v/>
      </c>
    </row>
    <row r="2881" spans="1:2" x14ac:dyDescent="0.25">
      <c r="A2881" s="15" t="str">
        <f t="shared" si="88"/>
        <v/>
      </c>
      <c r="B2881" s="18" t="str">
        <f t="shared" si="89"/>
        <v/>
      </c>
    </row>
    <row r="2882" spans="1:2" x14ac:dyDescent="0.25">
      <c r="A2882" s="15" t="str">
        <f t="shared" ref="A2882:A2945" si="90">B2882&amp;C2882</f>
        <v/>
      </c>
      <c r="B2882" s="18" t="str">
        <f t="shared" si="89"/>
        <v/>
      </c>
    </row>
    <row r="2883" spans="1:2" x14ac:dyDescent="0.25">
      <c r="A2883" s="15" t="str">
        <f t="shared" si="90"/>
        <v/>
      </c>
      <c r="B2883" s="18" t="str">
        <f t="shared" ref="B2883:B2946" si="91">IF(C2883="","",B2882)</f>
        <v/>
      </c>
    </row>
    <row r="2884" spans="1:2" x14ac:dyDescent="0.25">
      <c r="A2884" s="15" t="str">
        <f t="shared" si="90"/>
        <v/>
      </c>
      <c r="B2884" s="18" t="str">
        <f t="shared" si="91"/>
        <v/>
      </c>
    </row>
    <row r="2885" spans="1:2" x14ac:dyDescent="0.25">
      <c r="A2885" s="15" t="str">
        <f t="shared" si="90"/>
        <v/>
      </c>
      <c r="B2885" s="18" t="str">
        <f t="shared" si="91"/>
        <v/>
      </c>
    </row>
    <row r="2886" spans="1:2" x14ac:dyDescent="0.25">
      <c r="A2886" s="15" t="str">
        <f t="shared" si="90"/>
        <v/>
      </c>
      <c r="B2886" s="18" t="str">
        <f t="shared" si="91"/>
        <v/>
      </c>
    </row>
    <row r="2887" spans="1:2" x14ac:dyDescent="0.25">
      <c r="A2887" s="15" t="str">
        <f t="shared" si="90"/>
        <v/>
      </c>
      <c r="B2887" s="18" t="str">
        <f t="shared" si="91"/>
        <v/>
      </c>
    </row>
    <row r="2888" spans="1:2" x14ac:dyDescent="0.25">
      <c r="A2888" s="15" t="str">
        <f t="shared" si="90"/>
        <v/>
      </c>
      <c r="B2888" s="18" t="str">
        <f t="shared" si="91"/>
        <v/>
      </c>
    </row>
    <row r="2889" spans="1:2" x14ac:dyDescent="0.25">
      <c r="A2889" s="15" t="str">
        <f t="shared" si="90"/>
        <v/>
      </c>
      <c r="B2889" s="18" t="str">
        <f t="shared" si="91"/>
        <v/>
      </c>
    </row>
    <row r="2890" spans="1:2" x14ac:dyDescent="0.25">
      <c r="A2890" s="15" t="str">
        <f t="shared" si="90"/>
        <v/>
      </c>
      <c r="B2890" s="18" t="str">
        <f t="shared" si="91"/>
        <v/>
      </c>
    </row>
    <row r="2891" spans="1:2" x14ac:dyDescent="0.25">
      <c r="A2891" s="15" t="str">
        <f t="shared" si="90"/>
        <v/>
      </c>
      <c r="B2891" s="18" t="str">
        <f t="shared" si="91"/>
        <v/>
      </c>
    </row>
    <row r="2892" spans="1:2" x14ac:dyDescent="0.25">
      <c r="A2892" s="15" t="str">
        <f t="shared" si="90"/>
        <v/>
      </c>
      <c r="B2892" s="18" t="str">
        <f t="shared" si="91"/>
        <v/>
      </c>
    </row>
    <row r="2893" spans="1:2" x14ac:dyDescent="0.25">
      <c r="A2893" s="15" t="str">
        <f t="shared" si="90"/>
        <v/>
      </c>
      <c r="B2893" s="18" t="str">
        <f t="shared" si="91"/>
        <v/>
      </c>
    </row>
    <row r="2894" spans="1:2" x14ac:dyDescent="0.25">
      <c r="A2894" s="15" t="str">
        <f t="shared" si="90"/>
        <v/>
      </c>
      <c r="B2894" s="18" t="str">
        <f t="shared" si="91"/>
        <v/>
      </c>
    </row>
    <row r="2895" spans="1:2" x14ac:dyDescent="0.25">
      <c r="A2895" s="15" t="str">
        <f t="shared" si="90"/>
        <v/>
      </c>
      <c r="B2895" s="18" t="str">
        <f t="shared" si="91"/>
        <v/>
      </c>
    </row>
    <row r="2896" spans="1:2" x14ac:dyDescent="0.25">
      <c r="A2896" s="15" t="str">
        <f t="shared" si="90"/>
        <v/>
      </c>
      <c r="B2896" s="18" t="str">
        <f t="shared" si="91"/>
        <v/>
      </c>
    </row>
    <row r="2897" spans="1:2" x14ac:dyDescent="0.25">
      <c r="A2897" s="15" t="str">
        <f t="shared" si="90"/>
        <v/>
      </c>
      <c r="B2897" s="18" t="str">
        <f t="shared" si="91"/>
        <v/>
      </c>
    </row>
    <row r="2898" spans="1:2" x14ac:dyDescent="0.25">
      <c r="A2898" s="15" t="str">
        <f t="shared" si="90"/>
        <v/>
      </c>
      <c r="B2898" s="18" t="str">
        <f t="shared" si="91"/>
        <v/>
      </c>
    </row>
    <row r="2899" spans="1:2" x14ac:dyDescent="0.25">
      <c r="A2899" s="15" t="str">
        <f t="shared" si="90"/>
        <v/>
      </c>
      <c r="B2899" s="18" t="str">
        <f t="shared" si="91"/>
        <v/>
      </c>
    </row>
    <row r="2900" spans="1:2" x14ac:dyDescent="0.25">
      <c r="A2900" s="15" t="str">
        <f t="shared" si="90"/>
        <v/>
      </c>
      <c r="B2900" s="18" t="str">
        <f t="shared" si="91"/>
        <v/>
      </c>
    </row>
    <row r="2901" spans="1:2" x14ac:dyDescent="0.25">
      <c r="A2901" s="15" t="str">
        <f t="shared" si="90"/>
        <v/>
      </c>
      <c r="B2901" s="18" t="str">
        <f t="shared" si="91"/>
        <v/>
      </c>
    </row>
    <row r="2902" spans="1:2" x14ac:dyDescent="0.25">
      <c r="A2902" s="15" t="str">
        <f t="shared" si="90"/>
        <v/>
      </c>
      <c r="B2902" s="18" t="str">
        <f t="shared" si="91"/>
        <v/>
      </c>
    </row>
    <row r="2903" spans="1:2" x14ac:dyDescent="0.25">
      <c r="A2903" s="15" t="str">
        <f t="shared" si="90"/>
        <v/>
      </c>
      <c r="B2903" s="18" t="str">
        <f t="shared" si="91"/>
        <v/>
      </c>
    </row>
    <row r="2904" spans="1:2" x14ac:dyDescent="0.25">
      <c r="A2904" s="15" t="str">
        <f t="shared" si="90"/>
        <v/>
      </c>
      <c r="B2904" s="18" t="str">
        <f t="shared" si="91"/>
        <v/>
      </c>
    </row>
    <row r="2905" spans="1:2" x14ac:dyDescent="0.25">
      <c r="A2905" s="15" t="str">
        <f t="shared" si="90"/>
        <v/>
      </c>
      <c r="B2905" s="18" t="str">
        <f t="shared" si="91"/>
        <v/>
      </c>
    </row>
    <row r="2906" spans="1:2" x14ac:dyDescent="0.25">
      <c r="A2906" s="15" t="str">
        <f t="shared" si="90"/>
        <v/>
      </c>
      <c r="B2906" s="18" t="str">
        <f t="shared" si="91"/>
        <v/>
      </c>
    </row>
    <row r="2907" spans="1:2" x14ac:dyDescent="0.25">
      <c r="A2907" s="15" t="str">
        <f t="shared" si="90"/>
        <v/>
      </c>
      <c r="B2907" s="18" t="str">
        <f t="shared" si="91"/>
        <v/>
      </c>
    </row>
    <row r="2908" spans="1:2" x14ac:dyDescent="0.25">
      <c r="A2908" s="15" t="str">
        <f t="shared" si="90"/>
        <v/>
      </c>
      <c r="B2908" s="18" t="str">
        <f t="shared" si="91"/>
        <v/>
      </c>
    </row>
    <row r="2909" spans="1:2" x14ac:dyDescent="0.25">
      <c r="A2909" s="15" t="str">
        <f t="shared" si="90"/>
        <v/>
      </c>
      <c r="B2909" s="18" t="str">
        <f t="shared" si="91"/>
        <v/>
      </c>
    </row>
    <row r="2910" spans="1:2" x14ac:dyDescent="0.25">
      <c r="A2910" s="15" t="str">
        <f t="shared" si="90"/>
        <v/>
      </c>
      <c r="B2910" s="18" t="str">
        <f t="shared" si="91"/>
        <v/>
      </c>
    </row>
    <row r="2911" spans="1:2" x14ac:dyDescent="0.25">
      <c r="A2911" s="15" t="str">
        <f t="shared" si="90"/>
        <v/>
      </c>
      <c r="B2911" s="18" t="str">
        <f t="shared" si="91"/>
        <v/>
      </c>
    </row>
    <row r="2912" spans="1:2" x14ac:dyDescent="0.25">
      <c r="A2912" s="15" t="str">
        <f t="shared" si="90"/>
        <v/>
      </c>
      <c r="B2912" s="18" t="str">
        <f t="shared" si="91"/>
        <v/>
      </c>
    </row>
    <row r="2913" spans="1:2" x14ac:dyDescent="0.25">
      <c r="A2913" s="15" t="str">
        <f t="shared" si="90"/>
        <v/>
      </c>
      <c r="B2913" s="18" t="str">
        <f t="shared" si="91"/>
        <v/>
      </c>
    </row>
    <row r="2914" spans="1:2" x14ac:dyDescent="0.25">
      <c r="A2914" s="15" t="str">
        <f t="shared" si="90"/>
        <v/>
      </c>
      <c r="B2914" s="18" t="str">
        <f t="shared" si="91"/>
        <v/>
      </c>
    </row>
    <row r="2915" spans="1:2" x14ac:dyDescent="0.25">
      <c r="A2915" s="15" t="str">
        <f t="shared" si="90"/>
        <v/>
      </c>
      <c r="B2915" s="18" t="str">
        <f t="shared" si="91"/>
        <v/>
      </c>
    </row>
    <row r="2916" spans="1:2" x14ac:dyDescent="0.25">
      <c r="A2916" s="15" t="str">
        <f t="shared" si="90"/>
        <v/>
      </c>
      <c r="B2916" s="18" t="str">
        <f t="shared" si="91"/>
        <v/>
      </c>
    </row>
    <row r="2917" spans="1:2" x14ac:dyDescent="0.25">
      <c r="A2917" s="15" t="str">
        <f t="shared" si="90"/>
        <v/>
      </c>
      <c r="B2917" s="18" t="str">
        <f t="shared" si="91"/>
        <v/>
      </c>
    </row>
    <row r="2918" spans="1:2" x14ac:dyDescent="0.25">
      <c r="A2918" s="15" t="str">
        <f t="shared" si="90"/>
        <v/>
      </c>
      <c r="B2918" s="18" t="str">
        <f t="shared" si="91"/>
        <v/>
      </c>
    </row>
    <row r="2919" spans="1:2" x14ac:dyDescent="0.25">
      <c r="A2919" s="15" t="str">
        <f t="shared" si="90"/>
        <v/>
      </c>
      <c r="B2919" s="18" t="str">
        <f t="shared" si="91"/>
        <v/>
      </c>
    </row>
    <row r="2920" spans="1:2" x14ac:dyDescent="0.25">
      <c r="A2920" s="15" t="str">
        <f t="shared" si="90"/>
        <v/>
      </c>
      <c r="B2920" s="18" t="str">
        <f t="shared" si="91"/>
        <v/>
      </c>
    </row>
    <row r="2921" spans="1:2" x14ac:dyDescent="0.25">
      <c r="A2921" s="15" t="str">
        <f t="shared" si="90"/>
        <v/>
      </c>
      <c r="B2921" s="18" t="str">
        <f t="shared" si="91"/>
        <v/>
      </c>
    </row>
    <row r="2922" spans="1:2" x14ac:dyDescent="0.25">
      <c r="A2922" s="15" t="str">
        <f t="shared" si="90"/>
        <v/>
      </c>
      <c r="B2922" s="18" t="str">
        <f t="shared" si="91"/>
        <v/>
      </c>
    </row>
    <row r="2923" spans="1:2" x14ac:dyDescent="0.25">
      <c r="A2923" s="15" t="str">
        <f t="shared" si="90"/>
        <v/>
      </c>
      <c r="B2923" s="18" t="str">
        <f t="shared" si="91"/>
        <v/>
      </c>
    </row>
    <row r="2924" spans="1:2" x14ac:dyDescent="0.25">
      <c r="A2924" s="15" t="str">
        <f t="shared" si="90"/>
        <v/>
      </c>
      <c r="B2924" s="18" t="str">
        <f t="shared" si="91"/>
        <v/>
      </c>
    </row>
    <row r="2925" spans="1:2" x14ac:dyDescent="0.25">
      <c r="A2925" s="15" t="str">
        <f t="shared" si="90"/>
        <v/>
      </c>
      <c r="B2925" s="18" t="str">
        <f t="shared" si="91"/>
        <v/>
      </c>
    </row>
    <row r="2926" spans="1:2" x14ac:dyDescent="0.25">
      <c r="A2926" s="15" t="str">
        <f t="shared" si="90"/>
        <v/>
      </c>
      <c r="B2926" s="18" t="str">
        <f t="shared" si="91"/>
        <v/>
      </c>
    </row>
    <row r="2927" spans="1:2" x14ac:dyDescent="0.25">
      <c r="A2927" s="15" t="str">
        <f t="shared" si="90"/>
        <v/>
      </c>
      <c r="B2927" s="18" t="str">
        <f t="shared" si="91"/>
        <v/>
      </c>
    </row>
    <row r="2928" spans="1:2" x14ac:dyDescent="0.25">
      <c r="A2928" s="15" t="str">
        <f t="shared" si="90"/>
        <v/>
      </c>
      <c r="B2928" s="18" t="str">
        <f t="shared" si="91"/>
        <v/>
      </c>
    </row>
    <row r="2929" spans="1:2" x14ac:dyDescent="0.25">
      <c r="A2929" s="15" t="str">
        <f t="shared" si="90"/>
        <v/>
      </c>
      <c r="B2929" s="18" t="str">
        <f t="shared" si="91"/>
        <v/>
      </c>
    </row>
    <row r="2930" spans="1:2" x14ac:dyDescent="0.25">
      <c r="A2930" s="15" t="str">
        <f t="shared" si="90"/>
        <v/>
      </c>
      <c r="B2930" s="18" t="str">
        <f t="shared" si="91"/>
        <v/>
      </c>
    </row>
    <row r="2931" spans="1:2" x14ac:dyDescent="0.25">
      <c r="A2931" s="15" t="str">
        <f t="shared" si="90"/>
        <v/>
      </c>
      <c r="B2931" s="18" t="str">
        <f t="shared" si="91"/>
        <v/>
      </c>
    </row>
    <row r="2932" spans="1:2" x14ac:dyDescent="0.25">
      <c r="A2932" s="15" t="str">
        <f t="shared" si="90"/>
        <v/>
      </c>
      <c r="B2932" s="18" t="str">
        <f t="shared" si="91"/>
        <v/>
      </c>
    </row>
    <row r="2933" spans="1:2" x14ac:dyDescent="0.25">
      <c r="A2933" s="15" t="str">
        <f t="shared" si="90"/>
        <v/>
      </c>
      <c r="B2933" s="18" t="str">
        <f t="shared" si="91"/>
        <v/>
      </c>
    </row>
    <row r="2934" spans="1:2" x14ac:dyDescent="0.25">
      <c r="A2934" s="15" t="str">
        <f t="shared" si="90"/>
        <v/>
      </c>
      <c r="B2934" s="18" t="str">
        <f t="shared" si="91"/>
        <v/>
      </c>
    </row>
    <row r="2935" spans="1:2" x14ac:dyDescent="0.25">
      <c r="A2935" s="15" t="str">
        <f t="shared" si="90"/>
        <v/>
      </c>
      <c r="B2935" s="18" t="str">
        <f t="shared" si="91"/>
        <v/>
      </c>
    </row>
    <row r="2936" spans="1:2" x14ac:dyDescent="0.25">
      <c r="A2936" s="15" t="str">
        <f t="shared" si="90"/>
        <v/>
      </c>
      <c r="B2936" s="18" t="str">
        <f t="shared" si="91"/>
        <v/>
      </c>
    </row>
    <row r="2937" spans="1:2" x14ac:dyDescent="0.25">
      <c r="A2937" s="15" t="str">
        <f t="shared" si="90"/>
        <v/>
      </c>
      <c r="B2937" s="18" t="str">
        <f t="shared" si="91"/>
        <v/>
      </c>
    </row>
    <row r="2938" spans="1:2" x14ac:dyDescent="0.25">
      <c r="A2938" s="15" t="str">
        <f t="shared" si="90"/>
        <v/>
      </c>
      <c r="B2938" s="18" t="str">
        <f t="shared" si="91"/>
        <v/>
      </c>
    </row>
    <row r="2939" spans="1:2" x14ac:dyDescent="0.25">
      <c r="A2939" s="15" t="str">
        <f t="shared" si="90"/>
        <v/>
      </c>
      <c r="B2939" s="18" t="str">
        <f t="shared" si="91"/>
        <v/>
      </c>
    </row>
    <row r="2940" spans="1:2" x14ac:dyDescent="0.25">
      <c r="A2940" s="15" t="str">
        <f t="shared" si="90"/>
        <v/>
      </c>
      <c r="B2940" s="18" t="str">
        <f t="shared" si="91"/>
        <v/>
      </c>
    </row>
    <row r="2941" spans="1:2" x14ac:dyDescent="0.25">
      <c r="A2941" s="15" t="str">
        <f t="shared" si="90"/>
        <v/>
      </c>
      <c r="B2941" s="18" t="str">
        <f t="shared" si="91"/>
        <v/>
      </c>
    </row>
    <row r="2942" spans="1:2" x14ac:dyDescent="0.25">
      <c r="A2942" s="15" t="str">
        <f t="shared" si="90"/>
        <v/>
      </c>
      <c r="B2942" s="18" t="str">
        <f t="shared" si="91"/>
        <v/>
      </c>
    </row>
    <row r="2943" spans="1:2" x14ac:dyDescent="0.25">
      <c r="A2943" s="15" t="str">
        <f t="shared" si="90"/>
        <v/>
      </c>
      <c r="B2943" s="18" t="str">
        <f t="shared" si="91"/>
        <v/>
      </c>
    </row>
    <row r="2944" spans="1:2" x14ac:dyDescent="0.25">
      <c r="A2944" s="15" t="str">
        <f t="shared" si="90"/>
        <v/>
      </c>
      <c r="B2944" s="18" t="str">
        <f t="shared" si="91"/>
        <v/>
      </c>
    </row>
    <row r="2945" spans="1:2" x14ac:dyDescent="0.25">
      <c r="A2945" s="15" t="str">
        <f t="shared" si="90"/>
        <v/>
      </c>
      <c r="B2945" s="18" t="str">
        <f t="shared" si="91"/>
        <v/>
      </c>
    </row>
    <row r="2946" spans="1:2" x14ac:dyDescent="0.25">
      <c r="A2946" s="15" t="str">
        <f t="shared" ref="A2946:A3009" si="92">B2946&amp;C2946</f>
        <v/>
      </c>
      <c r="B2946" s="18" t="str">
        <f t="shared" si="91"/>
        <v/>
      </c>
    </row>
    <row r="2947" spans="1:2" x14ac:dyDescent="0.25">
      <c r="A2947" s="15" t="str">
        <f t="shared" si="92"/>
        <v/>
      </c>
      <c r="B2947" s="18" t="str">
        <f t="shared" ref="B2947:B3010" si="93">IF(C2947="","",B2946)</f>
        <v/>
      </c>
    </row>
    <row r="2948" spans="1:2" x14ac:dyDescent="0.25">
      <c r="A2948" s="15" t="str">
        <f t="shared" si="92"/>
        <v/>
      </c>
      <c r="B2948" s="18" t="str">
        <f t="shared" si="93"/>
        <v/>
      </c>
    </row>
    <row r="2949" spans="1:2" x14ac:dyDescent="0.25">
      <c r="A2949" s="15" t="str">
        <f t="shared" si="92"/>
        <v/>
      </c>
      <c r="B2949" s="18" t="str">
        <f t="shared" si="93"/>
        <v/>
      </c>
    </row>
    <row r="2950" spans="1:2" x14ac:dyDescent="0.25">
      <c r="A2950" s="15" t="str">
        <f t="shared" si="92"/>
        <v/>
      </c>
      <c r="B2950" s="18" t="str">
        <f t="shared" si="93"/>
        <v/>
      </c>
    </row>
    <row r="2951" spans="1:2" x14ac:dyDescent="0.25">
      <c r="A2951" s="15" t="str">
        <f t="shared" si="92"/>
        <v/>
      </c>
      <c r="B2951" s="18" t="str">
        <f t="shared" si="93"/>
        <v/>
      </c>
    </row>
    <row r="2952" spans="1:2" x14ac:dyDescent="0.25">
      <c r="A2952" s="15" t="str">
        <f t="shared" si="92"/>
        <v/>
      </c>
      <c r="B2952" s="18" t="str">
        <f t="shared" si="93"/>
        <v/>
      </c>
    </row>
    <row r="2953" spans="1:2" x14ac:dyDescent="0.25">
      <c r="A2953" s="15" t="str">
        <f t="shared" si="92"/>
        <v/>
      </c>
      <c r="B2953" s="18" t="str">
        <f t="shared" si="93"/>
        <v/>
      </c>
    </row>
    <row r="2954" spans="1:2" x14ac:dyDescent="0.25">
      <c r="A2954" s="15" t="str">
        <f t="shared" si="92"/>
        <v/>
      </c>
      <c r="B2954" s="18" t="str">
        <f t="shared" si="93"/>
        <v/>
      </c>
    </row>
    <row r="2955" spans="1:2" x14ac:dyDescent="0.25">
      <c r="A2955" s="15" t="str">
        <f t="shared" si="92"/>
        <v/>
      </c>
      <c r="B2955" s="18" t="str">
        <f t="shared" si="93"/>
        <v/>
      </c>
    </row>
    <row r="2956" spans="1:2" x14ac:dyDescent="0.25">
      <c r="A2956" s="15" t="str">
        <f t="shared" si="92"/>
        <v/>
      </c>
      <c r="B2956" s="18" t="str">
        <f t="shared" si="93"/>
        <v/>
      </c>
    </row>
    <row r="2957" spans="1:2" x14ac:dyDescent="0.25">
      <c r="A2957" s="15" t="str">
        <f t="shared" si="92"/>
        <v/>
      </c>
      <c r="B2957" s="18" t="str">
        <f t="shared" si="93"/>
        <v/>
      </c>
    </row>
    <row r="2958" spans="1:2" x14ac:dyDescent="0.25">
      <c r="A2958" s="15" t="str">
        <f t="shared" si="92"/>
        <v/>
      </c>
      <c r="B2958" s="18" t="str">
        <f t="shared" si="93"/>
        <v/>
      </c>
    </row>
    <row r="2959" spans="1:2" x14ac:dyDescent="0.25">
      <c r="A2959" s="15" t="str">
        <f t="shared" si="92"/>
        <v/>
      </c>
      <c r="B2959" s="18" t="str">
        <f t="shared" si="93"/>
        <v/>
      </c>
    </row>
    <row r="2960" spans="1:2" x14ac:dyDescent="0.25">
      <c r="A2960" s="15" t="str">
        <f t="shared" si="92"/>
        <v/>
      </c>
      <c r="B2960" s="18" t="str">
        <f t="shared" si="93"/>
        <v/>
      </c>
    </row>
    <row r="2961" spans="1:2" x14ac:dyDescent="0.25">
      <c r="A2961" s="15" t="str">
        <f t="shared" si="92"/>
        <v/>
      </c>
      <c r="B2961" s="18" t="str">
        <f t="shared" si="93"/>
        <v/>
      </c>
    </row>
    <row r="2962" spans="1:2" x14ac:dyDescent="0.25">
      <c r="A2962" s="15" t="str">
        <f t="shared" si="92"/>
        <v/>
      </c>
      <c r="B2962" s="18" t="str">
        <f t="shared" si="93"/>
        <v/>
      </c>
    </row>
    <row r="2963" spans="1:2" x14ac:dyDescent="0.25">
      <c r="A2963" s="15" t="str">
        <f t="shared" si="92"/>
        <v/>
      </c>
      <c r="B2963" s="18" t="str">
        <f t="shared" si="93"/>
        <v/>
      </c>
    </row>
    <row r="2964" spans="1:2" x14ac:dyDescent="0.25">
      <c r="A2964" s="15" t="str">
        <f t="shared" si="92"/>
        <v/>
      </c>
      <c r="B2964" s="18" t="str">
        <f t="shared" si="93"/>
        <v/>
      </c>
    </row>
    <row r="2965" spans="1:2" x14ac:dyDescent="0.25">
      <c r="A2965" s="15" t="str">
        <f t="shared" si="92"/>
        <v/>
      </c>
      <c r="B2965" s="18" t="str">
        <f t="shared" si="93"/>
        <v/>
      </c>
    </row>
    <row r="2966" spans="1:2" x14ac:dyDescent="0.25">
      <c r="A2966" s="15" t="str">
        <f t="shared" si="92"/>
        <v/>
      </c>
      <c r="B2966" s="18" t="str">
        <f t="shared" si="93"/>
        <v/>
      </c>
    </row>
    <row r="2967" spans="1:2" x14ac:dyDescent="0.25">
      <c r="A2967" s="15" t="str">
        <f t="shared" si="92"/>
        <v/>
      </c>
      <c r="B2967" s="18" t="str">
        <f t="shared" si="93"/>
        <v/>
      </c>
    </row>
    <row r="2968" spans="1:2" x14ac:dyDescent="0.25">
      <c r="A2968" s="15" t="str">
        <f t="shared" si="92"/>
        <v/>
      </c>
      <c r="B2968" s="18" t="str">
        <f t="shared" si="93"/>
        <v/>
      </c>
    </row>
    <row r="2969" spans="1:2" x14ac:dyDescent="0.25">
      <c r="A2969" s="15" t="str">
        <f t="shared" si="92"/>
        <v/>
      </c>
      <c r="B2969" s="18" t="str">
        <f t="shared" si="93"/>
        <v/>
      </c>
    </row>
    <row r="2970" spans="1:2" x14ac:dyDescent="0.25">
      <c r="A2970" s="15" t="str">
        <f t="shared" si="92"/>
        <v/>
      </c>
      <c r="B2970" s="18" t="str">
        <f t="shared" si="93"/>
        <v/>
      </c>
    </row>
    <row r="2971" spans="1:2" x14ac:dyDescent="0.25">
      <c r="A2971" s="15" t="str">
        <f t="shared" si="92"/>
        <v/>
      </c>
      <c r="B2971" s="18" t="str">
        <f t="shared" si="93"/>
        <v/>
      </c>
    </row>
    <row r="2972" spans="1:2" x14ac:dyDescent="0.25">
      <c r="A2972" s="15" t="str">
        <f t="shared" si="92"/>
        <v/>
      </c>
      <c r="B2972" s="18" t="str">
        <f t="shared" si="93"/>
        <v/>
      </c>
    </row>
    <row r="2973" spans="1:2" x14ac:dyDescent="0.25">
      <c r="A2973" s="15" t="str">
        <f t="shared" si="92"/>
        <v/>
      </c>
      <c r="B2973" s="18" t="str">
        <f t="shared" si="93"/>
        <v/>
      </c>
    </row>
    <row r="2974" spans="1:2" x14ac:dyDescent="0.25">
      <c r="A2974" s="15" t="str">
        <f t="shared" si="92"/>
        <v/>
      </c>
      <c r="B2974" s="18" t="str">
        <f t="shared" si="93"/>
        <v/>
      </c>
    </row>
    <row r="2975" spans="1:2" x14ac:dyDescent="0.25">
      <c r="A2975" s="15" t="str">
        <f t="shared" si="92"/>
        <v/>
      </c>
      <c r="B2975" s="18" t="str">
        <f t="shared" si="93"/>
        <v/>
      </c>
    </row>
    <row r="2976" spans="1:2" x14ac:dyDescent="0.25">
      <c r="A2976" s="15" t="str">
        <f t="shared" si="92"/>
        <v/>
      </c>
      <c r="B2976" s="18" t="str">
        <f t="shared" si="93"/>
        <v/>
      </c>
    </row>
    <row r="2977" spans="1:2" x14ac:dyDescent="0.25">
      <c r="A2977" s="15" t="str">
        <f t="shared" si="92"/>
        <v/>
      </c>
      <c r="B2977" s="18" t="str">
        <f t="shared" si="93"/>
        <v/>
      </c>
    </row>
    <row r="2978" spans="1:2" x14ac:dyDescent="0.25">
      <c r="A2978" s="15" t="str">
        <f t="shared" si="92"/>
        <v/>
      </c>
      <c r="B2978" s="18" t="str">
        <f t="shared" si="93"/>
        <v/>
      </c>
    </row>
    <row r="2979" spans="1:2" x14ac:dyDescent="0.25">
      <c r="A2979" s="15" t="str">
        <f t="shared" si="92"/>
        <v/>
      </c>
      <c r="B2979" s="18" t="str">
        <f t="shared" si="93"/>
        <v/>
      </c>
    </row>
    <row r="2980" spans="1:2" x14ac:dyDescent="0.25">
      <c r="A2980" s="15" t="str">
        <f t="shared" si="92"/>
        <v/>
      </c>
      <c r="B2980" s="18" t="str">
        <f t="shared" si="93"/>
        <v/>
      </c>
    </row>
    <row r="2981" spans="1:2" x14ac:dyDescent="0.25">
      <c r="A2981" s="15" t="str">
        <f t="shared" si="92"/>
        <v/>
      </c>
      <c r="B2981" s="18" t="str">
        <f t="shared" si="93"/>
        <v/>
      </c>
    </row>
    <row r="2982" spans="1:2" x14ac:dyDescent="0.25">
      <c r="A2982" s="15" t="str">
        <f t="shared" si="92"/>
        <v/>
      </c>
      <c r="B2982" s="18" t="str">
        <f t="shared" si="93"/>
        <v/>
      </c>
    </row>
    <row r="2983" spans="1:2" x14ac:dyDescent="0.25">
      <c r="A2983" s="15" t="str">
        <f t="shared" si="92"/>
        <v/>
      </c>
      <c r="B2983" s="18" t="str">
        <f t="shared" si="93"/>
        <v/>
      </c>
    </row>
    <row r="2984" spans="1:2" x14ac:dyDescent="0.25">
      <c r="A2984" s="15" t="str">
        <f t="shared" si="92"/>
        <v/>
      </c>
      <c r="B2984" s="18" t="str">
        <f t="shared" si="93"/>
        <v/>
      </c>
    </row>
    <row r="2985" spans="1:2" x14ac:dyDescent="0.25">
      <c r="A2985" s="15" t="str">
        <f t="shared" si="92"/>
        <v/>
      </c>
      <c r="B2985" s="18" t="str">
        <f t="shared" si="93"/>
        <v/>
      </c>
    </row>
    <row r="2986" spans="1:2" x14ac:dyDescent="0.25">
      <c r="A2986" s="15" t="str">
        <f t="shared" si="92"/>
        <v/>
      </c>
      <c r="B2986" s="18" t="str">
        <f t="shared" si="93"/>
        <v/>
      </c>
    </row>
    <row r="2987" spans="1:2" x14ac:dyDescent="0.25">
      <c r="A2987" s="15" t="str">
        <f t="shared" si="92"/>
        <v/>
      </c>
      <c r="B2987" s="18" t="str">
        <f t="shared" si="93"/>
        <v/>
      </c>
    </row>
    <row r="2988" spans="1:2" x14ac:dyDescent="0.25">
      <c r="A2988" s="15" t="str">
        <f t="shared" si="92"/>
        <v/>
      </c>
      <c r="B2988" s="18" t="str">
        <f t="shared" si="93"/>
        <v/>
      </c>
    </row>
    <row r="2989" spans="1:2" x14ac:dyDescent="0.25">
      <c r="A2989" s="15" t="str">
        <f t="shared" si="92"/>
        <v/>
      </c>
      <c r="B2989" s="18" t="str">
        <f t="shared" si="93"/>
        <v/>
      </c>
    </row>
    <row r="2990" spans="1:2" x14ac:dyDescent="0.25">
      <c r="A2990" s="15" t="str">
        <f t="shared" si="92"/>
        <v/>
      </c>
      <c r="B2990" s="18" t="str">
        <f t="shared" si="93"/>
        <v/>
      </c>
    </row>
    <row r="2991" spans="1:2" x14ac:dyDescent="0.25">
      <c r="A2991" s="15" t="str">
        <f t="shared" si="92"/>
        <v/>
      </c>
      <c r="B2991" s="18" t="str">
        <f t="shared" si="93"/>
        <v/>
      </c>
    </row>
    <row r="2992" spans="1:2" x14ac:dyDescent="0.25">
      <c r="A2992" s="15" t="str">
        <f t="shared" si="92"/>
        <v/>
      </c>
      <c r="B2992" s="18" t="str">
        <f t="shared" si="93"/>
        <v/>
      </c>
    </row>
    <row r="2993" spans="1:2" x14ac:dyDescent="0.25">
      <c r="A2993" s="15" t="str">
        <f t="shared" si="92"/>
        <v/>
      </c>
      <c r="B2993" s="18" t="str">
        <f t="shared" si="93"/>
        <v/>
      </c>
    </row>
    <row r="2994" spans="1:2" x14ac:dyDescent="0.25">
      <c r="A2994" s="15" t="str">
        <f t="shared" si="92"/>
        <v/>
      </c>
      <c r="B2994" s="18" t="str">
        <f t="shared" si="93"/>
        <v/>
      </c>
    </row>
    <row r="2995" spans="1:2" x14ac:dyDescent="0.25">
      <c r="A2995" s="15" t="str">
        <f t="shared" si="92"/>
        <v/>
      </c>
      <c r="B2995" s="18" t="str">
        <f t="shared" si="93"/>
        <v/>
      </c>
    </row>
    <row r="2996" spans="1:2" x14ac:dyDescent="0.25">
      <c r="A2996" s="15" t="str">
        <f t="shared" si="92"/>
        <v/>
      </c>
      <c r="B2996" s="18" t="str">
        <f t="shared" si="93"/>
        <v/>
      </c>
    </row>
    <row r="2997" spans="1:2" x14ac:dyDescent="0.25">
      <c r="A2997" s="15" t="str">
        <f t="shared" si="92"/>
        <v/>
      </c>
      <c r="B2997" s="18" t="str">
        <f t="shared" si="93"/>
        <v/>
      </c>
    </row>
    <row r="2998" spans="1:2" x14ac:dyDescent="0.25">
      <c r="A2998" s="15" t="str">
        <f t="shared" si="92"/>
        <v/>
      </c>
      <c r="B2998" s="18" t="str">
        <f t="shared" si="93"/>
        <v/>
      </c>
    </row>
    <row r="2999" spans="1:2" x14ac:dyDescent="0.25">
      <c r="A2999" s="15" t="str">
        <f t="shared" si="92"/>
        <v/>
      </c>
      <c r="B2999" s="18" t="str">
        <f t="shared" si="93"/>
        <v/>
      </c>
    </row>
    <row r="3000" spans="1:2" x14ac:dyDescent="0.25">
      <c r="A3000" s="15" t="str">
        <f t="shared" si="92"/>
        <v/>
      </c>
      <c r="B3000" s="18" t="str">
        <f t="shared" si="93"/>
        <v/>
      </c>
    </row>
    <row r="3001" spans="1:2" x14ac:dyDescent="0.25">
      <c r="A3001" s="15" t="str">
        <f t="shared" si="92"/>
        <v/>
      </c>
      <c r="B3001" s="18" t="str">
        <f t="shared" si="93"/>
        <v/>
      </c>
    </row>
    <row r="3002" spans="1:2" x14ac:dyDescent="0.25">
      <c r="A3002" s="15" t="str">
        <f t="shared" si="92"/>
        <v/>
      </c>
      <c r="B3002" s="18" t="str">
        <f t="shared" si="93"/>
        <v/>
      </c>
    </row>
    <row r="3003" spans="1:2" x14ac:dyDescent="0.25">
      <c r="A3003" s="15" t="str">
        <f t="shared" si="92"/>
        <v/>
      </c>
      <c r="B3003" s="18" t="str">
        <f t="shared" si="93"/>
        <v/>
      </c>
    </row>
    <row r="3004" spans="1:2" x14ac:dyDescent="0.25">
      <c r="A3004" s="15" t="str">
        <f t="shared" si="92"/>
        <v/>
      </c>
      <c r="B3004" s="18" t="str">
        <f t="shared" si="93"/>
        <v/>
      </c>
    </row>
    <row r="3005" spans="1:2" x14ac:dyDescent="0.25">
      <c r="A3005" s="15" t="str">
        <f t="shared" si="92"/>
        <v/>
      </c>
      <c r="B3005" s="18" t="str">
        <f t="shared" si="93"/>
        <v/>
      </c>
    </row>
    <row r="3006" spans="1:2" x14ac:dyDescent="0.25">
      <c r="A3006" s="15" t="str">
        <f t="shared" si="92"/>
        <v/>
      </c>
      <c r="B3006" s="18" t="str">
        <f t="shared" si="93"/>
        <v/>
      </c>
    </row>
    <row r="3007" spans="1:2" x14ac:dyDescent="0.25">
      <c r="A3007" s="15" t="str">
        <f t="shared" si="92"/>
        <v/>
      </c>
      <c r="B3007" s="18" t="str">
        <f t="shared" si="93"/>
        <v/>
      </c>
    </row>
    <row r="3008" spans="1:2" x14ac:dyDescent="0.25">
      <c r="A3008" s="15" t="str">
        <f t="shared" si="92"/>
        <v/>
      </c>
      <c r="B3008" s="18" t="str">
        <f t="shared" si="93"/>
        <v/>
      </c>
    </row>
    <row r="3009" spans="1:2" x14ac:dyDescent="0.25">
      <c r="A3009" s="15" t="str">
        <f t="shared" si="92"/>
        <v/>
      </c>
      <c r="B3009" s="18" t="str">
        <f t="shared" si="93"/>
        <v/>
      </c>
    </row>
    <row r="3010" spans="1:2" x14ac:dyDescent="0.25">
      <c r="A3010" s="15" t="str">
        <f t="shared" ref="A3010:A3073" si="94">B3010&amp;C3010</f>
        <v/>
      </c>
      <c r="B3010" s="18" t="str">
        <f t="shared" si="93"/>
        <v/>
      </c>
    </row>
    <row r="3011" spans="1:2" x14ac:dyDescent="0.25">
      <c r="A3011" s="15" t="str">
        <f t="shared" si="94"/>
        <v/>
      </c>
      <c r="B3011" s="18" t="str">
        <f t="shared" ref="B3011:B3074" si="95">IF(C3011="","",B3010)</f>
        <v/>
      </c>
    </row>
    <row r="3012" spans="1:2" x14ac:dyDescent="0.25">
      <c r="A3012" s="15" t="str">
        <f t="shared" si="94"/>
        <v/>
      </c>
      <c r="B3012" s="18" t="str">
        <f t="shared" si="95"/>
        <v/>
      </c>
    </row>
    <row r="3013" spans="1:2" x14ac:dyDescent="0.25">
      <c r="A3013" s="15" t="str">
        <f t="shared" si="94"/>
        <v/>
      </c>
      <c r="B3013" s="18" t="str">
        <f t="shared" si="95"/>
        <v/>
      </c>
    </row>
    <row r="3014" spans="1:2" x14ac:dyDescent="0.25">
      <c r="A3014" s="15" t="str">
        <f t="shared" si="94"/>
        <v/>
      </c>
      <c r="B3014" s="18" t="str">
        <f t="shared" si="95"/>
        <v/>
      </c>
    </row>
    <row r="3015" spans="1:2" x14ac:dyDescent="0.25">
      <c r="A3015" s="15" t="str">
        <f t="shared" si="94"/>
        <v/>
      </c>
      <c r="B3015" s="18" t="str">
        <f t="shared" si="95"/>
        <v/>
      </c>
    </row>
    <row r="3016" spans="1:2" x14ac:dyDescent="0.25">
      <c r="A3016" s="15" t="str">
        <f t="shared" si="94"/>
        <v/>
      </c>
      <c r="B3016" s="18" t="str">
        <f t="shared" si="95"/>
        <v/>
      </c>
    </row>
    <row r="3017" spans="1:2" x14ac:dyDescent="0.25">
      <c r="A3017" s="15" t="str">
        <f t="shared" si="94"/>
        <v/>
      </c>
      <c r="B3017" s="18" t="str">
        <f t="shared" si="95"/>
        <v/>
      </c>
    </row>
    <row r="3018" spans="1:2" x14ac:dyDescent="0.25">
      <c r="A3018" s="15" t="str">
        <f t="shared" si="94"/>
        <v/>
      </c>
      <c r="B3018" s="18" t="str">
        <f t="shared" si="95"/>
        <v/>
      </c>
    </row>
    <row r="3019" spans="1:2" x14ac:dyDescent="0.25">
      <c r="A3019" s="15" t="str">
        <f t="shared" si="94"/>
        <v/>
      </c>
      <c r="B3019" s="18" t="str">
        <f t="shared" si="95"/>
        <v/>
      </c>
    </row>
    <row r="3020" spans="1:2" x14ac:dyDescent="0.25">
      <c r="A3020" s="15" t="str">
        <f t="shared" si="94"/>
        <v/>
      </c>
      <c r="B3020" s="18" t="str">
        <f t="shared" si="95"/>
        <v/>
      </c>
    </row>
    <row r="3021" spans="1:2" x14ac:dyDescent="0.25">
      <c r="A3021" s="15" t="str">
        <f t="shared" si="94"/>
        <v/>
      </c>
      <c r="B3021" s="18" t="str">
        <f t="shared" si="95"/>
        <v/>
      </c>
    </row>
    <row r="3022" spans="1:2" x14ac:dyDescent="0.25">
      <c r="A3022" s="15" t="str">
        <f t="shared" si="94"/>
        <v/>
      </c>
      <c r="B3022" s="18" t="str">
        <f t="shared" si="95"/>
        <v/>
      </c>
    </row>
    <row r="3023" spans="1:2" x14ac:dyDescent="0.25">
      <c r="A3023" s="15" t="str">
        <f t="shared" si="94"/>
        <v/>
      </c>
      <c r="B3023" s="18" t="str">
        <f t="shared" si="95"/>
        <v/>
      </c>
    </row>
    <row r="3024" spans="1:2" x14ac:dyDescent="0.25">
      <c r="A3024" s="15" t="str">
        <f t="shared" si="94"/>
        <v/>
      </c>
      <c r="B3024" s="18" t="str">
        <f t="shared" si="95"/>
        <v/>
      </c>
    </row>
    <row r="3025" spans="1:2" x14ac:dyDescent="0.25">
      <c r="A3025" s="15" t="str">
        <f t="shared" si="94"/>
        <v/>
      </c>
      <c r="B3025" s="18" t="str">
        <f t="shared" si="95"/>
        <v/>
      </c>
    </row>
    <row r="3026" spans="1:2" x14ac:dyDescent="0.25">
      <c r="A3026" s="15" t="str">
        <f t="shared" si="94"/>
        <v/>
      </c>
      <c r="B3026" s="18" t="str">
        <f t="shared" si="95"/>
        <v/>
      </c>
    </row>
    <row r="3027" spans="1:2" x14ac:dyDescent="0.25">
      <c r="A3027" s="15" t="str">
        <f t="shared" si="94"/>
        <v/>
      </c>
      <c r="B3027" s="18" t="str">
        <f t="shared" si="95"/>
        <v/>
      </c>
    </row>
    <row r="3028" spans="1:2" x14ac:dyDescent="0.25">
      <c r="A3028" s="15" t="str">
        <f t="shared" si="94"/>
        <v/>
      </c>
      <c r="B3028" s="18" t="str">
        <f t="shared" si="95"/>
        <v/>
      </c>
    </row>
    <row r="3029" spans="1:2" x14ac:dyDescent="0.25">
      <c r="A3029" s="15" t="str">
        <f t="shared" si="94"/>
        <v/>
      </c>
      <c r="B3029" s="18" t="str">
        <f t="shared" si="95"/>
        <v/>
      </c>
    </row>
    <row r="3030" spans="1:2" x14ac:dyDescent="0.25">
      <c r="A3030" s="15" t="str">
        <f t="shared" si="94"/>
        <v/>
      </c>
      <c r="B3030" s="18" t="str">
        <f t="shared" si="95"/>
        <v/>
      </c>
    </row>
    <row r="3031" spans="1:2" x14ac:dyDescent="0.25">
      <c r="A3031" s="15" t="str">
        <f t="shared" si="94"/>
        <v/>
      </c>
      <c r="B3031" s="18" t="str">
        <f t="shared" si="95"/>
        <v/>
      </c>
    </row>
    <row r="3032" spans="1:2" x14ac:dyDescent="0.25">
      <c r="A3032" s="15" t="str">
        <f t="shared" si="94"/>
        <v/>
      </c>
      <c r="B3032" s="18" t="str">
        <f t="shared" si="95"/>
        <v/>
      </c>
    </row>
    <row r="3033" spans="1:2" x14ac:dyDescent="0.25">
      <c r="A3033" s="15" t="str">
        <f t="shared" si="94"/>
        <v/>
      </c>
      <c r="B3033" s="18" t="str">
        <f t="shared" si="95"/>
        <v/>
      </c>
    </row>
    <row r="3034" spans="1:2" x14ac:dyDescent="0.25">
      <c r="A3034" s="15" t="str">
        <f t="shared" si="94"/>
        <v/>
      </c>
      <c r="B3034" s="18" t="str">
        <f t="shared" si="95"/>
        <v/>
      </c>
    </row>
    <row r="3035" spans="1:2" x14ac:dyDescent="0.25">
      <c r="A3035" s="15" t="str">
        <f t="shared" si="94"/>
        <v/>
      </c>
      <c r="B3035" s="18" t="str">
        <f t="shared" si="95"/>
        <v/>
      </c>
    </row>
    <row r="3036" spans="1:2" x14ac:dyDescent="0.25">
      <c r="A3036" s="15" t="str">
        <f t="shared" si="94"/>
        <v/>
      </c>
      <c r="B3036" s="18" t="str">
        <f t="shared" si="95"/>
        <v/>
      </c>
    </row>
    <row r="3037" spans="1:2" x14ac:dyDescent="0.25">
      <c r="A3037" s="15" t="str">
        <f t="shared" si="94"/>
        <v/>
      </c>
      <c r="B3037" s="18" t="str">
        <f t="shared" si="95"/>
        <v/>
      </c>
    </row>
    <row r="3038" spans="1:2" x14ac:dyDescent="0.25">
      <c r="A3038" s="15" t="str">
        <f t="shared" si="94"/>
        <v/>
      </c>
      <c r="B3038" s="18" t="str">
        <f t="shared" si="95"/>
        <v/>
      </c>
    </row>
    <row r="3039" spans="1:2" x14ac:dyDescent="0.25">
      <c r="A3039" s="15" t="str">
        <f t="shared" si="94"/>
        <v/>
      </c>
      <c r="B3039" s="18" t="str">
        <f t="shared" si="95"/>
        <v/>
      </c>
    </row>
    <row r="3040" spans="1:2" x14ac:dyDescent="0.25">
      <c r="A3040" s="15" t="str">
        <f t="shared" si="94"/>
        <v/>
      </c>
      <c r="B3040" s="18" t="str">
        <f t="shared" si="95"/>
        <v/>
      </c>
    </row>
    <row r="3041" spans="1:2" x14ac:dyDescent="0.25">
      <c r="A3041" s="15" t="str">
        <f t="shared" si="94"/>
        <v/>
      </c>
      <c r="B3041" s="18" t="str">
        <f t="shared" si="95"/>
        <v/>
      </c>
    </row>
    <row r="3042" spans="1:2" x14ac:dyDescent="0.25">
      <c r="A3042" s="15" t="str">
        <f t="shared" si="94"/>
        <v/>
      </c>
      <c r="B3042" s="18" t="str">
        <f t="shared" si="95"/>
        <v/>
      </c>
    </row>
    <row r="3043" spans="1:2" x14ac:dyDescent="0.25">
      <c r="A3043" s="15" t="str">
        <f t="shared" si="94"/>
        <v/>
      </c>
      <c r="B3043" s="18" t="str">
        <f t="shared" si="95"/>
        <v/>
      </c>
    </row>
    <row r="3044" spans="1:2" x14ac:dyDescent="0.25">
      <c r="A3044" s="15" t="str">
        <f t="shared" si="94"/>
        <v/>
      </c>
      <c r="B3044" s="18" t="str">
        <f t="shared" si="95"/>
        <v/>
      </c>
    </row>
    <row r="3045" spans="1:2" x14ac:dyDescent="0.25">
      <c r="A3045" s="15" t="str">
        <f t="shared" si="94"/>
        <v/>
      </c>
      <c r="B3045" s="18" t="str">
        <f t="shared" si="95"/>
        <v/>
      </c>
    </row>
    <row r="3046" spans="1:2" x14ac:dyDescent="0.25">
      <c r="A3046" s="15" t="str">
        <f t="shared" si="94"/>
        <v/>
      </c>
      <c r="B3046" s="18" t="str">
        <f t="shared" si="95"/>
        <v/>
      </c>
    </row>
    <row r="3047" spans="1:2" x14ac:dyDescent="0.25">
      <c r="A3047" s="15" t="str">
        <f t="shared" si="94"/>
        <v/>
      </c>
      <c r="B3047" s="18" t="str">
        <f t="shared" si="95"/>
        <v/>
      </c>
    </row>
    <row r="3048" spans="1:2" x14ac:dyDescent="0.25">
      <c r="A3048" s="15" t="str">
        <f t="shared" si="94"/>
        <v/>
      </c>
      <c r="B3048" s="18" t="str">
        <f t="shared" si="95"/>
        <v/>
      </c>
    </row>
    <row r="3049" spans="1:2" x14ac:dyDescent="0.25">
      <c r="A3049" s="15" t="str">
        <f t="shared" si="94"/>
        <v/>
      </c>
      <c r="B3049" s="18" t="str">
        <f t="shared" si="95"/>
        <v/>
      </c>
    </row>
    <row r="3050" spans="1:2" x14ac:dyDescent="0.25">
      <c r="A3050" s="15" t="str">
        <f t="shared" si="94"/>
        <v/>
      </c>
      <c r="B3050" s="18" t="str">
        <f t="shared" si="95"/>
        <v/>
      </c>
    </row>
    <row r="3051" spans="1:2" x14ac:dyDescent="0.25">
      <c r="A3051" s="15" t="str">
        <f t="shared" si="94"/>
        <v/>
      </c>
      <c r="B3051" s="18" t="str">
        <f t="shared" si="95"/>
        <v/>
      </c>
    </row>
    <row r="3052" spans="1:2" x14ac:dyDescent="0.25">
      <c r="A3052" s="15" t="str">
        <f t="shared" si="94"/>
        <v/>
      </c>
      <c r="B3052" s="18" t="str">
        <f t="shared" si="95"/>
        <v/>
      </c>
    </row>
    <row r="3053" spans="1:2" x14ac:dyDescent="0.25">
      <c r="A3053" s="15" t="str">
        <f t="shared" si="94"/>
        <v/>
      </c>
      <c r="B3053" s="18" t="str">
        <f t="shared" si="95"/>
        <v/>
      </c>
    </row>
    <row r="3054" spans="1:2" x14ac:dyDescent="0.25">
      <c r="A3054" s="15" t="str">
        <f t="shared" si="94"/>
        <v/>
      </c>
      <c r="B3054" s="18" t="str">
        <f t="shared" si="95"/>
        <v/>
      </c>
    </row>
    <row r="3055" spans="1:2" x14ac:dyDescent="0.25">
      <c r="A3055" s="15" t="str">
        <f t="shared" si="94"/>
        <v/>
      </c>
      <c r="B3055" s="18" t="str">
        <f t="shared" si="95"/>
        <v/>
      </c>
    </row>
    <row r="3056" spans="1:2" x14ac:dyDescent="0.25">
      <c r="A3056" s="15" t="str">
        <f t="shared" si="94"/>
        <v/>
      </c>
      <c r="B3056" s="18" t="str">
        <f t="shared" si="95"/>
        <v/>
      </c>
    </row>
    <row r="3057" spans="1:2" x14ac:dyDescent="0.25">
      <c r="A3057" s="15" t="str">
        <f t="shared" si="94"/>
        <v/>
      </c>
      <c r="B3057" s="18" t="str">
        <f t="shared" si="95"/>
        <v/>
      </c>
    </row>
    <row r="3058" spans="1:2" x14ac:dyDescent="0.25">
      <c r="A3058" s="15" t="str">
        <f t="shared" si="94"/>
        <v/>
      </c>
      <c r="B3058" s="18" t="str">
        <f t="shared" si="95"/>
        <v/>
      </c>
    </row>
    <row r="3059" spans="1:2" x14ac:dyDescent="0.25">
      <c r="A3059" s="15" t="str">
        <f t="shared" si="94"/>
        <v/>
      </c>
      <c r="B3059" s="18" t="str">
        <f t="shared" si="95"/>
        <v/>
      </c>
    </row>
    <row r="3060" spans="1:2" x14ac:dyDescent="0.25">
      <c r="A3060" s="15" t="str">
        <f t="shared" si="94"/>
        <v/>
      </c>
      <c r="B3060" s="18" t="str">
        <f t="shared" si="95"/>
        <v/>
      </c>
    </row>
    <row r="3061" spans="1:2" x14ac:dyDescent="0.25">
      <c r="A3061" s="15" t="str">
        <f t="shared" si="94"/>
        <v/>
      </c>
      <c r="B3061" s="18" t="str">
        <f t="shared" si="95"/>
        <v/>
      </c>
    </row>
    <row r="3062" spans="1:2" x14ac:dyDescent="0.25">
      <c r="A3062" s="15" t="str">
        <f t="shared" si="94"/>
        <v/>
      </c>
      <c r="B3062" s="18" t="str">
        <f t="shared" si="95"/>
        <v/>
      </c>
    </row>
    <row r="3063" spans="1:2" x14ac:dyDescent="0.25">
      <c r="A3063" s="15" t="str">
        <f t="shared" si="94"/>
        <v/>
      </c>
      <c r="B3063" s="18" t="str">
        <f t="shared" si="95"/>
        <v/>
      </c>
    </row>
    <row r="3064" spans="1:2" x14ac:dyDescent="0.25">
      <c r="A3064" s="15" t="str">
        <f t="shared" si="94"/>
        <v/>
      </c>
      <c r="B3064" s="18" t="str">
        <f t="shared" si="95"/>
        <v/>
      </c>
    </row>
    <row r="3065" spans="1:2" x14ac:dyDescent="0.25">
      <c r="A3065" s="15" t="str">
        <f t="shared" si="94"/>
        <v/>
      </c>
      <c r="B3065" s="18" t="str">
        <f t="shared" si="95"/>
        <v/>
      </c>
    </row>
    <row r="3066" spans="1:2" x14ac:dyDescent="0.25">
      <c r="A3066" s="15" t="str">
        <f t="shared" si="94"/>
        <v/>
      </c>
      <c r="B3066" s="18" t="str">
        <f t="shared" si="95"/>
        <v/>
      </c>
    </row>
    <row r="3067" spans="1:2" x14ac:dyDescent="0.25">
      <c r="A3067" s="15" t="str">
        <f t="shared" si="94"/>
        <v/>
      </c>
      <c r="B3067" s="18" t="str">
        <f t="shared" si="95"/>
        <v/>
      </c>
    </row>
    <row r="3068" spans="1:2" x14ac:dyDescent="0.25">
      <c r="A3068" s="15" t="str">
        <f t="shared" si="94"/>
        <v/>
      </c>
      <c r="B3068" s="18" t="str">
        <f t="shared" si="95"/>
        <v/>
      </c>
    </row>
    <row r="3069" spans="1:2" x14ac:dyDescent="0.25">
      <c r="A3069" s="15" t="str">
        <f t="shared" si="94"/>
        <v/>
      </c>
      <c r="B3069" s="18" t="str">
        <f t="shared" si="95"/>
        <v/>
      </c>
    </row>
    <row r="3070" spans="1:2" x14ac:dyDescent="0.25">
      <c r="A3070" s="15" t="str">
        <f t="shared" si="94"/>
        <v/>
      </c>
      <c r="B3070" s="18" t="str">
        <f t="shared" si="95"/>
        <v/>
      </c>
    </row>
    <row r="3071" spans="1:2" x14ac:dyDescent="0.25">
      <c r="A3071" s="15" t="str">
        <f t="shared" si="94"/>
        <v/>
      </c>
      <c r="B3071" s="18" t="str">
        <f t="shared" si="95"/>
        <v/>
      </c>
    </row>
    <row r="3072" spans="1:2" x14ac:dyDescent="0.25">
      <c r="A3072" s="15" t="str">
        <f t="shared" si="94"/>
        <v/>
      </c>
      <c r="B3072" s="18" t="str">
        <f t="shared" si="95"/>
        <v/>
      </c>
    </row>
    <row r="3073" spans="1:2" x14ac:dyDescent="0.25">
      <c r="A3073" s="15" t="str">
        <f t="shared" si="94"/>
        <v/>
      </c>
      <c r="B3073" s="18" t="str">
        <f t="shared" si="95"/>
        <v/>
      </c>
    </row>
    <row r="3074" spans="1:2" x14ac:dyDescent="0.25">
      <c r="A3074" s="15" t="str">
        <f t="shared" ref="A3074:A3137" si="96">B3074&amp;C3074</f>
        <v/>
      </c>
      <c r="B3074" s="18" t="str">
        <f t="shared" si="95"/>
        <v/>
      </c>
    </row>
    <row r="3075" spans="1:2" x14ac:dyDescent="0.25">
      <c r="A3075" s="15" t="str">
        <f t="shared" si="96"/>
        <v/>
      </c>
      <c r="B3075" s="18" t="str">
        <f t="shared" ref="B3075:B3138" si="97">IF(C3075="","",B3074)</f>
        <v/>
      </c>
    </row>
    <row r="3076" spans="1:2" x14ac:dyDescent="0.25">
      <c r="A3076" s="15" t="str">
        <f t="shared" si="96"/>
        <v/>
      </c>
      <c r="B3076" s="18" t="str">
        <f t="shared" si="97"/>
        <v/>
      </c>
    </row>
    <row r="3077" spans="1:2" x14ac:dyDescent="0.25">
      <c r="A3077" s="15" t="str">
        <f t="shared" si="96"/>
        <v/>
      </c>
      <c r="B3077" s="18" t="str">
        <f t="shared" si="97"/>
        <v/>
      </c>
    </row>
    <row r="3078" spans="1:2" x14ac:dyDescent="0.25">
      <c r="A3078" s="15" t="str">
        <f t="shared" si="96"/>
        <v/>
      </c>
      <c r="B3078" s="18" t="str">
        <f t="shared" si="97"/>
        <v/>
      </c>
    </row>
    <row r="3079" spans="1:2" x14ac:dyDescent="0.25">
      <c r="A3079" s="15" t="str">
        <f t="shared" si="96"/>
        <v/>
      </c>
      <c r="B3079" s="18" t="str">
        <f t="shared" si="97"/>
        <v/>
      </c>
    </row>
    <row r="3080" spans="1:2" x14ac:dyDescent="0.25">
      <c r="A3080" s="15" t="str">
        <f t="shared" si="96"/>
        <v/>
      </c>
      <c r="B3080" s="18" t="str">
        <f t="shared" si="97"/>
        <v/>
      </c>
    </row>
    <row r="3081" spans="1:2" x14ac:dyDescent="0.25">
      <c r="A3081" s="15" t="str">
        <f t="shared" si="96"/>
        <v/>
      </c>
      <c r="B3081" s="18" t="str">
        <f t="shared" si="97"/>
        <v/>
      </c>
    </row>
    <row r="3082" spans="1:2" x14ac:dyDescent="0.25">
      <c r="A3082" s="15" t="str">
        <f t="shared" si="96"/>
        <v/>
      </c>
      <c r="B3082" s="18" t="str">
        <f t="shared" si="97"/>
        <v/>
      </c>
    </row>
    <row r="3083" spans="1:2" x14ac:dyDescent="0.25">
      <c r="A3083" s="15" t="str">
        <f t="shared" si="96"/>
        <v/>
      </c>
      <c r="B3083" s="18" t="str">
        <f t="shared" si="97"/>
        <v/>
      </c>
    </row>
    <row r="3084" spans="1:2" x14ac:dyDescent="0.25">
      <c r="A3084" s="15" t="str">
        <f t="shared" si="96"/>
        <v/>
      </c>
      <c r="B3084" s="18" t="str">
        <f t="shared" si="97"/>
        <v/>
      </c>
    </row>
    <row r="3085" spans="1:2" x14ac:dyDescent="0.25">
      <c r="A3085" s="15" t="str">
        <f t="shared" si="96"/>
        <v/>
      </c>
      <c r="B3085" s="18" t="str">
        <f t="shared" si="97"/>
        <v/>
      </c>
    </row>
    <row r="3086" spans="1:2" x14ac:dyDescent="0.25">
      <c r="A3086" s="15" t="str">
        <f t="shared" si="96"/>
        <v/>
      </c>
      <c r="B3086" s="18" t="str">
        <f t="shared" si="97"/>
        <v/>
      </c>
    </row>
    <row r="3087" spans="1:2" x14ac:dyDescent="0.25">
      <c r="A3087" s="15" t="str">
        <f t="shared" si="96"/>
        <v/>
      </c>
      <c r="B3087" s="18" t="str">
        <f t="shared" si="97"/>
        <v/>
      </c>
    </row>
    <row r="3088" spans="1:2" x14ac:dyDescent="0.25">
      <c r="A3088" s="15" t="str">
        <f t="shared" si="96"/>
        <v/>
      </c>
      <c r="B3088" s="18" t="str">
        <f t="shared" si="97"/>
        <v/>
      </c>
    </row>
    <row r="3089" spans="1:2" x14ac:dyDescent="0.25">
      <c r="A3089" s="15" t="str">
        <f t="shared" si="96"/>
        <v/>
      </c>
      <c r="B3089" s="18" t="str">
        <f t="shared" si="97"/>
        <v/>
      </c>
    </row>
    <row r="3090" spans="1:2" x14ac:dyDescent="0.25">
      <c r="A3090" s="15" t="str">
        <f t="shared" si="96"/>
        <v/>
      </c>
      <c r="B3090" s="18" t="str">
        <f t="shared" si="97"/>
        <v/>
      </c>
    </row>
    <row r="3091" spans="1:2" x14ac:dyDescent="0.25">
      <c r="A3091" s="15" t="str">
        <f t="shared" si="96"/>
        <v/>
      </c>
      <c r="B3091" s="18" t="str">
        <f t="shared" si="97"/>
        <v/>
      </c>
    </row>
    <row r="3092" spans="1:2" x14ac:dyDescent="0.25">
      <c r="A3092" s="15" t="str">
        <f t="shared" si="96"/>
        <v/>
      </c>
      <c r="B3092" s="18" t="str">
        <f t="shared" si="97"/>
        <v/>
      </c>
    </row>
    <row r="3093" spans="1:2" x14ac:dyDescent="0.25">
      <c r="A3093" s="15" t="str">
        <f t="shared" si="96"/>
        <v/>
      </c>
      <c r="B3093" s="18" t="str">
        <f t="shared" si="97"/>
        <v/>
      </c>
    </row>
    <row r="3094" spans="1:2" x14ac:dyDescent="0.25">
      <c r="A3094" s="15" t="str">
        <f t="shared" si="96"/>
        <v/>
      </c>
      <c r="B3094" s="18" t="str">
        <f t="shared" si="97"/>
        <v/>
      </c>
    </row>
    <row r="3095" spans="1:2" x14ac:dyDescent="0.25">
      <c r="A3095" s="15" t="str">
        <f t="shared" si="96"/>
        <v/>
      </c>
      <c r="B3095" s="18" t="str">
        <f t="shared" si="97"/>
        <v/>
      </c>
    </row>
    <row r="3096" spans="1:2" x14ac:dyDescent="0.25">
      <c r="A3096" s="15" t="str">
        <f t="shared" si="96"/>
        <v/>
      </c>
      <c r="B3096" s="18" t="str">
        <f t="shared" si="97"/>
        <v/>
      </c>
    </row>
    <row r="3097" spans="1:2" x14ac:dyDescent="0.25">
      <c r="A3097" s="15" t="str">
        <f t="shared" si="96"/>
        <v/>
      </c>
      <c r="B3097" s="18" t="str">
        <f t="shared" si="97"/>
        <v/>
      </c>
    </row>
    <row r="3098" spans="1:2" x14ac:dyDescent="0.25">
      <c r="A3098" s="15" t="str">
        <f t="shared" si="96"/>
        <v/>
      </c>
      <c r="B3098" s="18" t="str">
        <f t="shared" si="97"/>
        <v/>
      </c>
    </row>
    <row r="3099" spans="1:2" x14ac:dyDescent="0.25">
      <c r="A3099" s="15" t="str">
        <f t="shared" si="96"/>
        <v/>
      </c>
      <c r="B3099" s="18" t="str">
        <f t="shared" si="97"/>
        <v/>
      </c>
    </row>
    <row r="3100" spans="1:2" x14ac:dyDescent="0.25">
      <c r="A3100" s="15" t="str">
        <f t="shared" si="96"/>
        <v/>
      </c>
      <c r="B3100" s="18" t="str">
        <f t="shared" si="97"/>
        <v/>
      </c>
    </row>
    <row r="3101" spans="1:2" x14ac:dyDescent="0.25">
      <c r="A3101" s="15" t="str">
        <f t="shared" si="96"/>
        <v/>
      </c>
      <c r="B3101" s="18" t="str">
        <f t="shared" si="97"/>
        <v/>
      </c>
    </row>
    <row r="3102" spans="1:2" x14ac:dyDescent="0.25">
      <c r="A3102" s="15" t="str">
        <f t="shared" si="96"/>
        <v/>
      </c>
      <c r="B3102" s="18" t="str">
        <f t="shared" si="97"/>
        <v/>
      </c>
    </row>
    <row r="3103" spans="1:2" x14ac:dyDescent="0.25">
      <c r="A3103" s="15" t="str">
        <f t="shared" si="96"/>
        <v/>
      </c>
      <c r="B3103" s="18" t="str">
        <f t="shared" si="97"/>
        <v/>
      </c>
    </row>
    <row r="3104" spans="1:2" x14ac:dyDescent="0.25">
      <c r="A3104" s="15" t="str">
        <f t="shared" si="96"/>
        <v/>
      </c>
      <c r="B3104" s="18" t="str">
        <f t="shared" si="97"/>
        <v/>
      </c>
    </row>
    <row r="3105" spans="1:2" x14ac:dyDescent="0.25">
      <c r="A3105" s="15" t="str">
        <f t="shared" si="96"/>
        <v/>
      </c>
      <c r="B3105" s="18" t="str">
        <f t="shared" si="97"/>
        <v/>
      </c>
    </row>
    <row r="3106" spans="1:2" x14ac:dyDescent="0.25">
      <c r="A3106" s="15" t="str">
        <f t="shared" si="96"/>
        <v/>
      </c>
      <c r="B3106" s="18" t="str">
        <f t="shared" si="97"/>
        <v/>
      </c>
    </row>
    <row r="3107" spans="1:2" x14ac:dyDescent="0.25">
      <c r="A3107" s="15" t="str">
        <f t="shared" si="96"/>
        <v/>
      </c>
      <c r="B3107" s="18" t="str">
        <f t="shared" si="97"/>
        <v/>
      </c>
    </row>
    <row r="3108" spans="1:2" x14ac:dyDescent="0.25">
      <c r="A3108" s="15" t="str">
        <f t="shared" si="96"/>
        <v/>
      </c>
      <c r="B3108" s="18" t="str">
        <f t="shared" si="97"/>
        <v/>
      </c>
    </row>
    <row r="3109" spans="1:2" x14ac:dyDescent="0.25">
      <c r="A3109" s="15" t="str">
        <f t="shared" si="96"/>
        <v/>
      </c>
      <c r="B3109" s="18" t="str">
        <f t="shared" si="97"/>
        <v/>
      </c>
    </row>
    <row r="3110" spans="1:2" x14ac:dyDescent="0.25">
      <c r="A3110" s="15" t="str">
        <f t="shared" si="96"/>
        <v/>
      </c>
      <c r="B3110" s="18" t="str">
        <f t="shared" si="97"/>
        <v/>
      </c>
    </row>
    <row r="3111" spans="1:2" x14ac:dyDescent="0.25">
      <c r="A3111" s="15" t="str">
        <f t="shared" si="96"/>
        <v/>
      </c>
      <c r="B3111" s="18" t="str">
        <f t="shared" si="97"/>
        <v/>
      </c>
    </row>
    <row r="3112" spans="1:2" x14ac:dyDescent="0.25">
      <c r="A3112" s="15" t="str">
        <f t="shared" si="96"/>
        <v/>
      </c>
      <c r="B3112" s="18" t="str">
        <f t="shared" si="97"/>
        <v/>
      </c>
    </row>
    <row r="3113" spans="1:2" x14ac:dyDescent="0.25">
      <c r="A3113" s="15" t="str">
        <f t="shared" si="96"/>
        <v/>
      </c>
      <c r="B3113" s="18" t="str">
        <f t="shared" si="97"/>
        <v/>
      </c>
    </row>
    <row r="3114" spans="1:2" x14ac:dyDescent="0.25">
      <c r="A3114" s="15" t="str">
        <f t="shared" si="96"/>
        <v/>
      </c>
      <c r="B3114" s="18" t="str">
        <f t="shared" si="97"/>
        <v/>
      </c>
    </row>
    <row r="3115" spans="1:2" x14ac:dyDescent="0.25">
      <c r="A3115" s="15" t="str">
        <f t="shared" si="96"/>
        <v/>
      </c>
      <c r="B3115" s="18" t="str">
        <f t="shared" si="97"/>
        <v/>
      </c>
    </row>
    <row r="3116" spans="1:2" x14ac:dyDescent="0.25">
      <c r="A3116" s="15" t="str">
        <f t="shared" si="96"/>
        <v/>
      </c>
      <c r="B3116" s="18" t="str">
        <f t="shared" si="97"/>
        <v/>
      </c>
    </row>
    <row r="3117" spans="1:2" x14ac:dyDescent="0.25">
      <c r="A3117" s="15" t="str">
        <f t="shared" si="96"/>
        <v/>
      </c>
      <c r="B3117" s="18" t="str">
        <f t="shared" si="97"/>
        <v/>
      </c>
    </row>
    <row r="3118" spans="1:2" x14ac:dyDescent="0.25">
      <c r="A3118" s="15" t="str">
        <f t="shared" si="96"/>
        <v/>
      </c>
      <c r="B3118" s="18" t="str">
        <f t="shared" si="97"/>
        <v/>
      </c>
    </row>
    <row r="3119" spans="1:2" x14ac:dyDescent="0.25">
      <c r="A3119" s="15" t="str">
        <f t="shared" si="96"/>
        <v/>
      </c>
      <c r="B3119" s="18" t="str">
        <f t="shared" si="97"/>
        <v/>
      </c>
    </row>
    <row r="3120" spans="1:2" x14ac:dyDescent="0.25">
      <c r="A3120" s="15" t="str">
        <f t="shared" si="96"/>
        <v/>
      </c>
      <c r="B3120" s="18" t="str">
        <f t="shared" si="97"/>
        <v/>
      </c>
    </row>
    <row r="3121" spans="1:2" x14ac:dyDescent="0.25">
      <c r="A3121" s="15" t="str">
        <f t="shared" si="96"/>
        <v/>
      </c>
      <c r="B3121" s="18" t="str">
        <f t="shared" si="97"/>
        <v/>
      </c>
    </row>
    <row r="3122" spans="1:2" x14ac:dyDescent="0.25">
      <c r="A3122" s="15" t="str">
        <f t="shared" si="96"/>
        <v/>
      </c>
      <c r="B3122" s="18" t="str">
        <f t="shared" si="97"/>
        <v/>
      </c>
    </row>
    <row r="3123" spans="1:2" x14ac:dyDescent="0.25">
      <c r="A3123" s="15" t="str">
        <f t="shared" si="96"/>
        <v/>
      </c>
      <c r="B3123" s="18" t="str">
        <f t="shared" si="97"/>
        <v/>
      </c>
    </row>
    <row r="3124" spans="1:2" x14ac:dyDescent="0.25">
      <c r="A3124" s="15" t="str">
        <f t="shared" si="96"/>
        <v/>
      </c>
      <c r="B3124" s="18" t="str">
        <f t="shared" si="97"/>
        <v/>
      </c>
    </row>
    <row r="3125" spans="1:2" x14ac:dyDescent="0.25">
      <c r="A3125" s="15" t="str">
        <f t="shared" si="96"/>
        <v/>
      </c>
      <c r="B3125" s="18" t="str">
        <f t="shared" si="97"/>
        <v/>
      </c>
    </row>
    <row r="3126" spans="1:2" x14ac:dyDescent="0.25">
      <c r="A3126" s="15" t="str">
        <f t="shared" si="96"/>
        <v/>
      </c>
      <c r="B3126" s="18" t="str">
        <f t="shared" si="97"/>
        <v/>
      </c>
    </row>
    <row r="3127" spans="1:2" x14ac:dyDescent="0.25">
      <c r="A3127" s="15" t="str">
        <f t="shared" si="96"/>
        <v/>
      </c>
      <c r="B3127" s="18" t="str">
        <f t="shared" si="97"/>
        <v/>
      </c>
    </row>
    <row r="3128" spans="1:2" x14ac:dyDescent="0.25">
      <c r="A3128" s="15" t="str">
        <f t="shared" si="96"/>
        <v/>
      </c>
      <c r="B3128" s="18" t="str">
        <f t="shared" si="97"/>
        <v/>
      </c>
    </row>
    <row r="3129" spans="1:2" x14ac:dyDescent="0.25">
      <c r="A3129" s="15" t="str">
        <f t="shared" si="96"/>
        <v/>
      </c>
      <c r="B3129" s="18" t="str">
        <f t="shared" si="97"/>
        <v/>
      </c>
    </row>
    <row r="3130" spans="1:2" x14ac:dyDescent="0.25">
      <c r="A3130" s="15" t="str">
        <f t="shared" si="96"/>
        <v/>
      </c>
      <c r="B3130" s="18" t="str">
        <f t="shared" si="97"/>
        <v/>
      </c>
    </row>
    <row r="3131" spans="1:2" x14ac:dyDescent="0.25">
      <c r="A3131" s="15" t="str">
        <f t="shared" si="96"/>
        <v/>
      </c>
      <c r="B3131" s="18" t="str">
        <f t="shared" si="97"/>
        <v/>
      </c>
    </row>
    <row r="3132" spans="1:2" x14ac:dyDescent="0.25">
      <c r="A3132" s="15" t="str">
        <f t="shared" si="96"/>
        <v/>
      </c>
      <c r="B3132" s="18" t="str">
        <f t="shared" si="97"/>
        <v/>
      </c>
    </row>
    <row r="3133" spans="1:2" x14ac:dyDescent="0.25">
      <c r="A3133" s="15" t="str">
        <f t="shared" si="96"/>
        <v/>
      </c>
      <c r="B3133" s="18" t="str">
        <f t="shared" si="97"/>
        <v/>
      </c>
    </row>
    <row r="3134" spans="1:2" x14ac:dyDescent="0.25">
      <c r="A3134" s="15" t="str">
        <f t="shared" si="96"/>
        <v/>
      </c>
      <c r="B3134" s="18" t="str">
        <f t="shared" si="97"/>
        <v/>
      </c>
    </row>
    <row r="3135" spans="1:2" x14ac:dyDescent="0.25">
      <c r="A3135" s="15" t="str">
        <f t="shared" si="96"/>
        <v/>
      </c>
      <c r="B3135" s="18" t="str">
        <f t="shared" si="97"/>
        <v/>
      </c>
    </row>
    <row r="3136" spans="1:2" x14ac:dyDescent="0.25">
      <c r="A3136" s="15" t="str">
        <f t="shared" si="96"/>
        <v/>
      </c>
      <c r="B3136" s="18" t="str">
        <f t="shared" si="97"/>
        <v/>
      </c>
    </row>
    <row r="3137" spans="1:2" x14ac:dyDescent="0.25">
      <c r="A3137" s="15" t="str">
        <f t="shared" si="96"/>
        <v/>
      </c>
      <c r="B3137" s="18" t="str">
        <f t="shared" si="97"/>
        <v/>
      </c>
    </row>
    <row r="3138" spans="1:2" x14ac:dyDescent="0.25">
      <c r="A3138" s="15" t="str">
        <f t="shared" ref="A3138:A3201" si="98">B3138&amp;C3138</f>
        <v/>
      </c>
      <c r="B3138" s="18" t="str">
        <f t="shared" si="97"/>
        <v/>
      </c>
    </row>
    <row r="3139" spans="1:2" x14ac:dyDescent="0.25">
      <c r="A3139" s="15" t="str">
        <f t="shared" si="98"/>
        <v/>
      </c>
      <c r="B3139" s="18" t="str">
        <f t="shared" ref="B3139:B3202" si="99">IF(C3139="","",B3138)</f>
        <v/>
      </c>
    </row>
    <row r="3140" spans="1:2" x14ac:dyDescent="0.25">
      <c r="A3140" s="15" t="str">
        <f t="shared" si="98"/>
        <v/>
      </c>
      <c r="B3140" s="18" t="str">
        <f t="shared" si="99"/>
        <v/>
      </c>
    </row>
    <row r="3141" spans="1:2" x14ac:dyDescent="0.25">
      <c r="A3141" s="15" t="str">
        <f t="shared" si="98"/>
        <v/>
      </c>
      <c r="B3141" s="18" t="str">
        <f t="shared" si="99"/>
        <v/>
      </c>
    </row>
    <row r="3142" spans="1:2" x14ac:dyDescent="0.25">
      <c r="A3142" s="15" t="str">
        <f t="shared" si="98"/>
        <v/>
      </c>
      <c r="B3142" s="18" t="str">
        <f t="shared" si="99"/>
        <v/>
      </c>
    </row>
    <row r="3143" spans="1:2" x14ac:dyDescent="0.25">
      <c r="A3143" s="15" t="str">
        <f t="shared" si="98"/>
        <v/>
      </c>
      <c r="B3143" s="18" t="str">
        <f t="shared" si="99"/>
        <v/>
      </c>
    </row>
    <row r="3144" spans="1:2" x14ac:dyDescent="0.25">
      <c r="A3144" s="15" t="str">
        <f t="shared" si="98"/>
        <v/>
      </c>
      <c r="B3144" s="18" t="str">
        <f t="shared" si="99"/>
        <v/>
      </c>
    </row>
    <row r="3145" spans="1:2" x14ac:dyDescent="0.25">
      <c r="A3145" s="15" t="str">
        <f t="shared" si="98"/>
        <v/>
      </c>
      <c r="B3145" s="18" t="str">
        <f t="shared" si="99"/>
        <v/>
      </c>
    </row>
    <row r="3146" spans="1:2" x14ac:dyDescent="0.25">
      <c r="A3146" s="15" t="str">
        <f t="shared" si="98"/>
        <v/>
      </c>
      <c r="B3146" s="18" t="str">
        <f t="shared" si="99"/>
        <v/>
      </c>
    </row>
    <row r="3147" spans="1:2" x14ac:dyDescent="0.25">
      <c r="A3147" s="15" t="str">
        <f t="shared" si="98"/>
        <v/>
      </c>
      <c r="B3147" s="18" t="str">
        <f t="shared" si="99"/>
        <v/>
      </c>
    </row>
    <row r="3148" spans="1:2" x14ac:dyDescent="0.25">
      <c r="A3148" s="15" t="str">
        <f t="shared" si="98"/>
        <v/>
      </c>
      <c r="B3148" s="18" t="str">
        <f t="shared" si="99"/>
        <v/>
      </c>
    </row>
    <row r="3149" spans="1:2" x14ac:dyDescent="0.25">
      <c r="A3149" s="15" t="str">
        <f t="shared" si="98"/>
        <v/>
      </c>
      <c r="B3149" s="18" t="str">
        <f t="shared" si="99"/>
        <v/>
      </c>
    </row>
    <row r="3150" spans="1:2" x14ac:dyDescent="0.25">
      <c r="A3150" s="15" t="str">
        <f t="shared" si="98"/>
        <v/>
      </c>
      <c r="B3150" s="18" t="str">
        <f t="shared" si="99"/>
        <v/>
      </c>
    </row>
    <row r="3151" spans="1:2" x14ac:dyDescent="0.25">
      <c r="A3151" s="15" t="str">
        <f t="shared" si="98"/>
        <v/>
      </c>
      <c r="B3151" s="18" t="str">
        <f t="shared" si="99"/>
        <v/>
      </c>
    </row>
    <row r="3152" spans="1:2" x14ac:dyDescent="0.25">
      <c r="A3152" s="15" t="str">
        <f t="shared" si="98"/>
        <v/>
      </c>
      <c r="B3152" s="18" t="str">
        <f t="shared" si="99"/>
        <v/>
      </c>
    </row>
    <row r="3153" spans="1:2" x14ac:dyDescent="0.25">
      <c r="A3153" s="15" t="str">
        <f t="shared" si="98"/>
        <v/>
      </c>
      <c r="B3153" s="18" t="str">
        <f t="shared" si="99"/>
        <v/>
      </c>
    </row>
    <row r="3154" spans="1:2" x14ac:dyDescent="0.25">
      <c r="A3154" s="15" t="str">
        <f t="shared" si="98"/>
        <v/>
      </c>
      <c r="B3154" s="18" t="str">
        <f t="shared" si="99"/>
        <v/>
      </c>
    </row>
    <row r="3155" spans="1:2" x14ac:dyDescent="0.25">
      <c r="A3155" s="15" t="str">
        <f t="shared" si="98"/>
        <v/>
      </c>
      <c r="B3155" s="18" t="str">
        <f t="shared" si="99"/>
        <v/>
      </c>
    </row>
    <row r="3156" spans="1:2" x14ac:dyDescent="0.25">
      <c r="A3156" s="15" t="str">
        <f t="shared" si="98"/>
        <v/>
      </c>
      <c r="B3156" s="18" t="str">
        <f t="shared" si="99"/>
        <v/>
      </c>
    </row>
    <row r="3157" spans="1:2" x14ac:dyDescent="0.25">
      <c r="A3157" s="15" t="str">
        <f t="shared" si="98"/>
        <v/>
      </c>
      <c r="B3157" s="18" t="str">
        <f t="shared" si="99"/>
        <v/>
      </c>
    </row>
    <row r="3158" spans="1:2" x14ac:dyDescent="0.25">
      <c r="A3158" s="15" t="str">
        <f t="shared" si="98"/>
        <v/>
      </c>
      <c r="B3158" s="18" t="str">
        <f t="shared" si="99"/>
        <v/>
      </c>
    </row>
    <row r="3159" spans="1:2" x14ac:dyDescent="0.25">
      <c r="A3159" s="15" t="str">
        <f t="shared" si="98"/>
        <v/>
      </c>
      <c r="B3159" s="18" t="str">
        <f t="shared" si="99"/>
        <v/>
      </c>
    </row>
    <row r="3160" spans="1:2" x14ac:dyDescent="0.25">
      <c r="A3160" s="15" t="str">
        <f t="shared" si="98"/>
        <v/>
      </c>
      <c r="B3160" s="18" t="str">
        <f t="shared" si="99"/>
        <v/>
      </c>
    </row>
    <row r="3161" spans="1:2" x14ac:dyDescent="0.25">
      <c r="A3161" s="15" t="str">
        <f t="shared" si="98"/>
        <v/>
      </c>
      <c r="B3161" s="18" t="str">
        <f t="shared" si="99"/>
        <v/>
      </c>
    </row>
    <row r="3162" spans="1:2" x14ac:dyDescent="0.25">
      <c r="A3162" s="15" t="str">
        <f t="shared" si="98"/>
        <v/>
      </c>
      <c r="B3162" s="18" t="str">
        <f t="shared" si="99"/>
        <v/>
      </c>
    </row>
    <row r="3163" spans="1:2" x14ac:dyDescent="0.25">
      <c r="A3163" s="15" t="str">
        <f t="shared" si="98"/>
        <v/>
      </c>
      <c r="B3163" s="18" t="str">
        <f t="shared" si="99"/>
        <v/>
      </c>
    </row>
    <row r="3164" spans="1:2" x14ac:dyDescent="0.25">
      <c r="A3164" s="15" t="str">
        <f t="shared" si="98"/>
        <v/>
      </c>
      <c r="B3164" s="18" t="str">
        <f t="shared" si="99"/>
        <v/>
      </c>
    </row>
    <row r="3165" spans="1:2" x14ac:dyDescent="0.25">
      <c r="A3165" s="15" t="str">
        <f t="shared" si="98"/>
        <v/>
      </c>
      <c r="B3165" s="18" t="str">
        <f t="shared" si="99"/>
        <v/>
      </c>
    </row>
    <row r="3166" spans="1:2" x14ac:dyDescent="0.25">
      <c r="A3166" s="15" t="str">
        <f t="shared" si="98"/>
        <v/>
      </c>
      <c r="B3166" s="18" t="str">
        <f t="shared" si="99"/>
        <v/>
      </c>
    </row>
    <row r="3167" spans="1:2" x14ac:dyDescent="0.25">
      <c r="A3167" s="15" t="str">
        <f t="shared" si="98"/>
        <v/>
      </c>
      <c r="B3167" s="18" t="str">
        <f t="shared" si="99"/>
        <v/>
      </c>
    </row>
    <row r="3168" spans="1:2" x14ac:dyDescent="0.25">
      <c r="A3168" s="15" t="str">
        <f t="shared" si="98"/>
        <v/>
      </c>
      <c r="B3168" s="18" t="str">
        <f t="shared" si="99"/>
        <v/>
      </c>
    </row>
    <row r="3169" spans="1:2" x14ac:dyDescent="0.25">
      <c r="A3169" s="15" t="str">
        <f t="shared" si="98"/>
        <v/>
      </c>
      <c r="B3169" s="18" t="str">
        <f t="shared" si="99"/>
        <v/>
      </c>
    </row>
    <row r="3170" spans="1:2" x14ac:dyDescent="0.25">
      <c r="A3170" s="15" t="str">
        <f t="shared" si="98"/>
        <v/>
      </c>
      <c r="B3170" s="18" t="str">
        <f t="shared" si="99"/>
        <v/>
      </c>
    </row>
    <row r="3171" spans="1:2" x14ac:dyDescent="0.25">
      <c r="A3171" s="15" t="str">
        <f t="shared" si="98"/>
        <v/>
      </c>
      <c r="B3171" s="18" t="str">
        <f t="shared" si="99"/>
        <v/>
      </c>
    </row>
    <row r="3172" spans="1:2" x14ac:dyDescent="0.25">
      <c r="A3172" s="15" t="str">
        <f t="shared" si="98"/>
        <v/>
      </c>
      <c r="B3172" s="18" t="str">
        <f t="shared" si="99"/>
        <v/>
      </c>
    </row>
    <row r="3173" spans="1:2" x14ac:dyDescent="0.25">
      <c r="A3173" s="15" t="str">
        <f t="shared" si="98"/>
        <v/>
      </c>
      <c r="B3173" s="18" t="str">
        <f t="shared" si="99"/>
        <v/>
      </c>
    </row>
    <row r="3174" spans="1:2" x14ac:dyDescent="0.25">
      <c r="A3174" s="15" t="str">
        <f t="shared" si="98"/>
        <v/>
      </c>
      <c r="B3174" s="18" t="str">
        <f t="shared" si="99"/>
        <v/>
      </c>
    </row>
    <row r="3175" spans="1:2" x14ac:dyDescent="0.25">
      <c r="A3175" s="15" t="str">
        <f t="shared" si="98"/>
        <v/>
      </c>
      <c r="B3175" s="18" t="str">
        <f t="shared" si="99"/>
        <v/>
      </c>
    </row>
    <row r="3176" spans="1:2" x14ac:dyDescent="0.25">
      <c r="A3176" s="15" t="str">
        <f t="shared" si="98"/>
        <v/>
      </c>
      <c r="B3176" s="18" t="str">
        <f t="shared" si="99"/>
        <v/>
      </c>
    </row>
    <row r="3177" spans="1:2" x14ac:dyDescent="0.25">
      <c r="A3177" s="15" t="str">
        <f t="shared" si="98"/>
        <v/>
      </c>
      <c r="B3177" s="18" t="str">
        <f t="shared" si="99"/>
        <v/>
      </c>
    </row>
    <row r="3178" spans="1:2" x14ac:dyDescent="0.25">
      <c r="A3178" s="15" t="str">
        <f t="shared" si="98"/>
        <v/>
      </c>
      <c r="B3178" s="18" t="str">
        <f t="shared" si="99"/>
        <v/>
      </c>
    </row>
    <row r="3179" spans="1:2" x14ac:dyDescent="0.25">
      <c r="A3179" s="15" t="str">
        <f t="shared" si="98"/>
        <v/>
      </c>
      <c r="B3179" s="18" t="str">
        <f t="shared" si="99"/>
        <v/>
      </c>
    </row>
    <row r="3180" spans="1:2" x14ac:dyDescent="0.25">
      <c r="A3180" s="15" t="str">
        <f t="shared" si="98"/>
        <v/>
      </c>
      <c r="B3180" s="18" t="str">
        <f t="shared" si="99"/>
        <v/>
      </c>
    </row>
    <row r="3181" spans="1:2" x14ac:dyDescent="0.25">
      <c r="A3181" s="15" t="str">
        <f t="shared" si="98"/>
        <v/>
      </c>
      <c r="B3181" s="18" t="str">
        <f t="shared" si="99"/>
        <v/>
      </c>
    </row>
    <row r="3182" spans="1:2" x14ac:dyDescent="0.25">
      <c r="A3182" s="15" t="str">
        <f t="shared" si="98"/>
        <v/>
      </c>
      <c r="B3182" s="18" t="str">
        <f t="shared" si="99"/>
        <v/>
      </c>
    </row>
    <row r="3183" spans="1:2" x14ac:dyDescent="0.25">
      <c r="A3183" s="15" t="str">
        <f t="shared" si="98"/>
        <v/>
      </c>
      <c r="B3183" s="18" t="str">
        <f t="shared" si="99"/>
        <v/>
      </c>
    </row>
    <row r="3184" spans="1:2" x14ac:dyDescent="0.25">
      <c r="A3184" s="15" t="str">
        <f t="shared" si="98"/>
        <v/>
      </c>
      <c r="B3184" s="18" t="str">
        <f t="shared" si="99"/>
        <v/>
      </c>
    </row>
    <row r="3185" spans="1:2" x14ac:dyDescent="0.25">
      <c r="A3185" s="15" t="str">
        <f t="shared" si="98"/>
        <v/>
      </c>
      <c r="B3185" s="18" t="str">
        <f t="shared" si="99"/>
        <v/>
      </c>
    </row>
    <row r="3186" spans="1:2" x14ac:dyDescent="0.25">
      <c r="A3186" s="15" t="str">
        <f t="shared" si="98"/>
        <v/>
      </c>
      <c r="B3186" s="18" t="str">
        <f t="shared" si="99"/>
        <v/>
      </c>
    </row>
    <row r="3187" spans="1:2" x14ac:dyDescent="0.25">
      <c r="A3187" s="15" t="str">
        <f t="shared" si="98"/>
        <v/>
      </c>
      <c r="B3187" s="18" t="str">
        <f t="shared" si="99"/>
        <v/>
      </c>
    </row>
    <row r="3188" spans="1:2" x14ac:dyDescent="0.25">
      <c r="A3188" s="15" t="str">
        <f t="shared" si="98"/>
        <v/>
      </c>
      <c r="B3188" s="18" t="str">
        <f t="shared" si="99"/>
        <v/>
      </c>
    </row>
    <row r="3189" spans="1:2" x14ac:dyDescent="0.25">
      <c r="A3189" s="15" t="str">
        <f t="shared" si="98"/>
        <v/>
      </c>
      <c r="B3189" s="18" t="str">
        <f t="shared" si="99"/>
        <v/>
      </c>
    </row>
    <row r="3190" spans="1:2" x14ac:dyDescent="0.25">
      <c r="A3190" s="15" t="str">
        <f t="shared" si="98"/>
        <v/>
      </c>
      <c r="B3190" s="18" t="str">
        <f t="shared" si="99"/>
        <v/>
      </c>
    </row>
    <row r="3191" spans="1:2" x14ac:dyDescent="0.25">
      <c r="A3191" s="15" t="str">
        <f t="shared" si="98"/>
        <v/>
      </c>
      <c r="B3191" s="18" t="str">
        <f t="shared" si="99"/>
        <v/>
      </c>
    </row>
    <row r="3192" spans="1:2" x14ac:dyDescent="0.25">
      <c r="A3192" s="15" t="str">
        <f t="shared" si="98"/>
        <v/>
      </c>
      <c r="B3192" s="18" t="str">
        <f t="shared" si="99"/>
        <v/>
      </c>
    </row>
    <row r="3193" spans="1:2" x14ac:dyDescent="0.25">
      <c r="A3193" s="15" t="str">
        <f t="shared" si="98"/>
        <v/>
      </c>
      <c r="B3193" s="18" t="str">
        <f t="shared" si="99"/>
        <v/>
      </c>
    </row>
    <row r="3194" spans="1:2" x14ac:dyDescent="0.25">
      <c r="A3194" s="15" t="str">
        <f t="shared" si="98"/>
        <v/>
      </c>
      <c r="B3194" s="18" t="str">
        <f t="shared" si="99"/>
        <v/>
      </c>
    </row>
    <row r="3195" spans="1:2" x14ac:dyDescent="0.25">
      <c r="A3195" s="15" t="str">
        <f t="shared" si="98"/>
        <v/>
      </c>
      <c r="B3195" s="18" t="str">
        <f t="shared" si="99"/>
        <v/>
      </c>
    </row>
    <row r="3196" spans="1:2" x14ac:dyDescent="0.25">
      <c r="A3196" s="15" t="str">
        <f t="shared" si="98"/>
        <v/>
      </c>
      <c r="B3196" s="18" t="str">
        <f t="shared" si="99"/>
        <v/>
      </c>
    </row>
    <row r="3197" spans="1:2" x14ac:dyDescent="0.25">
      <c r="A3197" s="15" t="str">
        <f t="shared" si="98"/>
        <v/>
      </c>
      <c r="B3197" s="18" t="str">
        <f t="shared" si="99"/>
        <v/>
      </c>
    </row>
    <row r="3198" spans="1:2" x14ac:dyDescent="0.25">
      <c r="A3198" s="15" t="str">
        <f t="shared" si="98"/>
        <v/>
      </c>
      <c r="B3198" s="18" t="str">
        <f t="shared" si="99"/>
        <v/>
      </c>
    </row>
    <row r="3199" spans="1:2" x14ac:dyDescent="0.25">
      <c r="A3199" s="15" t="str">
        <f t="shared" si="98"/>
        <v/>
      </c>
      <c r="B3199" s="18" t="str">
        <f t="shared" si="99"/>
        <v/>
      </c>
    </row>
    <row r="3200" spans="1:2" x14ac:dyDescent="0.25">
      <c r="A3200" s="15" t="str">
        <f t="shared" si="98"/>
        <v/>
      </c>
      <c r="B3200" s="18" t="str">
        <f t="shared" si="99"/>
        <v/>
      </c>
    </row>
    <row r="3201" spans="1:2" x14ac:dyDescent="0.25">
      <c r="A3201" s="15" t="str">
        <f t="shared" si="98"/>
        <v/>
      </c>
      <c r="B3201" s="18" t="str">
        <f t="shared" si="99"/>
        <v/>
      </c>
    </row>
    <row r="3202" spans="1:2" x14ac:dyDescent="0.25">
      <c r="A3202" s="15" t="str">
        <f t="shared" ref="A3202:A3265" si="100">B3202&amp;C3202</f>
        <v/>
      </c>
      <c r="B3202" s="18" t="str">
        <f t="shared" si="99"/>
        <v/>
      </c>
    </row>
    <row r="3203" spans="1:2" x14ac:dyDescent="0.25">
      <c r="A3203" s="15" t="str">
        <f t="shared" si="100"/>
        <v/>
      </c>
      <c r="B3203" s="18" t="str">
        <f t="shared" ref="B3203:B3266" si="101">IF(C3203="","",B3202)</f>
        <v/>
      </c>
    </row>
    <row r="3204" spans="1:2" x14ac:dyDescent="0.25">
      <c r="A3204" s="15" t="str">
        <f t="shared" si="100"/>
        <v/>
      </c>
      <c r="B3204" s="18" t="str">
        <f t="shared" si="101"/>
        <v/>
      </c>
    </row>
    <row r="3205" spans="1:2" x14ac:dyDescent="0.25">
      <c r="A3205" s="15" t="str">
        <f t="shared" si="100"/>
        <v/>
      </c>
      <c r="B3205" s="18" t="str">
        <f t="shared" si="101"/>
        <v/>
      </c>
    </row>
    <row r="3206" spans="1:2" x14ac:dyDescent="0.25">
      <c r="A3206" s="15" t="str">
        <f t="shared" si="100"/>
        <v/>
      </c>
      <c r="B3206" s="18" t="str">
        <f t="shared" si="101"/>
        <v/>
      </c>
    </row>
    <row r="3207" spans="1:2" x14ac:dyDescent="0.25">
      <c r="A3207" s="15" t="str">
        <f t="shared" si="100"/>
        <v/>
      </c>
      <c r="B3207" s="18" t="str">
        <f t="shared" si="101"/>
        <v/>
      </c>
    </row>
    <row r="3208" spans="1:2" x14ac:dyDescent="0.25">
      <c r="A3208" s="15" t="str">
        <f t="shared" si="100"/>
        <v/>
      </c>
      <c r="B3208" s="18" t="str">
        <f t="shared" si="101"/>
        <v/>
      </c>
    </row>
    <row r="3209" spans="1:2" x14ac:dyDescent="0.25">
      <c r="A3209" s="15" t="str">
        <f t="shared" si="100"/>
        <v/>
      </c>
      <c r="B3209" s="18" t="str">
        <f t="shared" si="101"/>
        <v/>
      </c>
    </row>
    <row r="3210" spans="1:2" x14ac:dyDescent="0.25">
      <c r="A3210" s="15" t="str">
        <f t="shared" si="100"/>
        <v/>
      </c>
      <c r="B3210" s="18" t="str">
        <f t="shared" si="101"/>
        <v/>
      </c>
    </row>
    <row r="3211" spans="1:2" x14ac:dyDescent="0.25">
      <c r="A3211" s="15" t="str">
        <f t="shared" si="100"/>
        <v/>
      </c>
      <c r="B3211" s="18" t="str">
        <f t="shared" si="101"/>
        <v/>
      </c>
    </row>
    <row r="3212" spans="1:2" x14ac:dyDescent="0.25">
      <c r="A3212" s="15" t="str">
        <f t="shared" si="100"/>
        <v/>
      </c>
      <c r="B3212" s="18" t="str">
        <f t="shared" si="101"/>
        <v/>
      </c>
    </row>
    <row r="3213" spans="1:2" x14ac:dyDescent="0.25">
      <c r="A3213" s="15" t="str">
        <f t="shared" si="100"/>
        <v/>
      </c>
      <c r="B3213" s="18" t="str">
        <f t="shared" si="101"/>
        <v/>
      </c>
    </row>
    <row r="3214" spans="1:2" x14ac:dyDescent="0.25">
      <c r="A3214" s="15" t="str">
        <f t="shared" si="100"/>
        <v/>
      </c>
      <c r="B3214" s="18" t="str">
        <f t="shared" si="101"/>
        <v/>
      </c>
    </row>
    <row r="3215" spans="1:2" x14ac:dyDescent="0.25">
      <c r="A3215" s="15" t="str">
        <f t="shared" si="100"/>
        <v/>
      </c>
      <c r="B3215" s="18" t="str">
        <f t="shared" si="101"/>
        <v/>
      </c>
    </row>
    <row r="3216" spans="1:2" x14ac:dyDescent="0.25">
      <c r="A3216" s="15" t="str">
        <f t="shared" si="100"/>
        <v/>
      </c>
      <c r="B3216" s="18" t="str">
        <f t="shared" si="101"/>
        <v/>
      </c>
    </row>
    <row r="3217" spans="1:2" x14ac:dyDescent="0.25">
      <c r="A3217" s="15" t="str">
        <f t="shared" si="100"/>
        <v/>
      </c>
      <c r="B3217" s="18" t="str">
        <f t="shared" si="101"/>
        <v/>
      </c>
    </row>
    <row r="3218" spans="1:2" x14ac:dyDescent="0.25">
      <c r="A3218" s="15" t="str">
        <f t="shared" si="100"/>
        <v/>
      </c>
      <c r="B3218" s="18" t="str">
        <f t="shared" si="101"/>
        <v/>
      </c>
    </row>
    <row r="3219" spans="1:2" x14ac:dyDescent="0.25">
      <c r="A3219" s="15" t="str">
        <f t="shared" si="100"/>
        <v/>
      </c>
      <c r="B3219" s="18" t="str">
        <f t="shared" si="101"/>
        <v/>
      </c>
    </row>
    <row r="3220" spans="1:2" x14ac:dyDescent="0.25">
      <c r="A3220" s="15" t="str">
        <f t="shared" si="100"/>
        <v/>
      </c>
      <c r="B3220" s="18" t="str">
        <f t="shared" si="101"/>
        <v/>
      </c>
    </row>
    <row r="3221" spans="1:2" x14ac:dyDescent="0.25">
      <c r="A3221" s="15" t="str">
        <f t="shared" si="100"/>
        <v/>
      </c>
      <c r="B3221" s="18" t="str">
        <f t="shared" si="101"/>
        <v/>
      </c>
    </row>
    <row r="3222" spans="1:2" x14ac:dyDescent="0.25">
      <c r="A3222" s="15" t="str">
        <f t="shared" si="100"/>
        <v/>
      </c>
      <c r="B3222" s="18" t="str">
        <f t="shared" si="101"/>
        <v/>
      </c>
    </row>
    <row r="3223" spans="1:2" x14ac:dyDescent="0.25">
      <c r="A3223" s="15" t="str">
        <f t="shared" si="100"/>
        <v/>
      </c>
      <c r="B3223" s="18" t="str">
        <f t="shared" si="101"/>
        <v/>
      </c>
    </row>
    <row r="3224" spans="1:2" x14ac:dyDescent="0.25">
      <c r="A3224" s="15" t="str">
        <f t="shared" si="100"/>
        <v/>
      </c>
      <c r="B3224" s="18" t="str">
        <f t="shared" si="101"/>
        <v/>
      </c>
    </row>
    <row r="3225" spans="1:2" x14ac:dyDescent="0.25">
      <c r="A3225" s="15" t="str">
        <f t="shared" si="100"/>
        <v/>
      </c>
      <c r="B3225" s="18" t="str">
        <f t="shared" si="101"/>
        <v/>
      </c>
    </row>
    <row r="3226" spans="1:2" x14ac:dyDescent="0.25">
      <c r="A3226" s="15" t="str">
        <f t="shared" si="100"/>
        <v/>
      </c>
      <c r="B3226" s="18" t="str">
        <f t="shared" si="101"/>
        <v/>
      </c>
    </row>
    <row r="3227" spans="1:2" x14ac:dyDescent="0.25">
      <c r="A3227" s="15" t="str">
        <f t="shared" si="100"/>
        <v/>
      </c>
      <c r="B3227" s="18" t="str">
        <f t="shared" si="101"/>
        <v/>
      </c>
    </row>
    <row r="3228" spans="1:2" x14ac:dyDescent="0.25">
      <c r="A3228" s="15" t="str">
        <f t="shared" si="100"/>
        <v/>
      </c>
      <c r="B3228" s="18" t="str">
        <f t="shared" si="101"/>
        <v/>
      </c>
    </row>
    <row r="3229" spans="1:2" x14ac:dyDescent="0.25">
      <c r="A3229" s="15" t="str">
        <f t="shared" si="100"/>
        <v/>
      </c>
      <c r="B3229" s="18" t="str">
        <f t="shared" si="101"/>
        <v/>
      </c>
    </row>
    <row r="3230" spans="1:2" x14ac:dyDescent="0.25">
      <c r="A3230" s="15" t="str">
        <f t="shared" si="100"/>
        <v/>
      </c>
      <c r="B3230" s="18" t="str">
        <f t="shared" si="101"/>
        <v/>
      </c>
    </row>
    <row r="3231" spans="1:2" x14ac:dyDescent="0.25">
      <c r="A3231" s="15" t="str">
        <f t="shared" si="100"/>
        <v/>
      </c>
      <c r="B3231" s="18" t="str">
        <f t="shared" si="101"/>
        <v/>
      </c>
    </row>
    <row r="3232" spans="1:2" x14ac:dyDescent="0.25">
      <c r="A3232" s="15" t="str">
        <f t="shared" si="100"/>
        <v/>
      </c>
      <c r="B3232" s="18" t="str">
        <f t="shared" si="101"/>
        <v/>
      </c>
    </row>
    <row r="3233" spans="1:2" x14ac:dyDescent="0.25">
      <c r="A3233" s="15" t="str">
        <f t="shared" si="100"/>
        <v/>
      </c>
      <c r="B3233" s="18" t="str">
        <f t="shared" si="101"/>
        <v/>
      </c>
    </row>
    <row r="3234" spans="1:2" x14ac:dyDescent="0.25">
      <c r="A3234" s="15" t="str">
        <f t="shared" si="100"/>
        <v/>
      </c>
      <c r="B3234" s="18" t="str">
        <f t="shared" si="101"/>
        <v/>
      </c>
    </row>
    <row r="3235" spans="1:2" x14ac:dyDescent="0.25">
      <c r="A3235" s="15" t="str">
        <f t="shared" si="100"/>
        <v/>
      </c>
      <c r="B3235" s="18" t="str">
        <f t="shared" si="101"/>
        <v/>
      </c>
    </row>
    <row r="3236" spans="1:2" x14ac:dyDescent="0.25">
      <c r="A3236" s="15" t="str">
        <f t="shared" si="100"/>
        <v/>
      </c>
      <c r="B3236" s="18" t="str">
        <f t="shared" si="101"/>
        <v/>
      </c>
    </row>
    <row r="3237" spans="1:2" x14ac:dyDescent="0.25">
      <c r="A3237" s="15" t="str">
        <f t="shared" si="100"/>
        <v/>
      </c>
      <c r="B3237" s="18" t="str">
        <f t="shared" si="101"/>
        <v/>
      </c>
    </row>
    <row r="3238" spans="1:2" x14ac:dyDescent="0.25">
      <c r="A3238" s="15" t="str">
        <f t="shared" si="100"/>
        <v/>
      </c>
      <c r="B3238" s="18" t="str">
        <f t="shared" si="101"/>
        <v/>
      </c>
    </row>
    <row r="3239" spans="1:2" x14ac:dyDescent="0.25">
      <c r="A3239" s="15" t="str">
        <f t="shared" si="100"/>
        <v/>
      </c>
      <c r="B3239" s="18" t="str">
        <f t="shared" si="101"/>
        <v/>
      </c>
    </row>
    <row r="3240" spans="1:2" x14ac:dyDescent="0.25">
      <c r="A3240" s="15" t="str">
        <f t="shared" si="100"/>
        <v/>
      </c>
      <c r="B3240" s="18" t="str">
        <f t="shared" si="101"/>
        <v/>
      </c>
    </row>
    <row r="3241" spans="1:2" x14ac:dyDescent="0.25">
      <c r="A3241" s="15" t="str">
        <f t="shared" si="100"/>
        <v/>
      </c>
      <c r="B3241" s="18" t="str">
        <f t="shared" si="101"/>
        <v/>
      </c>
    </row>
    <row r="3242" spans="1:2" x14ac:dyDescent="0.25">
      <c r="A3242" s="15" t="str">
        <f t="shared" si="100"/>
        <v/>
      </c>
      <c r="B3242" s="18" t="str">
        <f t="shared" si="101"/>
        <v/>
      </c>
    </row>
    <row r="3243" spans="1:2" x14ac:dyDescent="0.25">
      <c r="A3243" s="15" t="str">
        <f t="shared" si="100"/>
        <v/>
      </c>
      <c r="B3243" s="18" t="str">
        <f t="shared" si="101"/>
        <v/>
      </c>
    </row>
    <row r="3244" spans="1:2" x14ac:dyDescent="0.25">
      <c r="A3244" s="15" t="str">
        <f t="shared" si="100"/>
        <v/>
      </c>
      <c r="B3244" s="18" t="str">
        <f t="shared" si="101"/>
        <v/>
      </c>
    </row>
    <row r="3245" spans="1:2" x14ac:dyDescent="0.25">
      <c r="A3245" s="15" t="str">
        <f t="shared" si="100"/>
        <v/>
      </c>
      <c r="B3245" s="18" t="str">
        <f t="shared" si="101"/>
        <v/>
      </c>
    </row>
    <row r="3246" spans="1:2" x14ac:dyDescent="0.25">
      <c r="A3246" s="15" t="str">
        <f t="shared" si="100"/>
        <v/>
      </c>
      <c r="B3246" s="18" t="str">
        <f t="shared" si="101"/>
        <v/>
      </c>
    </row>
    <row r="3247" spans="1:2" x14ac:dyDescent="0.25">
      <c r="A3247" s="15" t="str">
        <f t="shared" si="100"/>
        <v/>
      </c>
      <c r="B3247" s="18" t="str">
        <f t="shared" si="101"/>
        <v/>
      </c>
    </row>
    <row r="3248" spans="1:2" x14ac:dyDescent="0.25">
      <c r="A3248" s="15" t="str">
        <f t="shared" si="100"/>
        <v/>
      </c>
      <c r="B3248" s="18" t="str">
        <f t="shared" si="101"/>
        <v/>
      </c>
    </row>
    <row r="3249" spans="1:2" x14ac:dyDescent="0.25">
      <c r="A3249" s="15" t="str">
        <f t="shared" si="100"/>
        <v/>
      </c>
      <c r="B3249" s="18" t="str">
        <f t="shared" si="101"/>
        <v/>
      </c>
    </row>
    <row r="3250" spans="1:2" x14ac:dyDescent="0.25">
      <c r="A3250" s="15" t="str">
        <f t="shared" si="100"/>
        <v/>
      </c>
      <c r="B3250" s="18" t="str">
        <f t="shared" si="101"/>
        <v/>
      </c>
    </row>
    <row r="3251" spans="1:2" x14ac:dyDescent="0.25">
      <c r="A3251" s="15" t="str">
        <f t="shared" si="100"/>
        <v/>
      </c>
      <c r="B3251" s="18" t="str">
        <f t="shared" si="101"/>
        <v/>
      </c>
    </row>
    <row r="3252" spans="1:2" x14ac:dyDescent="0.25">
      <c r="A3252" s="15" t="str">
        <f t="shared" si="100"/>
        <v/>
      </c>
      <c r="B3252" s="18" t="str">
        <f t="shared" si="101"/>
        <v/>
      </c>
    </row>
    <row r="3253" spans="1:2" x14ac:dyDescent="0.25">
      <c r="A3253" s="15" t="str">
        <f t="shared" si="100"/>
        <v/>
      </c>
      <c r="B3253" s="18" t="str">
        <f t="shared" si="101"/>
        <v/>
      </c>
    </row>
    <row r="3254" spans="1:2" x14ac:dyDescent="0.25">
      <c r="A3254" s="15" t="str">
        <f t="shared" si="100"/>
        <v/>
      </c>
      <c r="B3254" s="18" t="str">
        <f t="shared" si="101"/>
        <v/>
      </c>
    </row>
    <row r="3255" spans="1:2" x14ac:dyDescent="0.25">
      <c r="A3255" s="15" t="str">
        <f t="shared" si="100"/>
        <v/>
      </c>
      <c r="B3255" s="18" t="str">
        <f t="shared" si="101"/>
        <v/>
      </c>
    </row>
    <row r="3256" spans="1:2" x14ac:dyDescent="0.25">
      <c r="A3256" s="15" t="str">
        <f t="shared" si="100"/>
        <v/>
      </c>
      <c r="B3256" s="18" t="str">
        <f t="shared" si="101"/>
        <v/>
      </c>
    </row>
    <row r="3257" spans="1:2" x14ac:dyDescent="0.25">
      <c r="A3257" s="15" t="str">
        <f t="shared" si="100"/>
        <v/>
      </c>
      <c r="B3257" s="18" t="str">
        <f t="shared" si="101"/>
        <v/>
      </c>
    </row>
    <row r="3258" spans="1:2" x14ac:dyDescent="0.25">
      <c r="A3258" s="15" t="str">
        <f t="shared" si="100"/>
        <v/>
      </c>
      <c r="B3258" s="18" t="str">
        <f t="shared" si="101"/>
        <v/>
      </c>
    </row>
    <row r="3259" spans="1:2" x14ac:dyDescent="0.25">
      <c r="A3259" s="15" t="str">
        <f t="shared" si="100"/>
        <v/>
      </c>
      <c r="B3259" s="18" t="str">
        <f t="shared" si="101"/>
        <v/>
      </c>
    </row>
    <row r="3260" spans="1:2" x14ac:dyDescent="0.25">
      <c r="A3260" s="15" t="str">
        <f t="shared" si="100"/>
        <v/>
      </c>
      <c r="B3260" s="18" t="str">
        <f t="shared" si="101"/>
        <v/>
      </c>
    </row>
    <row r="3261" spans="1:2" x14ac:dyDescent="0.25">
      <c r="A3261" s="15" t="str">
        <f t="shared" si="100"/>
        <v/>
      </c>
      <c r="B3261" s="18" t="str">
        <f t="shared" si="101"/>
        <v/>
      </c>
    </row>
    <row r="3262" spans="1:2" x14ac:dyDescent="0.25">
      <c r="A3262" s="15" t="str">
        <f t="shared" si="100"/>
        <v/>
      </c>
      <c r="B3262" s="18" t="str">
        <f t="shared" si="101"/>
        <v/>
      </c>
    </row>
    <row r="3263" spans="1:2" x14ac:dyDescent="0.25">
      <c r="A3263" s="15" t="str">
        <f t="shared" si="100"/>
        <v/>
      </c>
      <c r="B3263" s="18" t="str">
        <f t="shared" si="101"/>
        <v/>
      </c>
    </row>
    <row r="3264" spans="1:2" x14ac:dyDescent="0.25">
      <c r="A3264" s="15" t="str">
        <f t="shared" si="100"/>
        <v/>
      </c>
      <c r="B3264" s="18" t="str">
        <f t="shared" si="101"/>
        <v/>
      </c>
    </row>
    <row r="3265" spans="1:2" x14ac:dyDescent="0.25">
      <c r="A3265" s="15" t="str">
        <f t="shared" si="100"/>
        <v/>
      </c>
      <c r="B3265" s="18" t="str">
        <f t="shared" si="101"/>
        <v/>
      </c>
    </row>
    <row r="3266" spans="1:2" x14ac:dyDescent="0.25">
      <c r="A3266" s="15" t="str">
        <f t="shared" ref="A3266:A3329" si="102">B3266&amp;C3266</f>
        <v/>
      </c>
      <c r="B3266" s="18" t="str">
        <f t="shared" si="101"/>
        <v/>
      </c>
    </row>
    <row r="3267" spans="1:2" x14ac:dyDescent="0.25">
      <c r="A3267" s="15" t="str">
        <f t="shared" si="102"/>
        <v/>
      </c>
      <c r="B3267" s="18" t="str">
        <f t="shared" ref="B3267:B3330" si="103">IF(C3267="","",B3266)</f>
        <v/>
      </c>
    </row>
    <row r="3268" spans="1:2" x14ac:dyDescent="0.25">
      <c r="A3268" s="15" t="str">
        <f t="shared" si="102"/>
        <v/>
      </c>
      <c r="B3268" s="18" t="str">
        <f t="shared" si="103"/>
        <v/>
      </c>
    </row>
    <row r="3269" spans="1:2" x14ac:dyDescent="0.25">
      <c r="A3269" s="15" t="str">
        <f t="shared" si="102"/>
        <v/>
      </c>
      <c r="B3269" s="18" t="str">
        <f t="shared" si="103"/>
        <v/>
      </c>
    </row>
    <row r="3270" spans="1:2" x14ac:dyDescent="0.25">
      <c r="A3270" s="15" t="str">
        <f t="shared" si="102"/>
        <v/>
      </c>
      <c r="B3270" s="18" t="str">
        <f t="shared" si="103"/>
        <v/>
      </c>
    </row>
    <row r="3271" spans="1:2" x14ac:dyDescent="0.25">
      <c r="A3271" s="15" t="str">
        <f t="shared" si="102"/>
        <v/>
      </c>
      <c r="B3271" s="18" t="str">
        <f t="shared" si="103"/>
        <v/>
      </c>
    </row>
    <row r="3272" spans="1:2" x14ac:dyDescent="0.25">
      <c r="A3272" s="15" t="str">
        <f t="shared" si="102"/>
        <v/>
      </c>
      <c r="B3272" s="18" t="str">
        <f t="shared" si="103"/>
        <v/>
      </c>
    </row>
    <row r="3273" spans="1:2" x14ac:dyDescent="0.25">
      <c r="A3273" s="15" t="str">
        <f t="shared" si="102"/>
        <v/>
      </c>
      <c r="B3273" s="18" t="str">
        <f t="shared" si="103"/>
        <v/>
      </c>
    </row>
    <row r="3274" spans="1:2" x14ac:dyDescent="0.25">
      <c r="A3274" s="15" t="str">
        <f t="shared" si="102"/>
        <v/>
      </c>
      <c r="B3274" s="18" t="str">
        <f t="shared" si="103"/>
        <v/>
      </c>
    </row>
    <row r="3275" spans="1:2" x14ac:dyDescent="0.25">
      <c r="A3275" s="15" t="str">
        <f t="shared" si="102"/>
        <v/>
      </c>
      <c r="B3275" s="18" t="str">
        <f t="shared" si="103"/>
        <v/>
      </c>
    </row>
    <row r="3276" spans="1:2" x14ac:dyDescent="0.25">
      <c r="A3276" s="15" t="str">
        <f t="shared" si="102"/>
        <v/>
      </c>
      <c r="B3276" s="18" t="str">
        <f t="shared" si="103"/>
        <v/>
      </c>
    </row>
    <row r="3277" spans="1:2" x14ac:dyDescent="0.25">
      <c r="A3277" s="15" t="str">
        <f t="shared" si="102"/>
        <v/>
      </c>
      <c r="B3277" s="18" t="str">
        <f t="shared" si="103"/>
        <v/>
      </c>
    </row>
    <row r="3278" spans="1:2" x14ac:dyDescent="0.25">
      <c r="A3278" s="15" t="str">
        <f t="shared" si="102"/>
        <v/>
      </c>
      <c r="B3278" s="18" t="str">
        <f t="shared" si="103"/>
        <v/>
      </c>
    </row>
    <row r="3279" spans="1:2" x14ac:dyDescent="0.25">
      <c r="A3279" s="15" t="str">
        <f t="shared" si="102"/>
        <v/>
      </c>
      <c r="B3279" s="18" t="str">
        <f t="shared" si="103"/>
        <v/>
      </c>
    </row>
    <row r="3280" spans="1:2" x14ac:dyDescent="0.25">
      <c r="A3280" s="15" t="str">
        <f t="shared" si="102"/>
        <v/>
      </c>
      <c r="B3280" s="18" t="str">
        <f t="shared" si="103"/>
        <v/>
      </c>
    </row>
    <row r="3281" spans="1:2" x14ac:dyDescent="0.25">
      <c r="A3281" s="15" t="str">
        <f t="shared" si="102"/>
        <v/>
      </c>
      <c r="B3281" s="18" t="str">
        <f t="shared" si="103"/>
        <v/>
      </c>
    </row>
    <row r="3282" spans="1:2" x14ac:dyDescent="0.25">
      <c r="A3282" s="15" t="str">
        <f t="shared" si="102"/>
        <v/>
      </c>
      <c r="B3282" s="18" t="str">
        <f t="shared" si="103"/>
        <v/>
      </c>
    </row>
    <row r="3283" spans="1:2" x14ac:dyDescent="0.25">
      <c r="A3283" s="15" t="str">
        <f t="shared" si="102"/>
        <v/>
      </c>
      <c r="B3283" s="18" t="str">
        <f t="shared" si="103"/>
        <v/>
      </c>
    </row>
    <row r="3284" spans="1:2" x14ac:dyDescent="0.25">
      <c r="A3284" s="15" t="str">
        <f t="shared" si="102"/>
        <v/>
      </c>
      <c r="B3284" s="18" t="str">
        <f t="shared" si="103"/>
        <v/>
      </c>
    </row>
    <row r="3285" spans="1:2" x14ac:dyDescent="0.25">
      <c r="A3285" s="15" t="str">
        <f t="shared" si="102"/>
        <v/>
      </c>
      <c r="B3285" s="18" t="str">
        <f t="shared" si="103"/>
        <v/>
      </c>
    </row>
    <row r="3286" spans="1:2" x14ac:dyDescent="0.25">
      <c r="A3286" s="15" t="str">
        <f t="shared" si="102"/>
        <v/>
      </c>
      <c r="B3286" s="18" t="str">
        <f t="shared" si="103"/>
        <v/>
      </c>
    </row>
    <row r="3287" spans="1:2" x14ac:dyDescent="0.25">
      <c r="A3287" s="15" t="str">
        <f t="shared" si="102"/>
        <v/>
      </c>
      <c r="B3287" s="18" t="str">
        <f t="shared" si="103"/>
        <v/>
      </c>
    </row>
    <row r="3288" spans="1:2" x14ac:dyDescent="0.25">
      <c r="A3288" s="15" t="str">
        <f t="shared" si="102"/>
        <v/>
      </c>
      <c r="B3288" s="18" t="str">
        <f t="shared" si="103"/>
        <v/>
      </c>
    </row>
    <row r="3289" spans="1:2" x14ac:dyDescent="0.25">
      <c r="A3289" s="15" t="str">
        <f t="shared" si="102"/>
        <v/>
      </c>
      <c r="B3289" s="18" t="str">
        <f t="shared" si="103"/>
        <v/>
      </c>
    </row>
    <row r="3290" spans="1:2" x14ac:dyDescent="0.25">
      <c r="A3290" s="15" t="str">
        <f t="shared" si="102"/>
        <v/>
      </c>
      <c r="B3290" s="18" t="str">
        <f t="shared" si="103"/>
        <v/>
      </c>
    </row>
    <row r="3291" spans="1:2" x14ac:dyDescent="0.25">
      <c r="A3291" s="15" t="str">
        <f t="shared" si="102"/>
        <v/>
      </c>
      <c r="B3291" s="18" t="str">
        <f t="shared" si="103"/>
        <v/>
      </c>
    </row>
    <row r="3292" spans="1:2" x14ac:dyDescent="0.25">
      <c r="A3292" s="15" t="str">
        <f t="shared" si="102"/>
        <v/>
      </c>
      <c r="B3292" s="18" t="str">
        <f t="shared" si="103"/>
        <v/>
      </c>
    </row>
    <row r="3293" spans="1:2" x14ac:dyDescent="0.25">
      <c r="A3293" s="15" t="str">
        <f t="shared" si="102"/>
        <v/>
      </c>
      <c r="B3293" s="18" t="str">
        <f t="shared" si="103"/>
        <v/>
      </c>
    </row>
    <row r="3294" spans="1:2" x14ac:dyDescent="0.25">
      <c r="A3294" s="15" t="str">
        <f t="shared" si="102"/>
        <v/>
      </c>
      <c r="B3294" s="18" t="str">
        <f t="shared" si="103"/>
        <v/>
      </c>
    </row>
    <row r="3295" spans="1:2" x14ac:dyDescent="0.25">
      <c r="A3295" s="15" t="str">
        <f t="shared" si="102"/>
        <v/>
      </c>
      <c r="B3295" s="18" t="str">
        <f t="shared" si="103"/>
        <v/>
      </c>
    </row>
    <row r="3296" spans="1:2" x14ac:dyDescent="0.25">
      <c r="A3296" s="15" t="str">
        <f t="shared" si="102"/>
        <v/>
      </c>
      <c r="B3296" s="18" t="str">
        <f t="shared" si="103"/>
        <v/>
      </c>
    </row>
    <row r="3297" spans="1:2" x14ac:dyDescent="0.25">
      <c r="A3297" s="15" t="str">
        <f t="shared" si="102"/>
        <v/>
      </c>
      <c r="B3297" s="18" t="str">
        <f t="shared" si="103"/>
        <v/>
      </c>
    </row>
    <row r="3298" spans="1:2" x14ac:dyDescent="0.25">
      <c r="A3298" s="15" t="str">
        <f t="shared" si="102"/>
        <v/>
      </c>
      <c r="B3298" s="18" t="str">
        <f t="shared" si="103"/>
        <v/>
      </c>
    </row>
    <row r="3299" spans="1:2" x14ac:dyDescent="0.25">
      <c r="A3299" s="15" t="str">
        <f t="shared" si="102"/>
        <v/>
      </c>
      <c r="B3299" s="18" t="str">
        <f t="shared" si="103"/>
        <v/>
      </c>
    </row>
    <row r="3300" spans="1:2" x14ac:dyDescent="0.25">
      <c r="A3300" s="15" t="str">
        <f t="shared" si="102"/>
        <v/>
      </c>
      <c r="B3300" s="18" t="str">
        <f t="shared" si="103"/>
        <v/>
      </c>
    </row>
    <row r="3301" spans="1:2" x14ac:dyDescent="0.25">
      <c r="A3301" s="15" t="str">
        <f t="shared" si="102"/>
        <v/>
      </c>
      <c r="B3301" s="18" t="str">
        <f t="shared" si="103"/>
        <v/>
      </c>
    </row>
    <row r="3302" spans="1:2" x14ac:dyDescent="0.25">
      <c r="A3302" s="15" t="str">
        <f t="shared" si="102"/>
        <v/>
      </c>
      <c r="B3302" s="18" t="str">
        <f t="shared" si="103"/>
        <v/>
      </c>
    </row>
    <row r="3303" spans="1:2" x14ac:dyDescent="0.25">
      <c r="A3303" s="15" t="str">
        <f t="shared" si="102"/>
        <v/>
      </c>
      <c r="B3303" s="18" t="str">
        <f t="shared" si="103"/>
        <v/>
      </c>
    </row>
    <row r="3304" spans="1:2" x14ac:dyDescent="0.25">
      <c r="A3304" s="15" t="str">
        <f t="shared" si="102"/>
        <v/>
      </c>
      <c r="B3304" s="18" t="str">
        <f t="shared" si="103"/>
        <v/>
      </c>
    </row>
    <row r="3305" spans="1:2" x14ac:dyDescent="0.25">
      <c r="A3305" s="15" t="str">
        <f t="shared" si="102"/>
        <v/>
      </c>
      <c r="B3305" s="18" t="str">
        <f t="shared" si="103"/>
        <v/>
      </c>
    </row>
    <row r="3306" spans="1:2" x14ac:dyDescent="0.25">
      <c r="A3306" s="15" t="str">
        <f t="shared" si="102"/>
        <v/>
      </c>
      <c r="B3306" s="18" t="str">
        <f t="shared" si="103"/>
        <v/>
      </c>
    </row>
    <row r="3307" spans="1:2" x14ac:dyDescent="0.25">
      <c r="A3307" s="15" t="str">
        <f t="shared" si="102"/>
        <v/>
      </c>
      <c r="B3307" s="18" t="str">
        <f t="shared" si="103"/>
        <v/>
      </c>
    </row>
    <row r="3308" spans="1:2" x14ac:dyDescent="0.25">
      <c r="A3308" s="15" t="str">
        <f t="shared" si="102"/>
        <v/>
      </c>
      <c r="B3308" s="18" t="str">
        <f t="shared" si="103"/>
        <v/>
      </c>
    </row>
    <row r="3309" spans="1:2" x14ac:dyDescent="0.25">
      <c r="A3309" s="15" t="str">
        <f t="shared" si="102"/>
        <v/>
      </c>
      <c r="B3309" s="18" t="str">
        <f t="shared" si="103"/>
        <v/>
      </c>
    </row>
    <row r="3310" spans="1:2" x14ac:dyDescent="0.25">
      <c r="A3310" s="15" t="str">
        <f t="shared" si="102"/>
        <v/>
      </c>
      <c r="B3310" s="18" t="str">
        <f t="shared" si="103"/>
        <v/>
      </c>
    </row>
    <row r="3311" spans="1:2" x14ac:dyDescent="0.25">
      <c r="A3311" s="15" t="str">
        <f t="shared" si="102"/>
        <v/>
      </c>
      <c r="B3311" s="18" t="str">
        <f t="shared" si="103"/>
        <v/>
      </c>
    </row>
    <row r="3312" spans="1:2" x14ac:dyDescent="0.25">
      <c r="A3312" s="15" t="str">
        <f t="shared" si="102"/>
        <v/>
      </c>
      <c r="B3312" s="18" t="str">
        <f t="shared" si="103"/>
        <v/>
      </c>
    </row>
    <row r="3313" spans="1:2" x14ac:dyDescent="0.25">
      <c r="A3313" s="15" t="str">
        <f t="shared" si="102"/>
        <v/>
      </c>
      <c r="B3313" s="18" t="str">
        <f t="shared" si="103"/>
        <v/>
      </c>
    </row>
    <row r="3314" spans="1:2" x14ac:dyDescent="0.25">
      <c r="A3314" s="15" t="str">
        <f t="shared" si="102"/>
        <v/>
      </c>
      <c r="B3314" s="18" t="str">
        <f t="shared" si="103"/>
        <v/>
      </c>
    </row>
    <row r="3315" spans="1:2" x14ac:dyDescent="0.25">
      <c r="A3315" s="15" t="str">
        <f t="shared" si="102"/>
        <v/>
      </c>
      <c r="B3315" s="18" t="str">
        <f t="shared" si="103"/>
        <v/>
      </c>
    </row>
    <row r="3316" spans="1:2" x14ac:dyDescent="0.25">
      <c r="A3316" s="15" t="str">
        <f t="shared" si="102"/>
        <v/>
      </c>
      <c r="B3316" s="18" t="str">
        <f t="shared" si="103"/>
        <v/>
      </c>
    </row>
    <row r="3317" spans="1:2" x14ac:dyDescent="0.25">
      <c r="A3317" s="15" t="str">
        <f t="shared" si="102"/>
        <v/>
      </c>
      <c r="B3317" s="18" t="str">
        <f t="shared" si="103"/>
        <v/>
      </c>
    </row>
    <row r="3318" spans="1:2" x14ac:dyDescent="0.25">
      <c r="A3318" s="15" t="str">
        <f t="shared" si="102"/>
        <v/>
      </c>
      <c r="B3318" s="18" t="str">
        <f t="shared" si="103"/>
        <v/>
      </c>
    </row>
    <row r="3319" spans="1:2" x14ac:dyDescent="0.25">
      <c r="A3319" s="15" t="str">
        <f t="shared" si="102"/>
        <v/>
      </c>
      <c r="B3319" s="18" t="str">
        <f t="shared" si="103"/>
        <v/>
      </c>
    </row>
    <row r="3320" spans="1:2" x14ac:dyDescent="0.25">
      <c r="A3320" s="15" t="str">
        <f t="shared" si="102"/>
        <v/>
      </c>
      <c r="B3320" s="18" t="str">
        <f t="shared" si="103"/>
        <v/>
      </c>
    </row>
    <row r="3321" spans="1:2" x14ac:dyDescent="0.25">
      <c r="A3321" s="15" t="str">
        <f t="shared" si="102"/>
        <v/>
      </c>
      <c r="B3321" s="18" t="str">
        <f t="shared" si="103"/>
        <v/>
      </c>
    </row>
    <row r="3322" spans="1:2" x14ac:dyDescent="0.25">
      <c r="A3322" s="15" t="str">
        <f t="shared" si="102"/>
        <v/>
      </c>
      <c r="B3322" s="18" t="str">
        <f t="shared" si="103"/>
        <v/>
      </c>
    </row>
    <row r="3323" spans="1:2" x14ac:dyDescent="0.25">
      <c r="A3323" s="15" t="str">
        <f t="shared" si="102"/>
        <v/>
      </c>
      <c r="B3323" s="18" t="str">
        <f t="shared" si="103"/>
        <v/>
      </c>
    </row>
    <row r="3324" spans="1:2" x14ac:dyDescent="0.25">
      <c r="A3324" s="15" t="str">
        <f t="shared" si="102"/>
        <v/>
      </c>
      <c r="B3324" s="18" t="str">
        <f t="shared" si="103"/>
        <v/>
      </c>
    </row>
    <row r="3325" spans="1:2" x14ac:dyDescent="0.25">
      <c r="A3325" s="15" t="str">
        <f t="shared" si="102"/>
        <v/>
      </c>
      <c r="B3325" s="18" t="str">
        <f t="shared" si="103"/>
        <v/>
      </c>
    </row>
    <row r="3326" spans="1:2" x14ac:dyDescent="0.25">
      <c r="A3326" s="15" t="str">
        <f t="shared" si="102"/>
        <v/>
      </c>
      <c r="B3326" s="18" t="str">
        <f t="shared" si="103"/>
        <v/>
      </c>
    </row>
    <row r="3327" spans="1:2" x14ac:dyDescent="0.25">
      <c r="A3327" s="15" t="str">
        <f t="shared" si="102"/>
        <v/>
      </c>
      <c r="B3327" s="18" t="str">
        <f t="shared" si="103"/>
        <v/>
      </c>
    </row>
    <row r="3328" spans="1:2" x14ac:dyDescent="0.25">
      <c r="A3328" s="15" t="str">
        <f t="shared" si="102"/>
        <v/>
      </c>
      <c r="B3328" s="18" t="str">
        <f t="shared" si="103"/>
        <v/>
      </c>
    </row>
    <row r="3329" spans="1:2" x14ac:dyDescent="0.25">
      <c r="A3329" s="15" t="str">
        <f t="shared" si="102"/>
        <v/>
      </c>
      <c r="B3329" s="18" t="str">
        <f t="shared" si="103"/>
        <v/>
      </c>
    </row>
    <row r="3330" spans="1:2" x14ac:dyDescent="0.25">
      <c r="A3330" s="15" t="str">
        <f t="shared" ref="A3330:A3393" si="104">B3330&amp;C3330</f>
        <v/>
      </c>
      <c r="B3330" s="18" t="str">
        <f t="shared" si="103"/>
        <v/>
      </c>
    </row>
    <row r="3331" spans="1:2" x14ac:dyDescent="0.25">
      <c r="A3331" s="15" t="str">
        <f t="shared" si="104"/>
        <v/>
      </c>
      <c r="B3331" s="18" t="str">
        <f t="shared" ref="B3331:B3394" si="105">IF(C3331="","",B3330)</f>
        <v/>
      </c>
    </row>
    <row r="3332" spans="1:2" x14ac:dyDescent="0.25">
      <c r="A3332" s="15" t="str">
        <f t="shared" si="104"/>
        <v/>
      </c>
      <c r="B3332" s="18" t="str">
        <f t="shared" si="105"/>
        <v/>
      </c>
    </row>
    <row r="3333" spans="1:2" x14ac:dyDescent="0.25">
      <c r="A3333" s="15" t="str">
        <f t="shared" si="104"/>
        <v/>
      </c>
      <c r="B3333" s="18" t="str">
        <f t="shared" si="105"/>
        <v/>
      </c>
    </row>
    <row r="3334" spans="1:2" x14ac:dyDescent="0.25">
      <c r="A3334" s="15" t="str">
        <f t="shared" si="104"/>
        <v/>
      </c>
      <c r="B3334" s="18" t="str">
        <f t="shared" si="105"/>
        <v/>
      </c>
    </row>
    <row r="3335" spans="1:2" x14ac:dyDescent="0.25">
      <c r="A3335" s="15" t="str">
        <f t="shared" si="104"/>
        <v/>
      </c>
      <c r="B3335" s="18" t="str">
        <f t="shared" si="105"/>
        <v/>
      </c>
    </row>
    <row r="3336" spans="1:2" x14ac:dyDescent="0.25">
      <c r="A3336" s="15" t="str">
        <f t="shared" si="104"/>
        <v/>
      </c>
      <c r="B3336" s="18" t="str">
        <f t="shared" si="105"/>
        <v/>
      </c>
    </row>
    <row r="3337" spans="1:2" x14ac:dyDescent="0.25">
      <c r="A3337" s="15" t="str">
        <f t="shared" si="104"/>
        <v/>
      </c>
      <c r="B3337" s="18" t="str">
        <f t="shared" si="105"/>
        <v/>
      </c>
    </row>
    <row r="3338" spans="1:2" x14ac:dyDescent="0.25">
      <c r="A3338" s="15" t="str">
        <f t="shared" si="104"/>
        <v/>
      </c>
      <c r="B3338" s="18" t="str">
        <f t="shared" si="105"/>
        <v/>
      </c>
    </row>
    <row r="3339" spans="1:2" x14ac:dyDescent="0.25">
      <c r="A3339" s="15" t="str">
        <f t="shared" si="104"/>
        <v/>
      </c>
      <c r="B3339" s="18" t="str">
        <f t="shared" si="105"/>
        <v/>
      </c>
    </row>
    <row r="3340" spans="1:2" x14ac:dyDescent="0.25">
      <c r="A3340" s="15" t="str">
        <f t="shared" si="104"/>
        <v/>
      </c>
      <c r="B3340" s="18" t="str">
        <f t="shared" si="105"/>
        <v/>
      </c>
    </row>
    <row r="3341" spans="1:2" x14ac:dyDescent="0.25">
      <c r="A3341" s="15" t="str">
        <f t="shared" si="104"/>
        <v/>
      </c>
      <c r="B3341" s="18" t="str">
        <f t="shared" si="105"/>
        <v/>
      </c>
    </row>
    <row r="3342" spans="1:2" x14ac:dyDescent="0.25">
      <c r="A3342" s="15" t="str">
        <f t="shared" si="104"/>
        <v/>
      </c>
      <c r="B3342" s="18" t="str">
        <f t="shared" si="105"/>
        <v/>
      </c>
    </row>
    <row r="3343" spans="1:2" x14ac:dyDescent="0.25">
      <c r="A3343" s="15" t="str">
        <f t="shared" si="104"/>
        <v/>
      </c>
      <c r="B3343" s="18" t="str">
        <f t="shared" si="105"/>
        <v/>
      </c>
    </row>
    <row r="3344" spans="1:2" x14ac:dyDescent="0.25">
      <c r="A3344" s="15" t="str">
        <f t="shared" si="104"/>
        <v/>
      </c>
      <c r="B3344" s="18" t="str">
        <f t="shared" si="105"/>
        <v/>
      </c>
    </row>
    <row r="3345" spans="1:2" x14ac:dyDescent="0.25">
      <c r="A3345" s="15" t="str">
        <f t="shared" si="104"/>
        <v/>
      </c>
      <c r="B3345" s="18" t="str">
        <f t="shared" si="105"/>
        <v/>
      </c>
    </row>
    <row r="3346" spans="1:2" x14ac:dyDescent="0.25">
      <c r="A3346" s="15" t="str">
        <f t="shared" si="104"/>
        <v/>
      </c>
      <c r="B3346" s="18" t="str">
        <f t="shared" si="105"/>
        <v/>
      </c>
    </row>
    <row r="3347" spans="1:2" x14ac:dyDescent="0.25">
      <c r="A3347" s="15" t="str">
        <f t="shared" si="104"/>
        <v/>
      </c>
      <c r="B3347" s="18" t="str">
        <f t="shared" si="105"/>
        <v/>
      </c>
    </row>
    <row r="3348" spans="1:2" x14ac:dyDescent="0.25">
      <c r="A3348" s="15" t="str">
        <f t="shared" si="104"/>
        <v/>
      </c>
      <c r="B3348" s="18" t="str">
        <f t="shared" si="105"/>
        <v/>
      </c>
    </row>
    <row r="3349" spans="1:2" x14ac:dyDescent="0.25">
      <c r="A3349" s="15" t="str">
        <f t="shared" si="104"/>
        <v/>
      </c>
      <c r="B3349" s="18" t="str">
        <f t="shared" si="105"/>
        <v/>
      </c>
    </row>
    <row r="3350" spans="1:2" x14ac:dyDescent="0.25">
      <c r="A3350" s="15" t="str">
        <f t="shared" si="104"/>
        <v/>
      </c>
      <c r="B3350" s="18" t="str">
        <f t="shared" si="105"/>
        <v/>
      </c>
    </row>
    <row r="3351" spans="1:2" x14ac:dyDescent="0.25">
      <c r="A3351" s="15" t="str">
        <f t="shared" si="104"/>
        <v/>
      </c>
      <c r="B3351" s="18" t="str">
        <f t="shared" si="105"/>
        <v/>
      </c>
    </row>
    <row r="3352" spans="1:2" x14ac:dyDescent="0.25">
      <c r="A3352" s="15" t="str">
        <f t="shared" si="104"/>
        <v/>
      </c>
      <c r="B3352" s="18" t="str">
        <f t="shared" si="105"/>
        <v/>
      </c>
    </row>
    <row r="3353" spans="1:2" x14ac:dyDescent="0.25">
      <c r="A3353" s="15" t="str">
        <f t="shared" si="104"/>
        <v/>
      </c>
      <c r="B3353" s="18" t="str">
        <f t="shared" si="105"/>
        <v/>
      </c>
    </row>
    <row r="3354" spans="1:2" x14ac:dyDescent="0.25">
      <c r="A3354" s="15" t="str">
        <f t="shared" si="104"/>
        <v/>
      </c>
      <c r="B3354" s="18" t="str">
        <f t="shared" si="105"/>
        <v/>
      </c>
    </row>
    <row r="3355" spans="1:2" x14ac:dyDescent="0.25">
      <c r="A3355" s="15" t="str">
        <f t="shared" si="104"/>
        <v/>
      </c>
      <c r="B3355" s="18" t="str">
        <f t="shared" si="105"/>
        <v/>
      </c>
    </row>
    <row r="3356" spans="1:2" x14ac:dyDescent="0.25">
      <c r="A3356" s="15" t="str">
        <f t="shared" si="104"/>
        <v/>
      </c>
      <c r="B3356" s="18" t="str">
        <f t="shared" si="105"/>
        <v/>
      </c>
    </row>
    <row r="3357" spans="1:2" x14ac:dyDescent="0.25">
      <c r="A3357" s="15" t="str">
        <f t="shared" si="104"/>
        <v/>
      </c>
      <c r="B3357" s="18" t="str">
        <f t="shared" si="105"/>
        <v/>
      </c>
    </row>
    <row r="3358" spans="1:2" x14ac:dyDescent="0.25">
      <c r="A3358" s="15" t="str">
        <f t="shared" si="104"/>
        <v/>
      </c>
      <c r="B3358" s="18" t="str">
        <f t="shared" si="105"/>
        <v/>
      </c>
    </row>
    <row r="3359" spans="1:2" x14ac:dyDescent="0.25">
      <c r="A3359" s="15" t="str">
        <f t="shared" si="104"/>
        <v/>
      </c>
      <c r="B3359" s="18" t="str">
        <f t="shared" si="105"/>
        <v/>
      </c>
    </row>
    <row r="3360" spans="1:2" x14ac:dyDescent="0.25">
      <c r="A3360" s="15" t="str">
        <f t="shared" si="104"/>
        <v/>
      </c>
      <c r="B3360" s="18" t="str">
        <f t="shared" si="105"/>
        <v/>
      </c>
    </row>
    <row r="3361" spans="1:2" x14ac:dyDescent="0.25">
      <c r="A3361" s="15" t="str">
        <f t="shared" si="104"/>
        <v/>
      </c>
      <c r="B3361" s="18" t="str">
        <f t="shared" si="105"/>
        <v/>
      </c>
    </row>
    <row r="3362" spans="1:2" x14ac:dyDescent="0.25">
      <c r="A3362" s="15" t="str">
        <f t="shared" si="104"/>
        <v/>
      </c>
      <c r="B3362" s="18" t="str">
        <f t="shared" si="105"/>
        <v/>
      </c>
    </row>
    <row r="3363" spans="1:2" x14ac:dyDescent="0.25">
      <c r="A3363" s="15" t="str">
        <f t="shared" si="104"/>
        <v/>
      </c>
      <c r="B3363" s="18" t="str">
        <f t="shared" si="105"/>
        <v/>
      </c>
    </row>
    <row r="3364" spans="1:2" x14ac:dyDescent="0.25">
      <c r="A3364" s="15" t="str">
        <f t="shared" si="104"/>
        <v/>
      </c>
      <c r="B3364" s="18" t="str">
        <f t="shared" si="105"/>
        <v/>
      </c>
    </row>
    <row r="3365" spans="1:2" x14ac:dyDescent="0.25">
      <c r="A3365" s="15" t="str">
        <f t="shared" si="104"/>
        <v/>
      </c>
      <c r="B3365" s="18" t="str">
        <f t="shared" si="105"/>
        <v/>
      </c>
    </row>
    <row r="3366" spans="1:2" x14ac:dyDescent="0.25">
      <c r="A3366" s="15" t="str">
        <f t="shared" si="104"/>
        <v/>
      </c>
      <c r="B3366" s="18" t="str">
        <f t="shared" si="105"/>
        <v/>
      </c>
    </row>
    <row r="3367" spans="1:2" x14ac:dyDescent="0.25">
      <c r="A3367" s="15" t="str">
        <f t="shared" si="104"/>
        <v/>
      </c>
      <c r="B3367" s="18" t="str">
        <f t="shared" si="105"/>
        <v/>
      </c>
    </row>
    <row r="3368" spans="1:2" x14ac:dyDescent="0.25">
      <c r="A3368" s="15" t="str">
        <f t="shared" si="104"/>
        <v/>
      </c>
      <c r="B3368" s="18" t="str">
        <f t="shared" si="105"/>
        <v/>
      </c>
    </row>
    <row r="3369" spans="1:2" x14ac:dyDescent="0.25">
      <c r="A3369" s="15" t="str">
        <f t="shared" si="104"/>
        <v/>
      </c>
      <c r="B3369" s="18" t="str">
        <f t="shared" si="105"/>
        <v/>
      </c>
    </row>
    <row r="3370" spans="1:2" x14ac:dyDescent="0.25">
      <c r="A3370" s="15" t="str">
        <f t="shared" si="104"/>
        <v/>
      </c>
      <c r="B3370" s="18" t="str">
        <f t="shared" si="105"/>
        <v/>
      </c>
    </row>
    <row r="3371" spans="1:2" x14ac:dyDescent="0.25">
      <c r="A3371" s="15" t="str">
        <f t="shared" si="104"/>
        <v/>
      </c>
      <c r="B3371" s="18" t="str">
        <f t="shared" si="105"/>
        <v/>
      </c>
    </row>
    <row r="3372" spans="1:2" x14ac:dyDescent="0.25">
      <c r="A3372" s="15" t="str">
        <f t="shared" si="104"/>
        <v/>
      </c>
      <c r="B3372" s="18" t="str">
        <f t="shared" si="105"/>
        <v/>
      </c>
    </row>
    <row r="3373" spans="1:2" x14ac:dyDescent="0.25">
      <c r="A3373" s="15" t="str">
        <f t="shared" si="104"/>
        <v/>
      </c>
      <c r="B3373" s="18" t="str">
        <f t="shared" si="105"/>
        <v/>
      </c>
    </row>
    <row r="3374" spans="1:2" x14ac:dyDescent="0.25">
      <c r="A3374" s="15" t="str">
        <f t="shared" si="104"/>
        <v/>
      </c>
      <c r="B3374" s="18" t="str">
        <f t="shared" si="105"/>
        <v/>
      </c>
    </row>
    <row r="3375" spans="1:2" x14ac:dyDescent="0.25">
      <c r="A3375" s="15" t="str">
        <f t="shared" si="104"/>
        <v/>
      </c>
      <c r="B3375" s="18" t="str">
        <f t="shared" si="105"/>
        <v/>
      </c>
    </row>
    <row r="3376" spans="1:2" x14ac:dyDescent="0.25">
      <c r="A3376" s="15" t="str">
        <f t="shared" si="104"/>
        <v/>
      </c>
      <c r="B3376" s="18" t="str">
        <f t="shared" si="105"/>
        <v/>
      </c>
    </row>
    <row r="3377" spans="1:2" x14ac:dyDescent="0.25">
      <c r="A3377" s="15" t="str">
        <f t="shared" si="104"/>
        <v/>
      </c>
      <c r="B3377" s="18" t="str">
        <f t="shared" si="105"/>
        <v/>
      </c>
    </row>
    <row r="3378" spans="1:2" x14ac:dyDescent="0.25">
      <c r="A3378" s="15" t="str">
        <f t="shared" si="104"/>
        <v/>
      </c>
      <c r="B3378" s="18" t="str">
        <f t="shared" si="105"/>
        <v/>
      </c>
    </row>
    <row r="3379" spans="1:2" x14ac:dyDescent="0.25">
      <c r="A3379" s="15" t="str">
        <f t="shared" si="104"/>
        <v/>
      </c>
      <c r="B3379" s="18" t="str">
        <f t="shared" si="105"/>
        <v/>
      </c>
    </row>
    <row r="3380" spans="1:2" x14ac:dyDescent="0.25">
      <c r="A3380" s="15" t="str">
        <f t="shared" si="104"/>
        <v/>
      </c>
      <c r="B3380" s="18" t="str">
        <f t="shared" si="105"/>
        <v/>
      </c>
    </row>
    <row r="3381" spans="1:2" x14ac:dyDescent="0.25">
      <c r="A3381" s="15" t="str">
        <f t="shared" si="104"/>
        <v/>
      </c>
      <c r="B3381" s="18" t="str">
        <f t="shared" si="105"/>
        <v/>
      </c>
    </row>
    <row r="3382" spans="1:2" x14ac:dyDescent="0.25">
      <c r="A3382" s="15" t="str">
        <f t="shared" si="104"/>
        <v/>
      </c>
      <c r="B3382" s="18" t="str">
        <f t="shared" si="105"/>
        <v/>
      </c>
    </row>
    <row r="3383" spans="1:2" x14ac:dyDescent="0.25">
      <c r="A3383" s="15" t="str">
        <f t="shared" si="104"/>
        <v/>
      </c>
      <c r="B3383" s="18" t="str">
        <f t="shared" si="105"/>
        <v/>
      </c>
    </row>
    <row r="3384" spans="1:2" x14ac:dyDescent="0.25">
      <c r="A3384" s="15" t="str">
        <f t="shared" si="104"/>
        <v/>
      </c>
      <c r="B3384" s="18" t="str">
        <f t="shared" si="105"/>
        <v/>
      </c>
    </row>
    <row r="3385" spans="1:2" x14ac:dyDescent="0.25">
      <c r="A3385" s="15" t="str">
        <f t="shared" si="104"/>
        <v/>
      </c>
      <c r="B3385" s="18" t="str">
        <f t="shared" si="105"/>
        <v/>
      </c>
    </row>
    <row r="3386" spans="1:2" x14ac:dyDescent="0.25">
      <c r="A3386" s="15" t="str">
        <f t="shared" si="104"/>
        <v/>
      </c>
      <c r="B3386" s="18" t="str">
        <f t="shared" si="105"/>
        <v/>
      </c>
    </row>
    <row r="3387" spans="1:2" x14ac:dyDescent="0.25">
      <c r="A3387" s="15" t="str">
        <f t="shared" si="104"/>
        <v/>
      </c>
      <c r="B3387" s="18" t="str">
        <f t="shared" si="105"/>
        <v/>
      </c>
    </row>
    <row r="3388" spans="1:2" x14ac:dyDescent="0.25">
      <c r="A3388" s="15" t="str">
        <f t="shared" si="104"/>
        <v/>
      </c>
      <c r="B3388" s="18" t="str">
        <f t="shared" si="105"/>
        <v/>
      </c>
    </row>
    <row r="3389" spans="1:2" x14ac:dyDescent="0.25">
      <c r="A3389" s="15" t="str">
        <f t="shared" si="104"/>
        <v/>
      </c>
      <c r="B3389" s="18" t="str">
        <f t="shared" si="105"/>
        <v/>
      </c>
    </row>
    <row r="3390" spans="1:2" x14ac:dyDescent="0.25">
      <c r="A3390" s="15" t="str">
        <f t="shared" si="104"/>
        <v/>
      </c>
      <c r="B3390" s="18" t="str">
        <f t="shared" si="105"/>
        <v/>
      </c>
    </row>
    <row r="3391" spans="1:2" x14ac:dyDescent="0.25">
      <c r="A3391" s="15" t="str">
        <f t="shared" si="104"/>
        <v/>
      </c>
      <c r="B3391" s="18" t="str">
        <f t="shared" si="105"/>
        <v/>
      </c>
    </row>
    <row r="3392" spans="1:2" x14ac:dyDescent="0.25">
      <c r="A3392" s="15" t="str">
        <f t="shared" si="104"/>
        <v/>
      </c>
      <c r="B3392" s="18" t="str">
        <f t="shared" si="105"/>
        <v/>
      </c>
    </row>
    <row r="3393" spans="1:2" x14ac:dyDescent="0.25">
      <c r="A3393" s="15" t="str">
        <f t="shared" si="104"/>
        <v/>
      </c>
      <c r="B3393" s="18" t="str">
        <f t="shared" si="105"/>
        <v/>
      </c>
    </row>
    <row r="3394" spans="1:2" x14ac:dyDescent="0.25">
      <c r="A3394" s="15" t="str">
        <f t="shared" ref="A3394:A3457" si="106">B3394&amp;C3394</f>
        <v/>
      </c>
      <c r="B3394" s="18" t="str">
        <f t="shared" si="105"/>
        <v/>
      </c>
    </row>
    <row r="3395" spans="1:2" x14ac:dyDescent="0.25">
      <c r="A3395" s="15" t="str">
        <f t="shared" si="106"/>
        <v/>
      </c>
      <c r="B3395" s="18" t="str">
        <f t="shared" ref="B3395:B3458" si="107">IF(C3395="","",B3394)</f>
        <v/>
      </c>
    </row>
    <row r="3396" spans="1:2" x14ac:dyDescent="0.25">
      <c r="A3396" s="15" t="str">
        <f t="shared" si="106"/>
        <v/>
      </c>
      <c r="B3396" s="18" t="str">
        <f t="shared" si="107"/>
        <v/>
      </c>
    </row>
    <row r="3397" spans="1:2" x14ac:dyDescent="0.25">
      <c r="A3397" s="15" t="str">
        <f t="shared" si="106"/>
        <v/>
      </c>
      <c r="B3397" s="18" t="str">
        <f t="shared" si="107"/>
        <v/>
      </c>
    </row>
    <row r="3398" spans="1:2" x14ac:dyDescent="0.25">
      <c r="A3398" s="15" t="str">
        <f t="shared" si="106"/>
        <v/>
      </c>
      <c r="B3398" s="18" t="str">
        <f t="shared" si="107"/>
        <v/>
      </c>
    </row>
    <row r="3399" spans="1:2" x14ac:dyDescent="0.25">
      <c r="A3399" s="15" t="str">
        <f t="shared" si="106"/>
        <v/>
      </c>
      <c r="B3399" s="18" t="str">
        <f t="shared" si="107"/>
        <v/>
      </c>
    </row>
    <row r="3400" spans="1:2" x14ac:dyDescent="0.25">
      <c r="A3400" s="15" t="str">
        <f t="shared" si="106"/>
        <v/>
      </c>
      <c r="B3400" s="18" t="str">
        <f t="shared" si="107"/>
        <v/>
      </c>
    </row>
    <row r="3401" spans="1:2" x14ac:dyDescent="0.25">
      <c r="A3401" s="15" t="str">
        <f t="shared" si="106"/>
        <v/>
      </c>
      <c r="B3401" s="18" t="str">
        <f t="shared" si="107"/>
        <v/>
      </c>
    </row>
    <row r="3402" spans="1:2" x14ac:dyDescent="0.25">
      <c r="A3402" s="15" t="str">
        <f t="shared" si="106"/>
        <v/>
      </c>
      <c r="B3402" s="18" t="str">
        <f t="shared" si="107"/>
        <v/>
      </c>
    </row>
    <row r="3403" spans="1:2" x14ac:dyDescent="0.25">
      <c r="A3403" s="15" t="str">
        <f t="shared" si="106"/>
        <v/>
      </c>
      <c r="B3403" s="18" t="str">
        <f t="shared" si="107"/>
        <v/>
      </c>
    </row>
    <row r="3404" spans="1:2" x14ac:dyDescent="0.25">
      <c r="A3404" s="15" t="str">
        <f t="shared" si="106"/>
        <v/>
      </c>
      <c r="B3404" s="18" t="str">
        <f t="shared" si="107"/>
        <v/>
      </c>
    </row>
    <row r="3405" spans="1:2" x14ac:dyDescent="0.25">
      <c r="A3405" s="15" t="str">
        <f t="shared" si="106"/>
        <v/>
      </c>
      <c r="B3405" s="18" t="str">
        <f t="shared" si="107"/>
        <v/>
      </c>
    </row>
    <row r="3406" spans="1:2" x14ac:dyDescent="0.25">
      <c r="A3406" s="15" t="str">
        <f t="shared" si="106"/>
        <v/>
      </c>
      <c r="B3406" s="18" t="str">
        <f t="shared" si="107"/>
        <v/>
      </c>
    </row>
    <row r="3407" spans="1:2" x14ac:dyDescent="0.25">
      <c r="A3407" s="15" t="str">
        <f t="shared" si="106"/>
        <v/>
      </c>
      <c r="B3407" s="18" t="str">
        <f t="shared" si="107"/>
        <v/>
      </c>
    </row>
    <row r="3408" spans="1:2" x14ac:dyDescent="0.25">
      <c r="A3408" s="15" t="str">
        <f t="shared" si="106"/>
        <v/>
      </c>
      <c r="B3408" s="18" t="str">
        <f t="shared" si="107"/>
        <v/>
      </c>
    </row>
    <row r="3409" spans="1:2" x14ac:dyDescent="0.25">
      <c r="A3409" s="15" t="str">
        <f t="shared" si="106"/>
        <v/>
      </c>
      <c r="B3409" s="18" t="str">
        <f t="shared" si="107"/>
        <v/>
      </c>
    </row>
    <row r="3410" spans="1:2" x14ac:dyDescent="0.25">
      <c r="A3410" s="15" t="str">
        <f t="shared" si="106"/>
        <v/>
      </c>
      <c r="B3410" s="18" t="str">
        <f t="shared" si="107"/>
        <v/>
      </c>
    </row>
    <row r="3411" spans="1:2" x14ac:dyDescent="0.25">
      <c r="A3411" s="15" t="str">
        <f t="shared" si="106"/>
        <v/>
      </c>
      <c r="B3411" s="18" t="str">
        <f t="shared" si="107"/>
        <v/>
      </c>
    </row>
    <row r="3412" spans="1:2" x14ac:dyDescent="0.25">
      <c r="A3412" s="15" t="str">
        <f t="shared" si="106"/>
        <v/>
      </c>
      <c r="B3412" s="18" t="str">
        <f t="shared" si="107"/>
        <v/>
      </c>
    </row>
    <row r="3413" spans="1:2" x14ac:dyDescent="0.25">
      <c r="A3413" s="15" t="str">
        <f t="shared" si="106"/>
        <v/>
      </c>
      <c r="B3413" s="18" t="str">
        <f t="shared" si="107"/>
        <v/>
      </c>
    </row>
    <row r="3414" spans="1:2" x14ac:dyDescent="0.25">
      <c r="A3414" s="15" t="str">
        <f t="shared" si="106"/>
        <v/>
      </c>
      <c r="B3414" s="18" t="str">
        <f t="shared" si="107"/>
        <v/>
      </c>
    </row>
    <row r="3415" spans="1:2" x14ac:dyDescent="0.25">
      <c r="A3415" s="15" t="str">
        <f t="shared" si="106"/>
        <v/>
      </c>
      <c r="B3415" s="18" t="str">
        <f t="shared" si="107"/>
        <v/>
      </c>
    </row>
    <row r="3416" spans="1:2" x14ac:dyDescent="0.25">
      <c r="A3416" s="15" t="str">
        <f t="shared" si="106"/>
        <v/>
      </c>
      <c r="B3416" s="18" t="str">
        <f t="shared" si="107"/>
        <v/>
      </c>
    </row>
    <row r="3417" spans="1:2" x14ac:dyDescent="0.25">
      <c r="A3417" s="15" t="str">
        <f t="shared" si="106"/>
        <v/>
      </c>
      <c r="B3417" s="18" t="str">
        <f t="shared" si="107"/>
        <v/>
      </c>
    </row>
    <row r="3418" spans="1:2" x14ac:dyDescent="0.25">
      <c r="A3418" s="15" t="str">
        <f t="shared" si="106"/>
        <v/>
      </c>
      <c r="B3418" s="18" t="str">
        <f t="shared" si="107"/>
        <v/>
      </c>
    </row>
    <row r="3419" spans="1:2" x14ac:dyDescent="0.25">
      <c r="A3419" s="15" t="str">
        <f t="shared" si="106"/>
        <v/>
      </c>
      <c r="B3419" s="18" t="str">
        <f t="shared" si="107"/>
        <v/>
      </c>
    </row>
    <row r="3420" spans="1:2" x14ac:dyDescent="0.25">
      <c r="A3420" s="15" t="str">
        <f t="shared" si="106"/>
        <v/>
      </c>
      <c r="B3420" s="18" t="str">
        <f t="shared" si="107"/>
        <v/>
      </c>
    </row>
    <row r="3421" spans="1:2" x14ac:dyDescent="0.25">
      <c r="A3421" s="15" t="str">
        <f t="shared" si="106"/>
        <v/>
      </c>
      <c r="B3421" s="18" t="str">
        <f t="shared" si="107"/>
        <v/>
      </c>
    </row>
    <row r="3422" spans="1:2" x14ac:dyDescent="0.25">
      <c r="A3422" s="15" t="str">
        <f t="shared" si="106"/>
        <v/>
      </c>
      <c r="B3422" s="18" t="str">
        <f t="shared" si="107"/>
        <v/>
      </c>
    </row>
    <row r="3423" spans="1:2" x14ac:dyDescent="0.25">
      <c r="A3423" s="15" t="str">
        <f t="shared" si="106"/>
        <v/>
      </c>
      <c r="B3423" s="18" t="str">
        <f t="shared" si="107"/>
        <v/>
      </c>
    </row>
    <row r="3424" spans="1:2" x14ac:dyDescent="0.25">
      <c r="A3424" s="15" t="str">
        <f t="shared" si="106"/>
        <v/>
      </c>
      <c r="B3424" s="18" t="str">
        <f t="shared" si="107"/>
        <v/>
      </c>
    </row>
    <row r="3425" spans="1:2" x14ac:dyDescent="0.25">
      <c r="A3425" s="15" t="str">
        <f t="shared" si="106"/>
        <v/>
      </c>
      <c r="B3425" s="18" t="str">
        <f t="shared" si="107"/>
        <v/>
      </c>
    </row>
    <row r="3426" spans="1:2" x14ac:dyDescent="0.25">
      <c r="A3426" s="15" t="str">
        <f t="shared" si="106"/>
        <v/>
      </c>
      <c r="B3426" s="18" t="str">
        <f t="shared" si="107"/>
        <v/>
      </c>
    </row>
    <row r="3427" spans="1:2" x14ac:dyDescent="0.25">
      <c r="A3427" s="15" t="str">
        <f t="shared" si="106"/>
        <v/>
      </c>
      <c r="B3427" s="18" t="str">
        <f t="shared" si="107"/>
        <v/>
      </c>
    </row>
    <row r="3428" spans="1:2" x14ac:dyDescent="0.25">
      <c r="A3428" s="15" t="str">
        <f t="shared" si="106"/>
        <v/>
      </c>
      <c r="B3428" s="18" t="str">
        <f t="shared" si="107"/>
        <v/>
      </c>
    </row>
    <row r="3429" spans="1:2" x14ac:dyDescent="0.25">
      <c r="A3429" s="15" t="str">
        <f t="shared" si="106"/>
        <v/>
      </c>
      <c r="B3429" s="18" t="str">
        <f t="shared" si="107"/>
        <v/>
      </c>
    </row>
    <row r="3430" spans="1:2" x14ac:dyDescent="0.25">
      <c r="A3430" s="15" t="str">
        <f t="shared" si="106"/>
        <v/>
      </c>
      <c r="B3430" s="18" t="str">
        <f t="shared" si="107"/>
        <v/>
      </c>
    </row>
    <row r="3431" spans="1:2" x14ac:dyDescent="0.25">
      <c r="A3431" s="15" t="str">
        <f t="shared" si="106"/>
        <v/>
      </c>
      <c r="B3431" s="18" t="str">
        <f t="shared" si="107"/>
        <v/>
      </c>
    </row>
    <row r="3432" spans="1:2" x14ac:dyDescent="0.25">
      <c r="A3432" s="15" t="str">
        <f t="shared" si="106"/>
        <v/>
      </c>
      <c r="B3432" s="18" t="str">
        <f t="shared" si="107"/>
        <v/>
      </c>
    </row>
    <row r="3433" spans="1:2" x14ac:dyDescent="0.25">
      <c r="A3433" s="15" t="str">
        <f t="shared" si="106"/>
        <v/>
      </c>
      <c r="B3433" s="18" t="str">
        <f t="shared" si="107"/>
        <v/>
      </c>
    </row>
    <row r="3434" spans="1:2" x14ac:dyDescent="0.25">
      <c r="A3434" s="15" t="str">
        <f t="shared" si="106"/>
        <v/>
      </c>
      <c r="B3434" s="18" t="str">
        <f t="shared" si="107"/>
        <v/>
      </c>
    </row>
    <row r="3435" spans="1:2" x14ac:dyDescent="0.25">
      <c r="A3435" s="15" t="str">
        <f t="shared" si="106"/>
        <v/>
      </c>
      <c r="B3435" s="18" t="str">
        <f t="shared" si="107"/>
        <v/>
      </c>
    </row>
    <row r="3436" spans="1:2" x14ac:dyDescent="0.25">
      <c r="A3436" s="15" t="str">
        <f t="shared" si="106"/>
        <v/>
      </c>
      <c r="B3436" s="18" t="str">
        <f t="shared" si="107"/>
        <v/>
      </c>
    </row>
    <row r="3437" spans="1:2" x14ac:dyDescent="0.25">
      <c r="A3437" s="15" t="str">
        <f t="shared" si="106"/>
        <v/>
      </c>
      <c r="B3437" s="18" t="str">
        <f t="shared" si="107"/>
        <v/>
      </c>
    </row>
    <row r="3438" spans="1:2" x14ac:dyDescent="0.25">
      <c r="A3438" s="15" t="str">
        <f t="shared" si="106"/>
        <v/>
      </c>
      <c r="B3438" s="18" t="str">
        <f t="shared" si="107"/>
        <v/>
      </c>
    </row>
    <row r="3439" spans="1:2" x14ac:dyDescent="0.25">
      <c r="A3439" s="15" t="str">
        <f t="shared" si="106"/>
        <v/>
      </c>
      <c r="B3439" s="18" t="str">
        <f t="shared" si="107"/>
        <v/>
      </c>
    </row>
    <row r="3440" spans="1:2" x14ac:dyDescent="0.25">
      <c r="A3440" s="15" t="str">
        <f t="shared" si="106"/>
        <v/>
      </c>
      <c r="B3440" s="18" t="str">
        <f t="shared" si="107"/>
        <v/>
      </c>
    </row>
    <row r="3441" spans="1:2" x14ac:dyDescent="0.25">
      <c r="A3441" s="15" t="str">
        <f t="shared" si="106"/>
        <v/>
      </c>
      <c r="B3441" s="18" t="str">
        <f t="shared" si="107"/>
        <v/>
      </c>
    </row>
    <row r="3442" spans="1:2" x14ac:dyDescent="0.25">
      <c r="A3442" s="15" t="str">
        <f t="shared" si="106"/>
        <v/>
      </c>
      <c r="B3442" s="18" t="str">
        <f t="shared" si="107"/>
        <v/>
      </c>
    </row>
    <row r="3443" spans="1:2" x14ac:dyDescent="0.25">
      <c r="A3443" s="15" t="str">
        <f t="shared" si="106"/>
        <v/>
      </c>
      <c r="B3443" s="18" t="str">
        <f t="shared" si="107"/>
        <v/>
      </c>
    </row>
    <row r="3444" spans="1:2" x14ac:dyDescent="0.25">
      <c r="A3444" s="15" t="str">
        <f t="shared" si="106"/>
        <v/>
      </c>
      <c r="B3444" s="18" t="str">
        <f t="shared" si="107"/>
        <v/>
      </c>
    </row>
    <row r="3445" spans="1:2" x14ac:dyDescent="0.25">
      <c r="A3445" s="15" t="str">
        <f t="shared" si="106"/>
        <v/>
      </c>
      <c r="B3445" s="18" t="str">
        <f t="shared" si="107"/>
        <v/>
      </c>
    </row>
    <row r="3446" spans="1:2" x14ac:dyDescent="0.25">
      <c r="A3446" s="15" t="str">
        <f t="shared" si="106"/>
        <v/>
      </c>
      <c r="B3446" s="18" t="str">
        <f t="shared" si="107"/>
        <v/>
      </c>
    </row>
    <row r="3447" spans="1:2" x14ac:dyDescent="0.25">
      <c r="A3447" s="15" t="str">
        <f t="shared" si="106"/>
        <v/>
      </c>
      <c r="B3447" s="18" t="str">
        <f t="shared" si="107"/>
        <v/>
      </c>
    </row>
    <row r="3448" spans="1:2" x14ac:dyDescent="0.25">
      <c r="A3448" s="15" t="str">
        <f t="shared" si="106"/>
        <v/>
      </c>
      <c r="B3448" s="18" t="str">
        <f t="shared" si="107"/>
        <v/>
      </c>
    </row>
    <row r="3449" spans="1:2" x14ac:dyDescent="0.25">
      <c r="A3449" s="15" t="str">
        <f t="shared" si="106"/>
        <v/>
      </c>
      <c r="B3449" s="18" t="str">
        <f t="shared" si="107"/>
        <v/>
      </c>
    </row>
    <row r="3450" spans="1:2" x14ac:dyDescent="0.25">
      <c r="A3450" s="15" t="str">
        <f t="shared" si="106"/>
        <v/>
      </c>
      <c r="B3450" s="18" t="str">
        <f t="shared" si="107"/>
        <v/>
      </c>
    </row>
    <row r="3451" spans="1:2" x14ac:dyDescent="0.25">
      <c r="A3451" s="15" t="str">
        <f t="shared" si="106"/>
        <v/>
      </c>
      <c r="B3451" s="18" t="str">
        <f t="shared" si="107"/>
        <v/>
      </c>
    </row>
    <row r="3452" spans="1:2" x14ac:dyDescent="0.25">
      <c r="A3452" s="15" t="str">
        <f t="shared" si="106"/>
        <v/>
      </c>
      <c r="B3452" s="18" t="str">
        <f t="shared" si="107"/>
        <v/>
      </c>
    </row>
    <row r="3453" spans="1:2" x14ac:dyDescent="0.25">
      <c r="A3453" s="15" t="str">
        <f t="shared" si="106"/>
        <v/>
      </c>
      <c r="B3453" s="18" t="str">
        <f t="shared" si="107"/>
        <v/>
      </c>
    </row>
    <row r="3454" spans="1:2" x14ac:dyDescent="0.25">
      <c r="A3454" s="15" t="str">
        <f t="shared" si="106"/>
        <v/>
      </c>
      <c r="B3454" s="18" t="str">
        <f t="shared" si="107"/>
        <v/>
      </c>
    </row>
    <row r="3455" spans="1:2" x14ac:dyDescent="0.25">
      <c r="A3455" s="15" t="str">
        <f t="shared" si="106"/>
        <v/>
      </c>
      <c r="B3455" s="18" t="str">
        <f t="shared" si="107"/>
        <v/>
      </c>
    </row>
    <row r="3456" spans="1:2" x14ac:dyDescent="0.25">
      <c r="A3456" s="15" t="str">
        <f t="shared" si="106"/>
        <v/>
      </c>
      <c r="B3456" s="18" t="str">
        <f t="shared" si="107"/>
        <v/>
      </c>
    </row>
    <row r="3457" spans="1:2" x14ac:dyDescent="0.25">
      <c r="A3457" s="15" t="str">
        <f t="shared" si="106"/>
        <v/>
      </c>
      <c r="B3457" s="18" t="str">
        <f t="shared" si="107"/>
        <v/>
      </c>
    </row>
    <row r="3458" spans="1:2" x14ac:dyDescent="0.25">
      <c r="A3458" s="15" t="str">
        <f t="shared" ref="A3458:A3521" si="108">B3458&amp;C3458</f>
        <v/>
      </c>
      <c r="B3458" s="18" t="str">
        <f t="shared" si="107"/>
        <v/>
      </c>
    </row>
    <row r="3459" spans="1:2" x14ac:dyDescent="0.25">
      <c r="A3459" s="15" t="str">
        <f t="shared" si="108"/>
        <v/>
      </c>
      <c r="B3459" s="18" t="str">
        <f t="shared" ref="B3459:B3522" si="109">IF(C3459="","",B3458)</f>
        <v/>
      </c>
    </row>
    <row r="3460" spans="1:2" x14ac:dyDescent="0.25">
      <c r="A3460" s="15" t="str">
        <f t="shared" si="108"/>
        <v/>
      </c>
      <c r="B3460" s="18" t="str">
        <f t="shared" si="109"/>
        <v/>
      </c>
    </row>
    <row r="3461" spans="1:2" x14ac:dyDescent="0.25">
      <c r="A3461" s="15" t="str">
        <f t="shared" si="108"/>
        <v/>
      </c>
      <c r="B3461" s="18" t="str">
        <f t="shared" si="109"/>
        <v/>
      </c>
    </row>
    <row r="3462" spans="1:2" x14ac:dyDescent="0.25">
      <c r="A3462" s="15" t="str">
        <f t="shared" si="108"/>
        <v/>
      </c>
      <c r="B3462" s="18" t="str">
        <f t="shared" si="109"/>
        <v/>
      </c>
    </row>
    <row r="3463" spans="1:2" x14ac:dyDescent="0.25">
      <c r="A3463" s="15" t="str">
        <f t="shared" si="108"/>
        <v/>
      </c>
      <c r="B3463" s="18" t="str">
        <f t="shared" si="109"/>
        <v/>
      </c>
    </row>
    <row r="3464" spans="1:2" x14ac:dyDescent="0.25">
      <c r="A3464" s="15" t="str">
        <f t="shared" si="108"/>
        <v/>
      </c>
      <c r="B3464" s="18" t="str">
        <f t="shared" si="109"/>
        <v/>
      </c>
    </row>
    <row r="3465" spans="1:2" x14ac:dyDescent="0.25">
      <c r="A3465" s="15" t="str">
        <f t="shared" si="108"/>
        <v/>
      </c>
      <c r="B3465" s="18" t="str">
        <f t="shared" si="109"/>
        <v/>
      </c>
    </row>
    <row r="3466" spans="1:2" x14ac:dyDescent="0.25">
      <c r="A3466" s="15" t="str">
        <f t="shared" si="108"/>
        <v/>
      </c>
      <c r="B3466" s="18" t="str">
        <f t="shared" si="109"/>
        <v/>
      </c>
    </row>
    <row r="3467" spans="1:2" x14ac:dyDescent="0.25">
      <c r="A3467" s="15" t="str">
        <f t="shared" si="108"/>
        <v/>
      </c>
      <c r="B3467" s="18" t="str">
        <f t="shared" si="109"/>
        <v/>
      </c>
    </row>
    <row r="3468" spans="1:2" x14ac:dyDescent="0.25">
      <c r="A3468" s="15" t="str">
        <f t="shared" si="108"/>
        <v/>
      </c>
      <c r="B3468" s="18" t="str">
        <f t="shared" si="109"/>
        <v/>
      </c>
    </row>
    <row r="3469" spans="1:2" x14ac:dyDescent="0.25">
      <c r="A3469" s="15" t="str">
        <f t="shared" si="108"/>
        <v/>
      </c>
      <c r="B3469" s="18" t="str">
        <f t="shared" si="109"/>
        <v/>
      </c>
    </row>
    <row r="3470" spans="1:2" x14ac:dyDescent="0.25">
      <c r="A3470" s="15" t="str">
        <f t="shared" si="108"/>
        <v/>
      </c>
      <c r="B3470" s="18" t="str">
        <f t="shared" si="109"/>
        <v/>
      </c>
    </row>
    <row r="3471" spans="1:2" x14ac:dyDescent="0.25">
      <c r="A3471" s="15" t="str">
        <f t="shared" si="108"/>
        <v/>
      </c>
      <c r="B3471" s="18" t="str">
        <f t="shared" si="109"/>
        <v/>
      </c>
    </row>
    <row r="3472" spans="1:2" x14ac:dyDescent="0.25">
      <c r="A3472" s="15" t="str">
        <f t="shared" si="108"/>
        <v/>
      </c>
      <c r="B3472" s="18" t="str">
        <f t="shared" si="109"/>
        <v/>
      </c>
    </row>
    <row r="3473" spans="1:2" x14ac:dyDescent="0.25">
      <c r="A3473" s="15" t="str">
        <f t="shared" si="108"/>
        <v/>
      </c>
      <c r="B3473" s="18" t="str">
        <f t="shared" si="109"/>
        <v/>
      </c>
    </row>
    <row r="3474" spans="1:2" x14ac:dyDescent="0.25">
      <c r="A3474" s="15" t="str">
        <f t="shared" si="108"/>
        <v/>
      </c>
      <c r="B3474" s="18" t="str">
        <f t="shared" si="109"/>
        <v/>
      </c>
    </row>
    <row r="3475" spans="1:2" x14ac:dyDescent="0.25">
      <c r="A3475" s="15" t="str">
        <f t="shared" si="108"/>
        <v/>
      </c>
      <c r="B3475" s="18" t="str">
        <f t="shared" si="109"/>
        <v/>
      </c>
    </row>
    <row r="3476" spans="1:2" x14ac:dyDescent="0.25">
      <c r="A3476" s="15" t="str">
        <f t="shared" si="108"/>
        <v/>
      </c>
      <c r="B3476" s="18" t="str">
        <f t="shared" si="109"/>
        <v/>
      </c>
    </row>
    <row r="3477" spans="1:2" x14ac:dyDescent="0.25">
      <c r="A3477" s="15" t="str">
        <f t="shared" si="108"/>
        <v/>
      </c>
      <c r="B3477" s="18" t="str">
        <f t="shared" si="109"/>
        <v/>
      </c>
    </row>
    <row r="3478" spans="1:2" x14ac:dyDescent="0.25">
      <c r="A3478" s="15" t="str">
        <f t="shared" si="108"/>
        <v/>
      </c>
      <c r="B3478" s="18" t="str">
        <f t="shared" si="109"/>
        <v/>
      </c>
    </row>
    <row r="3479" spans="1:2" x14ac:dyDescent="0.25">
      <c r="A3479" s="15" t="str">
        <f t="shared" si="108"/>
        <v/>
      </c>
      <c r="B3479" s="18" t="str">
        <f t="shared" si="109"/>
        <v/>
      </c>
    </row>
    <row r="3480" spans="1:2" x14ac:dyDescent="0.25">
      <c r="A3480" s="15" t="str">
        <f t="shared" si="108"/>
        <v/>
      </c>
      <c r="B3480" s="18" t="str">
        <f t="shared" si="109"/>
        <v/>
      </c>
    </row>
    <row r="3481" spans="1:2" x14ac:dyDescent="0.25">
      <c r="A3481" s="15" t="str">
        <f t="shared" si="108"/>
        <v/>
      </c>
      <c r="B3481" s="18" t="str">
        <f t="shared" si="109"/>
        <v/>
      </c>
    </row>
    <row r="3482" spans="1:2" x14ac:dyDescent="0.25">
      <c r="A3482" s="15" t="str">
        <f t="shared" si="108"/>
        <v/>
      </c>
      <c r="B3482" s="18" t="str">
        <f t="shared" si="109"/>
        <v/>
      </c>
    </row>
    <row r="3483" spans="1:2" x14ac:dyDescent="0.25">
      <c r="A3483" s="15" t="str">
        <f t="shared" si="108"/>
        <v/>
      </c>
      <c r="B3483" s="18" t="str">
        <f t="shared" si="109"/>
        <v/>
      </c>
    </row>
    <row r="3484" spans="1:2" x14ac:dyDescent="0.25">
      <c r="A3484" s="15" t="str">
        <f t="shared" si="108"/>
        <v/>
      </c>
      <c r="B3484" s="18" t="str">
        <f t="shared" si="109"/>
        <v/>
      </c>
    </row>
    <row r="3485" spans="1:2" x14ac:dyDescent="0.25">
      <c r="A3485" s="15" t="str">
        <f t="shared" si="108"/>
        <v/>
      </c>
      <c r="B3485" s="18" t="str">
        <f t="shared" si="109"/>
        <v/>
      </c>
    </row>
    <row r="3486" spans="1:2" x14ac:dyDescent="0.25">
      <c r="A3486" s="15" t="str">
        <f t="shared" si="108"/>
        <v/>
      </c>
      <c r="B3486" s="18" t="str">
        <f t="shared" si="109"/>
        <v/>
      </c>
    </row>
    <row r="3487" spans="1:2" x14ac:dyDescent="0.25">
      <c r="A3487" s="15" t="str">
        <f t="shared" si="108"/>
        <v/>
      </c>
      <c r="B3487" s="18" t="str">
        <f t="shared" si="109"/>
        <v/>
      </c>
    </row>
    <row r="3488" spans="1:2" x14ac:dyDescent="0.25">
      <c r="A3488" s="15" t="str">
        <f t="shared" si="108"/>
        <v/>
      </c>
      <c r="B3488" s="18" t="str">
        <f t="shared" si="109"/>
        <v/>
      </c>
    </row>
    <row r="3489" spans="1:2" x14ac:dyDescent="0.25">
      <c r="A3489" s="15" t="str">
        <f t="shared" si="108"/>
        <v/>
      </c>
      <c r="B3489" s="18" t="str">
        <f t="shared" si="109"/>
        <v/>
      </c>
    </row>
    <row r="3490" spans="1:2" x14ac:dyDescent="0.25">
      <c r="A3490" s="15" t="str">
        <f t="shared" si="108"/>
        <v/>
      </c>
      <c r="B3490" s="18" t="str">
        <f t="shared" si="109"/>
        <v/>
      </c>
    </row>
    <row r="3491" spans="1:2" x14ac:dyDescent="0.25">
      <c r="A3491" s="15" t="str">
        <f t="shared" si="108"/>
        <v/>
      </c>
      <c r="B3491" s="18" t="str">
        <f t="shared" si="109"/>
        <v/>
      </c>
    </row>
    <row r="3492" spans="1:2" x14ac:dyDescent="0.25">
      <c r="A3492" s="15" t="str">
        <f t="shared" si="108"/>
        <v/>
      </c>
      <c r="B3492" s="18" t="str">
        <f t="shared" si="109"/>
        <v/>
      </c>
    </row>
    <row r="3493" spans="1:2" x14ac:dyDescent="0.25">
      <c r="A3493" s="15" t="str">
        <f t="shared" si="108"/>
        <v/>
      </c>
      <c r="B3493" s="18" t="str">
        <f t="shared" si="109"/>
        <v/>
      </c>
    </row>
    <row r="3494" spans="1:2" x14ac:dyDescent="0.25">
      <c r="A3494" s="15" t="str">
        <f t="shared" si="108"/>
        <v/>
      </c>
      <c r="B3494" s="18" t="str">
        <f t="shared" si="109"/>
        <v/>
      </c>
    </row>
    <row r="3495" spans="1:2" x14ac:dyDescent="0.25">
      <c r="A3495" s="15" t="str">
        <f t="shared" si="108"/>
        <v/>
      </c>
      <c r="B3495" s="18" t="str">
        <f t="shared" si="109"/>
        <v/>
      </c>
    </row>
    <row r="3496" spans="1:2" x14ac:dyDescent="0.25">
      <c r="A3496" s="15" t="str">
        <f t="shared" si="108"/>
        <v/>
      </c>
      <c r="B3496" s="18" t="str">
        <f t="shared" si="109"/>
        <v/>
      </c>
    </row>
    <row r="3497" spans="1:2" x14ac:dyDescent="0.25">
      <c r="A3497" s="15" t="str">
        <f t="shared" si="108"/>
        <v/>
      </c>
      <c r="B3497" s="18" t="str">
        <f t="shared" si="109"/>
        <v/>
      </c>
    </row>
    <row r="3498" spans="1:2" x14ac:dyDescent="0.25">
      <c r="A3498" s="15" t="str">
        <f t="shared" si="108"/>
        <v/>
      </c>
      <c r="B3498" s="18" t="str">
        <f t="shared" si="109"/>
        <v/>
      </c>
    </row>
    <row r="3499" spans="1:2" x14ac:dyDescent="0.25">
      <c r="A3499" s="15" t="str">
        <f t="shared" si="108"/>
        <v/>
      </c>
      <c r="B3499" s="18" t="str">
        <f t="shared" si="109"/>
        <v/>
      </c>
    </row>
    <row r="3500" spans="1:2" x14ac:dyDescent="0.25">
      <c r="A3500" s="15" t="str">
        <f t="shared" si="108"/>
        <v/>
      </c>
      <c r="B3500" s="18" t="str">
        <f t="shared" si="109"/>
        <v/>
      </c>
    </row>
    <row r="3501" spans="1:2" x14ac:dyDescent="0.25">
      <c r="A3501" s="15" t="str">
        <f t="shared" si="108"/>
        <v/>
      </c>
      <c r="B3501" s="18" t="str">
        <f t="shared" si="109"/>
        <v/>
      </c>
    </row>
    <row r="3502" spans="1:2" x14ac:dyDescent="0.25">
      <c r="A3502" s="15" t="str">
        <f t="shared" si="108"/>
        <v/>
      </c>
      <c r="B3502" s="18" t="str">
        <f t="shared" si="109"/>
        <v/>
      </c>
    </row>
    <row r="3503" spans="1:2" x14ac:dyDescent="0.25">
      <c r="A3503" s="15" t="str">
        <f t="shared" si="108"/>
        <v/>
      </c>
      <c r="B3503" s="18" t="str">
        <f t="shared" si="109"/>
        <v/>
      </c>
    </row>
    <row r="3504" spans="1:2" x14ac:dyDescent="0.25">
      <c r="A3504" s="15" t="str">
        <f t="shared" si="108"/>
        <v/>
      </c>
      <c r="B3504" s="18" t="str">
        <f t="shared" si="109"/>
        <v/>
      </c>
    </row>
    <row r="3505" spans="1:2" x14ac:dyDescent="0.25">
      <c r="A3505" s="15" t="str">
        <f t="shared" si="108"/>
        <v/>
      </c>
      <c r="B3505" s="18" t="str">
        <f t="shared" si="109"/>
        <v/>
      </c>
    </row>
    <row r="3506" spans="1:2" x14ac:dyDescent="0.25">
      <c r="A3506" s="15" t="str">
        <f t="shared" si="108"/>
        <v/>
      </c>
      <c r="B3506" s="18" t="str">
        <f t="shared" si="109"/>
        <v/>
      </c>
    </row>
    <row r="3507" spans="1:2" x14ac:dyDescent="0.25">
      <c r="A3507" s="15" t="str">
        <f t="shared" si="108"/>
        <v/>
      </c>
      <c r="B3507" s="18" t="str">
        <f t="shared" si="109"/>
        <v/>
      </c>
    </row>
    <row r="3508" spans="1:2" x14ac:dyDescent="0.25">
      <c r="A3508" s="15" t="str">
        <f t="shared" si="108"/>
        <v/>
      </c>
      <c r="B3508" s="18" t="str">
        <f t="shared" si="109"/>
        <v/>
      </c>
    </row>
    <row r="3509" spans="1:2" x14ac:dyDescent="0.25">
      <c r="A3509" s="15" t="str">
        <f t="shared" si="108"/>
        <v/>
      </c>
      <c r="B3509" s="18" t="str">
        <f t="shared" si="109"/>
        <v/>
      </c>
    </row>
    <row r="3510" spans="1:2" x14ac:dyDescent="0.25">
      <c r="A3510" s="15" t="str">
        <f t="shared" si="108"/>
        <v/>
      </c>
      <c r="B3510" s="18" t="str">
        <f t="shared" si="109"/>
        <v/>
      </c>
    </row>
    <row r="3511" spans="1:2" x14ac:dyDescent="0.25">
      <c r="A3511" s="15" t="str">
        <f t="shared" si="108"/>
        <v/>
      </c>
      <c r="B3511" s="18" t="str">
        <f t="shared" si="109"/>
        <v/>
      </c>
    </row>
    <row r="3512" spans="1:2" x14ac:dyDescent="0.25">
      <c r="A3512" s="15" t="str">
        <f t="shared" si="108"/>
        <v/>
      </c>
      <c r="B3512" s="18" t="str">
        <f t="shared" si="109"/>
        <v/>
      </c>
    </row>
    <row r="3513" spans="1:2" x14ac:dyDescent="0.25">
      <c r="A3513" s="15" t="str">
        <f t="shared" si="108"/>
        <v/>
      </c>
      <c r="B3513" s="18" t="str">
        <f t="shared" si="109"/>
        <v/>
      </c>
    </row>
    <row r="3514" spans="1:2" x14ac:dyDescent="0.25">
      <c r="A3514" s="15" t="str">
        <f t="shared" si="108"/>
        <v/>
      </c>
      <c r="B3514" s="18" t="str">
        <f t="shared" si="109"/>
        <v/>
      </c>
    </row>
    <row r="3515" spans="1:2" x14ac:dyDescent="0.25">
      <c r="A3515" s="15" t="str">
        <f t="shared" si="108"/>
        <v/>
      </c>
      <c r="B3515" s="18" t="str">
        <f t="shared" si="109"/>
        <v/>
      </c>
    </row>
    <row r="3516" spans="1:2" x14ac:dyDescent="0.25">
      <c r="A3516" s="15" t="str">
        <f t="shared" si="108"/>
        <v/>
      </c>
      <c r="B3516" s="18" t="str">
        <f t="shared" si="109"/>
        <v/>
      </c>
    </row>
    <row r="3517" spans="1:2" x14ac:dyDescent="0.25">
      <c r="A3517" s="15" t="str">
        <f t="shared" si="108"/>
        <v/>
      </c>
      <c r="B3517" s="18" t="str">
        <f t="shared" si="109"/>
        <v/>
      </c>
    </row>
    <row r="3518" spans="1:2" x14ac:dyDescent="0.25">
      <c r="A3518" s="15" t="str">
        <f t="shared" si="108"/>
        <v/>
      </c>
      <c r="B3518" s="18" t="str">
        <f t="shared" si="109"/>
        <v/>
      </c>
    </row>
    <row r="3519" spans="1:2" x14ac:dyDescent="0.25">
      <c r="A3519" s="15" t="str">
        <f t="shared" si="108"/>
        <v/>
      </c>
      <c r="B3519" s="18" t="str">
        <f t="shared" si="109"/>
        <v/>
      </c>
    </row>
    <row r="3520" spans="1:2" x14ac:dyDescent="0.25">
      <c r="A3520" s="15" t="str">
        <f t="shared" si="108"/>
        <v/>
      </c>
      <c r="B3520" s="18" t="str">
        <f t="shared" si="109"/>
        <v/>
      </c>
    </row>
    <row r="3521" spans="1:2" x14ac:dyDescent="0.25">
      <c r="A3521" s="15" t="str">
        <f t="shared" si="108"/>
        <v/>
      </c>
      <c r="B3521" s="18" t="str">
        <f t="shared" si="109"/>
        <v/>
      </c>
    </row>
    <row r="3522" spans="1:2" x14ac:dyDescent="0.25">
      <c r="A3522" s="15" t="str">
        <f t="shared" ref="A3522:A3585" si="110">B3522&amp;C3522</f>
        <v/>
      </c>
      <c r="B3522" s="18" t="str">
        <f t="shared" si="109"/>
        <v/>
      </c>
    </row>
    <row r="3523" spans="1:2" x14ac:dyDescent="0.25">
      <c r="A3523" s="15" t="str">
        <f t="shared" si="110"/>
        <v/>
      </c>
      <c r="B3523" s="18" t="str">
        <f t="shared" ref="B3523:B3586" si="111">IF(C3523="","",B3522)</f>
        <v/>
      </c>
    </row>
    <row r="3524" spans="1:2" x14ac:dyDescent="0.25">
      <c r="A3524" s="15" t="str">
        <f t="shared" si="110"/>
        <v/>
      </c>
      <c r="B3524" s="18" t="str">
        <f t="shared" si="111"/>
        <v/>
      </c>
    </row>
    <row r="3525" spans="1:2" x14ac:dyDescent="0.25">
      <c r="A3525" s="15" t="str">
        <f t="shared" si="110"/>
        <v/>
      </c>
      <c r="B3525" s="18" t="str">
        <f t="shared" si="111"/>
        <v/>
      </c>
    </row>
    <row r="3526" spans="1:2" x14ac:dyDescent="0.25">
      <c r="A3526" s="15" t="str">
        <f t="shared" si="110"/>
        <v/>
      </c>
      <c r="B3526" s="18" t="str">
        <f t="shared" si="111"/>
        <v/>
      </c>
    </row>
    <row r="3527" spans="1:2" x14ac:dyDescent="0.25">
      <c r="A3527" s="15" t="str">
        <f t="shared" si="110"/>
        <v/>
      </c>
      <c r="B3527" s="18" t="str">
        <f t="shared" si="111"/>
        <v/>
      </c>
    </row>
    <row r="3528" spans="1:2" x14ac:dyDescent="0.25">
      <c r="A3528" s="15" t="str">
        <f t="shared" si="110"/>
        <v/>
      </c>
      <c r="B3528" s="18" t="str">
        <f t="shared" si="111"/>
        <v/>
      </c>
    </row>
    <row r="3529" spans="1:2" x14ac:dyDescent="0.25">
      <c r="A3529" s="15" t="str">
        <f t="shared" si="110"/>
        <v/>
      </c>
      <c r="B3529" s="18" t="str">
        <f t="shared" si="111"/>
        <v/>
      </c>
    </row>
    <row r="3530" spans="1:2" x14ac:dyDescent="0.25">
      <c r="A3530" s="15" t="str">
        <f t="shared" si="110"/>
        <v/>
      </c>
      <c r="B3530" s="18" t="str">
        <f t="shared" si="111"/>
        <v/>
      </c>
    </row>
    <row r="3531" spans="1:2" x14ac:dyDescent="0.25">
      <c r="A3531" s="15" t="str">
        <f t="shared" si="110"/>
        <v/>
      </c>
      <c r="B3531" s="18" t="str">
        <f t="shared" si="111"/>
        <v/>
      </c>
    </row>
    <row r="3532" spans="1:2" x14ac:dyDescent="0.25">
      <c r="A3532" s="15" t="str">
        <f t="shared" si="110"/>
        <v/>
      </c>
      <c r="B3532" s="18" t="str">
        <f t="shared" si="111"/>
        <v/>
      </c>
    </row>
    <row r="3533" spans="1:2" x14ac:dyDescent="0.25">
      <c r="A3533" s="15" t="str">
        <f t="shared" si="110"/>
        <v/>
      </c>
      <c r="B3533" s="18" t="str">
        <f t="shared" si="111"/>
        <v/>
      </c>
    </row>
    <row r="3534" spans="1:2" x14ac:dyDescent="0.25">
      <c r="A3534" s="15" t="str">
        <f t="shared" si="110"/>
        <v/>
      </c>
      <c r="B3534" s="18" t="str">
        <f t="shared" si="111"/>
        <v/>
      </c>
    </row>
    <row r="3535" spans="1:2" x14ac:dyDescent="0.25">
      <c r="A3535" s="15" t="str">
        <f t="shared" si="110"/>
        <v/>
      </c>
      <c r="B3535" s="18" t="str">
        <f t="shared" si="111"/>
        <v/>
      </c>
    </row>
    <row r="3536" spans="1:2" x14ac:dyDescent="0.25">
      <c r="A3536" s="15" t="str">
        <f t="shared" si="110"/>
        <v/>
      </c>
      <c r="B3536" s="18" t="str">
        <f t="shared" si="111"/>
        <v/>
      </c>
    </row>
    <row r="3537" spans="1:2" x14ac:dyDescent="0.25">
      <c r="A3537" s="15" t="str">
        <f t="shared" si="110"/>
        <v/>
      </c>
      <c r="B3537" s="18" t="str">
        <f t="shared" si="111"/>
        <v/>
      </c>
    </row>
    <row r="3538" spans="1:2" x14ac:dyDescent="0.25">
      <c r="A3538" s="15" t="str">
        <f t="shared" si="110"/>
        <v/>
      </c>
      <c r="B3538" s="18" t="str">
        <f t="shared" si="111"/>
        <v/>
      </c>
    </row>
    <row r="3539" spans="1:2" x14ac:dyDescent="0.25">
      <c r="A3539" s="15" t="str">
        <f t="shared" si="110"/>
        <v/>
      </c>
      <c r="B3539" s="18" t="str">
        <f t="shared" si="111"/>
        <v/>
      </c>
    </row>
    <row r="3540" spans="1:2" x14ac:dyDescent="0.25">
      <c r="A3540" s="15" t="str">
        <f t="shared" si="110"/>
        <v/>
      </c>
      <c r="B3540" s="18" t="str">
        <f t="shared" si="111"/>
        <v/>
      </c>
    </row>
    <row r="3541" spans="1:2" x14ac:dyDescent="0.25">
      <c r="A3541" s="15" t="str">
        <f t="shared" si="110"/>
        <v/>
      </c>
      <c r="B3541" s="18" t="str">
        <f t="shared" si="111"/>
        <v/>
      </c>
    </row>
    <row r="3542" spans="1:2" x14ac:dyDescent="0.25">
      <c r="A3542" s="15" t="str">
        <f t="shared" si="110"/>
        <v/>
      </c>
      <c r="B3542" s="18" t="str">
        <f t="shared" si="111"/>
        <v/>
      </c>
    </row>
    <row r="3543" spans="1:2" x14ac:dyDescent="0.25">
      <c r="A3543" s="15" t="str">
        <f t="shared" si="110"/>
        <v/>
      </c>
      <c r="B3543" s="18" t="str">
        <f t="shared" si="111"/>
        <v/>
      </c>
    </row>
    <row r="3544" spans="1:2" x14ac:dyDescent="0.25">
      <c r="A3544" s="15" t="str">
        <f t="shared" si="110"/>
        <v/>
      </c>
      <c r="B3544" s="18" t="str">
        <f t="shared" si="111"/>
        <v/>
      </c>
    </row>
    <row r="3545" spans="1:2" x14ac:dyDescent="0.25">
      <c r="A3545" s="15" t="str">
        <f t="shared" si="110"/>
        <v/>
      </c>
      <c r="B3545" s="18" t="str">
        <f t="shared" si="111"/>
        <v/>
      </c>
    </row>
    <row r="3546" spans="1:2" x14ac:dyDescent="0.25">
      <c r="A3546" s="15" t="str">
        <f t="shared" si="110"/>
        <v/>
      </c>
      <c r="B3546" s="18" t="str">
        <f t="shared" si="111"/>
        <v/>
      </c>
    </row>
    <row r="3547" spans="1:2" x14ac:dyDescent="0.25">
      <c r="A3547" s="15" t="str">
        <f t="shared" si="110"/>
        <v/>
      </c>
      <c r="B3547" s="18" t="str">
        <f t="shared" si="111"/>
        <v/>
      </c>
    </row>
    <row r="3548" spans="1:2" x14ac:dyDescent="0.25">
      <c r="A3548" s="15" t="str">
        <f t="shared" si="110"/>
        <v/>
      </c>
      <c r="B3548" s="18" t="str">
        <f t="shared" si="111"/>
        <v/>
      </c>
    </row>
    <row r="3549" spans="1:2" x14ac:dyDescent="0.25">
      <c r="A3549" s="15" t="str">
        <f t="shared" si="110"/>
        <v/>
      </c>
      <c r="B3549" s="18" t="str">
        <f t="shared" si="111"/>
        <v/>
      </c>
    </row>
    <row r="3550" spans="1:2" x14ac:dyDescent="0.25">
      <c r="A3550" s="15" t="str">
        <f t="shared" si="110"/>
        <v/>
      </c>
      <c r="B3550" s="18" t="str">
        <f t="shared" si="111"/>
        <v/>
      </c>
    </row>
    <row r="3551" spans="1:2" x14ac:dyDescent="0.25">
      <c r="A3551" s="15" t="str">
        <f t="shared" si="110"/>
        <v/>
      </c>
      <c r="B3551" s="18" t="str">
        <f t="shared" si="111"/>
        <v/>
      </c>
    </row>
    <row r="3552" spans="1:2" x14ac:dyDescent="0.25">
      <c r="A3552" s="15" t="str">
        <f t="shared" si="110"/>
        <v/>
      </c>
      <c r="B3552" s="18" t="str">
        <f t="shared" si="111"/>
        <v/>
      </c>
    </row>
    <row r="3553" spans="1:2" x14ac:dyDescent="0.25">
      <c r="A3553" s="15" t="str">
        <f t="shared" si="110"/>
        <v/>
      </c>
      <c r="B3553" s="18" t="str">
        <f t="shared" si="111"/>
        <v/>
      </c>
    </row>
    <row r="3554" spans="1:2" x14ac:dyDescent="0.25">
      <c r="A3554" s="15" t="str">
        <f t="shared" si="110"/>
        <v/>
      </c>
      <c r="B3554" s="18" t="str">
        <f t="shared" si="111"/>
        <v/>
      </c>
    </row>
    <row r="3555" spans="1:2" x14ac:dyDescent="0.25">
      <c r="A3555" s="15" t="str">
        <f t="shared" si="110"/>
        <v/>
      </c>
      <c r="B3555" s="18" t="str">
        <f t="shared" si="111"/>
        <v/>
      </c>
    </row>
    <row r="3556" spans="1:2" x14ac:dyDescent="0.25">
      <c r="A3556" s="15" t="str">
        <f t="shared" si="110"/>
        <v/>
      </c>
      <c r="B3556" s="18" t="str">
        <f t="shared" si="111"/>
        <v/>
      </c>
    </row>
    <row r="3557" spans="1:2" x14ac:dyDescent="0.25">
      <c r="A3557" s="15" t="str">
        <f t="shared" si="110"/>
        <v/>
      </c>
      <c r="B3557" s="18" t="str">
        <f t="shared" si="111"/>
        <v/>
      </c>
    </row>
    <row r="3558" spans="1:2" x14ac:dyDescent="0.25">
      <c r="A3558" s="15" t="str">
        <f t="shared" si="110"/>
        <v/>
      </c>
      <c r="B3558" s="18" t="str">
        <f t="shared" si="111"/>
        <v/>
      </c>
    </row>
    <row r="3559" spans="1:2" x14ac:dyDescent="0.25">
      <c r="A3559" s="15" t="str">
        <f t="shared" si="110"/>
        <v/>
      </c>
      <c r="B3559" s="18" t="str">
        <f t="shared" si="111"/>
        <v/>
      </c>
    </row>
    <row r="3560" spans="1:2" x14ac:dyDescent="0.25">
      <c r="A3560" s="15" t="str">
        <f t="shared" si="110"/>
        <v/>
      </c>
      <c r="B3560" s="18" t="str">
        <f t="shared" si="111"/>
        <v/>
      </c>
    </row>
    <row r="3561" spans="1:2" x14ac:dyDescent="0.25">
      <c r="A3561" s="15" t="str">
        <f t="shared" si="110"/>
        <v/>
      </c>
      <c r="B3561" s="18" t="str">
        <f t="shared" si="111"/>
        <v/>
      </c>
    </row>
    <row r="3562" spans="1:2" x14ac:dyDescent="0.25">
      <c r="A3562" s="15" t="str">
        <f t="shared" si="110"/>
        <v/>
      </c>
      <c r="B3562" s="18" t="str">
        <f t="shared" si="111"/>
        <v/>
      </c>
    </row>
    <row r="3563" spans="1:2" x14ac:dyDescent="0.25">
      <c r="A3563" s="15" t="str">
        <f t="shared" si="110"/>
        <v/>
      </c>
      <c r="B3563" s="18" t="str">
        <f t="shared" si="111"/>
        <v/>
      </c>
    </row>
    <row r="3564" spans="1:2" x14ac:dyDescent="0.25">
      <c r="A3564" s="15" t="str">
        <f t="shared" si="110"/>
        <v/>
      </c>
      <c r="B3564" s="18" t="str">
        <f t="shared" si="111"/>
        <v/>
      </c>
    </row>
    <row r="3565" spans="1:2" x14ac:dyDescent="0.25">
      <c r="A3565" s="15" t="str">
        <f t="shared" si="110"/>
        <v/>
      </c>
      <c r="B3565" s="18" t="str">
        <f t="shared" si="111"/>
        <v/>
      </c>
    </row>
    <row r="3566" spans="1:2" x14ac:dyDescent="0.25">
      <c r="A3566" s="15" t="str">
        <f t="shared" si="110"/>
        <v/>
      </c>
      <c r="B3566" s="18" t="str">
        <f t="shared" si="111"/>
        <v/>
      </c>
    </row>
    <row r="3567" spans="1:2" x14ac:dyDescent="0.25">
      <c r="A3567" s="15" t="str">
        <f t="shared" si="110"/>
        <v/>
      </c>
      <c r="B3567" s="18" t="str">
        <f t="shared" si="111"/>
        <v/>
      </c>
    </row>
    <row r="3568" spans="1:2" x14ac:dyDescent="0.25">
      <c r="A3568" s="15" t="str">
        <f t="shared" si="110"/>
        <v/>
      </c>
      <c r="B3568" s="18" t="str">
        <f t="shared" si="111"/>
        <v/>
      </c>
    </row>
    <row r="3569" spans="1:2" x14ac:dyDescent="0.25">
      <c r="A3569" s="15" t="str">
        <f t="shared" si="110"/>
        <v/>
      </c>
      <c r="B3569" s="18" t="str">
        <f t="shared" si="111"/>
        <v/>
      </c>
    </row>
    <row r="3570" spans="1:2" x14ac:dyDescent="0.25">
      <c r="A3570" s="15" t="str">
        <f t="shared" si="110"/>
        <v/>
      </c>
      <c r="B3570" s="18" t="str">
        <f t="shared" si="111"/>
        <v/>
      </c>
    </row>
    <row r="3571" spans="1:2" x14ac:dyDescent="0.25">
      <c r="A3571" s="15" t="str">
        <f t="shared" si="110"/>
        <v/>
      </c>
      <c r="B3571" s="18" t="str">
        <f t="shared" si="111"/>
        <v/>
      </c>
    </row>
    <row r="3572" spans="1:2" x14ac:dyDescent="0.25">
      <c r="A3572" s="15" t="str">
        <f t="shared" si="110"/>
        <v/>
      </c>
      <c r="B3572" s="18" t="str">
        <f t="shared" si="111"/>
        <v/>
      </c>
    </row>
    <row r="3573" spans="1:2" x14ac:dyDescent="0.25">
      <c r="A3573" s="15" t="str">
        <f t="shared" si="110"/>
        <v/>
      </c>
      <c r="B3573" s="18" t="str">
        <f t="shared" si="111"/>
        <v/>
      </c>
    </row>
    <row r="3574" spans="1:2" x14ac:dyDescent="0.25">
      <c r="A3574" s="15" t="str">
        <f t="shared" si="110"/>
        <v/>
      </c>
      <c r="B3574" s="18" t="str">
        <f t="shared" si="111"/>
        <v/>
      </c>
    </row>
    <row r="3575" spans="1:2" x14ac:dyDescent="0.25">
      <c r="A3575" s="15" t="str">
        <f t="shared" si="110"/>
        <v/>
      </c>
      <c r="B3575" s="18" t="str">
        <f t="shared" si="111"/>
        <v/>
      </c>
    </row>
    <row r="3576" spans="1:2" x14ac:dyDescent="0.25">
      <c r="A3576" s="15" t="str">
        <f t="shared" si="110"/>
        <v/>
      </c>
      <c r="B3576" s="18" t="str">
        <f t="shared" si="111"/>
        <v/>
      </c>
    </row>
    <row r="3577" spans="1:2" x14ac:dyDescent="0.25">
      <c r="A3577" s="15" t="str">
        <f t="shared" si="110"/>
        <v/>
      </c>
      <c r="B3577" s="18" t="str">
        <f t="shared" si="111"/>
        <v/>
      </c>
    </row>
    <row r="3578" spans="1:2" x14ac:dyDescent="0.25">
      <c r="A3578" s="15" t="str">
        <f t="shared" si="110"/>
        <v/>
      </c>
      <c r="B3578" s="18" t="str">
        <f t="shared" si="111"/>
        <v/>
      </c>
    </row>
    <row r="3579" spans="1:2" x14ac:dyDescent="0.25">
      <c r="A3579" s="15" t="str">
        <f t="shared" si="110"/>
        <v/>
      </c>
      <c r="B3579" s="18" t="str">
        <f t="shared" si="111"/>
        <v/>
      </c>
    </row>
    <row r="3580" spans="1:2" x14ac:dyDescent="0.25">
      <c r="A3580" s="15" t="str">
        <f t="shared" si="110"/>
        <v/>
      </c>
      <c r="B3580" s="18" t="str">
        <f t="shared" si="111"/>
        <v/>
      </c>
    </row>
    <row r="3581" spans="1:2" x14ac:dyDescent="0.25">
      <c r="A3581" s="15" t="str">
        <f t="shared" si="110"/>
        <v/>
      </c>
      <c r="B3581" s="18" t="str">
        <f t="shared" si="111"/>
        <v/>
      </c>
    </row>
    <row r="3582" spans="1:2" x14ac:dyDescent="0.25">
      <c r="A3582" s="15" t="str">
        <f t="shared" si="110"/>
        <v/>
      </c>
      <c r="B3582" s="18" t="str">
        <f t="shared" si="111"/>
        <v/>
      </c>
    </row>
    <row r="3583" spans="1:2" x14ac:dyDescent="0.25">
      <c r="A3583" s="15" t="str">
        <f t="shared" si="110"/>
        <v/>
      </c>
      <c r="B3583" s="18" t="str">
        <f t="shared" si="111"/>
        <v/>
      </c>
    </row>
    <row r="3584" spans="1:2" x14ac:dyDescent="0.25">
      <c r="A3584" s="15" t="str">
        <f t="shared" si="110"/>
        <v/>
      </c>
      <c r="B3584" s="18" t="str">
        <f t="shared" si="111"/>
        <v/>
      </c>
    </row>
    <row r="3585" spans="1:2" x14ac:dyDescent="0.25">
      <c r="A3585" s="15" t="str">
        <f t="shared" si="110"/>
        <v/>
      </c>
      <c r="B3585" s="18" t="str">
        <f t="shared" si="111"/>
        <v/>
      </c>
    </row>
    <row r="3586" spans="1:2" x14ac:dyDescent="0.25">
      <c r="A3586" s="15" t="str">
        <f t="shared" ref="A3586:A3649" si="112">B3586&amp;C3586</f>
        <v/>
      </c>
      <c r="B3586" s="18" t="str">
        <f t="shared" si="111"/>
        <v/>
      </c>
    </row>
    <row r="3587" spans="1:2" x14ac:dyDescent="0.25">
      <c r="A3587" s="15" t="str">
        <f t="shared" si="112"/>
        <v/>
      </c>
      <c r="B3587" s="18" t="str">
        <f t="shared" ref="B3587:B3650" si="113">IF(C3587="","",B3586)</f>
        <v/>
      </c>
    </row>
    <row r="3588" spans="1:2" x14ac:dyDescent="0.25">
      <c r="A3588" s="15" t="str">
        <f t="shared" si="112"/>
        <v/>
      </c>
      <c r="B3588" s="18" t="str">
        <f t="shared" si="113"/>
        <v/>
      </c>
    </row>
    <row r="3589" spans="1:2" x14ac:dyDescent="0.25">
      <c r="A3589" s="15" t="str">
        <f t="shared" si="112"/>
        <v/>
      </c>
      <c r="B3589" s="18" t="str">
        <f t="shared" si="113"/>
        <v/>
      </c>
    </row>
    <row r="3590" spans="1:2" x14ac:dyDescent="0.25">
      <c r="A3590" s="15" t="str">
        <f t="shared" si="112"/>
        <v/>
      </c>
      <c r="B3590" s="18" t="str">
        <f t="shared" si="113"/>
        <v/>
      </c>
    </row>
    <row r="3591" spans="1:2" x14ac:dyDescent="0.25">
      <c r="A3591" s="15" t="str">
        <f t="shared" si="112"/>
        <v/>
      </c>
      <c r="B3591" s="18" t="str">
        <f t="shared" si="113"/>
        <v/>
      </c>
    </row>
    <row r="3592" spans="1:2" x14ac:dyDescent="0.25">
      <c r="A3592" s="15" t="str">
        <f t="shared" si="112"/>
        <v/>
      </c>
      <c r="B3592" s="18" t="str">
        <f t="shared" si="113"/>
        <v/>
      </c>
    </row>
    <row r="3593" spans="1:2" x14ac:dyDescent="0.25">
      <c r="A3593" s="15" t="str">
        <f t="shared" si="112"/>
        <v/>
      </c>
      <c r="B3593" s="18" t="str">
        <f t="shared" si="113"/>
        <v/>
      </c>
    </row>
    <row r="3594" spans="1:2" x14ac:dyDescent="0.25">
      <c r="A3594" s="15" t="str">
        <f t="shared" si="112"/>
        <v/>
      </c>
      <c r="B3594" s="18" t="str">
        <f t="shared" si="113"/>
        <v/>
      </c>
    </row>
    <row r="3595" spans="1:2" x14ac:dyDescent="0.25">
      <c r="A3595" s="15" t="str">
        <f t="shared" si="112"/>
        <v/>
      </c>
      <c r="B3595" s="18" t="str">
        <f t="shared" si="113"/>
        <v/>
      </c>
    </row>
    <row r="3596" spans="1:2" x14ac:dyDescent="0.25">
      <c r="A3596" s="15" t="str">
        <f t="shared" si="112"/>
        <v/>
      </c>
      <c r="B3596" s="18" t="str">
        <f t="shared" si="113"/>
        <v/>
      </c>
    </row>
    <row r="3597" spans="1:2" x14ac:dyDescent="0.25">
      <c r="A3597" s="15" t="str">
        <f t="shared" si="112"/>
        <v/>
      </c>
      <c r="B3597" s="18" t="str">
        <f t="shared" si="113"/>
        <v/>
      </c>
    </row>
    <row r="3598" spans="1:2" x14ac:dyDescent="0.25">
      <c r="A3598" s="15" t="str">
        <f t="shared" si="112"/>
        <v/>
      </c>
      <c r="B3598" s="18" t="str">
        <f t="shared" si="113"/>
        <v/>
      </c>
    </row>
    <row r="3599" spans="1:2" x14ac:dyDescent="0.25">
      <c r="A3599" s="15" t="str">
        <f t="shared" si="112"/>
        <v/>
      </c>
      <c r="B3599" s="18" t="str">
        <f t="shared" si="113"/>
        <v/>
      </c>
    </row>
    <row r="3600" spans="1:2" x14ac:dyDescent="0.25">
      <c r="A3600" s="15" t="str">
        <f t="shared" si="112"/>
        <v/>
      </c>
      <c r="B3600" s="18" t="str">
        <f t="shared" si="113"/>
        <v/>
      </c>
    </row>
    <row r="3601" spans="1:2" x14ac:dyDescent="0.25">
      <c r="A3601" s="15" t="str">
        <f t="shared" si="112"/>
        <v/>
      </c>
      <c r="B3601" s="18" t="str">
        <f t="shared" si="113"/>
        <v/>
      </c>
    </row>
    <row r="3602" spans="1:2" x14ac:dyDescent="0.25">
      <c r="A3602" s="15" t="str">
        <f t="shared" si="112"/>
        <v/>
      </c>
      <c r="B3602" s="18" t="str">
        <f t="shared" si="113"/>
        <v/>
      </c>
    </row>
    <row r="3603" spans="1:2" x14ac:dyDescent="0.25">
      <c r="A3603" s="15" t="str">
        <f t="shared" si="112"/>
        <v/>
      </c>
      <c r="B3603" s="18" t="str">
        <f t="shared" si="113"/>
        <v/>
      </c>
    </row>
    <row r="3604" spans="1:2" x14ac:dyDescent="0.25">
      <c r="A3604" s="15" t="str">
        <f t="shared" si="112"/>
        <v/>
      </c>
      <c r="B3604" s="18" t="str">
        <f t="shared" si="113"/>
        <v/>
      </c>
    </row>
    <row r="3605" spans="1:2" x14ac:dyDescent="0.25">
      <c r="A3605" s="15" t="str">
        <f t="shared" si="112"/>
        <v/>
      </c>
      <c r="B3605" s="18" t="str">
        <f t="shared" si="113"/>
        <v/>
      </c>
    </row>
    <row r="3606" spans="1:2" x14ac:dyDescent="0.25">
      <c r="A3606" s="15" t="str">
        <f t="shared" si="112"/>
        <v/>
      </c>
      <c r="B3606" s="18" t="str">
        <f t="shared" si="113"/>
        <v/>
      </c>
    </row>
    <row r="3607" spans="1:2" x14ac:dyDescent="0.25">
      <c r="A3607" s="15" t="str">
        <f t="shared" si="112"/>
        <v/>
      </c>
      <c r="B3607" s="18" t="str">
        <f t="shared" si="113"/>
        <v/>
      </c>
    </row>
    <row r="3608" spans="1:2" x14ac:dyDescent="0.25">
      <c r="A3608" s="15" t="str">
        <f t="shared" si="112"/>
        <v/>
      </c>
      <c r="B3608" s="18" t="str">
        <f t="shared" si="113"/>
        <v/>
      </c>
    </row>
    <row r="3609" spans="1:2" x14ac:dyDescent="0.25">
      <c r="A3609" s="15" t="str">
        <f t="shared" si="112"/>
        <v/>
      </c>
      <c r="B3609" s="18" t="str">
        <f t="shared" si="113"/>
        <v/>
      </c>
    </row>
    <row r="3610" spans="1:2" x14ac:dyDescent="0.25">
      <c r="A3610" s="15" t="str">
        <f t="shared" si="112"/>
        <v/>
      </c>
      <c r="B3610" s="18" t="str">
        <f t="shared" si="113"/>
        <v/>
      </c>
    </row>
    <row r="3611" spans="1:2" x14ac:dyDescent="0.25">
      <c r="A3611" s="15" t="str">
        <f t="shared" si="112"/>
        <v/>
      </c>
      <c r="B3611" s="18" t="str">
        <f t="shared" si="113"/>
        <v/>
      </c>
    </row>
    <row r="3612" spans="1:2" x14ac:dyDescent="0.25">
      <c r="A3612" s="15" t="str">
        <f t="shared" si="112"/>
        <v/>
      </c>
      <c r="B3612" s="18" t="str">
        <f t="shared" si="113"/>
        <v/>
      </c>
    </row>
    <row r="3613" spans="1:2" x14ac:dyDescent="0.25">
      <c r="A3613" s="15" t="str">
        <f t="shared" si="112"/>
        <v/>
      </c>
      <c r="B3613" s="18" t="str">
        <f t="shared" si="113"/>
        <v/>
      </c>
    </row>
    <row r="3614" spans="1:2" x14ac:dyDescent="0.25">
      <c r="A3614" s="15" t="str">
        <f t="shared" si="112"/>
        <v/>
      </c>
      <c r="B3614" s="18" t="str">
        <f t="shared" si="113"/>
        <v/>
      </c>
    </row>
    <row r="3615" spans="1:2" x14ac:dyDescent="0.25">
      <c r="A3615" s="15" t="str">
        <f t="shared" si="112"/>
        <v/>
      </c>
      <c r="B3615" s="18" t="str">
        <f t="shared" si="113"/>
        <v/>
      </c>
    </row>
    <row r="3616" spans="1:2" x14ac:dyDescent="0.25">
      <c r="A3616" s="15" t="str">
        <f t="shared" si="112"/>
        <v/>
      </c>
      <c r="B3616" s="18" t="str">
        <f t="shared" si="113"/>
        <v/>
      </c>
    </row>
    <row r="3617" spans="1:2" x14ac:dyDescent="0.25">
      <c r="A3617" s="15" t="str">
        <f t="shared" si="112"/>
        <v/>
      </c>
      <c r="B3617" s="18" t="str">
        <f t="shared" si="113"/>
        <v/>
      </c>
    </row>
    <row r="3618" spans="1:2" x14ac:dyDescent="0.25">
      <c r="A3618" s="15" t="str">
        <f t="shared" si="112"/>
        <v/>
      </c>
      <c r="B3618" s="18" t="str">
        <f t="shared" si="113"/>
        <v/>
      </c>
    </row>
    <row r="3619" spans="1:2" x14ac:dyDescent="0.25">
      <c r="A3619" s="15" t="str">
        <f t="shared" si="112"/>
        <v/>
      </c>
      <c r="B3619" s="18" t="str">
        <f t="shared" si="113"/>
        <v/>
      </c>
    </row>
    <row r="3620" spans="1:2" x14ac:dyDescent="0.25">
      <c r="A3620" s="15" t="str">
        <f t="shared" si="112"/>
        <v/>
      </c>
      <c r="B3620" s="18" t="str">
        <f t="shared" si="113"/>
        <v/>
      </c>
    </row>
    <row r="3621" spans="1:2" x14ac:dyDescent="0.25">
      <c r="A3621" s="15" t="str">
        <f t="shared" si="112"/>
        <v/>
      </c>
      <c r="B3621" s="18" t="str">
        <f t="shared" si="113"/>
        <v/>
      </c>
    </row>
    <row r="3622" spans="1:2" x14ac:dyDescent="0.25">
      <c r="A3622" s="15" t="str">
        <f t="shared" si="112"/>
        <v/>
      </c>
      <c r="B3622" s="18" t="str">
        <f t="shared" si="113"/>
        <v/>
      </c>
    </row>
    <row r="3623" spans="1:2" x14ac:dyDescent="0.25">
      <c r="A3623" s="15" t="str">
        <f t="shared" si="112"/>
        <v/>
      </c>
      <c r="B3623" s="18" t="str">
        <f t="shared" si="113"/>
        <v/>
      </c>
    </row>
    <row r="3624" spans="1:2" x14ac:dyDescent="0.25">
      <c r="A3624" s="15" t="str">
        <f t="shared" si="112"/>
        <v/>
      </c>
      <c r="B3624" s="18" t="str">
        <f t="shared" si="113"/>
        <v/>
      </c>
    </row>
    <row r="3625" spans="1:2" x14ac:dyDescent="0.25">
      <c r="A3625" s="15" t="str">
        <f t="shared" si="112"/>
        <v/>
      </c>
      <c r="B3625" s="18" t="str">
        <f t="shared" si="113"/>
        <v/>
      </c>
    </row>
    <row r="3626" spans="1:2" x14ac:dyDescent="0.25">
      <c r="A3626" s="15" t="str">
        <f t="shared" si="112"/>
        <v/>
      </c>
      <c r="B3626" s="18" t="str">
        <f t="shared" si="113"/>
        <v/>
      </c>
    </row>
    <row r="3627" spans="1:2" x14ac:dyDescent="0.25">
      <c r="A3627" s="15" t="str">
        <f t="shared" si="112"/>
        <v/>
      </c>
      <c r="B3627" s="18" t="str">
        <f t="shared" si="113"/>
        <v/>
      </c>
    </row>
    <row r="3628" spans="1:2" x14ac:dyDescent="0.25">
      <c r="A3628" s="15" t="str">
        <f t="shared" si="112"/>
        <v/>
      </c>
      <c r="B3628" s="18" t="str">
        <f t="shared" si="113"/>
        <v/>
      </c>
    </row>
    <row r="3629" spans="1:2" x14ac:dyDescent="0.25">
      <c r="A3629" s="15" t="str">
        <f t="shared" si="112"/>
        <v/>
      </c>
      <c r="B3629" s="18" t="str">
        <f t="shared" si="113"/>
        <v/>
      </c>
    </row>
    <row r="3630" spans="1:2" x14ac:dyDescent="0.25">
      <c r="A3630" s="15" t="str">
        <f t="shared" si="112"/>
        <v/>
      </c>
      <c r="B3630" s="18" t="str">
        <f t="shared" si="113"/>
        <v/>
      </c>
    </row>
    <row r="3631" spans="1:2" x14ac:dyDescent="0.25">
      <c r="A3631" s="15" t="str">
        <f t="shared" si="112"/>
        <v/>
      </c>
      <c r="B3631" s="18" t="str">
        <f t="shared" si="113"/>
        <v/>
      </c>
    </row>
    <row r="3632" spans="1:2" x14ac:dyDescent="0.25">
      <c r="A3632" s="15" t="str">
        <f t="shared" si="112"/>
        <v/>
      </c>
      <c r="B3632" s="18" t="str">
        <f t="shared" si="113"/>
        <v/>
      </c>
    </row>
    <row r="3633" spans="1:2" x14ac:dyDescent="0.25">
      <c r="A3633" s="15" t="str">
        <f t="shared" si="112"/>
        <v/>
      </c>
      <c r="B3633" s="18" t="str">
        <f t="shared" si="113"/>
        <v/>
      </c>
    </row>
    <row r="3634" spans="1:2" x14ac:dyDescent="0.25">
      <c r="A3634" s="15" t="str">
        <f t="shared" si="112"/>
        <v/>
      </c>
      <c r="B3634" s="18" t="str">
        <f t="shared" si="113"/>
        <v/>
      </c>
    </row>
    <row r="3635" spans="1:2" x14ac:dyDescent="0.25">
      <c r="A3635" s="15" t="str">
        <f t="shared" si="112"/>
        <v/>
      </c>
      <c r="B3635" s="18" t="str">
        <f t="shared" si="113"/>
        <v/>
      </c>
    </row>
    <row r="3636" spans="1:2" x14ac:dyDescent="0.25">
      <c r="A3636" s="15" t="str">
        <f t="shared" si="112"/>
        <v/>
      </c>
      <c r="B3636" s="18" t="str">
        <f t="shared" si="113"/>
        <v/>
      </c>
    </row>
    <row r="3637" spans="1:2" x14ac:dyDescent="0.25">
      <c r="A3637" s="15" t="str">
        <f t="shared" si="112"/>
        <v/>
      </c>
      <c r="B3637" s="18" t="str">
        <f t="shared" si="113"/>
        <v/>
      </c>
    </row>
    <row r="3638" spans="1:2" x14ac:dyDescent="0.25">
      <c r="A3638" s="15" t="str">
        <f t="shared" si="112"/>
        <v/>
      </c>
      <c r="B3638" s="18" t="str">
        <f t="shared" si="113"/>
        <v/>
      </c>
    </row>
    <row r="3639" spans="1:2" x14ac:dyDescent="0.25">
      <c r="A3639" s="15" t="str">
        <f t="shared" si="112"/>
        <v/>
      </c>
      <c r="B3639" s="18" t="str">
        <f t="shared" si="113"/>
        <v/>
      </c>
    </row>
    <row r="3640" spans="1:2" x14ac:dyDescent="0.25">
      <c r="A3640" s="15" t="str">
        <f t="shared" si="112"/>
        <v/>
      </c>
      <c r="B3640" s="18" t="str">
        <f t="shared" si="113"/>
        <v/>
      </c>
    </row>
    <row r="3641" spans="1:2" x14ac:dyDescent="0.25">
      <c r="A3641" s="15" t="str">
        <f t="shared" si="112"/>
        <v/>
      </c>
      <c r="B3641" s="18" t="str">
        <f t="shared" si="113"/>
        <v/>
      </c>
    </row>
    <row r="3642" spans="1:2" x14ac:dyDescent="0.25">
      <c r="A3642" s="15" t="str">
        <f t="shared" si="112"/>
        <v/>
      </c>
      <c r="B3642" s="18" t="str">
        <f t="shared" si="113"/>
        <v/>
      </c>
    </row>
    <row r="3643" spans="1:2" x14ac:dyDescent="0.25">
      <c r="A3643" s="15" t="str">
        <f t="shared" si="112"/>
        <v/>
      </c>
      <c r="B3643" s="18" t="str">
        <f t="shared" si="113"/>
        <v/>
      </c>
    </row>
    <row r="3644" spans="1:2" x14ac:dyDescent="0.25">
      <c r="A3644" s="15" t="str">
        <f t="shared" si="112"/>
        <v/>
      </c>
      <c r="B3644" s="18" t="str">
        <f t="shared" si="113"/>
        <v/>
      </c>
    </row>
    <row r="3645" spans="1:2" x14ac:dyDescent="0.25">
      <c r="A3645" s="15" t="str">
        <f t="shared" si="112"/>
        <v/>
      </c>
      <c r="B3645" s="18" t="str">
        <f t="shared" si="113"/>
        <v/>
      </c>
    </row>
    <row r="3646" spans="1:2" x14ac:dyDescent="0.25">
      <c r="A3646" s="15" t="str">
        <f t="shared" si="112"/>
        <v/>
      </c>
      <c r="B3646" s="18" t="str">
        <f t="shared" si="113"/>
        <v/>
      </c>
    </row>
    <row r="3647" spans="1:2" x14ac:dyDescent="0.25">
      <c r="A3647" s="15" t="str">
        <f t="shared" si="112"/>
        <v/>
      </c>
      <c r="B3647" s="18" t="str">
        <f t="shared" si="113"/>
        <v/>
      </c>
    </row>
    <row r="3648" spans="1:2" x14ac:dyDescent="0.25">
      <c r="A3648" s="15" t="str">
        <f t="shared" si="112"/>
        <v/>
      </c>
      <c r="B3648" s="18" t="str">
        <f t="shared" si="113"/>
        <v/>
      </c>
    </row>
    <row r="3649" spans="1:2" x14ac:dyDescent="0.25">
      <c r="A3649" s="15" t="str">
        <f t="shared" si="112"/>
        <v/>
      </c>
      <c r="B3649" s="18" t="str">
        <f t="shared" si="113"/>
        <v/>
      </c>
    </row>
    <row r="3650" spans="1:2" x14ac:dyDescent="0.25">
      <c r="A3650" s="15" t="str">
        <f t="shared" ref="A3650:A3713" si="114">B3650&amp;C3650</f>
        <v/>
      </c>
      <c r="B3650" s="18" t="str">
        <f t="shared" si="113"/>
        <v/>
      </c>
    </row>
    <row r="3651" spans="1:2" x14ac:dyDescent="0.25">
      <c r="A3651" s="15" t="str">
        <f t="shared" si="114"/>
        <v/>
      </c>
      <c r="B3651" s="18" t="str">
        <f t="shared" ref="B3651:B3714" si="115">IF(C3651="","",B3650)</f>
        <v/>
      </c>
    </row>
    <row r="3652" spans="1:2" x14ac:dyDescent="0.25">
      <c r="A3652" s="15" t="str">
        <f t="shared" si="114"/>
        <v/>
      </c>
      <c r="B3652" s="18" t="str">
        <f t="shared" si="115"/>
        <v/>
      </c>
    </row>
    <row r="3653" spans="1:2" x14ac:dyDescent="0.25">
      <c r="A3653" s="15" t="str">
        <f t="shared" si="114"/>
        <v/>
      </c>
      <c r="B3653" s="18" t="str">
        <f t="shared" si="115"/>
        <v/>
      </c>
    </row>
    <row r="3654" spans="1:2" x14ac:dyDescent="0.25">
      <c r="A3654" s="15" t="str">
        <f t="shared" si="114"/>
        <v/>
      </c>
      <c r="B3654" s="18" t="str">
        <f t="shared" si="115"/>
        <v/>
      </c>
    </row>
    <row r="3655" spans="1:2" x14ac:dyDescent="0.25">
      <c r="A3655" s="15" t="str">
        <f t="shared" si="114"/>
        <v/>
      </c>
      <c r="B3655" s="18" t="str">
        <f t="shared" si="115"/>
        <v/>
      </c>
    </row>
    <row r="3656" spans="1:2" x14ac:dyDescent="0.25">
      <c r="A3656" s="15" t="str">
        <f t="shared" si="114"/>
        <v/>
      </c>
      <c r="B3656" s="18" t="str">
        <f t="shared" si="115"/>
        <v/>
      </c>
    </row>
    <row r="3657" spans="1:2" x14ac:dyDescent="0.25">
      <c r="A3657" s="15" t="str">
        <f t="shared" si="114"/>
        <v/>
      </c>
      <c r="B3657" s="18" t="str">
        <f t="shared" si="115"/>
        <v/>
      </c>
    </row>
    <row r="3658" spans="1:2" x14ac:dyDescent="0.25">
      <c r="A3658" s="15" t="str">
        <f t="shared" si="114"/>
        <v/>
      </c>
      <c r="B3658" s="18" t="str">
        <f t="shared" si="115"/>
        <v/>
      </c>
    </row>
    <row r="3659" spans="1:2" x14ac:dyDescent="0.25">
      <c r="A3659" s="15" t="str">
        <f t="shared" si="114"/>
        <v/>
      </c>
      <c r="B3659" s="18" t="str">
        <f t="shared" si="115"/>
        <v/>
      </c>
    </row>
    <row r="3660" spans="1:2" x14ac:dyDescent="0.25">
      <c r="A3660" s="15" t="str">
        <f t="shared" si="114"/>
        <v/>
      </c>
      <c r="B3660" s="18" t="str">
        <f t="shared" si="115"/>
        <v/>
      </c>
    </row>
    <row r="3661" spans="1:2" x14ac:dyDescent="0.25">
      <c r="A3661" s="15" t="str">
        <f t="shared" si="114"/>
        <v/>
      </c>
      <c r="B3661" s="18" t="str">
        <f t="shared" si="115"/>
        <v/>
      </c>
    </row>
    <row r="3662" spans="1:2" x14ac:dyDescent="0.25">
      <c r="A3662" s="15" t="str">
        <f t="shared" si="114"/>
        <v/>
      </c>
      <c r="B3662" s="18" t="str">
        <f t="shared" si="115"/>
        <v/>
      </c>
    </row>
    <row r="3663" spans="1:2" x14ac:dyDescent="0.25">
      <c r="A3663" s="15" t="str">
        <f t="shared" si="114"/>
        <v/>
      </c>
      <c r="B3663" s="18" t="str">
        <f t="shared" si="115"/>
        <v/>
      </c>
    </row>
    <row r="3664" spans="1:2" x14ac:dyDescent="0.25">
      <c r="A3664" s="15" t="str">
        <f t="shared" si="114"/>
        <v/>
      </c>
      <c r="B3664" s="18" t="str">
        <f t="shared" si="115"/>
        <v/>
      </c>
    </row>
    <row r="3665" spans="1:2" x14ac:dyDescent="0.25">
      <c r="A3665" s="15" t="str">
        <f t="shared" si="114"/>
        <v/>
      </c>
      <c r="B3665" s="18" t="str">
        <f t="shared" si="115"/>
        <v/>
      </c>
    </row>
    <row r="3666" spans="1:2" x14ac:dyDescent="0.25">
      <c r="A3666" s="15" t="str">
        <f t="shared" si="114"/>
        <v/>
      </c>
      <c r="B3666" s="18" t="str">
        <f t="shared" si="115"/>
        <v/>
      </c>
    </row>
    <row r="3667" spans="1:2" x14ac:dyDescent="0.25">
      <c r="A3667" s="15" t="str">
        <f t="shared" si="114"/>
        <v/>
      </c>
      <c r="B3667" s="18" t="str">
        <f t="shared" si="115"/>
        <v/>
      </c>
    </row>
    <row r="3668" spans="1:2" x14ac:dyDescent="0.25">
      <c r="A3668" s="15" t="str">
        <f t="shared" si="114"/>
        <v/>
      </c>
      <c r="B3668" s="18" t="str">
        <f t="shared" si="115"/>
        <v/>
      </c>
    </row>
    <row r="3669" spans="1:2" x14ac:dyDescent="0.25">
      <c r="A3669" s="15" t="str">
        <f t="shared" si="114"/>
        <v/>
      </c>
      <c r="B3669" s="18" t="str">
        <f t="shared" si="115"/>
        <v/>
      </c>
    </row>
    <row r="3670" spans="1:2" x14ac:dyDescent="0.25">
      <c r="A3670" s="15" t="str">
        <f t="shared" si="114"/>
        <v/>
      </c>
      <c r="B3670" s="18" t="str">
        <f t="shared" si="115"/>
        <v/>
      </c>
    </row>
    <row r="3671" spans="1:2" x14ac:dyDescent="0.25">
      <c r="A3671" s="15" t="str">
        <f t="shared" si="114"/>
        <v/>
      </c>
      <c r="B3671" s="18" t="str">
        <f t="shared" si="115"/>
        <v/>
      </c>
    </row>
    <row r="3672" spans="1:2" x14ac:dyDescent="0.25">
      <c r="A3672" s="15" t="str">
        <f t="shared" si="114"/>
        <v/>
      </c>
      <c r="B3672" s="18" t="str">
        <f t="shared" si="115"/>
        <v/>
      </c>
    </row>
    <row r="3673" spans="1:2" x14ac:dyDescent="0.25">
      <c r="A3673" s="15" t="str">
        <f t="shared" si="114"/>
        <v/>
      </c>
      <c r="B3673" s="18" t="str">
        <f t="shared" si="115"/>
        <v/>
      </c>
    </row>
    <row r="3674" spans="1:2" x14ac:dyDescent="0.25">
      <c r="A3674" s="15" t="str">
        <f t="shared" si="114"/>
        <v/>
      </c>
      <c r="B3674" s="18" t="str">
        <f t="shared" si="115"/>
        <v/>
      </c>
    </row>
    <row r="3675" spans="1:2" x14ac:dyDescent="0.25">
      <c r="A3675" s="15" t="str">
        <f t="shared" si="114"/>
        <v/>
      </c>
      <c r="B3675" s="18" t="str">
        <f t="shared" si="115"/>
        <v/>
      </c>
    </row>
    <row r="3676" spans="1:2" x14ac:dyDescent="0.25">
      <c r="A3676" s="15" t="str">
        <f t="shared" si="114"/>
        <v/>
      </c>
      <c r="B3676" s="18" t="str">
        <f t="shared" si="115"/>
        <v/>
      </c>
    </row>
    <row r="3677" spans="1:2" x14ac:dyDescent="0.25">
      <c r="A3677" s="15" t="str">
        <f t="shared" si="114"/>
        <v/>
      </c>
      <c r="B3677" s="18" t="str">
        <f t="shared" si="115"/>
        <v/>
      </c>
    </row>
    <row r="3678" spans="1:2" x14ac:dyDescent="0.25">
      <c r="A3678" s="15" t="str">
        <f t="shared" si="114"/>
        <v/>
      </c>
      <c r="B3678" s="18" t="str">
        <f t="shared" si="115"/>
        <v/>
      </c>
    </row>
    <row r="3679" spans="1:2" x14ac:dyDescent="0.25">
      <c r="A3679" s="15" t="str">
        <f t="shared" si="114"/>
        <v/>
      </c>
      <c r="B3679" s="18" t="str">
        <f t="shared" si="115"/>
        <v/>
      </c>
    </row>
    <row r="3680" spans="1:2" x14ac:dyDescent="0.25">
      <c r="A3680" s="15" t="str">
        <f t="shared" si="114"/>
        <v/>
      </c>
      <c r="B3680" s="18" t="str">
        <f t="shared" si="115"/>
        <v/>
      </c>
    </row>
    <row r="3681" spans="1:2" x14ac:dyDescent="0.25">
      <c r="A3681" s="15" t="str">
        <f t="shared" si="114"/>
        <v/>
      </c>
      <c r="B3681" s="18" t="str">
        <f t="shared" si="115"/>
        <v/>
      </c>
    </row>
    <row r="3682" spans="1:2" x14ac:dyDescent="0.25">
      <c r="A3682" s="15" t="str">
        <f t="shared" si="114"/>
        <v/>
      </c>
      <c r="B3682" s="18" t="str">
        <f t="shared" si="115"/>
        <v/>
      </c>
    </row>
    <row r="3683" spans="1:2" x14ac:dyDescent="0.25">
      <c r="A3683" s="15" t="str">
        <f t="shared" si="114"/>
        <v/>
      </c>
      <c r="B3683" s="18" t="str">
        <f t="shared" si="115"/>
        <v/>
      </c>
    </row>
    <row r="3684" spans="1:2" x14ac:dyDescent="0.25">
      <c r="A3684" s="15" t="str">
        <f t="shared" si="114"/>
        <v/>
      </c>
      <c r="B3684" s="18" t="str">
        <f t="shared" si="115"/>
        <v/>
      </c>
    </row>
    <row r="3685" spans="1:2" x14ac:dyDescent="0.25">
      <c r="A3685" s="15" t="str">
        <f t="shared" si="114"/>
        <v/>
      </c>
      <c r="B3685" s="18" t="str">
        <f t="shared" si="115"/>
        <v/>
      </c>
    </row>
    <row r="3686" spans="1:2" x14ac:dyDescent="0.25">
      <c r="A3686" s="15" t="str">
        <f t="shared" si="114"/>
        <v/>
      </c>
      <c r="B3686" s="18" t="str">
        <f t="shared" si="115"/>
        <v/>
      </c>
    </row>
    <row r="3687" spans="1:2" x14ac:dyDescent="0.25">
      <c r="A3687" s="15" t="str">
        <f t="shared" si="114"/>
        <v/>
      </c>
      <c r="B3687" s="18" t="str">
        <f t="shared" si="115"/>
        <v/>
      </c>
    </row>
    <row r="3688" spans="1:2" x14ac:dyDescent="0.25">
      <c r="A3688" s="15" t="str">
        <f t="shared" si="114"/>
        <v/>
      </c>
      <c r="B3688" s="18" t="str">
        <f t="shared" si="115"/>
        <v/>
      </c>
    </row>
    <row r="3689" spans="1:2" x14ac:dyDescent="0.25">
      <c r="A3689" s="15" t="str">
        <f t="shared" si="114"/>
        <v/>
      </c>
      <c r="B3689" s="18" t="str">
        <f t="shared" si="115"/>
        <v/>
      </c>
    </row>
    <row r="3690" spans="1:2" x14ac:dyDescent="0.25">
      <c r="A3690" s="15" t="str">
        <f t="shared" si="114"/>
        <v/>
      </c>
      <c r="B3690" s="18" t="str">
        <f t="shared" si="115"/>
        <v/>
      </c>
    </row>
    <row r="3691" spans="1:2" x14ac:dyDescent="0.25">
      <c r="A3691" s="15" t="str">
        <f t="shared" si="114"/>
        <v/>
      </c>
      <c r="B3691" s="18" t="str">
        <f t="shared" si="115"/>
        <v/>
      </c>
    </row>
    <row r="3692" spans="1:2" x14ac:dyDescent="0.25">
      <c r="A3692" s="15" t="str">
        <f t="shared" si="114"/>
        <v/>
      </c>
      <c r="B3692" s="18" t="str">
        <f t="shared" si="115"/>
        <v/>
      </c>
    </row>
    <row r="3693" spans="1:2" x14ac:dyDescent="0.25">
      <c r="A3693" s="15" t="str">
        <f t="shared" si="114"/>
        <v/>
      </c>
      <c r="B3693" s="18" t="str">
        <f t="shared" si="115"/>
        <v/>
      </c>
    </row>
    <row r="3694" spans="1:2" x14ac:dyDescent="0.25">
      <c r="A3694" s="15" t="str">
        <f t="shared" si="114"/>
        <v/>
      </c>
      <c r="B3694" s="18" t="str">
        <f t="shared" si="115"/>
        <v/>
      </c>
    </row>
    <row r="3695" spans="1:2" x14ac:dyDescent="0.25">
      <c r="A3695" s="15" t="str">
        <f t="shared" si="114"/>
        <v/>
      </c>
      <c r="B3695" s="18" t="str">
        <f t="shared" si="115"/>
        <v/>
      </c>
    </row>
    <row r="3696" spans="1:2" x14ac:dyDescent="0.25">
      <c r="A3696" s="15" t="str">
        <f t="shared" si="114"/>
        <v/>
      </c>
      <c r="B3696" s="18" t="str">
        <f t="shared" si="115"/>
        <v/>
      </c>
    </row>
    <row r="3697" spans="1:2" x14ac:dyDescent="0.25">
      <c r="A3697" s="15" t="str">
        <f t="shared" si="114"/>
        <v/>
      </c>
      <c r="B3697" s="18" t="str">
        <f t="shared" si="115"/>
        <v/>
      </c>
    </row>
    <row r="3698" spans="1:2" x14ac:dyDescent="0.25">
      <c r="A3698" s="15" t="str">
        <f t="shared" si="114"/>
        <v/>
      </c>
      <c r="B3698" s="18" t="str">
        <f t="shared" si="115"/>
        <v/>
      </c>
    </row>
    <row r="3699" spans="1:2" x14ac:dyDescent="0.25">
      <c r="A3699" s="15" t="str">
        <f t="shared" si="114"/>
        <v/>
      </c>
      <c r="B3699" s="18" t="str">
        <f t="shared" si="115"/>
        <v/>
      </c>
    </row>
    <row r="3700" spans="1:2" x14ac:dyDescent="0.25">
      <c r="A3700" s="15" t="str">
        <f t="shared" si="114"/>
        <v/>
      </c>
      <c r="B3700" s="18" t="str">
        <f t="shared" si="115"/>
        <v/>
      </c>
    </row>
    <row r="3701" spans="1:2" x14ac:dyDescent="0.25">
      <c r="A3701" s="15" t="str">
        <f t="shared" si="114"/>
        <v/>
      </c>
      <c r="B3701" s="18" t="str">
        <f t="shared" si="115"/>
        <v/>
      </c>
    </row>
    <row r="3702" spans="1:2" x14ac:dyDescent="0.25">
      <c r="A3702" s="15" t="str">
        <f t="shared" si="114"/>
        <v/>
      </c>
      <c r="B3702" s="18" t="str">
        <f t="shared" si="115"/>
        <v/>
      </c>
    </row>
    <row r="3703" spans="1:2" x14ac:dyDescent="0.25">
      <c r="A3703" s="15" t="str">
        <f t="shared" si="114"/>
        <v/>
      </c>
      <c r="B3703" s="18" t="str">
        <f t="shared" si="115"/>
        <v/>
      </c>
    </row>
    <row r="3704" spans="1:2" x14ac:dyDescent="0.25">
      <c r="A3704" s="15" t="str">
        <f t="shared" si="114"/>
        <v/>
      </c>
      <c r="B3704" s="18" t="str">
        <f t="shared" si="115"/>
        <v/>
      </c>
    </row>
    <row r="3705" spans="1:2" x14ac:dyDescent="0.25">
      <c r="A3705" s="15" t="str">
        <f t="shared" si="114"/>
        <v/>
      </c>
      <c r="B3705" s="18" t="str">
        <f t="shared" si="115"/>
        <v/>
      </c>
    </row>
    <row r="3706" spans="1:2" x14ac:dyDescent="0.25">
      <c r="A3706" s="15" t="str">
        <f t="shared" si="114"/>
        <v/>
      </c>
      <c r="B3706" s="18" t="str">
        <f t="shared" si="115"/>
        <v/>
      </c>
    </row>
    <row r="3707" spans="1:2" x14ac:dyDescent="0.25">
      <c r="A3707" s="15" t="str">
        <f t="shared" si="114"/>
        <v/>
      </c>
      <c r="B3707" s="18" t="str">
        <f t="shared" si="115"/>
        <v/>
      </c>
    </row>
    <row r="3708" spans="1:2" x14ac:dyDescent="0.25">
      <c r="A3708" s="15" t="str">
        <f t="shared" si="114"/>
        <v/>
      </c>
      <c r="B3708" s="18" t="str">
        <f t="shared" si="115"/>
        <v/>
      </c>
    </row>
    <row r="3709" spans="1:2" x14ac:dyDescent="0.25">
      <c r="A3709" s="15" t="str">
        <f t="shared" si="114"/>
        <v/>
      </c>
      <c r="B3709" s="18" t="str">
        <f t="shared" si="115"/>
        <v/>
      </c>
    </row>
    <row r="3710" spans="1:2" x14ac:dyDescent="0.25">
      <c r="A3710" s="15" t="str">
        <f t="shared" si="114"/>
        <v/>
      </c>
      <c r="B3710" s="18" t="str">
        <f t="shared" si="115"/>
        <v/>
      </c>
    </row>
    <row r="3711" spans="1:2" x14ac:dyDescent="0.25">
      <c r="A3711" s="15" t="str">
        <f t="shared" si="114"/>
        <v/>
      </c>
      <c r="B3711" s="18" t="str">
        <f t="shared" si="115"/>
        <v/>
      </c>
    </row>
    <row r="3712" spans="1:2" x14ac:dyDescent="0.25">
      <c r="A3712" s="15" t="str">
        <f t="shared" si="114"/>
        <v/>
      </c>
      <c r="B3712" s="18" t="str">
        <f t="shared" si="115"/>
        <v/>
      </c>
    </row>
    <row r="3713" spans="1:2" x14ac:dyDescent="0.25">
      <c r="A3713" s="15" t="str">
        <f t="shared" si="114"/>
        <v/>
      </c>
      <c r="B3713" s="18" t="str">
        <f t="shared" si="115"/>
        <v/>
      </c>
    </row>
    <row r="3714" spans="1:2" x14ac:dyDescent="0.25">
      <c r="A3714" s="15" t="str">
        <f t="shared" ref="A3714:A3777" si="116">B3714&amp;C3714</f>
        <v/>
      </c>
      <c r="B3714" s="18" t="str">
        <f t="shared" si="115"/>
        <v/>
      </c>
    </row>
    <row r="3715" spans="1:2" x14ac:dyDescent="0.25">
      <c r="A3715" s="15" t="str">
        <f t="shared" si="116"/>
        <v/>
      </c>
      <c r="B3715" s="18" t="str">
        <f t="shared" ref="B3715:B3778" si="117">IF(C3715="","",B3714)</f>
        <v/>
      </c>
    </row>
    <row r="3716" spans="1:2" x14ac:dyDescent="0.25">
      <c r="A3716" s="15" t="str">
        <f t="shared" si="116"/>
        <v/>
      </c>
      <c r="B3716" s="18" t="str">
        <f t="shared" si="117"/>
        <v/>
      </c>
    </row>
    <row r="3717" spans="1:2" x14ac:dyDescent="0.25">
      <c r="A3717" s="15" t="str">
        <f t="shared" si="116"/>
        <v/>
      </c>
      <c r="B3717" s="18" t="str">
        <f t="shared" si="117"/>
        <v/>
      </c>
    </row>
    <row r="3718" spans="1:2" x14ac:dyDescent="0.25">
      <c r="A3718" s="15" t="str">
        <f t="shared" si="116"/>
        <v/>
      </c>
      <c r="B3718" s="18" t="str">
        <f t="shared" si="117"/>
        <v/>
      </c>
    </row>
    <row r="3719" spans="1:2" x14ac:dyDescent="0.25">
      <c r="A3719" s="15" t="str">
        <f t="shared" si="116"/>
        <v/>
      </c>
      <c r="B3719" s="18" t="str">
        <f t="shared" si="117"/>
        <v/>
      </c>
    </row>
    <row r="3720" spans="1:2" x14ac:dyDescent="0.25">
      <c r="A3720" s="15" t="str">
        <f t="shared" si="116"/>
        <v/>
      </c>
      <c r="B3720" s="18" t="str">
        <f t="shared" si="117"/>
        <v/>
      </c>
    </row>
    <row r="3721" spans="1:2" x14ac:dyDescent="0.25">
      <c r="A3721" s="15" t="str">
        <f t="shared" si="116"/>
        <v/>
      </c>
      <c r="B3721" s="18" t="str">
        <f t="shared" si="117"/>
        <v/>
      </c>
    </row>
    <row r="3722" spans="1:2" x14ac:dyDescent="0.25">
      <c r="A3722" s="15" t="str">
        <f t="shared" si="116"/>
        <v/>
      </c>
      <c r="B3722" s="18" t="str">
        <f t="shared" si="117"/>
        <v/>
      </c>
    </row>
    <row r="3723" spans="1:2" x14ac:dyDescent="0.25">
      <c r="A3723" s="15" t="str">
        <f t="shared" si="116"/>
        <v/>
      </c>
      <c r="B3723" s="18" t="str">
        <f t="shared" si="117"/>
        <v/>
      </c>
    </row>
    <row r="3724" spans="1:2" x14ac:dyDescent="0.25">
      <c r="A3724" s="15" t="str">
        <f t="shared" si="116"/>
        <v/>
      </c>
      <c r="B3724" s="18" t="str">
        <f t="shared" si="117"/>
        <v/>
      </c>
    </row>
    <row r="3725" spans="1:2" x14ac:dyDescent="0.25">
      <c r="A3725" s="15" t="str">
        <f t="shared" si="116"/>
        <v/>
      </c>
      <c r="B3725" s="18" t="str">
        <f t="shared" si="117"/>
        <v/>
      </c>
    </row>
    <row r="3726" spans="1:2" x14ac:dyDescent="0.25">
      <c r="A3726" s="15" t="str">
        <f t="shared" si="116"/>
        <v/>
      </c>
      <c r="B3726" s="18" t="str">
        <f t="shared" si="117"/>
        <v/>
      </c>
    </row>
    <row r="3727" spans="1:2" x14ac:dyDescent="0.25">
      <c r="A3727" s="15" t="str">
        <f t="shared" si="116"/>
        <v/>
      </c>
      <c r="B3727" s="18" t="str">
        <f t="shared" si="117"/>
        <v/>
      </c>
    </row>
    <row r="3728" spans="1:2" x14ac:dyDescent="0.25">
      <c r="A3728" s="15" t="str">
        <f t="shared" si="116"/>
        <v/>
      </c>
      <c r="B3728" s="18" t="str">
        <f t="shared" si="117"/>
        <v/>
      </c>
    </row>
    <row r="3729" spans="1:2" x14ac:dyDescent="0.25">
      <c r="A3729" s="15" t="str">
        <f t="shared" si="116"/>
        <v/>
      </c>
      <c r="B3729" s="18" t="str">
        <f t="shared" si="117"/>
        <v/>
      </c>
    </row>
    <row r="3730" spans="1:2" x14ac:dyDescent="0.25">
      <c r="A3730" s="15" t="str">
        <f t="shared" si="116"/>
        <v/>
      </c>
      <c r="B3730" s="18" t="str">
        <f t="shared" si="117"/>
        <v/>
      </c>
    </row>
    <row r="3731" spans="1:2" x14ac:dyDescent="0.25">
      <c r="A3731" s="15" t="str">
        <f t="shared" si="116"/>
        <v/>
      </c>
      <c r="B3731" s="18" t="str">
        <f t="shared" si="117"/>
        <v/>
      </c>
    </row>
    <row r="3732" spans="1:2" x14ac:dyDescent="0.25">
      <c r="A3732" s="15" t="str">
        <f t="shared" si="116"/>
        <v/>
      </c>
      <c r="B3732" s="18" t="str">
        <f t="shared" si="117"/>
        <v/>
      </c>
    </row>
    <row r="3733" spans="1:2" x14ac:dyDescent="0.25">
      <c r="A3733" s="15" t="str">
        <f t="shared" si="116"/>
        <v/>
      </c>
      <c r="B3733" s="18" t="str">
        <f t="shared" si="117"/>
        <v/>
      </c>
    </row>
    <row r="3734" spans="1:2" x14ac:dyDescent="0.25">
      <c r="A3734" s="15" t="str">
        <f t="shared" si="116"/>
        <v/>
      </c>
      <c r="B3734" s="18" t="str">
        <f t="shared" si="117"/>
        <v/>
      </c>
    </row>
    <row r="3735" spans="1:2" x14ac:dyDescent="0.25">
      <c r="A3735" s="15" t="str">
        <f t="shared" si="116"/>
        <v/>
      </c>
      <c r="B3735" s="18" t="str">
        <f t="shared" si="117"/>
        <v/>
      </c>
    </row>
    <row r="3736" spans="1:2" x14ac:dyDescent="0.25">
      <c r="A3736" s="15" t="str">
        <f t="shared" si="116"/>
        <v/>
      </c>
      <c r="B3736" s="18" t="str">
        <f t="shared" si="117"/>
        <v/>
      </c>
    </row>
    <row r="3737" spans="1:2" x14ac:dyDescent="0.25">
      <c r="A3737" s="15" t="str">
        <f t="shared" si="116"/>
        <v/>
      </c>
      <c r="B3737" s="18" t="str">
        <f t="shared" si="117"/>
        <v/>
      </c>
    </row>
    <row r="3738" spans="1:2" x14ac:dyDescent="0.25">
      <c r="A3738" s="15" t="str">
        <f t="shared" si="116"/>
        <v/>
      </c>
      <c r="B3738" s="18" t="str">
        <f t="shared" si="117"/>
        <v/>
      </c>
    </row>
    <row r="3739" spans="1:2" x14ac:dyDescent="0.25">
      <c r="A3739" s="15" t="str">
        <f t="shared" si="116"/>
        <v/>
      </c>
      <c r="B3739" s="18" t="str">
        <f t="shared" si="117"/>
        <v/>
      </c>
    </row>
    <row r="3740" spans="1:2" x14ac:dyDescent="0.25">
      <c r="A3740" s="15" t="str">
        <f t="shared" si="116"/>
        <v/>
      </c>
      <c r="B3740" s="18" t="str">
        <f t="shared" si="117"/>
        <v/>
      </c>
    </row>
    <row r="3741" spans="1:2" x14ac:dyDescent="0.25">
      <c r="A3741" s="15" t="str">
        <f t="shared" si="116"/>
        <v/>
      </c>
      <c r="B3741" s="18" t="str">
        <f t="shared" si="117"/>
        <v/>
      </c>
    </row>
    <row r="3742" spans="1:2" x14ac:dyDescent="0.25">
      <c r="A3742" s="15" t="str">
        <f t="shared" si="116"/>
        <v/>
      </c>
      <c r="B3742" s="18" t="str">
        <f t="shared" si="117"/>
        <v/>
      </c>
    </row>
    <row r="3743" spans="1:2" x14ac:dyDescent="0.25">
      <c r="A3743" s="15" t="str">
        <f t="shared" si="116"/>
        <v/>
      </c>
      <c r="B3743" s="18" t="str">
        <f t="shared" si="117"/>
        <v/>
      </c>
    </row>
    <row r="3744" spans="1:2" x14ac:dyDescent="0.25">
      <c r="A3744" s="15" t="str">
        <f t="shared" si="116"/>
        <v/>
      </c>
      <c r="B3744" s="18" t="str">
        <f t="shared" si="117"/>
        <v/>
      </c>
    </row>
    <row r="3745" spans="1:2" x14ac:dyDescent="0.25">
      <c r="A3745" s="15" t="str">
        <f t="shared" si="116"/>
        <v/>
      </c>
      <c r="B3745" s="18" t="str">
        <f t="shared" si="117"/>
        <v/>
      </c>
    </row>
    <row r="3746" spans="1:2" x14ac:dyDescent="0.25">
      <c r="A3746" s="15" t="str">
        <f t="shared" si="116"/>
        <v/>
      </c>
      <c r="B3746" s="18" t="str">
        <f t="shared" si="117"/>
        <v/>
      </c>
    </row>
    <row r="3747" spans="1:2" x14ac:dyDescent="0.25">
      <c r="A3747" s="15" t="str">
        <f t="shared" si="116"/>
        <v/>
      </c>
      <c r="B3747" s="18" t="str">
        <f t="shared" si="117"/>
        <v/>
      </c>
    </row>
    <row r="3748" spans="1:2" x14ac:dyDescent="0.25">
      <c r="A3748" s="15" t="str">
        <f t="shared" si="116"/>
        <v/>
      </c>
      <c r="B3748" s="18" t="str">
        <f t="shared" si="117"/>
        <v/>
      </c>
    </row>
    <row r="3749" spans="1:2" x14ac:dyDescent="0.25">
      <c r="A3749" s="15" t="str">
        <f t="shared" si="116"/>
        <v/>
      </c>
      <c r="B3749" s="18" t="str">
        <f t="shared" si="117"/>
        <v/>
      </c>
    </row>
    <row r="3750" spans="1:2" x14ac:dyDescent="0.25">
      <c r="A3750" s="15" t="str">
        <f t="shared" si="116"/>
        <v/>
      </c>
      <c r="B3750" s="18" t="str">
        <f t="shared" si="117"/>
        <v/>
      </c>
    </row>
    <row r="3751" spans="1:2" x14ac:dyDescent="0.25">
      <c r="A3751" s="15" t="str">
        <f t="shared" si="116"/>
        <v/>
      </c>
      <c r="B3751" s="18" t="str">
        <f t="shared" si="117"/>
        <v/>
      </c>
    </row>
    <row r="3752" spans="1:2" x14ac:dyDescent="0.25">
      <c r="A3752" s="15" t="str">
        <f t="shared" si="116"/>
        <v/>
      </c>
      <c r="B3752" s="18" t="str">
        <f t="shared" si="117"/>
        <v/>
      </c>
    </row>
    <row r="3753" spans="1:2" x14ac:dyDescent="0.25">
      <c r="A3753" s="15" t="str">
        <f t="shared" si="116"/>
        <v/>
      </c>
      <c r="B3753" s="18" t="str">
        <f t="shared" si="117"/>
        <v/>
      </c>
    </row>
    <row r="3754" spans="1:2" x14ac:dyDescent="0.25">
      <c r="A3754" s="15" t="str">
        <f t="shared" si="116"/>
        <v/>
      </c>
      <c r="B3754" s="18" t="str">
        <f t="shared" si="117"/>
        <v/>
      </c>
    </row>
    <row r="3755" spans="1:2" x14ac:dyDescent="0.25">
      <c r="A3755" s="15" t="str">
        <f t="shared" si="116"/>
        <v/>
      </c>
      <c r="B3755" s="18" t="str">
        <f t="shared" si="117"/>
        <v/>
      </c>
    </row>
    <row r="3756" spans="1:2" x14ac:dyDescent="0.25">
      <c r="A3756" s="15" t="str">
        <f t="shared" si="116"/>
        <v/>
      </c>
      <c r="B3756" s="18" t="str">
        <f t="shared" si="117"/>
        <v/>
      </c>
    </row>
    <row r="3757" spans="1:2" x14ac:dyDescent="0.25">
      <c r="A3757" s="15" t="str">
        <f t="shared" si="116"/>
        <v/>
      </c>
      <c r="B3757" s="18" t="str">
        <f t="shared" si="117"/>
        <v/>
      </c>
    </row>
    <row r="3758" spans="1:2" x14ac:dyDescent="0.25">
      <c r="A3758" s="15" t="str">
        <f t="shared" si="116"/>
        <v/>
      </c>
      <c r="B3758" s="18" t="str">
        <f t="shared" si="117"/>
        <v/>
      </c>
    </row>
    <row r="3759" spans="1:2" x14ac:dyDescent="0.25">
      <c r="A3759" s="15" t="str">
        <f t="shared" si="116"/>
        <v/>
      </c>
      <c r="B3759" s="18" t="str">
        <f t="shared" si="117"/>
        <v/>
      </c>
    </row>
    <row r="3760" spans="1:2" x14ac:dyDescent="0.25">
      <c r="A3760" s="15" t="str">
        <f t="shared" si="116"/>
        <v/>
      </c>
      <c r="B3760" s="18" t="str">
        <f t="shared" si="117"/>
        <v/>
      </c>
    </row>
    <row r="3761" spans="1:2" x14ac:dyDescent="0.25">
      <c r="A3761" s="15" t="str">
        <f t="shared" si="116"/>
        <v/>
      </c>
      <c r="B3761" s="18" t="str">
        <f t="shared" si="117"/>
        <v/>
      </c>
    </row>
    <row r="3762" spans="1:2" x14ac:dyDescent="0.25">
      <c r="A3762" s="15" t="str">
        <f t="shared" si="116"/>
        <v/>
      </c>
      <c r="B3762" s="18" t="str">
        <f t="shared" si="117"/>
        <v/>
      </c>
    </row>
    <row r="3763" spans="1:2" x14ac:dyDescent="0.25">
      <c r="A3763" s="15" t="str">
        <f t="shared" si="116"/>
        <v/>
      </c>
      <c r="B3763" s="18" t="str">
        <f t="shared" si="117"/>
        <v/>
      </c>
    </row>
    <row r="3764" spans="1:2" x14ac:dyDescent="0.25">
      <c r="A3764" s="15" t="str">
        <f t="shared" si="116"/>
        <v/>
      </c>
      <c r="B3764" s="18" t="str">
        <f t="shared" si="117"/>
        <v/>
      </c>
    </row>
    <row r="3765" spans="1:2" x14ac:dyDescent="0.25">
      <c r="A3765" s="15" t="str">
        <f t="shared" si="116"/>
        <v/>
      </c>
      <c r="B3765" s="18" t="str">
        <f t="shared" si="117"/>
        <v/>
      </c>
    </row>
    <row r="3766" spans="1:2" x14ac:dyDescent="0.25">
      <c r="A3766" s="15" t="str">
        <f t="shared" si="116"/>
        <v/>
      </c>
      <c r="B3766" s="18" t="str">
        <f t="shared" si="117"/>
        <v/>
      </c>
    </row>
    <row r="3767" spans="1:2" x14ac:dyDescent="0.25">
      <c r="A3767" s="15" t="str">
        <f t="shared" si="116"/>
        <v/>
      </c>
      <c r="B3767" s="18" t="str">
        <f t="shared" si="117"/>
        <v/>
      </c>
    </row>
    <row r="3768" spans="1:2" x14ac:dyDescent="0.25">
      <c r="A3768" s="15" t="str">
        <f t="shared" si="116"/>
        <v/>
      </c>
      <c r="B3768" s="18" t="str">
        <f t="shared" si="117"/>
        <v/>
      </c>
    </row>
    <row r="3769" spans="1:2" x14ac:dyDescent="0.25">
      <c r="A3769" s="15" t="str">
        <f t="shared" si="116"/>
        <v/>
      </c>
      <c r="B3769" s="18" t="str">
        <f t="shared" si="117"/>
        <v/>
      </c>
    </row>
    <row r="3770" spans="1:2" x14ac:dyDescent="0.25">
      <c r="A3770" s="15" t="str">
        <f t="shared" si="116"/>
        <v/>
      </c>
      <c r="B3770" s="18" t="str">
        <f t="shared" si="117"/>
        <v/>
      </c>
    </row>
    <row r="3771" spans="1:2" x14ac:dyDescent="0.25">
      <c r="A3771" s="15" t="str">
        <f t="shared" si="116"/>
        <v/>
      </c>
      <c r="B3771" s="18" t="str">
        <f t="shared" si="117"/>
        <v/>
      </c>
    </row>
    <row r="3772" spans="1:2" x14ac:dyDescent="0.25">
      <c r="A3772" s="15" t="str">
        <f t="shared" si="116"/>
        <v/>
      </c>
      <c r="B3772" s="18" t="str">
        <f t="shared" si="117"/>
        <v/>
      </c>
    </row>
    <row r="3773" spans="1:2" x14ac:dyDescent="0.25">
      <c r="A3773" s="15" t="str">
        <f t="shared" si="116"/>
        <v/>
      </c>
      <c r="B3773" s="18" t="str">
        <f t="shared" si="117"/>
        <v/>
      </c>
    </row>
    <row r="3774" spans="1:2" x14ac:dyDescent="0.25">
      <c r="A3774" s="15" t="str">
        <f t="shared" si="116"/>
        <v/>
      </c>
      <c r="B3774" s="18" t="str">
        <f t="shared" si="117"/>
        <v/>
      </c>
    </row>
    <row r="3775" spans="1:2" x14ac:dyDescent="0.25">
      <c r="A3775" s="15" t="str">
        <f t="shared" si="116"/>
        <v/>
      </c>
      <c r="B3775" s="18" t="str">
        <f t="shared" si="117"/>
        <v/>
      </c>
    </row>
    <row r="3776" spans="1:2" x14ac:dyDescent="0.25">
      <c r="A3776" s="15" t="str">
        <f t="shared" si="116"/>
        <v/>
      </c>
      <c r="B3776" s="18" t="str">
        <f t="shared" si="117"/>
        <v/>
      </c>
    </row>
    <row r="3777" spans="1:2" x14ac:dyDescent="0.25">
      <c r="A3777" s="15" t="str">
        <f t="shared" si="116"/>
        <v/>
      </c>
      <c r="B3777" s="18" t="str">
        <f t="shared" si="117"/>
        <v/>
      </c>
    </row>
    <row r="3778" spans="1:2" x14ac:dyDescent="0.25">
      <c r="A3778" s="15" t="str">
        <f t="shared" ref="A3778:A3841" si="118">B3778&amp;C3778</f>
        <v/>
      </c>
      <c r="B3778" s="18" t="str">
        <f t="shared" si="117"/>
        <v/>
      </c>
    </row>
    <row r="3779" spans="1:2" x14ac:dyDescent="0.25">
      <c r="A3779" s="15" t="str">
        <f t="shared" si="118"/>
        <v/>
      </c>
      <c r="B3779" s="18" t="str">
        <f t="shared" ref="B3779:B3842" si="119">IF(C3779="","",B3778)</f>
        <v/>
      </c>
    </row>
    <row r="3780" spans="1:2" x14ac:dyDescent="0.25">
      <c r="A3780" s="15" t="str">
        <f t="shared" si="118"/>
        <v/>
      </c>
      <c r="B3780" s="18" t="str">
        <f t="shared" si="119"/>
        <v/>
      </c>
    </row>
    <row r="3781" spans="1:2" x14ac:dyDescent="0.25">
      <c r="A3781" s="15" t="str">
        <f t="shared" si="118"/>
        <v/>
      </c>
      <c r="B3781" s="18" t="str">
        <f t="shared" si="119"/>
        <v/>
      </c>
    </row>
    <row r="3782" spans="1:2" x14ac:dyDescent="0.25">
      <c r="A3782" s="15" t="str">
        <f t="shared" si="118"/>
        <v/>
      </c>
      <c r="B3782" s="18" t="str">
        <f t="shared" si="119"/>
        <v/>
      </c>
    </row>
    <row r="3783" spans="1:2" x14ac:dyDescent="0.25">
      <c r="A3783" s="15" t="str">
        <f t="shared" si="118"/>
        <v/>
      </c>
      <c r="B3783" s="18" t="str">
        <f t="shared" si="119"/>
        <v/>
      </c>
    </row>
    <row r="3784" spans="1:2" x14ac:dyDescent="0.25">
      <c r="A3784" s="15" t="str">
        <f t="shared" si="118"/>
        <v/>
      </c>
      <c r="B3784" s="18" t="str">
        <f t="shared" si="119"/>
        <v/>
      </c>
    </row>
    <row r="3785" spans="1:2" x14ac:dyDescent="0.25">
      <c r="A3785" s="15" t="str">
        <f t="shared" si="118"/>
        <v/>
      </c>
      <c r="B3785" s="18" t="str">
        <f t="shared" si="119"/>
        <v/>
      </c>
    </row>
    <row r="3786" spans="1:2" x14ac:dyDescent="0.25">
      <c r="A3786" s="15" t="str">
        <f t="shared" si="118"/>
        <v/>
      </c>
      <c r="B3786" s="18" t="str">
        <f t="shared" si="119"/>
        <v/>
      </c>
    </row>
    <row r="3787" spans="1:2" x14ac:dyDescent="0.25">
      <c r="A3787" s="15" t="str">
        <f t="shared" si="118"/>
        <v/>
      </c>
      <c r="B3787" s="18" t="str">
        <f t="shared" si="119"/>
        <v/>
      </c>
    </row>
    <row r="3788" spans="1:2" x14ac:dyDescent="0.25">
      <c r="A3788" s="15" t="str">
        <f t="shared" si="118"/>
        <v/>
      </c>
      <c r="B3788" s="18" t="str">
        <f t="shared" si="119"/>
        <v/>
      </c>
    </row>
    <row r="3789" spans="1:2" x14ac:dyDescent="0.25">
      <c r="A3789" s="15" t="str">
        <f t="shared" si="118"/>
        <v/>
      </c>
      <c r="B3789" s="18" t="str">
        <f t="shared" si="119"/>
        <v/>
      </c>
    </row>
    <row r="3790" spans="1:2" x14ac:dyDescent="0.25">
      <c r="A3790" s="15" t="str">
        <f t="shared" si="118"/>
        <v/>
      </c>
      <c r="B3790" s="18" t="str">
        <f t="shared" si="119"/>
        <v/>
      </c>
    </row>
    <row r="3791" spans="1:2" x14ac:dyDescent="0.25">
      <c r="A3791" s="15" t="str">
        <f t="shared" si="118"/>
        <v/>
      </c>
      <c r="B3791" s="18" t="str">
        <f t="shared" si="119"/>
        <v/>
      </c>
    </row>
    <row r="3792" spans="1:2" x14ac:dyDescent="0.25">
      <c r="A3792" s="15" t="str">
        <f t="shared" si="118"/>
        <v/>
      </c>
      <c r="B3792" s="18" t="str">
        <f t="shared" si="119"/>
        <v/>
      </c>
    </row>
    <row r="3793" spans="1:2" x14ac:dyDescent="0.25">
      <c r="A3793" s="15" t="str">
        <f t="shared" si="118"/>
        <v/>
      </c>
      <c r="B3793" s="18" t="str">
        <f t="shared" si="119"/>
        <v/>
      </c>
    </row>
    <row r="3794" spans="1:2" x14ac:dyDescent="0.25">
      <c r="A3794" s="15" t="str">
        <f t="shared" si="118"/>
        <v/>
      </c>
      <c r="B3794" s="18" t="str">
        <f t="shared" si="119"/>
        <v/>
      </c>
    </row>
    <row r="3795" spans="1:2" x14ac:dyDescent="0.25">
      <c r="A3795" s="15" t="str">
        <f t="shared" si="118"/>
        <v/>
      </c>
      <c r="B3795" s="18" t="str">
        <f t="shared" si="119"/>
        <v/>
      </c>
    </row>
    <row r="3796" spans="1:2" x14ac:dyDescent="0.25">
      <c r="A3796" s="15" t="str">
        <f t="shared" si="118"/>
        <v/>
      </c>
      <c r="B3796" s="18" t="str">
        <f t="shared" si="119"/>
        <v/>
      </c>
    </row>
    <row r="3797" spans="1:2" x14ac:dyDescent="0.25">
      <c r="A3797" s="15" t="str">
        <f t="shared" si="118"/>
        <v/>
      </c>
      <c r="B3797" s="18" t="str">
        <f t="shared" si="119"/>
        <v/>
      </c>
    </row>
    <row r="3798" spans="1:2" x14ac:dyDescent="0.25">
      <c r="A3798" s="15" t="str">
        <f t="shared" si="118"/>
        <v/>
      </c>
      <c r="B3798" s="18" t="str">
        <f t="shared" si="119"/>
        <v/>
      </c>
    </row>
    <row r="3799" spans="1:2" x14ac:dyDescent="0.25">
      <c r="A3799" s="15" t="str">
        <f t="shared" si="118"/>
        <v/>
      </c>
      <c r="B3799" s="18" t="str">
        <f t="shared" si="119"/>
        <v/>
      </c>
    </row>
    <row r="3800" spans="1:2" x14ac:dyDescent="0.25">
      <c r="A3800" s="15" t="str">
        <f t="shared" si="118"/>
        <v/>
      </c>
      <c r="B3800" s="18" t="str">
        <f t="shared" si="119"/>
        <v/>
      </c>
    </row>
    <row r="3801" spans="1:2" x14ac:dyDescent="0.25">
      <c r="A3801" s="15" t="str">
        <f t="shared" si="118"/>
        <v/>
      </c>
      <c r="B3801" s="18" t="str">
        <f t="shared" si="119"/>
        <v/>
      </c>
    </row>
    <row r="3802" spans="1:2" x14ac:dyDescent="0.25">
      <c r="A3802" s="15" t="str">
        <f t="shared" si="118"/>
        <v/>
      </c>
      <c r="B3802" s="18" t="str">
        <f t="shared" si="119"/>
        <v/>
      </c>
    </row>
    <row r="3803" spans="1:2" x14ac:dyDescent="0.25">
      <c r="A3803" s="15" t="str">
        <f t="shared" si="118"/>
        <v/>
      </c>
      <c r="B3803" s="18" t="str">
        <f t="shared" si="119"/>
        <v/>
      </c>
    </row>
    <row r="3804" spans="1:2" x14ac:dyDescent="0.25">
      <c r="A3804" s="15" t="str">
        <f t="shared" si="118"/>
        <v/>
      </c>
      <c r="B3804" s="18" t="str">
        <f t="shared" si="119"/>
        <v/>
      </c>
    </row>
    <row r="3805" spans="1:2" x14ac:dyDescent="0.25">
      <c r="A3805" s="15" t="str">
        <f t="shared" si="118"/>
        <v/>
      </c>
      <c r="B3805" s="18" t="str">
        <f t="shared" si="119"/>
        <v/>
      </c>
    </row>
    <row r="3806" spans="1:2" x14ac:dyDescent="0.25">
      <c r="A3806" s="15" t="str">
        <f t="shared" si="118"/>
        <v/>
      </c>
      <c r="B3806" s="18" t="str">
        <f t="shared" si="119"/>
        <v/>
      </c>
    </row>
    <row r="3807" spans="1:2" x14ac:dyDescent="0.25">
      <c r="A3807" s="15" t="str">
        <f t="shared" si="118"/>
        <v/>
      </c>
      <c r="B3807" s="18" t="str">
        <f t="shared" si="119"/>
        <v/>
      </c>
    </row>
    <row r="3808" spans="1:2" x14ac:dyDescent="0.25">
      <c r="A3808" s="15" t="str">
        <f t="shared" si="118"/>
        <v/>
      </c>
      <c r="B3808" s="18" t="str">
        <f t="shared" si="119"/>
        <v/>
      </c>
    </row>
    <row r="3809" spans="1:2" x14ac:dyDescent="0.25">
      <c r="A3809" s="15" t="str">
        <f t="shared" si="118"/>
        <v/>
      </c>
      <c r="B3809" s="18" t="str">
        <f t="shared" si="119"/>
        <v/>
      </c>
    </row>
    <row r="3810" spans="1:2" x14ac:dyDescent="0.25">
      <c r="A3810" s="15" t="str">
        <f t="shared" si="118"/>
        <v/>
      </c>
      <c r="B3810" s="18" t="str">
        <f t="shared" si="119"/>
        <v/>
      </c>
    </row>
    <row r="3811" spans="1:2" x14ac:dyDescent="0.25">
      <c r="A3811" s="15" t="str">
        <f t="shared" si="118"/>
        <v/>
      </c>
      <c r="B3811" s="18" t="str">
        <f t="shared" si="119"/>
        <v/>
      </c>
    </row>
    <row r="3812" spans="1:2" x14ac:dyDescent="0.25">
      <c r="A3812" s="15" t="str">
        <f t="shared" si="118"/>
        <v/>
      </c>
      <c r="B3812" s="18" t="str">
        <f t="shared" si="119"/>
        <v/>
      </c>
    </row>
    <row r="3813" spans="1:2" x14ac:dyDescent="0.25">
      <c r="A3813" s="15" t="str">
        <f t="shared" si="118"/>
        <v/>
      </c>
      <c r="B3813" s="18" t="str">
        <f t="shared" si="119"/>
        <v/>
      </c>
    </row>
    <row r="3814" spans="1:2" x14ac:dyDescent="0.25">
      <c r="A3814" s="15" t="str">
        <f t="shared" si="118"/>
        <v/>
      </c>
      <c r="B3814" s="18" t="str">
        <f t="shared" si="119"/>
        <v/>
      </c>
    </row>
    <row r="3815" spans="1:2" x14ac:dyDescent="0.25">
      <c r="A3815" s="15" t="str">
        <f t="shared" si="118"/>
        <v/>
      </c>
      <c r="B3815" s="18" t="str">
        <f t="shared" si="119"/>
        <v/>
      </c>
    </row>
    <row r="3816" spans="1:2" x14ac:dyDescent="0.25">
      <c r="A3816" s="15" t="str">
        <f t="shared" si="118"/>
        <v/>
      </c>
      <c r="B3816" s="18" t="str">
        <f t="shared" si="119"/>
        <v/>
      </c>
    </row>
    <row r="3817" spans="1:2" x14ac:dyDescent="0.25">
      <c r="A3817" s="15" t="str">
        <f t="shared" si="118"/>
        <v/>
      </c>
      <c r="B3817" s="18" t="str">
        <f t="shared" si="119"/>
        <v/>
      </c>
    </row>
    <row r="3818" spans="1:2" x14ac:dyDescent="0.25">
      <c r="A3818" s="15" t="str">
        <f t="shared" si="118"/>
        <v/>
      </c>
      <c r="B3818" s="18" t="str">
        <f t="shared" si="119"/>
        <v/>
      </c>
    </row>
    <row r="3819" spans="1:2" x14ac:dyDescent="0.25">
      <c r="A3819" s="15" t="str">
        <f t="shared" si="118"/>
        <v/>
      </c>
      <c r="B3819" s="18" t="str">
        <f t="shared" si="119"/>
        <v/>
      </c>
    </row>
    <row r="3820" spans="1:2" x14ac:dyDescent="0.25">
      <c r="A3820" s="15" t="str">
        <f t="shared" si="118"/>
        <v/>
      </c>
      <c r="B3820" s="18" t="str">
        <f t="shared" si="119"/>
        <v/>
      </c>
    </row>
    <row r="3821" spans="1:2" x14ac:dyDescent="0.25">
      <c r="A3821" s="15" t="str">
        <f t="shared" si="118"/>
        <v/>
      </c>
      <c r="B3821" s="18" t="str">
        <f t="shared" si="119"/>
        <v/>
      </c>
    </row>
    <row r="3822" spans="1:2" x14ac:dyDescent="0.25">
      <c r="A3822" s="15" t="str">
        <f t="shared" si="118"/>
        <v/>
      </c>
      <c r="B3822" s="18" t="str">
        <f t="shared" si="119"/>
        <v/>
      </c>
    </row>
    <row r="3823" spans="1:2" x14ac:dyDescent="0.25">
      <c r="A3823" s="15" t="str">
        <f t="shared" si="118"/>
        <v/>
      </c>
      <c r="B3823" s="18" t="str">
        <f t="shared" si="119"/>
        <v/>
      </c>
    </row>
    <row r="3824" spans="1:2" x14ac:dyDescent="0.25">
      <c r="A3824" s="15" t="str">
        <f t="shared" si="118"/>
        <v/>
      </c>
      <c r="B3824" s="18" t="str">
        <f t="shared" si="119"/>
        <v/>
      </c>
    </row>
    <row r="3825" spans="1:2" x14ac:dyDescent="0.25">
      <c r="A3825" s="15" t="str">
        <f t="shared" si="118"/>
        <v/>
      </c>
      <c r="B3825" s="18" t="str">
        <f t="shared" si="119"/>
        <v/>
      </c>
    </row>
    <row r="3826" spans="1:2" x14ac:dyDescent="0.25">
      <c r="A3826" s="15" t="str">
        <f t="shared" si="118"/>
        <v/>
      </c>
      <c r="B3826" s="18" t="str">
        <f t="shared" si="119"/>
        <v/>
      </c>
    </row>
    <row r="3827" spans="1:2" x14ac:dyDescent="0.25">
      <c r="A3827" s="15" t="str">
        <f t="shared" si="118"/>
        <v/>
      </c>
      <c r="B3827" s="18" t="str">
        <f t="shared" si="119"/>
        <v/>
      </c>
    </row>
    <row r="3828" spans="1:2" x14ac:dyDescent="0.25">
      <c r="A3828" s="15" t="str">
        <f t="shared" si="118"/>
        <v/>
      </c>
      <c r="B3828" s="18" t="str">
        <f t="shared" si="119"/>
        <v/>
      </c>
    </row>
    <row r="3829" spans="1:2" x14ac:dyDescent="0.25">
      <c r="A3829" s="15" t="str">
        <f t="shared" si="118"/>
        <v/>
      </c>
      <c r="B3829" s="18" t="str">
        <f t="shared" si="119"/>
        <v/>
      </c>
    </row>
    <row r="3830" spans="1:2" x14ac:dyDescent="0.25">
      <c r="A3830" s="15" t="str">
        <f t="shared" si="118"/>
        <v/>
      </c>
      <c r="B3830" s="18" t="str">
        <f t="shared" si="119"/>
        <v/>
      </c>
    </row>
    <row r="3831" spans="1:2" x14ac:dyDescent="0.25">
      <c r="A3831" s="15" t="str">
        <f t="shared" si="118"/>
        <v/>
      </c>
      <c r="B3831" s="18" t="str">
        <f t="shared" si="119"/>
        <v/>
      </c>
    </row>
    <row r="3832" spans="1:2" x14ac:dyDescent="0.25">
      <c r="A3832" s="15" t="str">
        <f t="shared" si="118"/>
        <v/>
      </c>
      <c r="B3832" s="18" t="str">
        <f t="shared" si="119"/>
        <v/>
      </c>
    </row>
    <row r="3833" spans="1:2" x14ac:dyDescent="0.25">
      <c r="A3833" s="15" t="str">
        <f t="shared" si="118"/>
        <v/>
      </c>
      <c r="B3833" s="18" t="str">
        <f t="shared" si="119"/>
        <v/>
      </c>
    </row>
    <row r="3834" spans="1:2" x14ac:dyDescent="0.25">
      <c r="A3834" s="15" t="str">
        <f t="shared" si="118"/>
        <v/>
      </c>
      <c r="B3834" s="18" t="str">
        <f t="shared" si="119"/>
        <v/>
      </c>
    </row>
    <row r="3835" spans="1:2" x14ac:dyDescent="0.25">
      <c r="A3835" s="15" t="str">
        <f t="shared" si="118"/>
        <v/>
      </c>
      <c r="B3835" s="18" t="str">
        <f t="shared" si="119"/>
        <v/>
      </c>
    </row>
    <row r="3836" spans="1:2" x14ac:dyDescent="0.25">
      <c r="A3836" s="15" t="str">
        <f t="shared" si="118"/>
        <v/>
      </c>
      <c r="B3836" s="18" t="str">
        <f t="shared" si="119"/>
        <v/>
      </c>
    </row>
    <row r="3837" spans="1:2" x14ac:dyDescent="0.25">
      <c r="A3837" s="15" t="str">
        <f t="shared" si="118"/>
        <v/>
      </c>
      <c r="B3837" s="18" t="str">
        <f t="shared" si="119"/>
        <v/>
      </c>
    </row>
    <row r="3838" spans="1:2" x14ac:dyDescent="0.25">
      <c r="A3838" s="15" t="str">
        <f t="shared" si="118"/>
        <v/>
      </c>
      <c r="B3838" s="18" t="str">
        <f t="shared" si="119"/>
        <v/>
      </c>
    </row>
    <row r="3839" spans="1:2" x14ac:dyDescent="0.25">
      <c r="A3839" s="15" t="str">
        <f t="shared" si="118"/>
        <v/>
      </c>
      <c r="B3839" s="18" t="str">
        <f t="shared" si="119"/>
        <v/>
      </c>
    </row>
    <row r="3840" spans="1:2" x14ac:dyDescent="0.25">
      <c r="A3840" s="15" t="str">
        <f t="shared" si="118"/>
        <v/>
      </c>
      <c r="B3840" s="18" t="str">
        <f t="shared" si="119"/>
        <v/>
      </c>
    </row>
    <row r="3841" spans="1:2" x14ac:dyDescent="0.25">
      <c r="A3841" s="15" t="str">
        <f t="shared" si="118"/>
        <v/>
      </c>
      <c r="B3841" s="18" t="str">
        <f t="shared" si="119"/>
        <v/>
      </c>
    </row>
    <row r="3842" spans="1:2" x14ac:dyDescent="0.25">
      <c r="A3842" s="15" t="str">
        <f t="shared" ref="A3842:A3905" si="120">B3842&amp;C3842</f>
        <v/>
      </c>
      <c r="B3842" s="18" t="str">
        <f t="shared" si="119"/>
        <v/>
      </c>
    </row>
    <row r="3843" spans="1:2" x14ac:dyDescent="0.25">
      <c r="A3843" s="15" t="str">
        <f t="shared" si="120"/>
        <v/>
      </c>
      <c r="B3843" s="18" t="str">
        <f t="shared" ref="B3843:B3906" si="121">IF(C3843="","",B3842)</f>
        <v/>
      </c>
    </row>
    <row r="3844" spans="1:2" x14ac:dyDescent="0.25">
      <c r="A3844" s="15" t="str">
        <f t="shared" si="120"/>
        <v/>
      </c>
      <c r="B3844" s="18" t="str">
        <f t="shared" si="121"/>
        <v/>
      </c>
    </row>
    <row r="3845" spans="1:2" x14ac:dyDescent="0.25">
      <c r="A3845" s="15" t="str">
        <f t="shared" si="120"/>
        <v/>
      </c>
      <c r="B3845" s="18" t="str">
        <f t="shared" si="121"/>
        <v/>
      </c>
    </row>
    <row r="3846" spans="1:2" x14ac:dyDescent="0.25">
      <c r="A3846" s="15" t="str">
        <f t="shared" si="120"/>
        <v/>
      </c>
      <c r="B3846" s="18" t="str">
        <f t="shared" si="121"/>
        <v/>
      </c>
    </row>
    <row r="3847" spans="1:2" x14ac:dyDescent="0.25">
      <c r="A3847" s="15" t="str">
        <f t="shared" si="120"/>
        <v/>
      </c>
      <c r="B3847" s="18" t="str">
        <f t="shared" si="121"/>
        <v/>
      </c>
    </row>
    <row r="3848" spans="1:2" x14ac:dyDescent="0.25">
      <c r="A3848" s="15" t="str">
        <f t="shared" si="120"/>
        <v/>
      </c>
      <c r="B3848" s="18" t="str">
        <f t="shared" si="121"/>
        <v/>
      </c>
    </row>
    <row r="3849" spans="1:2" x14ac:dyDescent="0.25">
      <c r="A3849" s="15" t="str">
        <f t="shared" si="120"/>
        <v/>
      </c>
      <c r="B3849" s="18" t="str">
        <f t="shared" si="121"/>
        <v/>
      </c>
    </row>
    <row r="3850" spans="1:2" x14ac:dyDescent="0.25">
      <c r="A3850" s="15" t="str">
        <f t="shared" si="120"/>
        <v/>
      </c>
      <c r="B3850" s="18" t="str">
        <f t="shared" si="121"/>
        <v/>
      </c>
    </row>
    <row r="3851" spans="1:2" x14ac:dyDescent="0.25">
      <c r="A3851" s="15" t="str">
        <f t="shared" si="120"/>
        <v/>
      </c>
      <c r="B3851" s="18" t="str">
        <f t="shared" si="121"/>
        <v/>
      </c>
    </row>
    <row r="3852" spans="1:2" x14ac:dyDescent="0.25">
      <c r="A3852" s="15" t="str">
        <f t="shared" si="120"/>
        <v/>
      </c>
      <c r="B3852" s="18" t="str">
        <f t="shared" si="121"/>
        <v/>
      </c>
    </row>
    <row r="3853" spans="1:2" x14ac:dyDescent="0.25">
      <c r="A3853" s="15" t="str">
        <f t="shared" si="120"/>
        <v/>
      </c>
      <c r="B3853" s="18" t="str">
        <f t="shared" si="121"/>
        <v/>
      </c>
    </row>
    <row r="3854" spans="1:2" x14ac:dyDescent="0.25">
      <c r="A3854" s="15" t="str">
        <f t="shared" si="120"/>
        <v/>
      </c>
      <c r="B3854" s="18" t="str">
        <f t="shared" si="121"/>
        <v/>
      </c>
    </row>
    <row r="3855" spans="1:2" x14ac:dyDescent="0.25">
      <c r="A3855" s="15" t="str">
        <f t="shared" si="120"/>
        <v/>
      </c>
      <c r="B3855" s="18" t="str">
        <f t="shared" si="121"/>
        <v/>
      </c>
    </row>
    <row r="3856" spans="1:2" x14ac:dyDescent="0.25">
      <c r="A3856" s="15" t="str">
        <f t="shared" si="120"/>
        <v/>
      </c>
      <c r="B3856" s="18" t="str">
        <f t="shared" si="121"/>
        <v/>
      </c>
    </row>
    <row r="3857" spans="1:2" x14ac:dyDescent="0.25">
      <c r="A3857" s="15" t="str">
        <f t="shared" si="120"/>
        <v/>
      </c>
      <c r="B3857" s="18" t="str">
        <f t="shared" si="121"/>
        <v/>
      </c>
    </row>
    <row r="3858" spans="1:2" x14ac:dyDescent="0.25">
      <c r="A3858" s="15" t="str">
        <f t="shared" si="120"/>
        <v/>
      </c>
      <c r="B3858" s="18" t="str">
        <f t="shared" si="121"/>
        <v/>
      </c>
    </row>
    <row r="3859" spans="1:2" x14ac:dyDescent="0.25">
      <c r="A3859" s="15" t="str">
        <f t="shared" si="120"/>
        <v/>
      </c>
      <c r="B3859" s="18" t="str">
        <f t="shared" si="121"/>
        <v/>
      </c>
    </row>
    <row r="3860" spans="1:2" x14ac:dyDescent="0.25">
      <c r="A3860" s="15" t="str">
        <f t="shared" si="120"/>
        <v/>
      </c>
      <c r="B3860" s="18" t="str">
        <f t="shared" si="121"/>
        <v/>
      </c>
    </row>
    <row r="3861" spans="1:2" x14ac:dyDescent="0.25">
      <c r="A3861" s="15" t="str">
        <f t="shared" si="120"/>
        <v/>
      </c>
      <c r="B3861" s="18" t="str">
        <f t="shared" si="121"/>
        <v/>
      </c>
    </row>
    <row r="3862" spans="1:2" x14ac:dyDescent="0.25">
      <c r="A3862" s="15" t="str">
        <f t="shared" si="120"/>
        <v/>
      </c>
      <c r="B3862" s="18" t="str">
        <f t="shared" si="121"/>
        <v/>
      </c>
    </row>
    <row r="3863" spans="1:2" x14ac:dyDescent="0.25">
      <c r="A3863" s="15" t="str">
        <f t="shared" si="120"/>
        <v/>
      </c>
      <c r="B3863" s="18" t="str">
        <f t="shared" si="121"/>
        <v/>
      </c>
    </row>
    <row r="3864" spans="1:2" x14ac:dyDescent="0.25">
      <c r="A3864" s="15" t="str">
        <f t="shared" si="120"/>
        <v/>
      </c>
      <c r="B3864" s="18" t="str">
        <f t="shared" si="121"/>
        <v/>
      </c>
    </row>
    <row r="3865" spans="1:2" x14ac:dyDescent="0.25">
      <c r="A3865" s="15" t="str">
        <f t="shared" si="120"/>
        <v/>
      </c>
      <c r="B3865" s="18" t="str">
        <f t="shared" si="121"/>
        <v/>
      </c>
    </row>
    <row r="3866" spans="1:2" x14ac:dyDescent="0.25">
      <c r="A3866" s="15" t="str">
        <f t="shared" si="120"/>
        <v/>
      </c>
      <c r="B3866" s="18" t="str">
        <f t="shared" si="121"/>
        <v/>
      </c>
    </row>
    <row r="3867" spans="1:2" x14ac:dyDescent="0.25">
      <c r="A3867" s="15" t="str">
        <f t="shared" si="120"/>
        <v/>
      </c>
      <c r="B3867" s="18" t="str">
        <f t="shared" si="121"/>
        <v/>
      </c>
    </row>
    <row r="3868" spans="1:2" x14ac:dyDescent="0.25">
      <c r="A3868" s="15" t="str">
        <f t="shared" si="120"/>
        <v/>
      </c>
      <c r="B3868" s="18" t="str">
        <f t="shared" si="121"/>
        <v/>
      </c>
    </row>
    <row r="3869" spans="1:2" x14ac:dyDescent="0.25">
      <c r="A3869" s="15" t="str">
        <f t="shared" si="120"/>
        <v/>
      </c>
      <c r="B3869" s="18" t="str">
        <f t="shared" si="121"/>
        <v/>
      </c>
    </row>
    <row r="3870" spans="1:2" x14ac:dyDescent="0.25">
      <c r="A3870" s="15" t="str">
        <f t="shared" si="120"/>
        <v/>
      </c>
      <c r="B3870" s="18" t="str">
        <f t="shared" si="121"/>
        <v/>
      </c>
    </row>
    <row r="3871" spans="1:2" x14ac:dyDescent="0.25">
      <c r="A3871" s="15" t="str">
        <f t="shared" si="120"/>
        <v/>
      </c>
      <c r="B3871" s="18" t="str">
        <f t="shared" si="121"/>
        <v/>
      </c>
    </row>
    <row r="3872" spans="1:2" x14ac:dyDescent="0.25">
      <c r="A3872" s="15" t="str">
        <f t="shared" si="120"/>
        <v/>
      </c>
      <c r="B3872" s="18" t="str">
        <f t="shared" si="121"/>
        <v/>
      </c>
    </row>
    <row r="3873" spans="1:2" x14ac:dyDescent="0.25">
      <c r="A3873" s="15" t="str">
        <f t="shared" si="120"/>
        <v/>
      </c>
      <c r="B3873" s="18" t="str">
        <f t="shared" si="121"/>
        <v/>
      </c>
    </row>
    <row r="3874" spans="1:2" x14ac:dyDescent="0.25">
      <c r="A3874" s="15" t="str">
        <f t="shared" si="120"/>
        <v/>
      </c>
      <c r="B3874" s="18" t="str">
        <f t="shared" si="121"/>
        <v/>
      </c>
    </row>
    <row r="3875" spans="1:2" x14ac:dyDescent="0.25">
      <c r="A3875" s="15" t="str">
        <f t="shared" si="120"/>
        <v/>
      </c>
      <c r="B3875" s="18" t="str">
        <f t="shared" si="121"/>
        <v/>
      </c>
    </row>
    <row r="3876" spans="1:2" x14ac:dyDescent="0.25">
      <c r="A3876" s="15" t="str">
        <f t="shared" si="120"/>
        <v/>
      </c>
      <c r="B3876" s="18" t="str">
        <f t="shared" si="121"/>
        <v/>
      </c>
    </row>
    <row r="3877" spans="1:2" x14ac:dyDescent="0.25">
      <c r="A3877" s="15" t="str">
        <f t="shared" si="120"/>
        <v/>
      </c>
      <c r="B3877" s="18" t="str">
        <f t="shared" si="121"/>
        <v/>
      </c>
    </row>
    <row r="3878" spans="1:2" x14ac:dyDescent="0.25">
      <c r="A3878" s="15" t="str">
        <f t="shared" si="120"/>
        <v/>
      </c>
      <c r="B3878" s="18" t="str">
        <f t="shared" si="121"/>
        <v/>
      </c>
    </row>
    <row r="3879" spans="1:2" x14ac:dyDescent="0.25">
      <c r="A3879" s="15" t="str">
        <f t="shared" si="120"/>
        <v/>
      </c>
      <c r="B3879" s="18" t="str">
        <f t="shared" si="121"/>
        <v/>
      </c>
    </row>
    <row r="3880" spans="1:2" x14ac:dyDescent="0.25">
      <c r="A3880" s="15" t="str">
        <f t="shared" si="120"/>
        <v/>
      </c>
      <c r="B3880" s="18" t="str">
        <f t="shared" si="121"/>
        <v/>
      </c>
    </row>
    <row r="3881" spans="1:2" x14ac:dyDescent="0.25">
      <c r="A3881" s="15" t="str">
        <f t="shared" si="120"/>
        <v/>
      </c>
      <c r="B3881" s="18" t="str">
        <f t="shared" si="121"/>
        <v/>
      </c>
    </row>
    <row r="3882" spans="1:2" x14ac:dyDescent="0.25">
      <c r="A3882" s="15" t="str">
        <f t="shared" si="120"/>
        <v/>
      </c>
      <c r="B3882" s="18" t="str">
        <f t="shared" si="121"/>
        <v/>
      </c>
    </row>
    <row r="3883" spans="1:2" x14ac:dyDescent="0.25">
      <c r="A3883" s="15" t="str">
        <f t="shared" si="120"/>
        <v/>
      </c>
      <c r="B3883" s="18" t="str">
        <f t="shared" si="121"/>
        <v/>
      </c>
    </row>
    <row r="3884" spans="1:2" x14ac:dyDescent="0.25">
      <c r="A3884" s="15" t="str">
        <f t="shared" si="120"/>
        <v/>
      </c>
      <c r="B3884" s="18" t="str">
        <f t="shared" si="121"/>
        <v/>
      </c>
    </row>
    <row r="3885" spans="1:2" x14ac:dyDescent="0.25">
      <c r="A3885" s="15" t="str">
        <f t="shared" si="120"/>
        <v/>
      </c>
      <c r="B3885" s="18" t="str">
        <f t="shared" si="121"/>
        <v/>
      </c>
    </row>
    <row r="3886" spans="1:2" x14ac:dyDescent="0.25">
      <c r="A3886" s="15" t="str">
        <f t="shared" si="120"/>
        <v/>
      </c>
      <c r="B3886" s="18" t="str">
        <f t="shared" si="121"/>
        <v/>
      </c>
    </row>
    <row r="3887" spans="1:2" x14ac:dyDescent="0.25">
      <c r="A3887" s="15" t="str">
        <f t="shared" si="120"/>
        <v/>
      </c>
      <c r="B3887" s="18" t="str">
        <f t="shared" si="121"/>
        <v/>
      </c>
    </row>
    <row r="3888" spans="1:2" x14ac:dyDescent="0.25">
      <c r="A3888" s="15" t="str">
        <f t="shared" si="120"/>
        <v/>
      </c>
      <c r="B3888" s="18" t="str">
        <f t="shared" si="121"/>
        <v/>
      </c>
    </row>
    <row r="3889" spans="1:2" x14ac:dyDescent="0.25">
      <c r="A3889" s="15" t="str">
        <f t="shared" si="120"/>
        <v/>
      </c>
      <c r="B3889" s="18" t="str">
        <f t="shared" si="121"/>
        <v/>
      </c>
    </row>
    <row r="3890" spans="1:2" x14ac:dyDescent="0.25">
      <c r="A3890" s="15" t="str">
        <f t="shared" si="120"/>
        <v/>
      </c>
      <c r="B3890" s="18" t="str">
        <f t="shared" si="121"/>
        <v/>
      </c>
    </row>
    <row r="3891" spans="1:2" x14ac:dyDescent="0.25">
      <c r="A3891" s="15" t="str">
        <f t="shared" si="120"/>
        <v/>
      </c>
      <c r="B3891" s="18" t="str">
        <f t="shared" si="121"/>
        <v/>
      </c>
    </row>
    <row r="3892" spans="1:2" x14ac:dyDescent="0.25">
      <c r="A3892" s="15" t="str">
        <f t="shared" si="120"/>
        <v/>
      </c>
      <c r="B3892" s="18" t="str">
        <f t="shared" si="121"/>
        <v/>
      </c>
    </row>
    <row r="3893" spans="1:2" x14ac:dyDescent="0.25">
      <c r="A3893" s="15" t="str">
        <f t="shared" si="120"/>
        <v/>
      </c>
      <c r="B3893" s="18" t="str">
        <f t="shared" si="121"/>
        <v/>
      </c>
    </row>
    <row r="3894" spans="1:2" x14ac:dyDescent="0.25">
      <c r="A3894" s="15" t="str">
        <f t="shared" si="120"/>
        <v/>
      </c>
      <c r="B3894" s="18" t="str">
        <f t="shared" si="121"/>
        <v/>
      </c>
    </row>
    <row r="3895" spans="1:2" x14ac:dyDescent="0.25">
      <c r="A3895" s="15" t="str">
        <f t="shared" si="120"/>
        <v/>
      </c>
      <c r="B3895" s="18" t="str">
        <f t="shared" si="121"/>
        <v/>
      </c>
    </row>
    <row r="3896" spans="1:2" x14ac:dyDescent="0.25">
      <c r="A3896" s="15" t="str">
        <f t="shared" si="120"/>
        <v/>
      </c>
      <c r="B3896" s="18" t="str">
        <f t="shared" si="121"/>
        <v/>
      </c>
    </row>
    <row r="3897" spans="1:2" x14ac:dyDescent="0.25">
      <c r="A3897" s="15" t="str">
        <f t="shared" si="120"/>
        <v/>
      </c>
      <c r="B3897" s="18" t="str">
        <f t="shared" si="121"/>
        <v/>
      </c>
    </row>
    <row r="3898" spans="1:2" x14ac:dyDescent="0.25">
      <c r="A3898" s="15" t="str">
        <f t="shared" si="120"/>
        <v/>
      </c>
      <c r="B3898" s="18" t="str">
        <f t="shared" si="121"/>
        <v/>
      </c>
    </row>
    <row r="3899" spans="1:2" x14ac:dyDescent="0.25">
      <c r="A3899" s="15" t="str">
        <f t="shared" si="120"/>
        <v/>
      </c>
      <c r="B3899" s="18" t="str">
        <f t="shared" si="121"/>
        <v/>
      </c>
    </row>
    <row r="3900" spans="1:2" x14ac:dyDescent="0.25">
      <c r="A3900" s="15" t="str">
        <f t="shared" si="120"/>
        <v/>
      </c>
      <c r="B3900" s="18" t="str">
        <f t="shared" si="121"/>
        <v/>
      </c>
    </row>
    <row r="3901" spans="1:2" x14ac:dyDescent="0.25">
      <c r="A3901" s="15" t="str">
        <f t="shared" si="120"/>
        <v/>
      </c>
      <c r="B3901" s="18" t="str">
        <f t="shared" si="121"/>
        <v/>
      </c>
    </row>
    <row r="3902" spans="1:2" x14ac:dyDescent="0.25">
      <c r="A3902" s="15" t="str">
        <f t="shared" si="120"/>
        <v/>
      </c>
      <c r="B3902" s="18" t="str">
        <f t="shared" si="121"/>
        <v/>
      </c>
    </row>
    <row r="3903" spans="1:2" x14ac:dyDescent="0.25">
      <c r="A3903" s="15" t="str">
        <f t="shared" si="120"/>
        <v/>
      </c>
      <c r="B3903" s="18" t="str">
        <f t="shared" si="121"/>
        <v/>
      </c>
    </row>
    <row r="3904" spans="1:2" x14ac:dyDescent="0.25">
      <c r="A3904" s="15" t="str">
        <f t="shared" si="120"/>
        <v/>
      </c>
      <c r="B3904" s="18" t="str">
        <f t="shared" si="121"/>
        <v/>
      </c>
    </row>
    <row r="3905" spans="1:2" x14ac:dyDescent="0.25">
      <c r="A3905" s="15" t="str">
        <f t="shared" si="120"/>
        <v/>
      </c>
      <c r="B3905" s="18" t="str">
        <f t="shared" si="121"/>
        <v/>
      </c>
    </row>
    <row r="3906" spans="1:2" x14ac:dyDescent="0.25">
      <c r="A3906" s="15" t="str">
        <f t="shared" ref="A3906:A3969" si="122">B3906&amp;C3906</f>
        <v/>
      </c>
      <c r="B3906" s="18" t="str">
        <f t="shared" si="121"/>
        <v/>
      </c>
    </row>
    <row r="3907" spans="1:2" x14ac:dyDescent="0.25">
      <c r="A3907" s="15" t="str">
        <f t="shared" si="122"/>
        <v/>
      </c>
      <c r="B3907" s="18" t="str">
        <f t="shared" ref="B3907:B3970" si="123">IF(C3907="","",B3906)</f>
        <v/>
      </c>
    </row>
    <row r="3908" spans="1:2" x14ac:dyDescent="0.25">
      <c r="A3908" s="15" t="str">
        <f t="shared" si="122"/>
        <v/>
      </c>
      <c r="B3908" s="18" t="str">
        <f t="shared" si="123"/>
        <v/>
      </c>
    </row>
    <row r="3909" spans="1:2" x14ac:dyDescent="0.25">
      <c r="A3909" s="15" t="str">
        <f t="shared" si="122"/>
        <v/>
      </c>
      <c r="B3909" s="18" t="str">
        <f t="shared" si="123"/>
        <v/>
      </c>
    </row>
    <row r="3910" spans="1:2" x14ac:dyDescent="0.25">
      <c r="A3910" s="15" t="str">
        <f t="shared" si="122"/>
        <v/>
      </c>
      <c r="B3910" s="18" t="str">
        <f t="shared" si="123"/>
        <v/>
      </c>
    </row>
    <row r="3911" spans="1:2" x14ac:dyDescent="0.25">
      <c r="A3911" s="15" t="str">
        <f t="shared" si="122"/>
        <v/>
      </c>
      <c r="B3911" s="18" t="str">
        <f t="shared" si="123"/>
        <v/>
      </c>
    </row>
    <row r="3912" spans="1:2" x14ac:dyDescent="0.25">
      <c r="A3912" s="15" t="str">
        <f t="shared" si="122"/>
        <v/>
      </c>
      <c r="B3912" s="18" t="str">
        <f t="shared" si="123"/>
        <v/>
      </c>
    </row>
    <row r="3913" spans="1:2" x14ac:dyDescent="0.25">
      <c r="A3913" s="15" t="str">
        <f t="shared" si="122"/>
        <v/>
      </c>
      <c r="B3913" s="18" t="str">
        <f t="shared" si="123"/>
        <v/>
      </c>
    </row>
    <row r="3914" spans="1:2" x14ac:dyDescent="0.25">
      <c r="A3914" s="15" t="str">
        <f t="shared" si="122"/>
        <v/>
      </c>
      <c r="B3914" s="18" t="str">
        <f t="shared" si="123"/>
        <v/>
      </c>
    </row>
    <row r="3915" spans="1:2" x14ac:dyDescent="0.25">
      <c r="A3915" s="15" t="str">
        <f t="shared" si="122"/>
        <v/>
      </c>
      <c r="B3915" s="18" t="str">
        <f t="shared" si="123"/>
        <v/>
      </c>
    </row>
    <row r="3916" spans="1:2" x14ac:dyDescent="0.25">
      <c r="A3916" s="15" t="str">
        <f t="shared" si="122"/>
        <v/>
      </c>
      <c r="B3916" s="18" t="str">
        <f t="shared" si="123"/>
        <v/>
      </c>
    </row>
    <row r="3917" spans="1:2" x14ac:dyDescent="0.25">
      <c r="A3917" s="15" t="str">
        <f t="shared" si="122"/>
        <v/>
      </c>
      <c r="B3917" s="18" t="str">
        <f t="shared" si="123"/>
        <v/>
      </c>
    </row>
    <row r="3918" spans="1:2" x14ac:dyDescent="0.25">
      <c r="A3918" s="15" t="str">
        <f t="shared" si="122"/>
        <v/>
      </c>
      <c r="B3918" s="18" t="str">
        <f t="shared" si="123"/>
        <v/>
      </c>
    </row>
    <row r="3919" spans="1:2" x14ac:dyDescent="0.25">
      <c r="A3919" s="15" t="str">
        <f t="shared" si="122"/>
        <v/>
      </c>
      <c r="B3919" s="18" t="str">
        <f t="shared" si="123"/>
        <v/>
      </c>
    </row>
    <row r="3920" spans="1:2" x14ac:dyDescent="0.25">
      <c r="A3920" s="15" t="str">
        <f t="shared" si="122"/>
        <v/>
      </c>
      <c r="B3920" s="18" t="str">
        <f t="shared" si="123"/>
        <v/>
      </c>
    </row>
    <row r="3921" spans="1:2" x14ac:dyDescent="0.25">
      <c r="A3921" s="15" t="str">
        <f t="shared" si="122"/>
        <v/>
      </c>
      <c r="B3921" s="18" t="str">
        <f t="shared" si="123"/>
        <v/>
      </c>
    </row>
    <row r="3922" spans="1:2" x14ac:dyDescent="0.25">
      <c r="A3922" s="15" t="str">
        <f t="shared" si="122"/>
        <v/>
      </c>
      <c r="B3922" s="18" t="str">
        <f t="shared" si="123"/>
        <v/>
      </c>
    </row>
    <row r="3923" spans="1:2" x14ac:dyDescent="0.25">
      <c r="A3923" s="15" t="str">
        <f t="shared" si="122"/>
        <v/>
      </c>
      <c r="B3923" s="18" t="str">
        <f t="shared" si="123"/>
        <v/>
      </c>
    </row>
    <row r="3924" spans="1:2" x14ac:dyDescent="0.25">
      <c r="A3924" s="15" t="str">
        <f t="shared" si="122"/>
        <v/>
      </c>
      <c r="B3924" s="18" t="str">
        <f t="shared" si="123"/>
        <v/>
      </c>
    </row>
    <row r="3925" spans="1:2" x14ac:dyDescent="0.25">
      <c r="A3925" s="15" t="str">
        <f t="shared" si="122"/>
        <v/>
      </c>
      <c r="B3925" s="18" t="str">
        <f t="shared" si="123"/>
        <v/>
      </c>
    </row>
    <row r="3926" spans="1:2" x14ac:dyDescent="0.25">
      <c r="A3926" s="15" t="str">
        <f t="shared" si="122"/>
        <v/>
      </c>
      <c r="B3926" s="18" t="str">
        <f t="shared" si="123"/>
        <v/>
      </c>
    </row>
    <row r="3927" spans="1:2" x14ac:dyDescent="0.25">
      <c r="A3927" s="15" t="str">
        <f t="shared" si="122"/>
        <v/>
      </c>
      <c r="B3927" s="18" t="str">
        <f t="shared" si="123"/>
        <v/>
      </c>
    </row>
    <row r="3928" spans="1:2" x14ac:dyDescent="0.25">
      <c r="A3928" s="15" t="str">
        <f t="shared" si="122"/>
        <v/>
      </c>
      <c r="B3928" s="18" t="str">
        <f t="shared" si="123"/>
        <v/>
      </c>
    </row>
    <row r="3929" spans="1:2" x14ac:dyDescent="0.25">
      <c r="A3929" s="15" t="str">
        <f t="shared" si="122"/>
        <v/>
      </c>
      <c r="B3929" s="18" t="str">
        <f t="shared" si="123"/>
        <v/>
      </c>
    </row>
    <row r="3930" spans="1:2" x14ac:dyDescent="0.25">
      <c r="A3930" s="15" t="str">
        <f t="shared" si="122"/>
        <v/>
      </c>
      <c r="B3930" s="18" t="str">
        <f t="shared" si="123"/>
        <v/>
      </c>
    </row>
    <row r="3931" spans="1:2" x14ac:dyDescent="0.25">
      <c r="A3931" s="15" t="str">
        <f t="shared" si="122"/>
        <v/>
      </c>
      <c r="B3931" s="18" t="str">
        <f t="shared" si="123"/>
        <v/>
      </c>
    </row>
    <row r="3932" spans="1:2" x14ac:dyDescent="0.25">
      <c r="A3932" s="15" t="str">
        <f t="shared" si="122"/>
        <v/>
      </c>
      <c r="B3932" s="18" t="str">
        <f t="shared" si="123"/>
        <v/>
      </c>
    </row>
    <row r="3933" spans="1:2" x14ac:dyDescent="0.25">
      <c r="A3933" s="15" t="str">
        <f t="shared" si="122"/>
        <v/>
      </c>
      <c r="B3933" s="18" t="str">
        <f t="shared" si="123"/>
        <v/>
      </c>
    </row>
    <row r="3934" spans="1:2" x14ac:dyDescent="0.25">
      <c r="A3934" s="15" t="str">
        <f t="shared" si="122"/>
        <v/>
      </c>
      <c r="B3934" s="18" t="str">
        <f t="shared" si="123"/>
        <v/>
      </c>
    </row>
    <row r="3935" spans="1:2" x14ac:dyDescent="0.25">
      <c r="A3935" s="15" t="str">
        <f t="shared" si="122"/>
        <v/>
      </c>
      <c r="B3935" s="18" t="str">
        <f t="shared" si="123"/>
        <v/>
      </c>
    </row>
    <row r="3936" spans="1:2" x14ac:dyDescent="0.25">
      <c r="A3936" s="15" t="str">
        <f t="shared" si="122"/>
        <v/>
      </c>
      <c r="B3936" s="18" t="str">
        <f t="shared" si="123"/>
        <v/>
      </c>
    </row>
    <row r="3937" spans="1:2" x14ac:dyDescent="0.25">
      <c r="A3937" s="15" t="str">
        <f t="shared" si="122"/>
        <v/>
      </c>
      <c r="B3937" s="18" t="str">
        <f t="shared" si="123"/>
        <v/>
      </c>
    </row>
    <row r="3938" spans="1:2" x14ac:dyDescent="0.25">
      <c r="A3938" s="15" t="str">
        <f t="shared" si="122"/>
        <v/>
      </c>
      <c r="B3938" s="18" t="str">
        <f t="shared" si="123"/>
        <v/>
      </c>
    </row>
    <row r="3939" spans="1:2" x14ac:dyDescent="0.25">
      <c r="A3939" s="15" t="str">
        <f t="shared" si="122"/>
        <v/>
      </c>
      <c r="B3939" s="18" t="str">
        <f t="shared" si="123"/>
        <v/>
      </c>
    </row>
    <row r="3940" spans="1:2" x14ac:dyDescent="0.25">
      <c r="A3940" s="15" t="str">
        <f t="shared" si="122"/>
        <v/>
      </c>
      <c r="B3940" s="18" t="str">
        <f t="shared" si="123"/>
        <v/>
      </c>
    </row>
    <row r="3941" spans="1:2" x14ac:dyDescent="0.25">
      <c r="A3941" s="15" t="str">
        <f t="shared" si="122"/>
        <v/>
      </c>
      <c r="B3941" s="18" t="str">
        <f t="shared" si="123"/>
        <v/>
      </c>
    </row>
    <row r="3942" spans="1:2" x14ac:dyDescent="0.25">
      <c r="A3942" s="15" t="str">
        <f t="shared" si="122"/>
        <v/>
      </c>
      <c r="B3942" s="18" t="str">
        <f t="shared" si="123"/>
        <v/>
      </c>
    </row>
    <row r="3943" spans="1:2" x14ac:dyDescent="0.25">
      <c r="A3943" s="15" t="str">
        <f t="shared" si="122"/>
        <v/>
      </c>
      <c r="B3943" s="18" t="str">
        <f t="shared" si="123"/>
        <v/>
      </c>
    </row>
    <row r="3944" spans="1:2" x14ac:dyDescent="0.25">
      <c r="A3944" s="15" t="str">
        <f t="shared" si="122"/>
        <v/>
      </c>
      <c r="B3944" s="18" t="str">
        <f t="shared" si="123"/>
        <v/>
      </c>
    </row>
    <row r="3945" spans="1:2" x14ac:dyDescent="0.25">
      <c r="A3945" s="15" t="str">
        <f t="shared" si="122"/>
        <v/>
      </c>
      <c r="B3945" s="18" t="str">
        <f t="shared" si="123"/>
        <v/>
      </c>
    </row>
    <row r="3946" spans="1:2" x14ac:dyDescent="0.25">
      <c r="A3946" s="15" t="str">
        <f t="shared" si="122"/>
        <v/>
      </c>
      <c r="B3946" s="18" t="str">
        <f t="shared" si="123"/>
        <v/>
      </c>
    </row>
    <row r="3947" spans="1:2" x14ac:dyDescent="0.25">
      <c r="A3947" s="15" t="str">
        <f t="shared" si="122"/>
        <v/>
      </c>
      <c r="B3947" s="18" t="str">
        <f t="shared" si="123"/>
        <v/>
      </c>
    </row>
    <row r="3948" spans="1:2" x14ac:dyDescent="0.25">
      <c r="A3948" s="15" t="str">
        <f t="shared" si="122"/>
        <v/>
      </c>
      <c r="B3948" s="18" t="str">
        <f t="shared" si="123"/>
        <v/>
      </c>
    </row>
    <row r="3949" spans="1:2" x14ac:dyDescent="0.25">
      <c r="A3949" s="15" t="str">
        <f t="shared" si="122"/>
        <v/>
      </c>
      <c r="B3949" s="18" t="str">
        <f t="shared" si="123"/>
        <v/>
      </c>
    </row>
    <row r="3950" spans="1:2" x14ac:dyDescent="0.25">
      <c r="A3950" s="15" t="str">
        <f t="shared" si="122"/>
        <v/>
      </c>
      <c r="B3950" s="18" t="str">
        <f t="shared" si="123"/>
        <v/>
      </c>
    </row>
    <row r="3951" spans="1:2" x14ac:dyDescent="0.25">
      <c r="A3951" s="15" t="str">
        <f t="shared" si="122"/>
        <v/>
      </c>
      <c r="B3951" s="18" t="str">
        <f t="shared" si="123"/>
        <v/>
      </c>
    </row>
    <row r="3952" spans="1:2" x14ac:dyDescent="0.25">
      <c r="A3952" s="15" t="str">
        <f t="shared" si="122"/>
        <v/>
      </c>
      <c r="B3952" s="18" t="str">
        <f t="shared" si="123"/>
        <v/>
      </c>
    </row>
    <row r="3953" spans="1:2" x14ac:dyDescent="0.25">
      <c r="A3953" s="15" t="str">
        <f t="shared" si="122"/>
        <v/>
      </c>
      <c r="B3953" s="18" t="str">
        <f t="shared" si="123"/>
        <v/>
      </c>
    </row>
    <row r="3954" spans="1:2" x14ac:dyDescent="0.25">
      <c r="A3954" s="15" t="str">
        <f t="shared" si="122"/>
        <v/>
      </c>
      <c r="B3954" s="18" t="str">
        <f t="shared" si="123"/>
        <v/>
      </c>
    </row>
    <row r="3955" spans="1:2" x14ac:dyDescent="0.25">
      <c r="A3955" s="15" t="str">
        <f t="shared" si="122"/>
        <v/>
      </c>
      <c r="B3955" s="18" t="str">
        <f t="shared" si="123"/>
        <v/>
      </c>
    </row>
    <row r="3956" spans="1:2" x14ac:dyDescent="0.25">
      <c r="A3956" s="15" t="str">
        <f t="shared" si="122"/>
        <v/>
      </c>
      <c r="B3956" s="18" t="str">
        <f t="shared" si="123"/>
        <v/>
      </c>
    </row>
    <row r="3957" spans="1:2" x14ac:dyDescent="0.25">
      <c r="A3957" s="15" t="str">
        <f t="shared" si="122"/>
        <v/>
      </c>
      <c r="B3957" s="18" t="str">
        <f t="shared" si="123"/>
        <v/>
      </c>
    </row>
    <row r="3958" spans="1:2" x14ac:dyDescent="0.25">
      <c r="A3958" s="15" t="str">
        <f t="shared" si="122"/>
        <v/>
      </c>
      <c r="B3958" s="18" t="str">
        <f t="shared" si="123"/>
        <v/>
      </c>
    </row>
    <row r="3959" spans="1:2" x14ac:dyDescent="0.25">
      <c r="A3959" s="15" t="str">
        <f t="shared" si="122"/>
        <v/>
      </c>
      <c r="B3959" s="18" t="str">
        <f t="shared" si="123"/>
        <v/>
      </c>
    </row>
    <row r="3960" spans="1:2" x14ac:dyDescent="0.25">
      <c r="A3960" s="15" t="str">
        <f t="shared" si="122"/>
        <v/>
      </c>
      <c r="B3960" s="18" t="str">
        <f t="shared" si="123"/>
        <v/>
      </c>
    </row>
    <row r="3961" spans="1:2" x14ac:dyDescent="0.25">
      <c r="A3961" s="15" t="str">
        <f t="shared" si="122"/>
        <v/>
      </c>
      <c r="B3961" s="18" t="str">
        <f t="shared" si="123"/>
        <v/>
      </c>
    </row>
    <row r="3962" spans="1:2" x14ac:dyDescent="0.25">
      <c r="A3962" s="15" t="str">
        <f t="shared" si="122"/>
        <v/>
      </c>
      <c r="B3962" s="18" t="str">
        <f t="shared" si="123"/>
        <v/>
      </c>
    </row>
    <row r="3963" spans="1:2" x14ac:dyDescent="0.25">
      <c r="A3963" s="15" t="str">
        <f t="shared" si="122"/>
        <v/>
      </c>
      <c r="B3963" s="18" t="str">
        <f t="shared" si="123"/>
        <v/>
      </c>
    </row>
    <row r="3964" spans="1:2" x14ac:dyDescent="0.25">
      <c r="A3964" s="15" t="str">
        <f t="shared" si="122"/>
        <v/>
      </c>
      <c r="B3964" s="18" t="str">
        <f t="shared" si="123"/>
        <v/>
      </c>
    </row>
    <row r="3965" spans="1:2" x14ac:dyDescent="0.25">
      <c r="A3965" s="15" t="str">
        <f t="shared" si="122"/>
        <v/>
      </c>
      <c r="B3965" s="18" t="str">
        <f t="shared" si="123"/>
        <v/>
      </c>
    </row>
    <row r="3966" spans="1:2" x14ac:dyDescent="0.25">
      <c r="A3966" s="15" t="str">
        <f t="shared" si="122"/>
        <v/>
      </c>
      <c r="B3966" s="18" t="str">
        <f t="shared" si="123"/>
        <v/>
      </c>
    </row>
    <row r="3967" spans="1:2" x14ac:dyDescent="0.25">
      <c r="A3967" s="15" t="str">
        <f t="shared" si="122"/>
        <v/>
      </c>
      <c r="B3967" s="18" t="str">
        <f t="shared" si="123"/>
        <v/>
      </c>
    </row>
    <row r="3968" spans="1:2" x14ac:dyDescent="0.25">
      <c r="A3968" s="15" t="str">
        <f t="shared" si="122"/>
        <v/>
      </c>
      <c r="B3968" s="18" t="str">
        <f t="shared" si="123"/>
        <v/>
      </c>
    </row>
    <row r="3969" spans="1:2" x14ac:dyDescent="0.25">
      <c r="A3969" s="15" t="str">
        <f t="shared" si="122"/>
        <v/>
      </c>
      <c r="B3969" s="18" t="str">
        <f t="shared" si="123"/>
        <v/>
      </c>
    </row>
    <row r="3970" spans="1:2" x14ac:dyDescent="0.25">
      <c r="A3970" s="15" t="str">
        <f t="shared" ref="A3970:A4033" si="124">B3970&amp;C3970</f>
        <v/>
      </c>
      <c r="B3970" s="18" t="str">
        <f t="shared" si="123"/>
        <v/>
      </c>
    </row>
    <row r="3971" spans="1:2" x14ac:dyDescent="0.25">
      <c r="A3971" s="15" t="str">
        <f t="shared" si="124"/>
        <v/>
      </c>
      <c r="B3971" s="18" t="str">
        <f t="shared" ref="B3971:B4034" si="125">IF(C3971="","",B3970)</f>
        <v/>
      </c>
    </row>
    <row r="3972" spans="1:2" x14ac:dyDescent="0.25">
      <c r="A3972" s="15" t="str">
        <f t="shared" si="124"/>
        <v/>
      </c>
      <c r="B3972" s="18" t="str">
        <f t="shared" si="125"/>
        <v/>
      </c>
    </row>
    <row r="3973" spans="1:2" x14ac:dyDescent="0.25">
      <c r="A3973" s="15" t="str">
        <f t="shared" si="124"/>
        <v/>
      </c>
      <c r="B3973" s="18" t="str">
        <f t="shared" si="125"/>
        <v/>
      </c>
    </row>
    <row r="3974" spans="1:2" x14ac:dyDescent="0.25">
      <c r="A3974" s="15" t="str">
        <f t="shared" si="124"/>
        <v/>
      </c>
      <c r="B3974" s="18" t="str">
        <f t="shared" si="125"/>
        <v/>
      </c>
    </row>
    <row r="3975" spans="1:2" x14ac:dyDescent="0.25">
      <c r="A3975" s="15" t="str">
        <f t="shared" si="124"/>
        <v/>
      </c>
      <c r="B3975" s="18" t="str">
        <f t="shared" si="125"/>
        <v/>
      </c>
    </row>
    <row r="3976" spans="1:2" x14ac:dyDescent="0.25">
      <c r="A3976" s="15" t="str">
        <f t="shared" si="124"/>
        <v/>
      </c>
      <c r="B3976" s="18" t="str">
        <f t="shared" si="125"/>
        <v/>
      </c>
    </row>
    <row r="3977" spans="1:2" x14ac:dyDescent="0.25">
      <c r="A3977" s="15" t="str">
        <f t="shared" si="124"/>
        <v/>
      </c>
      <c r="B3977" s="18" t="str">
        <f t="shared" si="125"/>
        <v/>
      </c>
    </row>
    <row r="3978" spans="1:2" x14ac:dyDescent="0.25">
      <c r="A3978" s="15" t="str">
        <f t="shared" si="124"/>
        <v/>
      </c>
      <c r="B3978" s="18" t="str">
        <f t="shared" si="125"/>
        <v/>
      </c>
    </row>
    <row r="3979" spans="1:2" x14ac:dyDescent="0.25">
      <c r="A3979" s="15" t="str">
        <f t="shared" si="124"/>
        <v/>
      </c>
      <c r="B3979" s="18" t="str">
        <f t="shared" si="125"/>
        <v/>
      </c>
    </row>
    <row r="3980" spans="1:2" x14ac:dyDescent="0.25">
      <c r="A3980" s="15" t="str">
        <f t="shared" si="124"/>
        <v/>
      </c>
      <c r="B3980" s="18" t="str">
        <f t="shared" si="125"/>
        <v/>
      </c>
    </row>
    <row r="3981" spans="1:2" x14ac:dyDescent="0.25">
      <c r="A3981" s="15" t="str">
        <f t="shared" si="124"/>
        <v/>
      </c>
      <c r="B3981" s="18" t="str">
        <f t="shared" si="125"/>
        <v/>
      </c>
    </row>
    <row r="3982" spans="1:2" x14ac:dyDescent="0.25">
      <c r="A3982" s="15" t="str">
        <f t="shared" si="124"/>
        <v/>
      </c>
      <c r="B3982" s="18" t="str">
        <f t="shared" si="125"/>
        <v/>
      </c>
    </row>
    <row r="3983" spans="1:2" x14ac:dyDescent="0.25">
      <c r="A3983" s="15" t="str">
        <f t="shared" si="124"/>
        <v/>
      </c>
      <c r="B3983" s="18" t="str">
        <f t="shared" si="125"/>
        <v/>
      </c>
    </row>
    <row r="3984" spans="1:2" x14ac:dyDescent="0.25">
      <c r="A3984" s="15" t="str">
        <f t="shared" si="124"/>
        <v/>
      </c>
      <c r="B3984" s="18" t="str">
        <f t="shared" si="125"/>
        <v/>
      </c>
    </row>
    <row r="3985" spans="1:2" x14ac:dyDescent="0.25">
      <c r="A3985" s="15" t="str">
        <f t="shared" si="124"/>
        <v/>
      </c>
      <c r="B3985" s="18" t="str">
        <f t="shared" si="125"/>
        <v/>
      </c>
    </row>
    <row r="3986" spans="1:2" x14ac:dyDescent="0.25">
      <c r="A3986" s="15" t="str">
        <f t="shared" si="124"/>
        <v/>
      </c>
      <c r="B3986" s="18" t="str">
        <f t="shared" si="125"/>
        <v/>
      </c>
    </row>
    <row r="3987" spans="1:2" x14ac:dyDescent="0.25">
      <c r="A3987" s="15" t="str">
        <f t="shared" si="124"/>
        <v/>
      </c>
      <c r="B3987" s="18" t="str">
        <f t="shared" si="125"/>
        <v/>
      </c>
    </row>
    <row r="3988" spans="1:2" x14ac:dyDescent="0.25">
      <c r="A3988" s="15" t="str">
        <f t="shared" si="124"/>
        <v/>
      </c>
      <c r="B3988" s="18" t="str">
        <f t="shared" si="125"/>
        <v/>
      </c>
    </row>
    <row r="3989" spans="1:2" x14ac:dyDescent="0.25">
      <c r="A3989" s="15" t="str">
        <f t="shared" si="124"/>
        <v/>
      </c>
      <c r="B3989" s="18" t="str">
        <f t="shared" si="125"/>
        <v/>
      </c>
    </row>
    <row r="3990" spans="1:2" x14ac:dyDescent="0.25">
      <c r="A3990" s="15" t="str">
        <f t="shared" si="124"/>
        <v/>
      </c>
      <c r="B3990" s="18" t="str">
        <f t="shared" si="125"/>
        <v/>
      </c>
    </row>
    <row r="3991" spans="1:2" x14ac:dyDescent="0.25">
      <c r="A3991" s="15" t="str">
        <f t="shared" si="124"/>
        <v/>
      </c>
      <c r="B3991" s="18" t="str">
        <f t="shared" si="125"/>
        <v/>
      </c>
    </row>
    <row r="3992" spans="1:2" x14ac:dyDescent="0.25">
      <c r="A3992" s="15" t="str">
        <f t="shared" si="124"/>
        <v/>
      </c>
      <c r="B3992" s="18" t="str">
        <f t="shared" si="125"/>
        <v/>
      </c>
    </row>
    <row r="3993" spans="1:2" x14ac:dyDescent="0.25">
      <c r="A3993" s="15" t="str">
        <f t="shared" si="124"/>
        <v/>
      </c>
      <c r="B3993" s="18" t="str">
        <f t="shared" si="125"/>
        <v/>
      </c>
    </row>
    <row r="3994" spans="1:2" x14ac:dyDescent="0.25">
      <c r="A3994" s="15" t="str">
        <f t="shared" si="124"/>
        <v/>
      </c>
      <c r="B3994" s="18" t="str">
        <f t="shared" si="125"/>
        <v/>
      </c>
    </row>
    <row r="3995" spans="1:2" x14ac:dyDescent="0.25">
      <c r="A3995" s="15" t="str">
        <f t="shared" si="124"/>
        <v/>
      </c>
      <c r="B3995" s="18" t="str">
        <f t="shared" si="125"/>
        <v/>
      </c>
    </row>
    <row r="3996" spans="1:2" x14ac:dyDescent="0.25">
      <c r="A3996" s="15" t="str">
        <f t="shared" si="124"/>
        <v/>
      </c>
      <c r="B3996" s="18" t="str">
        <f t="shared" si="125"/>
        <v/>
      </c>
    </row>
    <row r="3997" spans="1:2" x14ac:dyDescent="0.25">
      <c r="A3997" s="15" t="str">
        <f t="shared" si="124"/>
        <v/>
      </c>
      <c r="B3997" s="18" t="str">
        <f t="shared" si="125"/>
        <v/>
      </c>
    </row>
    <row r="3998" spans="1:2" x14ac:dyDescent="0.25">
      <c r="A3998" s="15" t="str">
        <f t="shared" si="124"/>
        <v/>
      </c>
      <c r="B3998" s="18" t="str">
        <f t="shared" si="125"/>
        <v/>
      </c>
    </row>
    <row r="3999" spans="1:2" x14ac:dyDescent="0.25">
      <c r="A3999" s="15" t="str">
        <f t="shared" si="124"/>
        <v/>
      </c>
      <c r="B3999" s="18" t="str">
        <f t="shared" si="125"/>
        <v/>
      </c>
    </row>
    <row r="4000" spans="1:2" x14ac:dyDescent="0.25">
      <c r="A4000" s="15" t="str">
        <f t="shared" si="124"/>
        <v/>
      </c>
      <c r="B4000" s="18" t="str">
        <f t="shared" si="125"/>
        <v/>
      </c>
    </row>
    <row r="4001" spans="1:2" x14ac:dyDescent="0.25">
      <c r="A4001" s="15" t="str">
        <f t="shared" si="124"/>
        <v/>
      </c>
      <c r="B4001" s="18" t="str">
        <f t="shared" si="125"/>
        <v/>
      </c>
    </row>
    <row r="4002" spans="1:2" x14ac:dyDescent="0.25">
      <c r="A4002" s="15" t="str">
        <f t="shared" si="124"/>
        <v/>
      </c>
      <c r="B4002" s="18" t="str">
        <f t="shared" si="125"/>
        <v/>
      </c>
    </row>
    <row r="4003" spans="1:2" x14ac:dyDescent="0.25">
      <c r="A4003" s="15" t="str">
        <f t="shared" si="124"/>
        <v/>
      </c>
      <c r="B4003" s="18" t="str">
        <f t="shared" si="125"/>
        <v/>
      </c>
    </row>
    <row r="4004" spans="1:2" x14ac:dyDescent="0.25">
      <c r="A4004" s="15" t="str">
        <f t="shared" si="124"/>
        <v/>
      </c>
      <c r="B4004" s="18" t="str">
        <f t="shared" si="125"/>
        <v/>
      </c>
    </row>
    <row r="4005" spans="1:2" x14ac:dyDescent="0.25">
      <c r="A4005" s="15" t="str">
        <f t="shared" si="124"/>
        <v/>
      </c>
      <c r="B4005" s="18" t="str">
        <f t="shared" si="125"/>
        <v/>
      </c>
    </row>
    <row r="4006" spans="1:2" x14ac:dyDescent="0.25">
      <c r="A4006" s="15" t="str">
        <f t="shared" si="124"/>
        <v/>
      </c>
      <c r="B4006" s="18" t="str">
        <f t="shared" si="125"/>
        <v/>
      </c>
    </row>
    <row r="4007" spans="1:2" x14ac:dyDescent="0.25">
      <c r="A4007" s="15" t="str">
        <f t="shared" si="124"/>
        <v/>
      </c>
      <c r="B4007" s="18" t="str">
        <f t="shared" si="125"/>
        <v/>
      </c>
    </row>
    <row r="4008" spans="1:2" x14ac:dyDescent="0.25">
      <c r="A4008" s="15" t="str">
        <f t="shared" si="124"/>
        <v/>
      </c>
      <c r="B4008" s="18" t="str">
        <f t="shared" si="125"/>
        <v/>
      </c>
    </row>
    <row r="4009" spans="1:2" x14ac:dyDescent="0.25">
      <c r="A4009" s="15" t="str">
        <f t="shared" si="124"/>
        <v/>
      </c>
      <c r="B4009" s="18" t="str">
        <f t="shared" si="125"/>
        <v/>
      </c>
    </row>
    <row r="4010" spans="1:2" x14ac:dyDescent="0.25">
      <c r="A4010" s="15" t="str">
        <f t="shared" si="124"/>
        <v/>
      </c>
      <c r="B4010" s="18" t="str">
        <f t="shared" si="125"/>
        <v/>
      </c>
    </row>
    <row r="4011" spans="1:2" x14ac:dyDescent="0.25">
      <c r="A4011" s="15" t="str">
        <f t="shared" si="124"/>
        <v/>
      </c>
      <c r="B4011" s="18" t="str">
        <f t="shared" si="125"/>
        <v/>
      </c>
    </row>
    <row r="4012" spans="1:2" x14ac:dyDescent="0.25">
      <c r="A4012" s="15" t="str">
        <f t="shared" si="124"/>
        <v/>
      </c>
      <c r="B4012" s="18" t="str">
        <f t="shared" si="125"/>
        <v/>
      </c>
    </row>
    <row r="4013" spans="1:2" x14ac:dyDescent="0.25">
      <c r="A4013" s="15" t="str">
        <f t="shared" si="124"/>
        <v/>
      </c>
      <c r="B4013" s="18" t="str">
        <f t="shared" si="125"/>
        <v/>
      </c>
    </row>
    <row r="4014" spans="1:2" x14ac:dyDescent="0.25">
      <c r="A4014" s="15" t="str">
        <f t="shared" si="124"/>
        <v/>
      </c>
      <c r="B4014" s="18" t="str">
        <f t="shared" si="125"/>
        <v/>
      </c>
    </row>
    <row r="4015" spans="1:2" x14ac:dyDescent="0.25">
      <c r="A4015" s="15" t="str">
        <f t="shared" si="124"/>
        <v/>
      </c>
      <c r="B4015" s="18" t="str">
        <f t="shared" si="125"/>
        <v/>
      </c>
    </row>
    <row r="4016" spans="1:2" x14ac:dyDescent="0.25">
      <c r="A4016" s="15" t="str">
        <f t="shared" si="124"/>
        <v/>
      </c>
      <c r="B4016" s="18" t="str">
        <f t="shared" si="125"/>
        <v/>
      </c>
    </row>
    <row r="4017" spans="1:2" x14ac:dyDescent="0.25">
      <c r="A4017" s="15" t="str">
        <f t="shared" si="124"/>
        <v/>
      </c>
      <c r="B4017" s="18" t="str">
        <f t="shared" si="125"/>
        <v/>
      </c>
    </row>
    <row r="4018" spans="1:2" x14ac:dyDescent="0.25">
      <c r="A4018" s="15" t="str">
        <f t="shared" si="124"/>
        <v/>
      </c>
      <c r="B4018" s="18" t="str">
        <f t="shared" si="125"/>
        <v/>
      </c>
    </row>
    <row r="4019" spans="1:2" x14ac:dyDescent="0.25">
      <c r="A4019" s="15" t="str">
        <f t="shared" si="124"/>
        <v/>
      </c>
      <c r="B4019" s="18" t="str">
        <f t="shared" si="125"/>
        <v/>
      </c>
    </row>
    <row r="4020" spans="1:2" x14ac:dyDescent="0.25">
      <c r="A4020" s="15" t="str">
        <f t="shared" si="124"/>
        <v/>
      </c>
      <c r="B4020" s="18" t="str">
        <f t="shared" si="125"/>
        <v/>
      </c>
    </row>
    <row r="4021" spans="1:2" x14ac:dyDescent="0.25">
      <c r="A4021" s="15" t="str">
        <f t="shared" si="124"/>
        <v/>
      </c>
      <c r="B4021" s="18" t="str">
        <f t="shared" si="125"/>
        <v/>
      </c>
    </row>
    <row r="4022" spans="1:2" x14ac:dyDescent="0.25">
      <c r="A4022" s="15" t="str">
        <f t="shared" si="124"/>
        <v/>
      </c>
      <c r="B4022" s="18" t="str">
        <f t="shared" si="125"/>
        <v/>
      </c>
    </row>
    <row r="4023" spans="1:2" x14ac:dyDescent="0.25">
      <c r="A4023" s="15" t="str">
        <f t="shared" si="124"/>
        <v/>
      </c>
      <c r="B4023" s="18" t="str">
        <f t="shared" si="125"/>
        <v/>
      </c>
    </row>
    <row r="4024" spans="1:2" x14ac:dyDescent="0.25">
      <c r="A4024" s="15" t="str">
        <f t="shared" si="124"/>
        <v/>
      </c>
      <c r="B4024" s="18" t="str">
        <f t="shared" si="125"/>
        <v/>
      </c>
    </row>
    <row r="4025" spans="1:2" x14ac:dyDescent="0.25">
      <c r="A4025" s="15" t="str">
        <f t="shared" si="124"/>
        <v/>
      </c>
      <c r="B4025" s="18" t="str">
        <f t="shared" si="125"/>
        <v/>
      </c>
    </row>
    <row r="4026" spans="1:2" x14ac:dyDescent="0.25">
      <c r="A4026" s="15" t="str">
        <f t="shared" si="124"/>
        <v/>
      </c>
      <c r="B4026" s="18" t="str">
        <f t="shared" si="125"/>
        <v/>
      </c>
    </row>
    <row r="4027" spans="1:2" x14ac:dyDescent="0.25">
      <c r="A4027" s="15" t="str">
        <f t="shared" si="124"/>
        <v/>
      </c>
      <c r="B4027" s="18" t="str">
        <f t="shared" si="125"/>
        <v/>
      </c>
    </row>
    <row r="4028" spans="1:2" x14ac:dyDescent="0.25">
      <c r="A4028" s="15" t="str">
        <f t="shared" si="124"/>
        <v/>
      </c>
      <c r="B4028" s="18" t="str">
        <f t="shared" si="125"/>
        <v/>
      </c>
    </row>
    <row r="4029" spans="1:2" x14ac:dyDescent="0.25">
      <c r="A4029" s="15" t="str">
        <f t="shared" si="124"/>
        <v/>
      </c>
      <c r="B4029" s="18" t="str">
        <f t="shared" si="125"/>
        <v/>
      </c>
    </row>
    <row r="4030" spans="1:2" x14ac:dyDescent="0.25">
      <c r="A4030" s="15" t="str">
        <f t="shared" si="124"/>
        <v/>
      </c>
      <c r="B4030" s="18" t="str">
        <f t="shared" si="125"/>
        <v/>
      </c>
    </row>
    <row r="4031" spans="1:2" x14ac:dyDescent="0.25">
      <c r="A4031" s="15" t="str">
        <f t="shared" si="124"/>
        <v/>
      </c>
      <c r="B4031" s="18" t="str">
        <f t="shared" si="125"/>
        <v/>
      </c>
    </row>
    <row r="4032" spans="1:2" x14ac:dyDescent="0.25">
      <c r="A4032" s="15" t="str">
        <f t="shared" si="124"/>
        <v/>
      </c>
      <c r="B4032" s="18" t="str">
        <f t="shared" si="125"/>
        <v/>
      </c>
    </row>
    <row r="4033" spans="1:2" x14ac:dyDescent="0.25">
      <c r="A4033" s="15" t="str">
        <f t="shared" si="124"/>
        <v/>
      </c>
      <c r="B4033" s="18" t="str">
        <f t="shared" si="125"/>
        <v/>
      </c>
    </row>
    <row r="4034" spans="1:2" x14ac:dyDescent="0.25">
      <c r="A4034" s="15" t="str">
        <f t="shared" ref="A4034:A4097" si="126">B4034&amp;C4034</f>
        <v/>
      </c>
      <c r="B4034" s="18" t="str">
        <f t="shared" si="125"/>
        <v/>
      </c>
    </row>
    <row r="4035" spans="1:2" x14ac:dyDescent="0.25">
      <c r="A4035" s="15" t="str">
        <f t="shared" si="126"/>
        <v/>
      </c>
      <c r="B4035" s="18" t="str">
        <f t="shared" ref="B4035:B4098" si="127">IF(C4035="","",B4034)</f>
        <v/>
      </c>
    </row>
    <row r="4036" spans="1:2" x14ac:dyDescent="0.25">
      <c r="A4036" s="15" t="str">
        <f t="shared" si="126"/>
        <v/>
      </c>
      <c r="B4036" s="18" t="str">
        <f t="shared" si="127"/>
        <v/>
      </c>
    </row>
    <row r="4037" spans="1:2" x14ac:dyDescent="0.25">
      <c r="A4037" s="15" t="str">
        <f t="shared" si="126"/>
        <v/>
      </c>
      <c r="B4037" s="18" t="str">
        <f t="shared" si="127"/>
        <v/>
      </c>
    </row>
    <row r="4038" spans="1:2" x14ac:dyDescent="0.25">
      <c r="A4038" s="15" t="str">
        <f t="shared" si="126"/>
        <v/>
      </c>
      <c r="B4038" s="18" t="str">
        <f t="shared" si="127"/>
        <v/>
      </c>
    </row>
    <row r="4039" spans="1:2" x14ac:dyDescent="0.25">
      <c r="A4039" s="15" t="str">
        <f t="shared" si="126"/>
        <v/>
      </c>
      <c r="B4039" s="18" t="str">
        <f t="shared" si="127"/>
        <v/>
      </c>
    </row>
    <row r="4040" spans="1:2" x14ac:dyDescent="0.25">
      <c r="A4040" s="15" t="str">
        <f t="shared" si="126"/>
        <v/>
      </c>
      <c r="B4040" s="18" t="str">
        <f t="shared" si="127"/>
        <v/>
      </c>
    </row>
    <row r="4041" spans="1:2" x14ac:dyDescent="0.25">
      <c r="A4041" s="15" t="str">
        <f t="shared" si="126"/>
        <v/>
      </c>
      <c r="B4041" s="18" t="str">
        <f t="shared" si="127"/>
        <v/>
      </c>
    </row>
    <row r="4042" spans="1:2" x14ac:dyDescent="0.25">
      <c r="A4042" s="15" t="str">
        <f t="shared" si="126"/>
        <v/>
      </c>
      <c r="B4042" s="18" t="str">
        <f t="shared" si="127"/>
        <v/>
      </c>
    </row>
    <row r="4043" spans="1:2" x14ac:dyDescent="0.25">
      <c r="A4043" s="15" t="str">
        <f t="shared" si="126"/>
        <v/>
      </c>
      <c r="B4043" s="18" t="str">
        <f t="shared" si="127"/>
        <v/>
      </c>
    </row>
    <row r="4044" spans="1:2" x14ac:dyDescent="0.25">
      <c r="A4044" s="15" t="str">
        <f t="shared" si="126"/>
        <v/>
      </c>
      <c r="B4044" s="18" t="str">
        <f t="shared" si="127"/>
        <v/>
      </c>
    </row>
    <row r="4045" spans="1:2" x14ac:dyDescent="0.25">
      <c r="A4045" s="15" t="str">
        <f t="shared" si="126"/>
        <v/>
      </c>
      <c r="B4045" s="18" t="str">
        <f t="shared" si="127"/>
        <v/>
      </c>
    </row>
    <row r="4046" spans="1:2" x14ac:dyDescent="0.25">
      <c r="A4046" s="15" t="str">
        <f t="shared" si="126"/>
        <v/>
      </c>
      <c r="B4046" s="18" t="str">
        <f t="shared" si="127"/>
        <v/>
      </c>
    </row>
    <row r="4047" spans="1:2" x14ac:dyDescent="0.25">
      <c r="A4047" s="15" t="str">
        <f t="shared" si="126"/>
        <v/>
      </c>
      <c r="B4047" s="18" t="str">
        <f t="shared" si="127"/>
        <v/>
      </c>
    </row>
    <row r="4048" spans="1:2" x14ac:dyDescent="0.25">
      <c r="A4048" s="15" t="str">
        <f t="shared" si="126"/>
        <v/>
      </c>
      <c r="B4048" s="18" t="str">
        <f t="shared" si="127"/>
        <v/>
      </c>
    </row>
    <row r="4049" spans="1:2" x14ac:dyDescent="0.25">
      <c r="A4049" s="15" t="str">
        <f t="shared" si="126"/>
        <v/>
      </c>
      <c r="B4049" s="18" t="str">
        <f t="shared" si="127"/>
        <v/>
      </c>
    </row>
    <row r="4050" spans="1:2" x14ac:dyDescent="0.25">
      <c r="A4050" s="15" t="str">
        <f t="shared" si="126"/>
        <v/>
      </c>
      <c r="B4050" s="18" t="str">
        <f t="shared" si="127"/>
        <v/>
      </c>
    </row>
    <row r="4051" spans="1:2" x14ac:dyDescent="0.25">
      <c r="A4051" s="15" t="str">
        <f t="shared" si="126"/>
        <v/>
      </c>
      <c r="B4051" s="18" t="str">
        <f t="shared" si="127"/>
        <v/>
      </c>
    </row>
    <row r="4052" spans="1:2" x14ac:dyDescent="0.25">
      <c r="A4052" s="15" t="str">
        <f t="shared" si="126"/>
        <v/>
      </c>
      <c r="B4052" s="18" t="str">
        <f t="shared" si="127"/>
        <v/>
      </c>
    </row>
    <row r="4053" spans="1:2" x14ac:dyDescent="0.25">
      <c r="A4053" s="15" t="str">
        <f t="shared" si="126"/>
        <v/>
      </c>
      <c r="B4053" s="18" t="str">
        <f t="shared" si="127"/>
        <v/>
      </c>
    </row>
    <row r="4054" spans="1:2" x14ac:dyDescent="0.25">
      <c r="A4054" s="15" t="str">
        <f t="shared" si="126"/>
        <v/>
      </c>
      <c r="B4054" s="18" t="str">
        <f t="shared" si="127"/>
        <v/>
      </c>
    </row>
    <row r="4055" spans="1:2" x14ac:dyDescent="0.25">
      <c r="A4055" s="15" t="str">
        <f t="shared" si="126"/>
        <v/>
      </c>
      <c r="B4055" s="18" t="str">
        <f t="shared" si="127"/>
        <v/>
      </c>
    </row>
    <row r="4056" spans="1:2" x14ac:dyDescent="0.25">
      <c r="A4056" s="15" t="str">
        <f t="shared" si="126"/>
        <v/>
      </c>
      <c r="B4056" s="18" t="str">
        <f t="shared" si="127"/>
        <v/>
      </c>
    </row>
    <row r="4057" spans="1:2" x14ac:dyDescent="0.25">
      <c r="A4057" s="15" t="str">
        <f t="shared" si="126"/>
        <v/>
      </c>
      <c r="B4057" s="18" t="str">
        <f t="shared" si="127"/>
        <v/>
      </c>
    </row>
    <row r="4058" spans="1:2" x14ac:dyDescent="0.25">
      <c r="A4058" s="15" t="str">
        <f t="shared" si="126"/>
        <v/>
      </c>
      <c r="B4058" s="18" t="str">
        <f t="shared" si="127"/>
        <v/>
      </c>
    </row>
    <row r="4059" spans="1:2" x14ac:dyDescent="0.25">
      <c r="A4059" s="15" t="str">
        <f t="shared" si="126"/>
        <v/>
      </c>
      <c r="B4059" s="18" t="str">
        <f t="shared" si="127"/>
        <v/>
      </c>
    </row>
    <row r="4060" spans="1:2" x14ac:dyDescent="0.25">
      <c r="A4060" s="15" t="str">
        <f t="shared" si="126"/>
        <v/>
      </c>
      <c r="B4060" s="18" t="str">
        <f t="shared" si="127"/>
        <v/>
      </c>
    </row>
    <row r="4061" spans="1:2" x14ac:dyDescent="0.25">
      <c r="A4061" s="15" t="str">
        <f t="shared" si="126"/>
        <v/>
      </c>
      <c r="B4061" s="18" t="str">
        <f t="shared" si="127"/>
        <v/>
      </c>
    </row>
    <row r="4062" spans="1:2" x14ac:dyDescent="0.25">
      <c r="A4062" s="15" t="str">
        <f t="shared" si="126"/>
        <v/>
      </c>
      <c r="B4062" s="18" t="str">
        <f t="shared" si="127"/>
        <v/>
      </c>
    </row>
    <row r="4063" spans="1:2" x14ac:dyDescent="0.25">
      <c r="A4063" s="15" t="str">
        <f t="shared" si="126"/>
        <v/>
      </c>
      <c r="B4063" s="18" t="str">
        <f t="shared" si="127"/>
        <v/>
      </c>
    </row>
    <row r="4064" spans="1:2" x14ac:dyDescent="0.25">
      <c r="A4064" s="15" t="str">
        <f t="shared" si="126"/>
        <v/>
      </c>
      <c r="B4064" s="18" t="str">
        <f t="shared" si="127"/>
        <v/>
      </c>
    </row>
    <row r="4065" spans="1:2" x14ac:dyDescent="0.25">
      <c r="A4065" s="15" t="str">
        <f t="shared" si="126"/>
        <v/>
      </c>
      <c r="B4065" s="18" t="str">
        <f t="shared" si="127"/>
        <v/>
      </c>
    </row>
    <row r="4066" spans="1:2" x14ac:dyDescent="0.25">
      <c r="A4066" s="15" t="str">
        <f t="shared" si="126"/>
        <v/>
      </c>
      <c r="B4066" s="18" t="str">
        <f t="shared" si="127"/>
        <v/>
      </c>
    </row>
    <row r="4067" spans="1:2" x14ac:dyDescent="0.25">
      <c r="A4067" s="15" t="str">
        <f t="shared" si="126"/>
        <v/>
      </c>
      <c r="B4067" s="18" t="str">
        <f t="shared" si="127"/>
        <v/>
      </c>
    </row>
    <row r="4068" spans="1:2" x14ac:dyDescent="0.25">
      <c r="A4068" s="15" t="str">
        <f t="shared" si="126"/>
        <v/>
      </c>
      <c r="B4068" s="18" t="str">
        <f t="shared" si="127"/>
        <v/>
      </c>
    </row>
    <row r="4069" spans="1:2" x14ac:dyDescent="0.25">
      <c r="A4069" s="15" t="str">
        <f t="shared" si="126"/>
        <v/>
      </c>
      <c r="B4069" s="18" t="str">
        <f t="shared" si="127"/>
        <v/>
      </c>
    </row>
    <row r="4070" spans="1:2" x14ac:dyDescent="0.25">
      <c r="A4070" s="15" t="str">
        <f t="shared" si="126"/>
        <v/>
      </c>
      <c r="B4070" s="18" t="str">
        <f t="shared" si="127"/>
        <v/>
      </c>
    </row>
    <row r="4071" spans="1:2" x14ac:dyDescent="0.25">
      <c r="A4071" s="15" t="str">
        <f t="shared" si="126"/>
        <v/>
      </c>
      <c r="B4071" s="18" t="str">
        <f t="shared" si="127"/>
        <v/>
      </c>
    </row>
    <row r="4072" spans="1:2" x14ac:dyDescent="0.25">
      <c r="A4072" s="15" t="str">
        <f t="shared" si="126"/>
        <v/>
      </c>
      <c r="B4072" s="18" t="str">
        <f t="shared" si="127"/>
        <v/>
      </c>
    </row>
    <row r="4073" spans="1:2" x14ac:dyDescent="0.25">
      <c r="A4073" s="15" t="str">
        <f t="shared" si="126"/>
        <v/>
      </c>
      <c r="B4073" s="18" t="str">
        <f t="shared" si="127"/>
        <v/>
      </c>
    </row>
    <row r="4074" spans="1:2" x14ac:dyDescent="0.25">
      <c r="A4074" s="15" t="str">
        <f t="shared" si="126"/>
        <v/>
      </c>
      <c r="B4074" s="18" t="str">
        <f t="shared" si="127"/>
        <v/>
      </c>
    </row>
    <row r="4075" spans="1:2" x14ac:dyDescent="0.25">
      <c r="A4075" s="15" t="str">
        <f t="shared" si="126"/>
        <v/>
      </c>
      <c r="B4075" s="18" t="str">
        <f t="shared" si="127"/>
        <v/>
      </c>
    </row>
    <row r="4076" spans="1:2" x14ac:dyDescent="0.25">
      <c r="A4076" s="15" t="str">
        <f t="shared" si="126"/>
        <v/>
      </c>
      <c r="B4076" s="18" t="str">
        <f t="shared" si="127"/>
        <v/>
      </c>
    </row>
    <row r="4077" spans="1:2" x14ac:dyDescent="0.25">
      <c r="A4077" s="15" t="str">
        <f t="shared" si="126"/>
        <v/>
      </c>
      <c r="B4077" s="18" t="str">
        <f t="shared" si="127"/>
        <v/>
      </c>
    </row>
    <row r="4078" spans="1:2" x14ac:dyDescent="0.25">
      <c r="A4078" s="15" t="str">
        <f t="shared" si="126"/>
        <v/>
      </c>
      <c r="B4078" s="18" t="str">
        <f t="shared" si="127"/>
        <v/>
      </c>
    </row>
    <row r="4079" spans="1:2" x14ac:dyDescent="0.25">
      <c r="A4079" s="15" t="str">
        <f t="shared" si="126"/>
        <v/>
      </c>
      <c r="B4079" s="18" t="str">
        <f t="shared" si="127"/>
        <v/>
      </c>
    </row>
    <row r="4080" spans="1:2" x14ac:dyDescent="0.25">
      <c r="A4080" s="15" t="str">
        <f t="shared" si="126"/>
        <v/>
      </c>
      <c r="B4080" s="18" t="str">
        <f t="shared" si="127"/>
        <v/>
      </c>
    </row>
    <row r="4081" spans="1:2" x14ac:dyDescent="0.25">
      <c r="A4081" s="15" t="str">
        <f t="shared" si="126"/>
        <v/>
      </c>
      <c r="B4081" s="18" t="str">
        <f t="shared" si="127"/>
        <v/>
      </c>
    </row>
    <row r="4082" spans="1:2" x14ac:dyDescent="0.25">
      <c r="A4082" s="15" t="str">
        <f t="shared" si="126"/>
        <v/>
      </c>
      <c r="B4082" s="18" t="str">
        <f t="shared" si="127"/>
        <v/>
      </c>
    </row>
    <row r="4083" spans="1:2" x14ac:dyDescent="0.25">
      <c r="A4083" s="15" t="str">
        <f t="shared" si="126"/>
        <v/>
      </c>
      <c r="B4083" s="18" t="str">
        <f t="shared" si="127"/>
        <v/>
      </c>
    </row>
    <row r="4084" spans="1:2" x14ac:dyDescent="0.25">
      <c r="A4084" s="15" t="str">
        <f t="shared" si="126"/>
        <v/>
      </c>
      <c r="B4084" s="18" t="str">
        <f t="shared" si="127"/>
        <v/>
      </c>
    </row>
    <row r="4085" spans="1:2" x14ac:dyDescent="0.25">
      <c r="A4085" s="15" t="str">
        <f t="shared" si="126"/>
        <v/>
      </c>
      <c r="B4085" s="18" t="str">
        <f t="shared" si="127"/>
        <v/>
      </c>
    </row>
    <row r="4086" spans="1:2" x14ac:dyDescent="0.25">
      <c r="A4086" s="15" t="str">
        <f t="shared" si="126"/>
        <v/>
      </c>
      <c r="B4086" s="18" t="str">
        <f t="shared" si="127"/>
        <v/>
      </c>
    </row>
    <row r="4087" spans="1:2" x14ac:dyDescent="0.25">
      <c r="A4087" s="15" t="str">
        <f t="shared" si="126"/>
        <v/>
      </c>
      <c r="B4087" s="18" t="str">
        <f t="shared" si="127"/>
        <v/>
      </c>
    </row>
    <row r="4088" spans="1:2" x14ac:dyDescent="0.25">
      <c r="A4088" s="15" t="str">
        <f t="shared" si="126"/>
        <v/>
      </c>
      <c r="B4088" s="18" t="str">
        <f t="shared" si="127"/>
        <v/>
      </c>
    </row>
    <row r="4089" spans="1:2" x14ac:dyDescent="0.25">
      <c r="A4089" s="15" t="str">
        <f t="shared" si="126"/>
        <v/>
      </c>
      <c r="B4089" s="18" t="str">
        <f t="shared" si="127"/>
        <v/>
      </c>
    </row>
    <row r="4090" spans="1:2" x14ac:dyDescent="0.25">
      <c r="A4090" s="15" t="str">
        <f t="shared" si="126"/>
        <v/>
      </c>
      <c r="B4090" s="18" t="str">
        <f t="shared" si="127"/>
        <v/>
      </c>
    </row>
    <row r="4091" spans="1:2" x14ac:dyDescent="0.25">
      <c r="A4091" s="15" t="str">
        <f t="shared" si="126"/>
        <v/>
      </c>
      <c r="B4091" s="18" t="str">
        <f t="shared" si="127"/>
        <v/>
      </c>
    </row>
    <row r="4092" spans="1:2" x14ac:dyDescent="0.25">
      <c r="A4092" s="15" t="str">
        <f t="shared" si="126"/>
        <v/>
      </c>
      <c r="B4092" s="18" t="str">
        <f t="shared" si="127"/>
        <v/>
      </c>
    </row>
    <row r="4093" spans="1:2" x14ac:dyDescent="0.25">
      <c r="A4093" s="15" t="str">
        <f t="shared" si="126"/>
        <v/>
      </c>
      <c r="B4093" s="18" t="str">
        <f t="shared" si="127"/>
        <v/>
      </c>
    </row>
    <row r="4094" spans="1:2" x14ac:dyDescent="0.25">
      <c r="A4094" s="15" t="str">
        <f t="shared" si="126"/>
        <v/>
      </c>
      <c r="B4094" s="18" t="str">
        <f t="shared" si="127"/>
        <v/>
      </c>
    </row>
    <row r="4095" spans="1:2" x14ac:dyDescent="0.25">
      <c r="A4095" s="15" t="str">
        <f t="shared" si="126"/>
        <v/>
      </c>
      <c r="B4095" s="18" t="str">
        <f t="shared" si="127"/>
        <v/>
      </c>
    </row>
    <row r="4096" spans="1:2" x14ac:dyDescent="0.25">
      <c r="A4096" s="15" t="str">
        <f t="shared" si="126"/>
        <v/>
      </c>
      <c r="B4096" s="18" t="str">
        <f t="shared" si="127"/>
        <v/>
      </c>
    </row>
    <row r="4097" spans="1:2" x14ac:dyDescent="0.25">
      <c r="A4097" s="15" t="str">
        <f t="shared" si="126"/>
        <v/>
      </c>
      <c r="B4097" s="18" t="str">
        <f t="shared" si="127"/>
        <v/>
      </c>
    </row>
    <row r="4098" spans="1:2" x14ac:dyDescent="0.25">
      <c r="A4098" s="15" t="str">
        <f t="shared" ref="A4098:A4161" si="128">B4098&amp;C4098</f>
        <v/>
      </c>
      <c r="B4098" s="18" t="str">
        <f t="shared" si="127"/>
        <v/>
      </c>
    </row>
    <row r="4099" spans="1:2" x14ac:dyDescent="0.25">
      <c r="A4099" s="15" t="str">
        <f t="shared" si="128"/>
        <v/>
      </c>
      <c r="B4099" s="18" t="str">
        <f t="shared" ref="B4099:B4162" si="129">IF(C4099="","",B4098)</f>
        <v/>
      </c>
    </row>
    <row r="4100" spans="1:2" x14ac:dyDescent="0.25">
      <c r="A4100" s="15" t="str">
        <f t="shared" si="128"/>
        <v/>
      </c>
      <c r="B4100" s="18" t="str">
        <f t="shared" si="129"/>
        <v/>
      </c>
    </row>
    <row r="4101" spans="1:2" x14ac:dyDescent="0.25">
      <c r="A4101" s="15" t="str">
        <f t="shared" si="128"/>
        <v/>
      </c>
      <c r="B4101" s="18" t="str">
        <f t="shared" si="129"/>
        <v/>
      </c>
    </row>
    <row r="4102" spans="1:2" x14ac:dyDescent="0.25">
      <c r="A4102" s="15" t="str">
        <f t="shared" si="128"/>
        <v/>
      </c>
      <c r="B4102" s="18" t="str">
        <f t="shared" si="129"/>
        <v/>
      </c>
    </row>
    <row r="4103" spans="1:2" x14ac:dyDescent="0.25">
      <c r="A4103" s="15" t="str">
        <f t="shared" si="128"/>
        <v/>
      </c>
      <c r="B4103" s="18" t="str">
        <f t="shared" si="129"/>
        <v/>
      </c>
    </row>
    <row r="4104" spans="1:2" x14ac:dyDescent="0.25">
      <c r="A4104" s="15" t="str">
        <f t="shared" si="128"/>
        <v/>
      </c>
      <c r="B4104" s="18" t="str">
        <f t="shared" si="129"/>
        <v/>
      </c>
    </row>
    <row r="4105" spans="1:2" x14ac:dyDescent="0.25">
      <c r="A4105" s="15" t="str">
        <f t="shared" si="128"/>
        <v/>
      </c>
      <c r="B4105" s="18" t="str">
        <f t="shared" si="129"/>
        <v/>
      </c>
    </row>
    <row r="4106" spans="1:2" x14ac:dyDescent="0.25">
      <c r="A4106" s="15" t="str">
        <f t="shared" si="128"/>
        <v/>
      </c>
      <c r="B4106" s="18" t="str">
        <f t="shared" si="129"/>
        <v/>
      </c>
    </row>
    <row r="4107" spans="1:2" x14ac:dyDescent="0.25">
      <c r="A4107" s="15" t="str">
        <f t="shared" si="128"/>
        <v/>
      </c>
      <c r="B4107" s="18" t="str">
        <f t="shared" si="129"/>
        <v/>
      </c>
    </row>
    <row r="4108" spans="1:2" x14ac:dyDescent="0.25">
      <c r="A4108" s="15" t="str">
        <f t="shared" si="128"/>
        <v/>
      </c>
      <c r="B4108" s="18" t="str">
        <f t="shared" si="129"/>
        <v/>
      </c>
    </row>
    <row r="4109" spans="1:2" x14ac:dyDescent="0.25">
      <c r="A4109" s="15" t="str">
        <f t="shared" si="128"/>
        <v/>
      </c>
      <c r="B4109" s="18" t="str">
        <f t="shared" si="129"/>
        <v/>
      </c>
    </row>
    <row r="4110" spans="1:2" x14ac:dyDescent="0.25">
      <c r="A4110" s="15" t="str">
        <f t="shared" si="128"/>
        <v/>
      </c>
      <c r="B4110" s="18" t="str">
        <f t="shared" si="129"/>
        <v/>
      </c>
    </row>
    <row r="4111" spans="1:2" x14ac:dyDescent="0.25">
      <c r="A4111" s="15" t="str">
        <f t="shared" si="128"/>
        <v/>
      </c>
      <c r="B4111" s="18" t="str">
        <f t="shared" si="129"/>
        <v/>
      </c>
    </row>
    <row r="4112" spans="1:2" x14ac:dyDescent="0.25">
      <c r="A4112" s="15" t="str">
        <f t="shared" si="128"/>
        <v/>
      </c>
      <c r="B4112" s="18" t="str">
        <f t="shared" si="129"/>
        <v/>
      </c>
    </row>
    <row r="4113" spans="1:2" x14ac:dyDescent="0.25">
      <c r="A4113" s="15" t="str">
        <f t="shared" si="128"/>
        <v/>
      </c>
      <c r="B4113" s="18" t="str">
        <f t="shared" si="129"/>
        <v/>
      </c>
    </row>
    <row r="4114" spans="1:2" x14ac:dyDescent="0.25">
      <c r="A4114" s="15" t="str">
        <f t="shared" si="128"/>
        <v/>
      </c>
      <c r="B4114" s="18" t="str">
        <f t="shared" si="129"/>
        <v/>
      </c>
    </row>
    <row r="4115" spans="1:2" x14ac:dyDescent="0.25">
      <c r="A4115" s="15" t="str">
        <f t="shared" si="128"/>
        <v/>
      </c>
      <c r="B4115" s="18" t="str">
        <f t="shared" si="129"/>
        <v/>
      </c>
    </row>
    <row r="4116" spans="1:2" x14ac:dyDescent="0.25">
      <c r="A4116" s="15" t="str">
        <f t="shared" si="128"/>
        <v/>
      </c>
      <c r="B4116" s="18" t="str">
        <f t="shared" si="129"/>
        <v/>
      </c>
    </row>
    <row r="4117" spans="1:2" x14ac:dyDescent="0.25">
      <c r="A4117" s="15" t="str">
        <f t="shared" si="128"/>
        <v/>
      </c>
      <c r="B4117" s="18" t="str">
        <f t="shared" si="129"/>
        <v/>
      </c>
    </row>
    <row r="4118" spans="1:2" x14ac:dyDescent="0.25">
      <c r="A4118" s="15" t="str">
        <f t="shared" si="128"/>
        <v/>
      </c>
      <c r="B4118" s="18" t="str">
        <f t="shared" si="129"/>
        <v/>
      </c>
    </row>
    <row r="4119" spans="1:2" x14ac:dyDescent="0.25">
      <c r="A4119" s="15" t="str">
        <f t="shared" si="128"/>
        <v/>
      </c>
      <c r="B4119" s="18" t="str">
        <f t="shared" si="129"/>
        <v/>
      </c>
    </row>
    <row r="4120" spans="1:2" x14ac:dyDescent="0.25">
      <c r="A4120" s="15" t="str">
        <f t="shared" si="128"/>
        <v/>
      </c>
      <c r="B4120" s="18" t="str">
        <f t="shared" si="129"/>
        <v/>
      </c>
    </row>
    <row r="4121" spans="1:2" x14ac:dyDescent="0.25">
      <c r="A4121" s="15" t="str">
        <f t="shared" si="128"/>
        <v/>
      </c>
      <c r="B4121" s="18" t="str">
        <f t="shared" si="129"/>
        <v/>
      </c>
    </row>
    <row r="4122" spans="1:2" x14ac:dyDescent="0.25">
      <c r="A4122" s="15" t="str">
        <f t="shared" si="128"/>
        <v/>
      </c>
      <c r="B4122" s="18" t="str">
        <f t="shared" si="129"/>
        <v/>
      </c>
    </row>
    <row r="4123" spans="1:2" x14ac:dyDescent="0.25">
      <c r="A4123" s="15" t="str">
        <f t="shared" si="128"/>
        <v/>
      </c>
      <c r="B4123" s="18" t="str">
        <f t="shared" si="129"/>
        <v/>
      </c>
    </row>
    <row r="4124" spans="1:2" x14ac:dyDescent="0.25">
      <c r="A4124" s="15" t="str">
        <f t="shared" si="128"/>
        <v/>
      </c>
      <c r="B4124" s="18" t="str">
        <f t="shared" si="129"/>
        <v/>
      </c>
    </row>
    <row r="4125" spans="1:2" x14ac:dyDescent="0.25">
      <c r="A4125" s="15" t="str">
        <f t="shared" si="128"/>
        <v/>
      </c>
      <c r="B4125" s="18" t="str">
        <f t="shared" si="129"/>
        <v/>
      </c>
    </row>
    <row r="4126" spans="1:2" x14ac:dyDescent="0.25">
      <c r="A4126" s="15" t="str">
        <f t="shared" si="128"/>
        <v/>
      </c>
      <c r="B4126" s="18" t="str">
        <f t="shared" si="129"/>
        <v/>
      </c>
    </row>
    <row r="4127" spans="1:2" x14ac:dyDescent="0.25">
      <c r="A4127" s="15" t="str">
        <f t="shared" si="128"/>
        <v/>
      </c>
      <c r="B4127" s="18" t="str">
        <f t="shared" si="129"/>
        <v/>
      </c>
    </row>
    <row r="4128" spans="1:2" x14ac:dyDescent="0.25">
      <c r="A4128" s="15" t="str">
        <f t="shared" si="128"/>
        <v/>
      </c>
      <c r="B4128" s="18" t="str">
        <f t="shared" si="129"/>
        <v/>
      </c>
    </row>
    <row r="4129" spans="1:2" x14ac:dyDescent="0.25">
      <c r="A4129" s="15" t="str">
        <f t="shared" si="128"/>
        <v/>
      </c>
      <c r="B4129" s="18" t="str">
        <f t="shared" si="129"/>
        <v/>
      </c>
    </row>
    <row r="4130" spans="1:2" x14ac:dyDescent="0.25">
      <c r="A4130" s="15" t="str">
        <f t="shared" si="128"/>
        <v/>
      </c>
      <c r="B4130" s="18" t="str">
        <f t="shared" si="129"/>
        <v/>
      </c>
    </row>
    <row r="4131" spans="1:2" x14ac:dyDescent="0.25">
      <c r="A4131" s="15" t="str">
        <f t="shared" si="128"/>
        <v/>
      </c>
      <c r="B4131" s="18" t="str">
        <f t="shared" si="129"/>
        <v/>
      </c>
    </row>
    <row r="4132" spans="1:2" x14ac:dyDescent="0.25">
      <c r="A4132" s="15" t="str">
        <f t="shared" si="128"/>
        <v/>
      </c>
      <c r="B4132" s="18" t="str">
        <f t="shared" si="129"/>
        <v/>
      </c>
    </row>
    <row r="4133" spans="1:2" x14ac:dyDescent="0.25">
      <c r="A4133" s="15" t="str">
        <f t="shared" si="128"/>
        <v/>
      </c>
      <c r="B4133" s="18" t="str">
        <f t="shared" si="129"/>
        <v/>
      </c>
    </row>
    <row r="4134" spans="1:2" x14ac:dyDescent="0.25">
      <c r="A4134" s="15" t="str">
        <f t="shared" si="128"/>
        <v/>
      </c>
      <c r="B4134" s="18" t="str">
        <f t="shared" si="129"/>
        <v/>
      </c>
    </row>
    <row r="4135" spans="1:2" x14ac:dyDescent="0.25">
      <c r="A4135" s="15" t="str">
        <f t="shared" si="128"/>
        <v/>
      </c>
      <c r="B4135" s="18" t="str">
        <f t="shared" si="129"/>
        <v/>
      </c>
    </row>
    <row r="4136" spans="1:2" x14ac:dyDescent="0.25">
      <c r="A4136" s="15" t="str">
        <f t="shared" si="128"/>
        <v/>
      </c>
      <c r="B4136" s="18" t="str">
        <f t="shared" si="129"/>
        <v/>
      </c>
    </row>
    <row r="4137" spans="1:2" x14ac:dyDescent="0.25">
      <c r="A4137" s="15" t="str">
        <f t="shared" si="128"/>
        <v/>
      </c>
      <c r="B4137" s="18" t="str">
        <f t="shared" si="129"/>
        <v/>
      </c>
    </row>
    <row r="4138" spans="1:2" x14ac:dyDescent="0.25">
      <c r="A4138" s="15" t="str">
        <f t="shared" si="128"/>
        <v/>
      </c>
      <c r="B4138" s="18" t="str">
        <f t="shared" si="129"/>
        <v/>
      </c>
    </row>
    <row r="4139" spans="1:2" x14ac:dyDescent="0.25">
      <c r="A4139" s="15" t="str">
        <f t="shared" si="128"/>
        <v/>
      </c>
      <c r="B4139" s="18" t="str">
        <f t="shared" si="129"/>
        <v/>
      </c>
    </row>
    <row r="4140" spans="1:2" x14ac:dyDescent="0.25">
      <c r="A4140" s="15" t="str">
        <f t="shared" si="128"/>
        <v/>
      </c>
      <c r="B4140" s="18" t="str">
        <f t="shared" si="129"/>
        <v/>
      </c>
    </row>
    <row r="4141" spans="1:2" x14ac:dyDescent="0.25">
      <c r="A4141" s="15" t="str">
        <f t="shared" si="128"/>
        <v/>
      </c>
      <c r="B4141" s="18" t="str">
        <f t="shared" si="129"/>
        <v/>
      </c>
    </row>
    <row r="4142" spans="1:2" x14ac:dyDescent="0.25">
      <c r="A4142" s="15" t="str">
        <f t="shared" si="128"/>
        <v/>
      </c>
      <c r="B4142" s="18" t="str">
        <f t="shared" si="129"/>
        <v/>
      </c>
    </row>
    <row r="4143" spans="1:2" x14ac:dyDescent="0.25">
      <c r="A4143" s="15" t="str">
        <f t="shared" si="128"/>
        <v/>
      </c>
      <c r="B4143" s="18" t="str">
        <f t="shared" si="129"/>
        <v/>
      </c>
    </row>
    <row r="4144" spans="1:2" x14ac:dyDescent="0.25">
      <c r="A4144" s="15" t="str">
        <f t="shared" si="128"/>
        <v/>
      </c>
      <c r="B4144" s="18" t="str">
        <f t="shared" si="129"/>
        <v/>
      </c>
    </row>
    <row r="4145" spans="1:2" x14ac:dyDescent="0.25">
      <c r="A4145" s="15" t="str">
        <f t="shared" si="128"/>
        <v/>
      </c>
      <c r="B4145" s="18" t="str">
        <f t="shared" si="129"/>
        <v/>
      </c>
    </row>
    <row r="4146" spans="1:2" x14ac:dyDescent="0.25">
      <c r="A4146" s="15" t="str">
        <f t="shared" si="128"/>
        <v/>
      </c>
      <c r="B4146" s="18" t="str">
        <f t="shared" si="129"/>
        <v/>
      </c>
    </row>
    <row r="4147" spans="1:2" x14ac:dyDescent="0.25">
      <c r="A4147" s="15" t="str">
        <f t="shared" si="128"/>
        <v/>
      </c>
      <c r="B4147" s="18" t="str">
        <f t="shared" si="129"/>
        <v/>
      </c>
    </row>
    <row r="4148" spans="1:2" x14ac:dyDescent="0.25">
      <c r="A4148" s="15" t="str">
        <f t="shared" si="128"/>
        <v/>
      </c>
      <c r="B4148" s="18" t="str">
        <f t="shared" si="129"/>
        <v/>
      </c>
    </row>
    <row r="4149" spans="1:2" x14ac:dyDescent="0.25">
      <c r="A4149" s="15" t="str">
        <f t="shared" si="128"/>
        <v/>
      </c>
      <c r="B4149" s="18" t="str">
        <f t="shared" si="129"/>
        <v/>
      </c>
    </row>
    <row r="4150" spans="1:2" x14ac:dyDescent="0.25">
      <c r="A4150" s="15" t="str">
        <f t="shared" si="128"/>
        <v/>
      </c>
      <c r="B4150" s="18" t="str">
        <f t="shared" si="129"/>
        <v/>
      </c>
    </row>
    <row r="4151" spans="1:2" x14ac:dyDescent="0.25">
      <c r="A4151" s="15" t="str">
        <f t="shared" si="128"/>
        <v/>
      </c>
      <c r="B4151" s="18" t="str">
        <f t="shared" si="129"/>
        <v/>
      </c>
    </row>
    <row r="4152" spans="1:2" x14ac:dyDescent="0.25">
      <c r="A4152" s="15" t="str">
        <f t="shared" si="128"/>
        <v/>
      </c>
      <c r="B4152" s="18" t="str">
        <f t="shared" si="129"/>
        <v/>
      </c>
    </row>
    <row r="4153" spans="1:2" x14ac:dyDescent="0.25">
      <c r="A4153" s="15" t="str">
        <f t="shared" si="128"/>
        <v/>
      </c>
      <c r="B4153" s="18" t="str">
        <f t="shared" si="129"/>
        <v/>
      </c>
    </row>
    <row r="4154" spans="1:2" x14ac:dyDescent="0.25">
      <c r="A4154" s="15" t="str">
        <f t="shared" si="128"/>
        <v/>
      </c>
      <c r="B4154" s="18" t="str">
        <f t="shared" si="129"/>
        <v/>
      </c>
    </row>
    <row r="4155" spans="1:2" x14ac:dyDescent="0.25">
      <c r="A4155" s="15" t="str">
        <f t="shared" si="128"/>
        <v/>
      </c>
      <c r="B4155" s="18" t="str">
        <f t="shared" si="129"/>
        <v/>
      </c>
    </row>
    <row r="4156" spans="1:2" x14ac:dyDescent="0.25">
      <c r="A4156" s="15" t="str">
        <f t="shared" si="128"/>
        <v/>
      </c>
      <c r="B4156" s="18" t="str">
        <f t="shared" si="129"/>
        <v/>
      </c>
    </row>
    <row r="4157" spans="1:2" x14ac:dyDescent="0.25">
      <c r="A4157" s="15" t="str">
        <f t="shared" si="128"/>
        <v/>
      </c>
      <c r="B4157" s="18" t="str">
        <f t="shared" si="129"/>
        <v/>
      </c>
    </row>
    <row r="4158" spans="1:2" x14ac:dyDescent="0.25">
      <c r="A4158" s="15" t="str">
        <f t="shared" si="128"/>
        <v/>
      </c>
      <c r="B4158" s="18" t="str">
        <f t="shared" si="129"/>
        <v/>
      </c>
    </row>
    <row r="4159" spans="1:2" x14ac:dyDescent="0.25">
      <c r="A4159" s="15" t="str">
        <f t="shared" si="128"/>
        <v/>
      </c>
      <c r="B4159" s="18" t="str">
        <f t="shared" si="129"/>
        <v/>
      </c>
    </row>
    <row r="4160" spans="1:2" x14ac:dyDescent="0.25">
      <c r="A4160" s="15" t="str">
        <f t="shared" si="128"/>
        <v/>
      </c>
      <c r="B4160" s="18" t="str">
        <f t="shared" si="129"/>
        <v/>
      </c>
    </row>
    <row r="4161" spans="1:2" x14ac:dyDescent="0.25">
      <c r="A4161" s="15" t="str">
        <f t="shared" si="128"/>
        <v/>
      </c>
      <c r="B4161" s="18" t="str">
        <f t="shared" si="129"/>
        <v/>
      </c>
    </row>
    <row r="4162" spans="1:2" x14ac:dyDescent="0.25">
      <c r="A4162" s="15" t="str">
        <f t="shared" ref="A4162:A4225" si="130">B4162&amp;C4162</f>
        <v/>
      </c>
      <c r="B4162" s="18" t="str">
        <f t="shared" si="129"/>
        <v/>
      </c>
    </row>
    <row r="4163" spans="1:2" x14ac:dyDescent="0.25">
      <c r="A4163" s="15" t="str">
        <f t="shared" si="130"/>
        <v/>
      </c>
      <c r="B4163" s="18" t="str">
        <f t="shared" ref="B4163:B4226" si="131">IF(C4163="","",B4162)</f>
        <v/>
      </c>
    </row>
    <row r="4164" spans="1:2" x14ac:dyDescent="0.25">
      <c r="A4164" s="15" t="str">
        <f t="shared" si="130"/>
        <v/>
      </c>
      <c r="B4164" s="18" t="str">
        <f t="shared" si="131"/>
        <v/>
      </c>
    </row>
    <row r="4165" spans="1:2" x14ac:dyDescent="0.25">
      <c r="A4165" s="15" t="str">
        <f t="shared" si="130"/>
        <v/>
      </c>
      <c r="B4165" s="18" t="str">
        <f t="shared" si="131"/>
        <v/>
      </c>
    </row>
    <row r="4166" spans="1:2" x14ac:dyDescent="0.25">
      <c r="A4166" s="15" t="str">
        <f t="shared" si="130"/>
        <v/>
      </c>
      <c r="B4166" s="18" t="str">
        <f t="shared" si="131"/>
        <v/>
      </c>
    </row>
    <row r="4167" spans="1:2" x14ac:dyDescent="0.25">
      <c r="A4167" s="15" t="str">
        <f t="shared" si="130"/>
        <v/>
      </c>
      <c r="B4167" s="18" t="str">
        <f t="shared" si="131"/>
        <v/>
      </c>
    </row>
    <row r="4168" spans="1:2" x14ac:dyDescent="0.25">
      <c r="A4168" s="15" t="str">
        <f t="shared" si="130"/>
        <v/>
      </c>
      <c r="B4168" s="18" t="str">
        <f t="shared" si="131"/>
        <v/>
      </c>
    </row>
    <row r="4169" spans="1:2" x14ac:dyDescent="0.25">
      <c r="A4169" s="15" t="str">
        <f t="shared" si="130"/>
        <v/>
      </c>
      <c r="B4169" s="18" t="str">
        <f t="shared" si="131"/>
        <v/>
      </c>
    </row>
    <row r="4170" spans="1:2" x14ac:dyDescent="0.25">
      <c r="A4170" s="15" t="str">
        <f t="shared" si="130"/>
        <v/>
      </c>
      <c r="B4170" s="18" t="str">
        <f t="shared" si="131"/>
        <v/>
      </c>
    </row>
    <row r="4171" spans="1:2" x14ac:dyDescent="0.25">
      <c r="A4171" s="15" t="str">
        <f t="shared" si="130"/>
        <v/>
      </c>
      <c r="B4171" s="18" t="str">
        <f t="shared" si="131"/>
        <v/>
      </c>
    </row>
    <row r="4172" spans="1:2" x14ac:dyDescent="0.25">
      <c r="A4172" s="15" t="str">
        <f t="shared" si="130"/>
        <v/>
      </c>
      <c r="B4172" s="18" t="str">
        <f t="shared" si="131"/>
        <v/>
      </c>
    </row>
    <row r="4173" spans="1:2" x14ac:dyDescent="0.25">
      <c r="A4173" s="15" t="str">
        <f t="shared" si="130"/>
        <v/>
      </c>
      <c r="B4173" s="18" t="str">
        <f t="shared" si="131"/>
        <v/>
      </c>
    </row>
    <row r="4174" spans="1:2" x14ac:dyDescent="0.25">
      <c r="A4174" s="15" t="str">
        <f t="shared" si="130"/>
        <v/>
      </c>
      <c r="B4174" s="18" t="str">
        <f t="shared" si="131"/>
        <v/>
      </c>
    </row>
    <row r="4175" spans="1:2" x14ac:dyDescent="0.25">
      <c r="A4175" s="15" t="str">
        <f t="shared" si="130"/>
        <v/>
      </c>
      <c r="B4175" s="18" t="str">
        <f t="shared" si="131"/>
        <v/>
      </c>
    </row>
    <row r="4176" spans="1:2" x14ac:dyDescent="0.25">
      <c r="A4176" s="15" t="str">
        <f t="shared" si="130"/>
        <v/>
      </c>
      <c r="B4176" s="18" t="str">
        <f t="shared" si="131"/>
        <v/>
      </c>
    </row>
    <row r="4177" spans="1:2" x14ac:dyDescent="0.25">
      <c r="A4177" s="15" t="str">
        <f t="shared" si="130"/>
        <v/>
      </c>
      <c r="B4177" s="18" t="str">
        <f t="shared" si="131"/>
        <v/>
      </c>
    </row>
    <row r="4178" spans="1:2" x14ac:dyDescent="0.25">
      <c r="A4178" s="15" t="str">
        <f t="shared" si="130"/>
        <v/>
      </c>
      <c r="B4178" s="18" t="str">
        <f t="shared" si="131"/>
        <v/>
      </c>
    </row>
    <row r="4179" spans="1:2" x14ac:dyDescent="0.25">
      <c r="A4179" s="15" t="str">
        <f t="shared" si="130"/>
        <v/>
      </c>
      <c r="B4179" s="18" t="str">
        <f t="shared" si="131"/>
        <v/>
      </c>
    </row>
    <row r="4180" spans="1:2" x14ac:dyDescent="0.25">
      <c r="A4180" s="15" t="str">
        <f t="shared" si="130"/>
        <v/>
      </c>
      <c r="B4180" s="18" t="str">
        <f t="shared" si="131"/>
        <v/>
      </c>
    </row>
    <row r="4181" spans="1:2" x14ac:dyDescent="0.25">
      <c r="A4181" s="15" t="str">
        <f t="shared" si="130"/>
        <v/>
      </c>
      <c r="B4181" s="18" t="str">
        <f t="shared" si="131"/>
        <v/>
      </c>
    </row>
    <row r="4182" spans="1:2" x14ac:dyDescent="0.25">
      <c r="A4182" s="15" t="str">
        <f t="shared" si="130"/>
        <v/>
      </c>
      <c r="B4182" s="18" t="str">
        <f t="shared" si="131"/>
        <v/>
      </c>
    </row>
    <row r="4183" spans="1:2" x14ac:dyDescent="0.25">
      <c r="A4183" s="15" t="str">
        <f t="shared" si="130"/>
        <v/>
      </c>
      <c r="B4183" s="18" t="str">
        <f t="shared" si="131"/>
        <v/>
      </c>
    </row>
    <row r="4184" spans="1:2" x14ac:dyDescent="0.25">
      <c r="A4184" s="15" t="str">
        <f t="shared" si="130"/>
        <v/>
      </c>
      <c r="B4184" s="18" t="str">
        <f t="shared" si="131"/>
        <v/>
      </c>
    </row>
    <row r="4185" spans="1:2" x14ac:dyDescent="0.25">
      <c r="A4185" s="15" t="str">
        <f t="shared" si="130"/>
        <v/>
      </c>
      <c r="B4185" s="18" t="str">
        <f t="shared" si="131"/>
        <v/>
      </c>
    </row>
    <row r="4186" spans="1:2" x14ac:dyDescent="0.25">
      <c r="A4186" s="15" t="str">
        <f t="shared" si="130"/>
        <v/>
      </c>
      <c r="B4186" s="18" t="str">
        <f t="shared" si="131"/>
        <v/>
      </c>
    </row>
    <row r="4187" spans="1:2" x14ac:dyDescent="0.25">
      <c r="A4187" s="15" t="str">
        <f t="shared" si="130"/>
        <v/>
      </c>
      <c r="B4187" s="18" t="str">
        <f t="shared" si="131"/>
        <v/>
      </c>
    </row>
    <row r="4188" spans="1:2" x14ac:dyDescent="0.25">
      <c r="A4188" s="15" t="str">
        <f t="shared" si="130"/>
        <v/>
      </c>
      <c r="B4188" s="18" t="str">
        <f t="shared" si="131"/>
        <v/>
      </c>
    </row>
    <row r="4189" spans="1:2" x14ac:dyDescent="0.25">
      <c r="A4189" s="15" t="str">
        <f t="shared" si="130"/>
        <v/>
      </c>
      <c r="B4189" s="18" t="str">
        <f t="shared" si="131"/>
        <v/>
      </c>
    </row>
    <row r="4190" spans="1:2" x14ac:dyDescent="0.25">
      <c r="A4190" s="15" t="str">
        <f t="shared" si="130"/>
        <v/>
      </c>
      <c r="B4190" s="18" t="str">
        <f t="shared" si="131"/>
        <v/>
      </c>
    </row>
    <row r="4191" spans="1:2" x14ac:dyDescent="0.25">
      <c r="A4191" s="15" t="str">
        <f t="shared" si="130"/>
        <v/>
      </c>
      <c r="B4191" s="18" t="str">
        <f t="shared" si="131"/>
        <v/>
      </c>
    </row>
    <row r="4192" spans="1:2" x14ac:dyDescent="0.25">
      <c r="A4192" s="15" t="str">
        <f t="shared" si="130"/>
        <v/>
      </c>
      <c r="B4192" s="18" t="str">
        <f t="shared" si="131"/>
        <v/>
      </c>
    </row>
    <row r="4193" spans="1:2" x14ac:dyDescent="0.25">
      <c r="A4193" s="15" t="str">
        <f t="shared" si="130"/>
        <v/>
      </c>
      <c r="B4193" s="18" t="str">
        <f t="shared" si="131"/>
        <v/>
      </c>
    </row>
    <row r="4194" spans="1:2" x14ac:dyDescent="0.25">
      <c r="A4194" s="15" t="str">
        <f t="shared" si="130"/>
        <v/>
      </c>
      <c r="B4194" s="18" t="str">
        <f t="shared" si="131"/>
        <v/>
      </c>
    </row>
    <row r="4195" spans="1:2" x14ac:dyDescent="0.25">
      <c r="A4195" s="15" t="str">
        <f t="shared" si="130"/>
        <v/>
      </c>
      <c r="B4195" s="18" t="str">
        <f t="shared" si="131"/>
        <v/>
      </c>
    </row>
    <row r="4196" spans="1:2" x14ac:dyDescent="0.25">
      <c r="A4196" s="15" t="str">
        <f t="shared" si="130"/>
        <v/>
      </c>
      <c r="B4196" s="18" t="str">
        <f t="shared" si="131"/>
        <v/>
      </c>
    </row>
    <row r="4197" spans="1:2" x14ac:dyDescent="0.25">
      <c r="A4197" s="15" t="str">
        <f t="shared" si="130"/>
        <v/>
      </c>
      <c r="B4197" s="18" t="str">
        <f t="shared" si="131"/>
        <v/>
      </c>
    </row>
    <row r="4198" spans="1:2" x14ac:dyDescent="0.25">
      <c r="A4198" s="15" t="str">
        <f t="shared" si="130"/>
        <v/>
      </c>
      <c r="B4198" s="18" t="str">
        <f t="shared" si="131"/>
        <v/>
      </c>
    </row>
    <row r="4199" spans="1:2" x14ac:dyDescent="0.25">
      <c r="A4199" s="15" t="str">
        <f t="shared" si="130"/>
        <v/>
      </c>
      <c r="B4199" s="18" t="str">
        <f t="shared" si="131"/>
        <v/>
      </c>
    </row>
    <row r="4200" spans="1:2" x14ac:dyDescent="0.25">
      <c r="A4200" s="15" t="str">
        <f t="shared" si="130"/>
        <v/>
      </c>
      <c r="B4200" s="18" t="str">
        <f t="shared" si="131"/>
        <v/>
      </c>
    </row>
    <row r="4201" spans="1:2" x14ac:dyDescent="0.25">
      <c r="A4201" s="15" t="str">
        <f t="shared" si="130"/>
        <v/>
      </c>
      <c r="B4201" s="18" t="str">
        <f t="shared" si="131"/>
        <v/>
      </c>
    </row>
    <row r="4202" spans="1:2" x14ac:dyDescent="0.25">
      <c r="A4202" s="15" t="str">
        <f t="shared" si="130"/>
        <v/>
      </c>
      <c r="B4202" s="18" t="str">
        <f t="shared" si="131"/>
        <v/>
      </c>
    </row>
    <row r="4203" spans="1:2" x14ac:dyDescent="0.25">
      <c r="A4203" s="15" t="str">
        <f t="shared" si="130"/>
        <v/>
      </c>
      <c r="B4203" s="18" t="str">
        <f t="shared" si="131"/>
        <v/>
      </c>
    </row>
    <row r="4204" spans="1:2" x14ac:dyDescent="0.25">
      <c r="A4204" s="15" t="str">
        <f t="shared" si="130"/>
        <v/>
      </c>
      <c r="B4204" s="18" t="str">
        <f t="shared" si="131"/>
        <v/>
      </c>
    </row>
    <row r="4205" spans="1:2" x14ac:dyDescent="0.25">
      <c r="A4205" s="15" t="str">
        <f t="shared" si="130"/>
        <v/>
      </c>
      <c r="B4205" s="18" t="str">
        <f t="shared" si="131"/>
        <v/>
      </c>
    </row>
    <row r="4206" spans="1:2" x14ac:dyDescent="0.25">
      <c r="A4206" s="15" t="str">
        <f t="shared" si="130"/>
        <v/>
      </c>
      <c r="B4206" s="18" t="str">
        <f t="shared" si="131"/>
        <v/>
      </c>
    </row>
    <row r="4207" spans="1:2" x14ac:dyDescent="0.25">
      <c r="A4207" s="15" t="str">
        <f t="shared" si="130"/>
        <v/>
      </c>
      <c r="B4207" s="18" t="str">
        <f t="shared" si="131"/>
        <v/>
      </c>
    </row>
    <row r="4208" spans="1:2" x14ac:dyDescent="0.25">
      <c r="A4208" s="15" t="str">
        <f t="shared" si="130"/>
        <v/>
      </c>
      <c r="B4208" s="18" t="str">
        <f t="shared" si="131"/>
        <v/>
      </c>
    </row>
    <row r="4209" spans="1:2" x14ac:dyDescent="0.25">
      <c r="A4209" s="15" t="str">
        <f t="shared" si="130"/>
        <v/>
      </c>
      <c r="B4209" s="18" t="str">
        <f t="shared" si="131"/>
        <v/>
      </c>
    </row>
    <row r="4210" spans="1:2" x14ac:dyDescent="0.25">
      <c r="A4210" s="15" t="str">
        <f t="shared" si="130"/>
        <v/>
      </c>
      <c r="B4210" s="18" t="str">
        <f t="shared" si="131"/>
        <v/>
      </c>
    </row>
    <row r="4211" spans="1:2" x14ac:dyDescent="0.25">
      <c r="A4211" s="15" t="str">
        <f t="shared" si="130"/>
        <v/>
      </c>
      <c r="B4211" s="18" t="str">
        <f t="shared" si="131"/>
        <v/>
      </c>
    </row>
    <row r="4212" spans="1:2" x14ac:dyDescent="0.25">
      <c r="A4212" s="15" t="str">
        <f t="shared" si="130"/>
        <v/>
      </c>
      <c r="B4212" s="18" t="str">
        <f t="shared" si="131"/>
        <v/>
      </c>
    </row>
    <row r="4213" spans="1:2" x14ac:dyDescent="0.25">
      <c r="A4213" s="15" t="str">
        <f t="shared" si="130"/>
        <v/>
      </c>
      <c r="B4213" s="18" t="str">
        <f t="shared" si="131"/>
        <v/>
      </c>
    </row>
    <row r="4214" spans="1:2" x14ac:dyDescent="0.25">
      <c r="A4214" s="15" t="str">
        <f t="shared" si="130"/>
        <v/>
      </c>
      <c r="B4214" s="18" t="str">
        <f t="shared" si="131"/>
        <v/>
      </c>
    </row>
    <row r="4215" spans="1:2" x14ac:dyDescent="0.25">
      <c r="A4215" s="15" t="str">
        <f t="shared" si="130"/>
        <v/>
      </c>
      <c r="B4215" s="18" t="str">
        <f t="shared" si="131"/>
        <v/>
      </c>
    </row>
    <row r="4216" spans="1:2" x14ac:dyDescent="0.25">
      <c r="A4216" s="15" t="str">
        <f t="shared" si="130"/>
        <v/>
      </c>
      <c r="B4216" s="18" t="str">
        <f t="shared" si="131"/>
        <v/>
      </c>
    </row>
    <row r="4217" spans="1:2" x14ac:dyDescent="0.25">
      <c r="A4217" s="15" t="str">
        <f t="shared" si="130"/>
        <v/>
      </c>
      <c r="B4217" s="18" t="str">
        <f t="shared" si="131"/>
        <v/>
      </c>
    </row>
    <row r="4218" spans="1:2" x14ac:dyDescent="0.25">
      <c r="A4218" s="15" t="str">
        <f t="shared" si="130"/>
        <v/>
      </c>
      <c r="B4218" s="18" t="str">
        <f t="shared" si="131"/>
        <v/>
      </c>
    </row>
    <row r="4219" spans="1:2" x14ac:dyDescent="0.25">
      <c r="A4219" s="15" t="str">
        <f t="shared" si="130"/>
        <v/>
      </c>
      <c r="B4219" s="18" t="str">
        <f t="shared" si="131"/>
        <v/>
      </c>
    </row>
    <row r="4220" spans="1:2" x14ac:dyDescent="0.25">
      <c r="A4220" s="15" t="str">
        <f t="shared" si="130"/>
        <v/>
      </c>
      <c r="B4220" s="18" t="str">
        <f t="shared" si="131"/>
        <v/>
      </c>
    </row>
    <row r="4221" spans="1:2" x14ac:dyDescent="0.25">
      <c r="A4221" s="15" t="str">
        <f t="shared" si="130"/>
        <v/>
      </c>
      <c r="B4221" s="18" t="str">
        <f t="shared" si="131"/>
        <v/>
      </c>
    </row>
    <row r="4222" spans="1:2" x14ac:dyDescent="0.25">
      <c r="A4222" s="15" t="str">
        <f t="shared" si="130"/>
        <v/>
      </c>
      <c r="B4222" s="18" t="str">
        <f t="shared" si="131"/>
        <v/>
      </c>
    </row>
    <row r="4223" spans="1:2" x14ac:dyDescent="0.25">
      <c r="A4223" s="15" t="str">
        <f t="shared" si="130"/>
        <v/>
      </c>
      <c r="B4223" s="18" t="str">
        <f t="shared" si="131"/>
        <v/>
      </c>
    </row>
    <row r="4224" spans="1:2" x14ac:dyDescent="0.25">
      <c r="A4224" s="15" t="str">
        <f t="shared" si="130"/>
        <v/>
      </c>
      <c r="B4224" s="18" t="str">
        <f t="shared" si="131"/>
        <v/>
      </c>
    </row>
    <row r="4225" spans="1:2" x14ac:dyDescent="0.25">
      <c r="A4225" s="15" t="str">
        <f t="shared" si="130"/>
        <v/>
      </c>
      <c r="B4225" s="18" t="str">
        <f t="shared" si="131"/>
        <v/>
      </c>
    </row>
    <row r="4226" spans="1:2" x14ac:dyDescent="0.25">
      <c r="A4226" s="15" t="str">
        <f t="shared" ref="A4226:A4289" si="132">B4226&amp;C4226</f>
        <v/>
      </c>
      <c r="B4226" s="18" t="str">
        <f t="shared" si="131"/>
        <v/>
      </c>
    </row>
    <row r="4227" spans="1:2" x14ac:dyDescent="0.25">
      <c r="A4227" s="15" t="str">
        <f t="shared" si="132"/>
        <v/>
      </c>
      <c r="B4227" s="18" t="str">
        <f t="shared" ref="B4227:B4290" si="133">IF(C4227="","",B4226)</f>
        <v/>
      </c>
    </row>
    <row r="4228" spans="1:2" x14ac:dyDescent="0.25">
      <c r="A4228" s="15" t="str">
        <f t="shared" si="132"/>
        <v/>
      </c>
      <c r="B4228" s="18" t="str">
        <f t="shared" si="133"/>
        <v/>
      </c>
    </row>
    <row r="4229" spans="1:2" x14ac:dyDescent="0.25">
      <c r="A4229" s="15" t="str">
        <f t="shared" si="132"/>
        <v/>
      </c>
      <c r="B4229" s="18" t="str">
        <f t="shared" si="133"/>
        <v/>
      </c>
    </row>
    <row r="4230" spans="1:2" x14ac:dyDescent="0.25">
      <c r="A4230" s="15" t="str">
        <f t="shared" si="132"/>
        <v/>
      </c>
      <c r="B4230" s="18" t="str">
        <f t="shared" si="133"/>
        <v/>
      </c>
    </row>
    <row r="4231" spans="1:2" x14ac:dyDescent="0.25">
      <c r="A4231" s="15" t="str">
        <f t="shared" si="132"/>
        <v/>
      </c>
      <c r="B4231" s="18" t="str">
        <f t="shared" si="133"/>
        <v/>
      </c>
    </row>
    <row r="4232" spans="1:2" x14ac:dyDescent="0.25">
      <c r="A4232" s="15" t="str">
        <f t="shared" si="132"/>
        <v/>
      </c>
      <c r="B4232" s="18" t="str">
        <f t="shared" si="133"/>
        <v/>
      </c>
    </row>
    <row r="4233" spans="1:2" x14ac:dyDescent="0.25">
      <c r="A4233" s="15" t="str">
        <f t="shared" si="132"/>
        <v/>
      </c>
      <c r="B4233" s="18" t="str">
        <f t="shared" si="133"/>
        <v/>
      </c>
    </row>
    <row r="4234" spans="1:2" x14ac:dyDescent="0.25">
      <c r="A4234" s="15" t="str">
        <f t="shared" si="132"/>
        <v/>
      </c>
      <c r="B4234" s="18" t="str">
        <f t="shared" si="133"/>
        <v/>
      </c>
    </row>
    <row r="4235" spans="1:2" x14ac:dyDescent="0.25">
      <c r="A4235" s="15" t="str">
        <f t="shared" si="132"/>
        <v/>
      </c>
      <c r="B4235" s="18" t="str">
        <f t="shared" si="133"/>
        <v/>
      </c>
    </row>
    <row r="4236" spans="1:2" x14ac:dyDescent="0.25">
      <c r="A4236" s="15" t="str">
        <f t="shared" si="132"/>
        <v/>
      </c>
      <c r="B4236" s="18" t="str">
        <f t="shared" si="133"/>
        <v/>
      </c>
    </row>
    <row r="4237" spans="1:2" x14ac:dyDescent="0.25">
      <c r="A4237" s="15" t="str">
        <f t="shared" si="132"/>
        <v/>
      </c>
      <c r="B4237" s="18" t="str">
        <f t="shared" si="133"/>
        <v/>
      </c>
    </row>
    <row r="4238" spans="1:2" x14ac:dyDescent="0.25">
      <c r="A4238" s="15" t="str">
        <f t="shared" si="132"/>
        <v/>
      </c>
      <c r="B4238" s="18" t="str">
        <f t="shared" si="133"/>
        <v/>
      </c>
    </row>
    <row r="4239" spans="1:2" x14ac:dyDescent="0.25">
      <c r="A4239" s="15" t="str">
        <f t="shared" si="132"/>
        <v/>
      </c>
      <c r="B4239" s="18" t="str">
        <f t="shared" si="133"/>
        <v/>
      </c>
    </row>
    <row r="4240" spans="1:2" x14ac:dyDescent="0.25">
      <c r="A4240" s="15" t="str">
        <f t="shared" si="132"/>
        <v/>
      </c>
      <c r="B4240" s="18" t="str">
        <f t="shared" si="133"/>
        <v/>
      </c>
    </row>
    <row r="4241" spans="1:2" x14ac:dyDescent="0.25">
      <c r="A4241" s="15" t="str">
        <f t="shared" si="132"/>
        <v/>
      </c>
      <c r="B4241" s="18" t="str">
        <f t="shared" si="133"/>
        <v/>
      </c>
    </row>
    <row r="4242" spans="1:2" x14ac:dyDescent="0.25">
      <c r="A4242" s="15" t="str">
        <f t="shared" si="132"/>
        <v/>
      </c>
      <c r="B4242" s="18" t="str">
        <f t="shared" si="133"/>
        <v/>
      </c>
    </row>
    <row r="4243" spans="1:2" x14ac:dyDescent="0.25">
      <c r="A4243" s="15" t="str">
        <f t="shared" si="132"/>
        <v/>
      </c>
      <c r="B4243" s="18" t="str">
        <f t="shared" si="133"/>
        <v/>
      </c>
    </row>
    <row r="4244" spans="1:2" x14ac:dyDescent="0.25">
      <c r="A4244" s="15" t="str">
        <f t="shared" si="132"/>
        <v/>
      </c>
      <c r="B4244" s="18" t="str">
        <f t="shared" si="133"/>
        <v/>
      </c>
    </row>
    <row r="4245" spans="1:2" x14ac:dyDescent="0.25">
      <c r="A4245" s="15" t="str">
        <f t="shared" si="132"/>
        <v/>
      </c>
      <c r="B4245" s="18" t="str">
        <f t="shared" si="133"/>
        <v/>
      </c>
    </row>
    <row r="4246" spans="1:2" x14ac:dyDescent="0.25">
      <c r="A4246" s="15" t="str">
        <f t="shared" si="132"/>
        <v/>
      </c>
      <c r="B4246" s="18" t="str">
        <f t="shared" si="133"/>
        <v/>
      </c>
    </row>
    <row r="4247" spans="1:2" x14ac:dyDescent="0.25">
      <c r="A4247" s="15" t="str">
        <f t="shared" si="132"/>
        <v/>
      </c>
      <c r="B4247" s="18" t="str">
        <f t="shared" si="133"/>
        <v/>
      </c>
    </row>
    <row r="4248" spans="1:2" x14ac:dyDescent="0.25">
      <c r="A4248" s="15" t="str">
        <f t="shared" si="132"/>
        <v/>
      </c>
      <c r="B4248" s="18" t="str">
        <f t="shared" si="133"/>
        <v/>
      </c>
    </row>
    <row r="4249" spans="1:2" x14ac:dyDescent="0.25">
      <c r="A4249" s="15" t="str">
        <f t="shared" si="132"/>
        <v/>
      </c>
      <c r="B4249" s="18" t="str">
        <f t="shared" si="133"/>
        <v/>
      </c>
    </row>
    <row r="4250" spans="1:2" x14ac:dyDescent="0.25">
      <c r="A4250" s="15" t="str">
        <f t="shared" si="132"/>
        <v/>
      </c>
      <c r="B4250" s="18" t="str">
        <f t="shared" si="133"/>
        <v/>
      </c>
    </row>
    <row r="4251" spans="1:2" x14ac:dyDescent="0.25">
      <c r="A4251" s="15" t="str">
        <f t="shared" si="132"/>
        <v/>
      </c>
      <c r="B4251" s="18" t="str">
        <f t="shared" si="133"/>
        <v/>
      </c>
    </row>
    <row r="4252" spans="1:2" x14ac:dyDescent="0.25">
      <c r="A4252" s="15" t="str">
        <f t="shared" si="132"/>
        <v/>
      </c>
      <c r="B4252" s="18" t="str">
        <f t="shared" si="133"/>
        <v/>
      </c>
    </row>
    <row r="4253" spans="1:2" x14ac:dyDescent="0.25">
      <c r="A4253" s="15" t="str">
        <f t="shared" si="132"/>
        <v/>
      </c>
      <c r="B4253" s="18" t="str">
        <f t="shared" si="133"/>
        <v/>
      </c>
    </row>
    <row r="4254" spans="1:2" x14ac:dyDescent="0.25">
      <c r="A4254" s="15" t="str">
        <f t="shared" si="132"/>
        <v/>
      </c>
      <c r="B4254" s="18" t="str">
        <f t="shared" si="133"/>
        <v/>
      </c>
    </row>
    <row r="4255" spans="1:2" x14ac:dyDescent="0.25">
      <c r="A4255" s="15" t="str">
        <f t="shared" si="132"/>
        <v/>
      </c>
      <c r="B4255" s="18" t="str">
        <f t="shared" si="133"/>
        <v/>
      </c>
    </row>
    <row r="4256" spans="1:2" x14ac:dyDescent="0.25">
      <c r="A4256" s="15" t="str">
        <f t="shared" si="132"/>
        <v/>
      </c>
      <c r="B4256" s="18" t="str">
        <f t="shared" si="133"/>
        <v/>
      </c>
    </row>
    <row r="4257" spans="1:2" x14ac:dyDescent="0.25">
      <c r="A4257" s="15" t="str">
        <f t="shared" si="132"/>
        <v/>
      </c>
      <c r="B4257" s="18" t="str">
        <f t="shared" si="133"/>
        <v/>
      </c>
    </row>
    <row r="4258" spans="1:2" x14ac:dyDescent="0.25">
      <c r="A4258" s="15" t="str">
        <f t="shared" si="132"/>
        <v/>
      </c>
      <c r="B4258" s="18" t="str">
        <f t="shared" si="133"/>
        <v/>
      </c>
    </row>
    <row r="4259" spans="1:2" x14ac:dyDescent="0.25">
      <c r="A4259" s="15" t="str">
        <f t="shared" si="132"/>
        <v/>
      </c>
      <c r="B4259" s="18" t="str">
        <f t="shared" si="133"/>
        <v/>
      </c>
    </row>
    <row r="4260" spans="1:2" x14ac:dyDescent="0.25">
      <c r="A4260" s="15" t="str">
        <f t="shared" si="132"/>
        <v/>
      </c>
      <c r="B4260" s="18" t="str">
        <f t="shared" si="133"/>
        <v/>
      </c>
    </row>
    <row r="4261" spans="1:2" x14ac:dyDescent="0.25">
      <c r="A4261" s="15" t="str">
        <f t="shared" si="132"/>
        <v/>
      </c>
      <c r="B4261" s="18" t="str">
        <f t="shared" si="133"/>
        <v/>
      </c>
    </row>
    <row r="4262" spans="1:2" x14ac:dyDescent="0.25">
      <c r="A4262" s="15" t="str">
        <f t="shared" si="132"/>
        <v/>
      </c>
      <c r="B4262" s="18" t="str">
        <f t="shared" si="133"/>
        <v/>
      </c>
    </row>
    <row r="4263" spans="1:2" x14ac:dyDescent="0.25">
      <c r="A4263" s="15" t="str">
        <f t="shared" si="132"/>
        <v/>
      </c>
      <c r="B4263" s="18" t="str">
        <f t="shared" si="133"/>
        <v/>
      </c>
    </row>
    <row r="4264" spans="1:2" x14ac:dyDescent="0.25">
      <c r="A4264" s="15" t="str">
        <f t="shared" si="132"/>
        <v/>
      </c>
      <c r="B4264" s="18" t="str">
        <f t="shared" si="133"/>
        <v/>
      </c>
    </row>
    <row r="4265" spans="1:2" x14ac:dyDescent="0.25">
      <c r="A4265" s="15" t="str">
        <f t="shared" si="132"/>
        <v/>
      </c>
      <c r="B4265" s="18" t="str">
        <f t="shared" si="133"/>
        <v/>
      </c>
    </row>
    <row r="4266" spans="1:2" x14ac:dyDescent="0.25">
      <c r="A4266" s="15" t="str">
        <f t="shared" si="132"/>
        <v/>
      </c>
      <c r="B4266" s="18" t="str">
        <f t="shared" si="133"/>
        <v/>
      </c>
    </row>
    <row r="4267" spans="1:2" x14ac:dyDescent="0.25">
      <c r="A4267" s="15" t="str">
        <f t="shared" si="132"/>
        <v/>
      </c>
      <c r="B4267" s="18" t="str">
        <f t="shared" si="133"/>
        <v/>
      </c>
    </row>
    <row r="4268" spans="1:2" x14ac:dyDescent="0.25">
      <c r="A4268" s="15" t="str">
        <f t="shared" si="132"/>
        <v/>
      </c>
      <c r="B4268" s="18" t="str">
        <f t="shared" si="133"/>
        <v/>
      </c>
    </row>
    <row r="4269" spans="1:2" x14ac:dyDescent="0.25">
      <c r="A4269" s="15" t="str">
        <f t="shared" si="132"/>
        <v/>
      </c>
      <c r="B4269" s="18" t="str">
        <f t="shared" si="133"/>
        <v/>
      </c>
    </row>
    <row r="4270" spans="1:2" x14ac:dyDescent="0.25">
      <c r="A4270" s="15" t="str">
        <f t="shared" si="132"/>
        <v/>
      </c>
      <c r="B4270" s="18" t="str">
        <f t="shared" si="133"/>
        <v/>
      </c>
    </row>
    <row r="4271" spans="1:2" x14ac:dyDescent="0.25">
      <c r="A4271" s="15" t="str">
        <f t="shared" si="132"/>
        <v/>
      </c>
      <c r="B4271" s="18" t="str">
        <f t="shared" si="133"/>
        <v/>
      </c>
    </row>
    <row r="4272" spans="1:2" x14ac:dyDescent="0.25">
      <c r="A4272" s="15" t="str">
        <f t="shared" si="132"/>
        <v/>
      </c>
      <c r="B4272" s="18" t="str">
        <f t="shared" si="133"/>
        <v/>
      </c>
    </row>
    <row r="4273" spans="1:2" x14ac:dyDescent="0.25">
      <c r="A4273" s="15" t="str">
        <f t="shared" si="132"/>
        <v/>
      </c>
      <c r="B4273" s="18" t="str">
        <f t="shared" si="133"/>
        <v/>
      </c>
    </row>
    <row r="4274" spans="1:2" x14ac:dyDescent="0.25">
      <c r="A4274" s="15" t="str">
        <f t="shared" si="132"/>
        <v/>
      </c>
      <c r="B4274" s="18" t="str">
        <f t="shared" si="133"/>
        <v/>
      </c>
    </row>
    <row r="4275" spans="1:2" x14ac:dyDescent="0.25">
      <c r="A4275" s="15" t="str">
        <f t="shared" si="132"/>
        <v/>
      </c>
      <c r="B4275" s="18" t="str">
        <f t="shared" si="133"/>
        <v/>
      </c>
    </row>
    <row r="4276" spans="1:2" x14ac:dyDescent="0.25">
      <c r="A4276" s="15" t="str">
        <f t="shared" si="132"/>
        <v/>
      </c>
      <c r="B4276" s="18" t="str">
        <f t="shared" si="133"/>
        <v/>
      </c>
    </row>
    <row r="4277" spans="1:2" x14ac:dyDescent="0.25">
      <c r="A4277" s="15" t="str">
        <f t="shared" si="132"/>
        <v/>
      </c>
      <c r="B4277" s="18" t="str">
        <f t="shared" si="133"/>
        <v/>
      </c>
    </row>
    <row r="4278" spans="1:2" x14ac:dyDescent="0.25">
      <c r="A4278" s="15" t="str">
        <f t="shared" si="132"/>
        <v/>
      </c>
      <c r="B4278" s="18" t="str">
        <f t="shared" si="133"/>
        <v/>
      </c>
    </row>
    <row r="4279" spans="1:2" x14ac:dyDescent="0.25">
      <c r="A4279" s="15" t="str">
        <f t="shared" si="132"/>
        <v/>
      </c>
      <c r="B4279" s="18" t="str">
        <f t="shared" si="133"/>
        <v/>
      </c>
    </row>
    <row r="4280" spans="1:2" x14ac:dyDescent="0.25">
      <c r="A4280" s="15" t="str">
        <f t="shared" si="132"/>
        <v/>
      </c>
      <c r="B4280" s="18" t="str">
        <f t="shared" si="133"/>
        <v/>
      </c>
    </row>
    <row r="4281" spans="1:2" x14ac:dyDescent="0.25">
      <c r="A4281" s="15" t="str">
        <f t="shared" si="132"/>
        <v/>
      </c>
      <c r="B4281" s="18" t="str">
        <f t="shared" si="133"/>
        <v/>
      </c>
    </row>
    <row r="4282" spans="1:2" x14ac:dyDescent="0.25">
      <c r="A4282" s="15" t="str">
        <f t="shared" si="132"/>
        <v/>
      </c>
      <c r="B4282" s="18" t="str">
        <f t="shared" si="133"/>
        <v/>
      </c>
    </row>
    <row r="4283" spans="1:2" x14ac:dyDescent="0.25">
      <c r="A4283" s="15" t="str">
        <f t="shared" si="132"/>
        <v/>
      </c>
      <c r="B4283" s="18" t="str">
        <f t="shared" si="133"/>
        <v/>
      </c>
    </row>
    <row r="4284" spans="1:2" x14ac:dyDescent="0.25">
      <c r="A4284" s="15" t="str">
        <f t="shared" si="132"/>
        <v/>
      </c>
      <c r="B4284" s="18" t="str">
        <f t="shared" si="133"/>
        <v/>
      </c>
    </row>
    <row r="4285" spans="1:2" x14ac:dyDescent="0.25">
      <c r="A4285" s="15" t="str">
        <f t="shared" si="132"/>
        <v/>
      </c>
      <c r="B4285" s="18" t="str">
        <f t="shared" si="133"/>
        <v/>
      </c>
    </row>
    <row r="4286" spans="1:2" x14ac:dyDescent="0.25">
      <c r="A4286" s="15" t="str">
        <f t="shared" si="132"/>
        <v/>
      </c>
      <c r="B4286" s="18" t="str">
        <f t="shared" si="133"/>
        <v/>
      </c>
    </row>
    <row r="4287" spans="1:2" x14ac:dyDescent="0.25">
      <c r="A4287" s="15" t="str">
        <f t="shared" si="132"/>
        <v/>
      </c>
      <c r="B4287" s="18" t="str">
        <f t="shared" si="133"/>
        <v/>
      </c>
    </row>
    <row r="4288" spans="1:2" x14ac:dyDescent="0.25">
      <c r="A4288" s="15" t="str">
        <f t="shared" si="132"/>
        <v/>
      </c>
      <c r="B4288" s="18" t="str">
        <f t="shared" si="133"/>
        <v/>
      </c>
    </row>
    <row r="4289" spans="1:2" x14ac:dyDescent="0.25">
      <c r="A4289" s="15" t="str">
        <f t="shared" si="132"/>
        <v/>
      </c>
      <c r="B4289" s="18" t="str">
        <f t="shared" si="133"/>
        <v/>
      </c>
    </row>
    <row r="4290" spans="1:2" x14ac:dyDescent="0.25">
      <c r="A4290" s="15" t="str">
        <f t="shared" ref="A4290:A4353" si="134">B4290&amp;C4290</f>
        <v/>
      </c>
      <c r="B4290" s="18" t="str">
        <f t="shared" si="133"/>
        <v/>
      </c>
    </row>
    <row r="4291" spans="1:2" x14ac:dyDescent="0.25">
      <c r="A4291" s="15" t="str">
        <f t="shared" si="134"/>
        <v/>
      </c>
      <c r="B4291" s="18" t="str">
        <f t="shared" ref="B4291:B4354" si="135">IF(C4291="","",B4290)</f>
        <v/>
      </c>
    </row>
    <row r="4292" spans="1:2" x14ac:dyDescent="0.25">
      <c r="A4292" s="15" t="str">
        <f t="shared" si="134"/>
        <v/>
      </c>
      <c r="B4292" s="18" t="str">
        <f t="shared" si="135"/>
        <v/>
      </c>
    </row>
    <row r="4293" spans="1:2" x14ac:dyDescent="0.25">
      <c r="A4293" s="15" t="str">
        <f t="shared" si="134"/>
        <v/>
      </c>
      <c r="B4293" s="18" t="str">
        <f t="shared" si="135"/>
        <v/>
      </c>
    </row>
    <row r="4294" spans="1:2" x14ac:dyDescent="0.25">
      <c r="A4294" s="15" t="str">
        <f t="shared" si="134"/>
        <v/>
      </c>
      <c r="B4294" s="18" t="str">
        <f t="shared" si="135"/>
        <v/>
      </c>
    </row>
    <row r="4295" spans="1:2" x14ac:dyDescent="0.25">
      <c r="A4295" s="15" t="str">
        <f t="shared" si="134"/>
        <v/>
      </c>
      <c r="B4295" s="18" t="str">
        <f t="shared" si="135"/>
        <v/>
      </c>
    </row>
    <row r="4296" spans="1:2" x14ac:dyDescent="0.25">
      <c r="A4296" s="15" t="str">
        <f t="shared" si="134"/>
        <v/>
      </c>
      <c r="B4296" s="18" t="str">
        <f t="shared" si="135"/>
        <v/>
      </c>
    </row>
    <row r="4297" spans="1:2" x14ac:dyDescent="0.25">
      <c r="A4297" s="15" t="str">
        <f t="shared" si="134"/>
        <v/>
      </c>
      <c r="B4297" s="18" t="str">
        <f t="shared" si="135"/>
        <v/>
      </c>
    </row>
    <row r="4298" spans="1:2" x14ac:dyDescent="0.25">
      <c r="A4298" s="15" t="str">
        <f t="shared" si="134"/>
        <v/>
      </c>
      <c r="B4298" s="18" t="str">
        <f t="shared" si="135"/>
        <v/>
      </c>
    </row>
    <row r="4299" spans="1:2" x14ac:dyDescent="0.25">
      <c r="A4299" s="15" t="str">
        <f t="shared" si="134"/>
        <v/>
      </c>
      <c r="B4299" s="18" t="str">
        <f t="shared" si="135"/>
        <v/>
      </c>
    </row>
    <row r="4300" spans="1:2" x14ac:dyDescent="0.25">
      <c r="A4300" s="15" t="str">
        <f t="shared" si="134"/>
        <v/>
      </c>
      <c r="B4300" s="18" t="str">
        <f t="shared" si="135"/>
        <v/>
      </c>
    </row>
    <row r="4301" spans="1:2" x14ac:dyDescent="0.25">
      <c r="A4301" s="15" t="str">
        <f t="shared" si="134"/>
        <v/>
      </c>
      <c r="B4301" s="18" t="str">
        <f t="shared" si="135"/>
        <v/>
      </c>
    </row>
    <row r="4302" spans="1:2" x14ac:dyDescent="0.25">
      <c r="A4302" s="15" t="str">
        <f t="shared" si="134"/>
        <v/>
      </c>
      <c r="B4302" s="18" t="str">
        <f t="shared" si="135"/>
        <v/>
      </c>
    </row>
    <row r="4303" spans="1:2" x14ac:dyDescent="0.25">
      <c r="A4303" s="15" t="str">
        <f t="shared" si="134"/>
        <v/>
      </c>
      <c r="B4303" s="18" t="str">
        <f t="shared" si="135"/>
        <v/>
      </c>
    </row>
    <row r="4304" spans="1:2" x14ac:dyDescent="0.25">
      <c r="A4304" s="15" t="str">
        <f t="shared" si="134"/>
        <v/>
      </c>
      <c r="B4304" s="18" t="str">
        <f t="shared" si="135"/>
        <v/>
      </c>
    </row>
    <row r="4305" spans="1:2" x14ac:dyDescent="0.25">
      <c r="A4305" s="15" t="str">
        <f t="shared" si="134"/>
        <v/>
      </c>
      <c r="B4305" s="18" t="str">
        <f t="shared" si="135"/>
        <v/>
      </c>
    </row>
    <row r="4306" spans="1:2" x14ac:dyDescent="0.25">
      <c r="A4306" s="15" t="str">
        <f t="shared" si="134"/>
        <v/>
      </c>
      <c r="B4306" s="18" t="str">
        <f t="shared" si="135"/>
        <v/>
      </c>
    </row>
    <row r="4307" spans="1:2" x14ac:dyDescent="0.25">
      <c r="A4307" s="15" t="str">
        <f t="shared" si="134"/>
        <v/>
      </c>
      <c r="B4307" s="18" t="str">
        <f t="shared" si="135"/>
        <v/>
      </c>
    </row>
    <row r="4308" spans="1:2" x14ac:dyDescent="0.25">
      <c r="A4308" s="15" t="str">
        <f t="shared" si="134"/>
        <v/>
      </c>
      <c r="B4308" s="18" t="str">
        <f t="shared" si="135"/>
        <v/>
      </c>
    </row>
    <row r="4309" spans="1:2" x14ac:dyDescent="0.25">
      <c r="A4309" s="15" t="str">
        <f t="shared" si="134"/>
        <v/>
      </c>
      <c r="B4309" s="18" t="str">
        <f t="shared" si="135"/>
        <v/>
      </c>
    </row>
    <row r="4310" spans="1:2" x14ac:dyDescent="0.25">
      <c r="A4310" s="15" t="str">
        <f t="shared" si="134"/>
        <v/>
      </c>
      <c r="B4310" s="18" t="str">
        <f t="shared" si="135"/>
        <v/>
      </c>
    </row>
    <row r="4311" spans="1:2" x14ac:dyDescent="0.25">
      <c r="A4311" s="15" t="str">
        <f t="shared" si="134"/>
        <v/>
      </c>
      <c r="B4311" s="18" t="str">
        <f t="shared" si="135"/>
        <v/>
      </c>
    </row>
    <row r="4312" spans="1:2" x14ac:dyDescent="0.25">
      <c r="A4312" s="15" t="str">
        <f t="shared" si="134"/>
        <v/>
      </c>
      <c r="B4312" s="18" t="str">
        <f t="shared" si="135"/>
        <v/>
      </c>
    </row>
    <row r="4313" spans="1:2" x14ac:dyDescent="0.25">
      <c r="A4313" s="15" t="str">
        <f t="shared" si="134"/>
        <v/>
      </c>
      <c r="B4313" s="18" t="str">
        <f t="shared" si="135"/>
        <v/>
      </c>
    </row>
    <row r="4314" spans="1:2" x14ac:dyDescent="0.25">
      <c r="A4314" s="15" t="str">
        <f t="shared" si="134"/>
        <v/>
      </c>
      <c r="B4314" s="18" t="str">
        <f t="shared" si="135"/>
        <v/>
      </c>
    </row>
    <row r="4315" spans="1:2" x14ac:dyDescent="0.25">
      <c r="A4315" s="15" t="str">
        <f t="shared" si="134"/>
        <v/>
      </c>
      <c r="B4315" s="18" t="str">
        <f t="shared" si="135"/>
        <v/>
      </c>
    </row>
    <row r="4316" spans="1:2" x14ac:dyDescent="0.25">
      <c r="A4316" s="15" t="str">
        <f t="shared" si="134"/>
        <v/>
      </c>
      <c r="B4316" s="18" t="str">
        <f t="shared" si="135"/>
        <v/>
      </c>
    </row>
    <row r="4317" spans="1:2" x14ac:dyDescent="0.25">
      <c r="A4317" s="15" t="str">
        <f t="shared" si="134"/>
        <v/>
      </c>
      <c r="B4317" s="18" t="str">
        <f t="shared" si="135"/>
        <v/>
      </c>
    </row>
    <row r="4318" spans="1:2" x14ac:dyDescent="0.25">
      <c r="A4318" s="15" t="str">
        <f t="shared" si="134"/>
        <v/>
      </c>
      <c r="B4318" s="18" t="str">
        <f t="shared" si="135"/>
        <v/>
      </c>
    </row>
    <row r="4319" spans="1:2" x14ac:dyDescent="0.25">
      <c r="A4319" s="15" t="str">
        <f t="shared" si="134"/>
        <v/>
      </c>
      <c r="B4319" s="18" t="str">
        <f t="shared" si="135"/>
        <v/>
      </c>
    </row>
    <row r="4320" spans="1:2" x14ac:dyDescent="0.25">
      <c r="A4320" s="15" t="str">
        <f t="shared" si="134"/>
        <v/>
      </c>
      <c r="B4320" s="18" t="str">
        <f t="shared" si="135"/>
        <v/>
      </c>
    </row>
    <row r="4321" spans="1:2" x14ac:dyDescent="0.25">
      <c r="A4321" s="15" t="str">
        <f t="shared" si="134"/>
        <v/>
      </c>
      <c r="B4321" s="18" t="str">
        <f t="shared" si="135"/>
        <v/>
      </c>
    </row>
    <row r="4322" spans="1:2" x14ac:dyDescent="0.25">
      <c r="A4322" s="15" t="str">
        <f t="shared" si="134"/>
        <v/>
      </c>
      <c r="B4322" s="18" t="str">
        <f t="shared" si="135"/>
        <v/>
      </c>
    </row>
    <row r="4323" spans="1:2" x14ac:dyDescent="0.25">
      <c r="A4323" s="15" t="str">
        <f t="shared" si="134"/>
        <v/>
      </c>
      <c r="B4323" s="18" t="str">
        <f t="shared" si="135"/>
        <v/>
      </c>
    </row>
    <row r="4324" spans="1:2" x14ac:dyDescent="0.25">
      <c r="A4324" s="15" t="str">
        <f t="shared" si="134"/>
        <v/>
      </c>
      <c r="B4324" s="18" t="str">
        <f t="shared" si="135"/>
        <v/>
      </c>
    </row>
    <row r="4325" spans="1:2" x14ac:dyDescent="0.25">
      <c r="A4325" s="15" t="str">
        <f t="shared" si="134"/>
        <v/>
      </c>
      <c r="B4325" s="18" t="str">
        <f t="shared" si="135"/>
        <v/>
      </c>
    </row>
    <row r="4326" spans="1:2" x14ac:dyDescent="0.25">
      <c r="A4326" s="15" t="str">
        <f t="shared" si="134"/>
        <v/>
      </c>
      <c r="B4326" s="18" t="str">
        <f t="shared" si="135"/>
        <v/>
      </c>
    </row>
    <row r="4327" spans="1:2" x14ac:dyDescent="0.25">
      <c r="A4327" s="15" t="str">
        <f t="shared" si="134"/>
        <v/>
      </c>
      <c r="B4327" s="18" t="str">
        <f t="shared" si="135"/>
        <v/>
      </c>
    </row>
    <row r="4328" spans="1:2" x14ac:dyDescent="0.25">
      <c r="A4328" s="15" t="str">
        <f t="shared" si="134"/>
        <v/>
      </c>
      <c r="B4328" s="18" t="str">
        <f t="shared" si="135"/>
        <v/>
      </c>
    </row>
    <row r="4329" spans="1:2" x14ac:dyDescent="0.25">
      <c r="A4329" s="15" t="str">
        <f t="shared" si="134"/>
        <v/>
      </c>
      <c r="B4329" s="18" t="str">
        <f t="shared" si="135"/>
        <v/>
      </c>
    </row>
    <row r="4330" spans="1:2" x14ac:dyDescent="0.25">
      <c r="A4330" s="15" t="str">
        <f t="shared" si="134"/>
        <v/>
      </c>
      <c r="B4330" s="18" t="str">
        <f t="shared" si="135"/>
        <v/>
      </c>
    </row>
    <row r="4331" spans="1:2" x14ac:dyDescent="0.25">
      <c r="A4331" s="15" t="str">
        <f t="shared" si="134"/>
        <v/>
      </c>
      <c r="B4331" s="18" t="str">
        <f t="shared" si="135"/>
        <v/>
      </c>
    </row>
    <row r="4332" spans="1:2" x14ac:dyDescent="0.25">
      <c r="A4332" s="15" t="str">
        <f t="shared" si="134"/>
        <v/>
      </c>
      <c r="B4332" s="18" t="str">
        <f t="shared" si="135"/>
        <v/>
      </c>
    </row>
    <row r="4333" spans="1:2" x14ac:dyDescent="0.25">
      <c r="A4333" s="15" t="str">
        <f t="shared" si="134"/>
        <v/>
      </c>
      <c r="B4333" s="18" t="str">
        <f t="shared" si="135"/>
        <v/>
      </c>
    </row>
    <row r="4334" spans="1:2" x14ac:dyDescent="0.25">
      <c r="A4334" s="15" t="str">
        <f t="shared" si="134"/>
        <v/>
      </c>
      <c r="B4334" s="18" t="str">
        <f t="shared" si="135"/>
        <v/>
      </c>
    </row>
    <row r="4335" spans="1:2" x14ac:dyDescent="0.25">
      <c r="A4335" s="15" t="str">
        <f t="shared" si="134"/>
        <v/>
      </c>
      <c r="B4335" s="18" t="str">
        <f t="shared" si="135"/>
        <v/>
      </c>
    </row>
    <row r="4336" spans="1:2" x14ac:dyDescent="0.25">
      <c r="A4336" s="15" t="str">
        <f t="shared" si="134"/>
        <v/>
      </c>
      <c r="B4336" s="18" t="str">
        <f t="shared" si="135"/>
        <v/>
      </c>
    </row>
    <row r="4337" spans="1:2" x14ac:dyDescent="0.25">
      <c r="A4337" s="15" t="str">
        <f t="shared" si="134"/>
        <v/>
      </c>
      <c r="B4337" s="18" t="str">
        <f t="shared" si="135"/>
        <v/>
      </c>
    </row>
    <row r="4338" spans="1:2" x14ac:dyDescent="0.25">
      <c r="A4338" s="15" t="str">
        <f t="shared" si="134"/>
        <v/>
      </c>
      <c r="B4338" s="18" t="str">
        <f t="shared" si="135"/>
        <v/>
      </c>
    </row>
    <row r="4339" spans="1:2" x14ac:dyDescent="0.25">
      <c r="A4339" s="15" t="str">
        <f t="shared" si="134"/>
        <v/>
      </c>
      <c r="B4339" s="18" t="str">
        <f t="shared" si="135"/>
        <v/>
      </c>
    </row>
    <row r="4340" spans="1:2" x14ac:dyDescent="0.25">
      <c r="A4340" s="15" t="str">
        <f t="shared" si="134"/>
        <v/>
      </c>
      <c r="B4340" s="18" t="str">
        <f t="shared" si="135"/>
        <v/>
      </c>
    </row>
    <row r="4341" spans="1:2" x14ac:dyDescent="0.25">
      <c r="A4341" s="15" t="str">
        <f t="shared" si="134"/>
        <v/>
      </c>
      <c r="B4341" s="18" t="str">
        <f t="shared" si="135"/>
        <v/>
      </c>
    </row>
    <row r="4342" spans="1:2" x14ac:dyDescent="0.25">
      <c r="A4342" s="15" t="str">
        <f t="shared" si="134"/>
        <v/>
      </c>
      <c r="B4342" s="18" t="str">
        <f t="shared" si="135"/>
        <v/>
      </c>
    </row>
    <row r="4343" spans="1:2" x14ac:dyDescent="0.25">
      <c r="A4343" s="15" t="str">
        <f t="shared" si="134"/>
        <v/>
      </c>
      <c r="B4343" s="18" t="str">
        <f t="shared" si="135"/>
        <v/>
      </c>
    </row>
    <row r="4344" spans="1:2" x14ac:dyDescent="0.25">
      <c r="A4344" s="15" t="str">
        <f t="shared" si="134"/>
        <v/>
      </c>
      <c r="B4344" s="18" t="str">
        <f t="shared" si="135"/>
        <v/>
      </c>
    </row>
    <row r="4345" spans="1:2" x14ac:dyDescent="0.25">
      <c r="A4345" s="15" t="str">
        <f t="shared" si="134"/>
        <v/>
      </c>
      <c r="B4345" s="18" t="str">
        <f t="shared" si="135"/>
        <v/>
      </c>
    </row>
    <row r="4346" spans="1:2" x14ac:dyDescent="0.25">
      <c r="A4346" s="15" t="str">
        <f t="shared" si="134"/>
        <v/>
      </c>
      <c r="B4346" s="18" t="str">
        <f t="shared" si="135"/>
        <v/>
      </c>
    </row>
    <row r="4347" spans="1:2" x14ac:dyDescent="0.25">
      <c r="A4347" s="15" t="str">
        <f t="shared" si="134"/>
        <v/>
      </c>
      <c r="B4347" s="18" t="str">
        <f t="shared" si="135"/>
        <v/>
      </c>
    </row>
    <row r="4348" spans="1:2" x14ac:dyDescent="0.25">
      <c r="A4348" s="15" t="str">
        <f t="shared" si="134"/>
        <v/>
      </c>
      <c r="B4348" s="18" t="str">
        <f t="shared" si="135"/>
        <v/>
      </c>
    </row>
    <row r="4349" spans="1:2" x14ac:dyDescent="0.25">
      <c r="A4349" s="15" t="str">
        <f t="shared" si="134"/>
        <v/>
      </c>
      <c r="B4349" s="18" t="str">
        <f t="shared" si="135"/>
        <v/>
      </c>
    </row>
    <row r="4350" spans="1:2" x14ac:dyDescent="0.25">
      <c r="A4350" s="15" t="str">
        <f t="shared" si="134"/>
        <v/>
      </c>
      <c r="B4350" s="18" t="str">
        <f t="shared" si="135"/>
        <v/>
      </c>
    </row>
    <row r="4351" spans="1:2" x14ac:dyDescent="0.25">
      <c r="A4351" s="15" t="str">
        <f t="shared" si="134"/>
        <v/>
      </c>
      <c r="B4351" s="18" t="str">
        <f t="shared" si="135"/>
        <v/>
      </c>
    </row>
    <row r="4352" spans="1:2" x14ac:dyDescent="0.25">
      <c r="A4352" s="15" t="str">
        <f t="shared" si="134"/>
        <v/>
      </c>
      <c r="B4352" s="18" t="str">
        <f t="shared" si="135"/>
        <v/>
      </c>
    </row>
    <row r="4353" spans="1:2" x14ac:dyDescent="0.25">
      <c r="A4353" s="15" t="str">
        <f t="shared" si="134"/>
        <v/>
      </c>
      <c r="B4353" s="18" t="str">
        <f t="shared" si="135"/>
        <v/>
      </c>
    </row>
    <row r="4354" spans="1:2" x14ac:dyDescent="0.25">
      <c r="A4354" s="15" t="str">
        <f t="shared" ref="A4354:A4417" si="136">B4354&amp;C4354</f>
        <v/>
      </c>
      <c r="B4354" s="18" t="str">
        <f t="shared" si="135"/>
        <v/>
      </c>
    </row>
    <row r="4355" spans="1:2" x14ac:dyDescent="0.25">
      <c r="A4355" s="15" t="str">
        <f t="shared" si="136"/>
        <v/>
      </c>
      <c r="B4355" s="18" t="str">
        <f t="shared" ref="B4355:B4418" si="137">IF(C4355="","",B4354)</f>
        <v/>
      </c>
    </row>
    <row r="4356" spans="1:2" x14ac:dyDescent="0.25">
      <c r="A4356" s="15" t="str">
        <f t="shared" si="136"/>
        <v/>
      </c>
      <c r="B4356" s="18" t="str">
        <f t="shared" si="137"/>
        <v/>
      </c>
    </row>
    <row r="4357" spans="1:2" x14ac:dyDescent="0.25">
      <c r="A4357" s="15" t="str">
        <f t="shared" si="136"/>
        <v/>
      </c>
      <c r="B4357" s="18" t="str">
        <f t="shared" si="137"/>
        <v/>
      </c>
    </row>
    <row r="4358" spans="1:2" x14ac:dyDescent="0.25">
      <c r="A4358" s="15" t="str">
        <f t="shared" si="136"/>
        <v/>
      </c>
      <c r="B4358" s="18" t="str">
        <f t="shared" si="137"/>
        <v/>
      </c>
    </row>
    <row r="4359" spans="1:2" x14ac:dyDescent="0.25">
      <c r="A4359" s="15" t="str">
        <f t="shared" si="136"/>
        <v/>
      </c>
      <c r="B4359" s="18" t="str">
        <f t="shared" si="137"/>
        <v/>
      </c>
    </row>
    <row r="4360" spans="1:2" x14ac:dyDescent="0.25">
      <c r="A4360" s="15" t="str">
        <f t="shared" si="136"/>
        <v/>
      </c>
      <c r="B4360" s="18" t="str">
        <f t="shared" si="137"/>
        <v/>
      </c>
    </row>
    <row r="4361" spans="1:2" x14ac:dyDescent="0.25">
      <c r="A4361" s="15" t="str">
        <f t="shared" si="136"/>
        <v/>
      </c>
      <c r="B4361" s="18" t="str">
        <f t="shared" si="137"/>
        <v/>
      </c>
    </row>
    <row r="4362" spans="1:2" x14ac:dyDescent="0.25">
      <c r="A4362" s="15" t="str">
        <f t="shared" si="136"/>
        <v/>
      </c>
      <c r="B4362" s="18" t="str">
        <f t="shared" si="137"/>
        <v/>
      </c>
    </row>
    <row r="4363" spans="1:2" x14ac:dyDescent="0.25">
      <c r="A4363" s="15" t="str">
        <f t="shared" si="136"/>
        <v/>
      </c>
      <c r="B4363" s="18" t="str">
        <f t="shared" si="137"/>
        <v/>
      </c>
    </row>
    <row r="4364" spans="1:2" x14ac:dyDescent="0.25">
      <c r="A4364" s="15" t="str">
        <f t="shared" si="136"/>
        <v/>
      </c>
      <c r="B4364" s="18" t="str">
        <f t="shared" si="137"/>
        <v/>
      </c>
    </row>
    <row r="4365" spans="1:2" x14ac:dyDescent="0.25">
      <c r="A4365" s="15" t="str">
        <f t="shared" si="136"/>
        <v/>
      </c>
      <c r="B4365" s="18" t="str">
        <f t="shared" si="137"/>
        <v/>
      </c>
    </row>
    <row r="4366" spans="1:2" x14ac:dyDescent="0.25">
      <c r="A4366" s="15" t="str">
        <f t="shared" si="136"/>
        <v/>
      </c>
      <c r="B4366" s="18" t="str">
        <f t="shared" si="137"/>
        <v/>
      </c>
    </row>
    <row r="4367" spans="1:2" x14ac:dyDescent="0.25">
      <c r="A4367" s="15" t="str">
        <f t="shared" si="136"/>
        <v/>
      </c>
      <c r="B4367" s="18" t="str">
        <f t="shared" si="137"/>
        <v/>
      </c>
    </row>
    <row r="4368" spans="1:2" x14ac:dyDescent="0.25">
      <c r="A4368" s="15" t="str">
        <f t="shared" si="136"/>
        <v/>
      </c>
      <c r="B4368" s="18" t="str">
        <f t="shared" si="137"/>
        <v/>
      </c>
    </row>
    <row r="4369" spans="1:2" x14ac:dyDescent="0.25">
      <c r="A4369" s="15" t="str">
        <f t="shared" si="136"/>
        <v/>
      </c>
      <c r="B4369" s="18" t="str">
        <f t="shared" si="137"/>
        <v/>
      </c>
    </row>
    <row r="4370" spans="1:2" x14ac:dyDescent="0.25">
      <c r="A4370" s="15" t="str">
        <f t="shared" si="136"/>
        <v/>
      </c>
      <c r="B4370" s="18" t="str">
        <f t="shared" si="137"/>
        <v/>
      </c>
    </row>
    <row r="4371" spans="1:2" x14ac:dyDescent="0.25">
      <c r="A4371" s="15" t="str">
        <f t="shared" si="136"/>
        <v/>
      </c>
      <c r="B4371" s="18" t="str">
        <f t="shared" si="137"/>
        <v/>
      </c>
    </row>
    <row r="4372" spans="1:2" x14ac:dyDescent="0.25">
      <c r="A4372" s="15" t="str">
        <f t="shared" si="136"/>
        <v/>
      </c>
      <c r="B4372" s="18" t="str">
        <f t="shared" si="137"/>
        <v/>
      </c>
    </row>
    <row r="4373" spans="1:2" x14ac:dyDescent="0.25">
      <c r="A4373" s="15" t="str">
        <f t="shared" si="136"/>
        <v/>
      </c>
      <c r="B4373" s="18" t="str">
        <f t="shared" si="137"/>
        <v/>
      </c>
    </row>
    <row r="4374" spans="1:2" x14ac:dyDescent="0.25">
      <c r="A4374" s="15" t="str">
        <f t="shared" si="136"/>
        <v/>
      </c>
      <c r="B4374" s="18" t="str">
        <f t="shared" si="137"/>
        <v/>
      </c>
    </row>
    <row r="4375" spans="1:2" x14ac:dyDescent="0.25">
      <c r="A4375" s="15" t="str">
        <f t="shared" si="136"/>
        <v/>
      </c>
      <c r="B4375" s="18" t="str">
        <f t="shared" si="137"/>
        <v/>
      </c>
    </row>
    <row r="4376" spans="1:2" x14ac:dyDescent="0.25">
      <c r="A4376" s="15" t="str">
        <f t="shared" si="136"/>
        <v/>
      </c>
      <c r="B4376" s="18" t="str">
        <f t="shared" si="137"/>
        <v/>
      </c>
    </row>
    <row r="4377" spans="1:2" x14ac:dyDescent="0.25">
      <c r="A4377" s="15" t="str">
        <f t="shared" si="136"/>
        <v/>
      </c>
      <c r="B4377" s="18" t="str">
        <f t="shared" si="137"/>
        <v/>
      </c>
    </row>
    <row r="4378" spans="1:2" x14ac:dyDescent="0.25">
      <c r="A4378" s="15" t="str">
        <f t="shared" si="136"/>
        <v/>
      </c>
      <c r="B4378" s="18" t="str">
        <f t="shared" si="137"/>
        <v/>
      </c>
    </row>
    <row r="4379" spans="1:2" x14ac:dyDescent="0.25">
      <c r="A4379" s="15" t="str">
        <f t="shared" si="136"/>
        <v/>
      </c>
      <c r="B4379" s="18" t="str">
        <f t="shared" si="137"/>
        <v/>
      </c>
    </row>
    <row r="4380" spans="1:2" x14ac:dyDescent="0.25">
      <c r="A4380" s="15" t="str">
        <f t="shared" si="136"/>
        <v/>
      </c>
      <c r="B4380" s="18" t="str">
        <f t="shared" si="137"/>
        <v/>
      </c>
    </row>
    <row r="4381" spans="1:2" x14ac:dyDescent="0.25">
      <c r="A4381" s="15" t="str">
        <f t="shared" si="136"/>
        <v/>
      </c>
      <c r="B4381" s="18" t="str">
        <f t="shared" si="137"/>
        <v/>
      </c>
    </row>
    <row r="4382" spans="1:2" x14ac:dyDescent="0.25">
      <c r="A4382" s="15" t="str">
        <f t="shared" si="136"/>
        <v/>
      </c>
      <c r="B4382" s="18" t="str">
        <f t="shared" si="137"/>
        <v/>
      </c>
    </row>
    <row r="4383" spans="1:2" x14ac:dyDescent="0.25">
      <c r="A4383" s="15" t="str">
        <f t="shared" si="136"/>
        <v/>
      </c>
      <c r="B4383" s="18" t="str">
        <f t="shared" si="137"/>
        <v/>
      </c>
    </row>
    <row r="4384" spans="1:2" x14ac:dyDescent="0.25">
      <c r="A4384" s="15" t="str">
        <f t="shared" si="136"/>
        <v/>
      </c>
      <c r="B4384" s="18" t="str">
        <f t="shared" si="137"/>
        <v/>
      </c>
    </row>
    <row r="4385" spans="1:2" x14ac:dyDescent="0.25">
      <c r="A4385" s="15" t="str">
        <f t="shared" si="136"/>
        <v/>
      </c>
      <c r="B4385" s="18" t="str">
        <f t="shared" si="137"/>
        <v/>
      </c>
    </row>
    <row r="4386" spans="1:2" x14ac:dyDescent="0.25">
      <c r="A4386" s="15" t="str">
        <f t="shared" si="136"/>
        <v/>
      </c>
      <c r="B4386" s="18" t="str">
        <f t="shared" si="137"/>
        <v/>
      </c>
    </row>
    <row r="4387" spans="1:2" x14ac:dyDescent="0.25">
      <c r="A4387" s="15" t="str">
        <f t="shared" si="136"/>
        <v/>
      </c>
      <c r="B4387" s="18" t="str">
        <f t="shared" si="137"/>
        <v/>
      </c>
    </row>
    <row r="4388" spans="1:2" x14ac:dyDescent="0.25">
      <c r="A4388" s="15" t="str">
        <f t="shared" si="136"/>
        <v/>
      </c>
      <c r="B4388" s="18" t="str">
        <f t="shared" si="137"/>
        <v/>
      </c>
    </row>
    <row r="4389" spans="1:2" x14ac:dyDescent="0.25">
      <c r="A4389" s="15" t="str">
        <f t="shared" si="136"/>
        <v/>
      </c>
      <c r="B4389" s="18" t="str">
        <f t="shared" si="137"/>
        <v/>
      </c>
    </row>
    <row r="4390" spans="1:2" x14ac:dyDescent="0.25">
      <c r="A4390" s="15" t="str">
        <f t="shared" si="136"/>
        <v/>
      </c>
      <c r="B4390" s="18" t="str">
        <f t="shared" si="137"/>
        <v/>
      </c>
    </row>
    <row r="4391" spans="1:2" x14ac:dyDescent="0.25">
      <c r="A4391" s="15" t="str">
        <f t="shared" si="136"/>
        <v/>
      </c>
      <c r="B4391" s="18" t="str">
        <f t="shared" si="137"/>
        <v/>
      </c>
    </row>
    <row r="4392" spans="1:2" x14ac:dyDescent="0.25">
      <c r="A4392" s="15" t="str">
        <f t="shared" si="136"/>
        <v/>
      </c>
      <c r="B4392" s="18" t="str">
        <f t="shared" si="137"/>
        <v/>
      </c>
    </row>
    <row r="4393" spans="1:2" x14ac:dyDescent="0.25">
      <c r="A4393" s="15" t="str">
        <f t="shared" si="136"/>
        <v/>
      </c>
      <c r="B4393" s="18" t="str">
        <f t="shared" si="137"/>
        <v/>
      </c>
    </row>
    <row r="4394" spans="1:2" x14ac:dyDescent="0.25">
      <c r="A4394" s="15" t="str">
        <f t="shared" si="136"/>
        <v/>
      </c>
      <c r="B4394" s="18" t="str">
        <f t="shared" si="137"/>
        <v/>
      </c>
    </row>
    <row r="4395" spans="1:2" x14ac:dyDescent="0.25">
      <c r="A4395" s="15" t="str">
        <f t="shared" si="136"/>
        <v/>
      </c>
      <c r="B4395" s="18" t="str">
        <f t="shared" si="137"/>
        <v/>
      </c>
    </row>
    <row r="4396" spans="1:2" x14ac:dyDescent="0.25">
      <c r="A4396" s="15" t="str">
        <f t="shared" si="136"/>
        <v/>
      </c>
      <c r="B4396" s="18" t="str">
        <f t="shared" si="137"/>
        <v/>
      </c>
    </row>
    <row r="4397" spans="1:2" x14ac:dyDescent="0.25">
      <c r="A4397" s="15" t="str">
        <f t="shared" si="136"/>
        <v/>
      </c>
      <c r="B4397" s="18" t="str">
        <f t="shared" si="137"/>
        <v/>
      </c>
    </row>
    <row r="4398" spans="1:2" x14ac:dyDescent="0.25">
      <c r="A4398" s="15" t="str">
        <f t="shared" si="136"/>
        <v/>
      </c>
      <c r="B4398" s="18" t="str">
        <f t="shared" si="137"/>
        <v/>
      </c>
    </row>
    <row r="4399" spans="1:2" x14ac:dyDescent="0.25">
      <c r="A4399" s="15" t="str">
        <f t="shared" si="136"/>
        <v/>
      </c>
      <c r="B4399" s="18" t="str">
        <f t="shared" si="137"/>
        <v/>
      </c>
    </row>
    <row r="4400" spans="1:2" x14ac:dyDescent="0.25">
      <c r="A4400" s="15" t="str">
        <f t="shared" si="136"/>
        <v/>
      </c>
      <c r="B4400" s="18" t="str">
        <f t="shared" si="137"/>
        <v/>
      </c>
    </row>
    <row r="4401" spans="1:2" x14ac:dyDescent="0.25">
      <c r="A4401" s="15" t="str">
        <f t="shared" si="136"/>
        <v/>
      </c>
      <c r="B4401" s="18" t="str">
        <f t="shared" si="137"/>
        <v/>
      </c>
    </row>
    <row r="4402" spans="1:2" x14ac:dyDescent="0.25">
      <c r="A4402" s="15" t="str">
        <f t="shared" si="136"/>
        <v/>
      </c>
      <c r="B4402" s="18" t="str">
        <f t="shared" si="137"/>
        <v/>
      </c>
    </row>
    <row r="4403" spans="1:2" x14ac:dyDescent="0.25">
      <c r="A4403" s="15" t="str">
        <f t="shared" si="136"/>
        <v/>
      </c>
      <c r="B4403" s="18" t="str">
        <f t="shared" si="137"/>
        <v/>
      </c>
    </row>
    <row r="4404" spans="1:2" x14ac:dyDescent="0.25">
      <c r="A4404" s="15" t="str">
        <f t="shared" si="136"/>
        <v/>
      </c>
      <c r="B4404" s="18" t="str">
        <f t="shared" si="137"/>
        <v/>
      </c>
    </row>
    <row r="4405" spans="1:2" x14ac:dyDescent="0.25">
      <c r="A4405" s="15" t="str">
        <f t="shared" si="136"/>
        <v/>
      </c>
      <c r="B4405" s="18" t="str">
        <f t="shared" si="137"/>
        <v/>
      </c>
    </row>
    <row r="4406" spans="1:2" x14ac:dyDescent="0.25">
      <c r="A4406" s="15" t="str">
        <f t="shared" si="136"/>
        <v/>
      </c>
      <c r="B4406" s="18" t="str">
        <f t="shared" si="137"/>
        <v/>
      </c>
    </row>
    <row r="4407" spans="1:2" x14ac:dyDescent="0.25">
      <c r="A4407" s="15" t="str">
        <f t="shared" si="136"/>
        <v/>
      </c>
      <c r="B4407" s="18" t="str">
        <f t="shared" si="137"/>
        <v/>
      </c>
    </row>
    <row r="4408" spans="1:2" x14ac:dyDescent="0.25">
      <c r="A4408" s="15" t="str">
        <f t="shared" si="136"/>
        <v/>
      </c>
      <c r="B4408" s="18" t="str">
        <f t="shared" si="137"/>
        <v/>
      </c>
    </row>
    <row r="4409" spans="1:2" x14ac:dyDescent="0.25">
      <c r="A4409" s="15" t="str">
        <f t="shared" si="136"/>
        <v/>
      </c>
      <c r="B4409" s="18" t="str">
        <f t="shared" si="137"/>
        <v/>
      </c>
    </row>
    <row r="4410" spans="1:2" x14ac:dyDescent="0.25">
      <c r="A4410" s="15" t="str">
        <f t="shared" si="136"/>
        <v/>
      </c>
      <c r="B4410" s="18" t="str">
        <f t="shared" si="137"/>
        <v/>
      </c>
    </row>
    <row r="4411" spans="1:2" x14ac:dyDescent="0.25">
      <c r="A4411" s="15" t="str">
        <f t="shared" si="136"/>
        <v/>
      </c>
      <c r="B4411" s="18" t="str">
        <f t="shared" si="137"/>
        <v/>
      </c>
    </row>
    <row r="4412" spans="1:2" x14ac:dyDescent="0.25">
      <c r="A4412" s="15" t="str">
        <f t="shared" si="136"/>
        <v/>
      </c>
      <c r="B4412" s="18" t="str">
        <f t="shared" si="137"/>
        <v/>
      </c>
    </row>
    <row r="4413" spans="1:2" x14ac:dyDescent="0.25">
      <c r="A4413" s="15" t="str">
        <f t="shared" si="136"/>
        <v/>
      </c>
      <c r="B4413" s="18" t="str">
        <f t="shared" si="137"/>
        <v/>
      </c>
    </row>
    <row r="4414" spans="1:2" x14ac:dyDescent="0.25">
      <c r="A4414" s="15" t="str">
        <f t="shared" si="136"/>
        <v/>
      </c>
      <c r="B4414" s="18" t="str">
        <f t="shared" si="137"/>
        <v/>
      </c>
    </row>
    <row r="4415" spans="1:2" x14ac:dyDescent="0.25">
      <c r="A4415" s="15" t="str">
        <f t="shared" si="136"/>
        <v/>
      </c>
      <c r="B4415" s="18" t="str">
        <f t="shared" si="137"/>
        <v/>
      </c>
    </row>
    <row r="4416" spans="1:2" x14ac:dyDescent="0.25">
      <c r="A4416" s="15" t="str">
        <f t="shared" si="136"/>
        <v/>
      </c>
      <c r="B4416" s="18" t="str">
        <f t="shared" si="137"/>
        <v/>
      </c>
    </row>
    <row r="4417" spans="1:2" x14ac:dyDescent="0.25">
      <c r="A4417" s="15" t="str">
        <f t="shared" si="136"/>
        <v/>
      </c>
      <c r="B4417" s="18" t="str">
        <f t="shared" si="137"/>
        <v/>
      </c>
    </row>
    <row r="4418" spans="1:2" x14ac:dyDescent="0.25">
      <c r="A4418" s="15" t="str">
        <f t="shared" ref="A4418:A4481" si="138">B4418&amp;C4418</f>
        <v/>
      </c>
      <c r="B4418" s="18" t="str">
        <f t="shared" si="137"/>
        <v/>
      </c>
    </row>
    <row r="4419" spans="1:2" x14ac:dyDescent="0.25">
      <c r="A4419" s="15" t="str">
        <f t="shared" si="138"/>
        <v/>
      </c>
      <c r="B4419" s="18" t="str">
        <f t="shared" ref="B4419:B4482" si="139">IF(C4419="","",B4418)</f>
        <v/>
      </c>
    </row>
    <row r="4420" spans="1:2" x14ac:dyDescent="0.25">
      <c r="A4420" s="15" t="str">
        <f t="shared" si="138"/>
        <v/>
      </c>
      <c r="B4420" s="18" t="str">
        <f t="shared" si="139"/>
        <v/>
      </c>
    </row>
    <row r="4421" spans="1:2" x14ac:dyDescent="0.25">
      <c r="A4421" s="15" t="str">
        <f t="shared" si="138"/>
        <v/>
      </c>
      <c r="B4421" s="18" t="str">
        <f t="shared" si="139"/>
        <v/>
      </c>
    </row>
    <row r="4422" spans="1:2" x14ac:dyDescent="0.25">
      <c r="A4422" s="15" t="str">
        <f t="shared" si="138"/>
        <v/>
      </c>
      <c r="B4422" s="18" t="str">
        <f t="shared" si="139"/>
        <v/>
      </c>
    </row>
    <row r="4423" spans="1:2" x14ac:dyDescent="0.25">
      <c r="A4423" s="15" t="str">
        <f t="shared" si="138"/>
        <v/>
      </c>
      <c r="B4423" s="18" t="str">
        <f t="shared" si="139"/>
        <v/>
      </c>
    </row>
    <row r="4424" spans="1:2" x14ac:dyDescent="0.25">
      <c r="A4424" s="15" t="str">
        <f t="shared" si="138"/>
        <v/>
      </c>
      <c r="B4424" s="18" t="str">
        <f t="shared" si="139"/>
        <v/>
      </c>
    </row>
    <row r="4425" spans="1:2" x14ac:dyDescent="0.25">
      <c r="A4425" s="15" t="str">
        <f t="shared" si="138"/>
        <v/>
      </c>
      <c r="B4425" s="18" t="str">
        <f t="shared" si="139"/>
        <v/>
      </c>
    </row>
    <row r="4426" spans="1:2" x14ac:dyDescent="0.25">
      <c r="A4426" s="15" t="str">
        <f t="shared" si="138"/>
        <v/>
      </c>
      <c r="B4426" s="18" t="str">
        <f t="shared" si="139"/>
        <v/>
      </c>
    </row>
    <row r="4427" spans="1:2" x14ac:dyDescent="0.25">
      <c r="A4427" s="15" t="str">
        <f t="shared" si="138"/>
        <v/>
      </c>
      <c r="B4427" s="18" t="str">
        <f t="shared" si="139"/>
        <v/>
      </c>
    </row>
    <row r="4428" spans="1:2" x14ac:dyDescent="0.25">
      <c r="A4428" s="15" t="str">
        <f t="shared" si="138"/>
        <v/>
      </c>
      <c r="B4428" s="18" t="str">
        <f t="shared" si="139"/>
        <v/>
      </c>
    </row>
    <row r="4429" spans="1:2" x14ac:dyDescent="0.25">
      <c r="A4429" s="15" t="str">
        <f t="shared" si="138"/>
        <v/>
      </c>
      <c r="B4429" s="18" t="str">
        <f t="shared" si="139"/>
        <v/>
      </c>
    </row>
    <row r="4430" spans="1:2" x14ac:dyDescent="0.25">
      <c r="A4430" s="15" t="str">
        <f t="shared" si="138"/>
        <v/>
      </c>
      <c r="B4430" s="18" t="str">
        <f t="shared" si="139"/>
        <v/>
      </c>
    </row>
    <row r="4431" spans="1:2" x14ac:dyDescent="0.25">
      <c r="A4431" s="15" t="str">
        <f t="shared" si="138"/>
        <v/>
      </c>
      <c r="B4431" s="18" t="str">
        <f t="shared" si="139"/>
        <v/>
      </c>
    </row>
    <row r="4432" spans="1:2" x14ac:dyDescent="0.25">
      <c r="A4432" s="15" t="str">
        <f t="shared" si="138"/>
        <v/>
      </c>
      <c r="B4432" s="18" t="str">
        <f t="shared" si="139"/>
        <v/>
      </c>
    </row>
    <row r="4433" spans="1:2" x14ac:dyDescent="0.25">
      <c r="A4433" s="15" t="str">
        <f t="shared" si="138"/>
        <v/>
      </c>
      <c r="B4433" s="18" t="str">
        <f t="shared" si="139"/>
        <v/>
      </c>
    </row>
    <row r="4434" spans="1:2" x14ac:dyDescent="0.25">
      <c r="A4434" s="15" t="str">
        <f t="shared" si="138"/>
        <v/>
      </c>
      <c r="B4434" s="18" t="str">
        <f t="shared" si="139"/>
        <v/>
      </c>
    </row>
    <row r="4435" spans="1:2" x14ac:dyDescent="0.25">
      <c r="A4435" s="15" t="str">
        <f t="shared" si="138"/>
        <v/>
      </c>
      <c r="B4435" s="18" t="str">
        <f t="shared" si="139"/>
        <v/>
      </c>
    </row>
    <row r="4436" spans="1:2" x14ac:dyDescent="0.25">
      <c r="A4436" s="15" t="str">
        <f t="shared" si="138"/>
        <v/>
      </c>
      <c r="B4436" s="18" t="str">
        <f t="shared" si="139"/>
        <v/>
      </c>
    </row>
    <row r="4437" spans="1:2" x14ac:dyDescent="0.25">
      <c r="A4437" s="15" t="str">
        <f t="shared" si="138"/>
        <v/>
      </c>
      <c r="B4437" s="18" t="str">
        <f t="shared" si="139"/>
        <v/>
      </c>
    </row>
    <row r="4438" spans="1:2" x14ac:dyDescent="0.25">
      <c r="A4438" s="15" t="str">
        <f t="shared" si="138"/>
        <v/>
      </c>
      <c r="B4438" s="18" t="str">
        <f t="shared" si="139"/>
        <v/>
      </c>
    </row>
    <row r="4439" spans="1:2" x14ac:dyDescent="0.25">
      <c r="A4439" s="15" t="str">
        <f t="shared" si="138"/>
        <v/>
      </c>
      <c r="B4439" s="18" t="str">
        <f t="shared" si="139"/>
        <v/>
      </c>
    </row>
    <row r="4440" spans="1:2" x14ac:dyDescent="0.25">
      <c r="A4440" s="15" t="str">
        <f t="shared" si="138"/>
        <v/>
      </c>
      <c r="B4440" s="18" t="str">
        <f t="shared" si="139"/>
        <v/>
      </c>
    </row>
    <row r="4441" spans="1:2" x14ac:dyDescent="0.25">
      <c r="A4441" s="15" t="str">
        <f t="shared" si="138"/>
        <v/>
      </c>
      <c r="B4441" s="18" t="str">
        <f t="shared" si="139"/>
        <v/>
      </c>
    </row>
    <row r="4442" spans="1:2" x14ac:dyDescent="0.25">
      <c r="A4442" s="15" t="str">
        <f t="shared" si="138"/>
        <v/>
      </c>
      <c r="B4442" s="18" t="str">
        <f t="shared" si="139"/>
        <v/>
      </c>
    </row>
    <row r="4443" spans="1:2" x14ac:dyDescent="0.25">
      <c r="A4443" s="15" t="str">
        <f t="shared" si="138"/>
        <v/>
      </c>
      <c r="B4443" s="18" t="str">
        <f t="shared" si="139"/>
        <v/>
      </c>
    </row>
    <row r="4444" spans="1:2" x14ac:dyDescent="0.25">
      <c r="A4444" s="15" t="str">
        <f t="shared" si="138"/>
        <v/>
      </c>
      <c r="B4444" s="18" t="str">
        <f t="shared" si="139"/>
        <v/>
      </c>
    </row>
    <row r="4445" spans="1:2" x14ac:dyDescent="0.25">
      <c r="A4445" s="15" t="str">
        <f t="shared" si="138"/>
        <v/>
      </c>
      <c r="B4445" s="18" t="str">
        <f t="shared" si="139"/>
        <v/>
      </c>
    </row>
    <row r="4446" spans="1:2" x14ac:dyDescent="0.25">
      <c r="A4446" s="15" t="str">
        <f t="shared" si="138"/>
        <v/>
      </c>
      <c r="B4446" s="18" t="str">
        <f t="shared" si="139"/>
        <v/>
      </c>
    </row>
    <row r="4447" spans="1:2" x14ac:dyDescent="0.25">
      <c r="A4447" s="15" t="str">
        <f t="shared" si="138"/>
        <v/>
      </c>
      <c r="B4447" s="18" t="str">
        <f t="shared" si="139"/>
        <v/>
      </c>
    </row>
    <row r="4448" spans="1:2" x14ac:dyDescent="0.25">
      <c r="A4448" s="15" t="str">
        <f t="shared" si="138"/>
        <v/>
      </c>
      <c r="B4448" s="18" t="str">
        <f t="shared" si="139"/>
        <v/>
      </c>
    </row>
    <row r="4449" spans="1:2" x14ac:dyDescent="0.25">
      <c r="A4449" s="15" t="str">
        <f t="shared" si="138"/>
        <v/>
      </c>
      <c r="B4449" s="18" t="str">
        <f t="shared" si="139"/>
        <v/>
      </c>
    </row>
    <row r="4450" spans="1:2" x14ac:dyDescent="0.25">
      <c r="A4450" s="15" t="str">
        <f t="shared" si="138"/>
        <v/>
      </c>
      <c r="B4450" s="18" t="str">
        <f t="shared" si="139"/>
        <v/>
      </c>
    </row>
    <row r="4451" spans="1:2" x14ac:dyDescent="0.25">
      <c r="A4451" s="15" t="str">
        <f t="shared" si="138"/>
        <v/>
      </c>
      <c r="B4451" s="18" t="str">
        <f t="shared" si="139"/>
        <v/>
      </c>
    </row>
    <row r="4452" spans="1:2" x14ac:dyDescent="0.25">
      <c r="A4452" s="15" t="str">
        <f t="shared" si="138"/>
        <v/>
      </c>
      <c r="B4452" s="18" t="str">
        <f t="shared" si="139"/>
        <v/>
      </c>
    </row>
    <row r="4453" spans="1:2" x14ac:dyDescent="0.25">
      <c r="A4453" s="15" t="str">
        <f t="shared" si="138"/>
        <v/>
      </c>
      <c r="B4453" s="18" t="str">
        <f t="shared" si="139"/>
        <v/>
      </c>
    </row>
    <row r="4454" spans="1:2" x14ac:dyDescent="0.25">
      <c r="A4454" s="15" t="str">
        <f t="shared" si="138"/>
        <v/>
      </c>
      <c r="B4454" s="18" t="str">
        <f t="shared" si="139"/>
        <v/>
      </c>
    </row>
    <row r="4455" spans="1:2" x14ac:dyDescent="0.25">
      <c r="A4455" s="15" t="str">
        <f t="shared" si="138"/>
        <v/>
      </c>
      <c r="B4455" s="18" t="str">
        <f t="shared" si="139"/>
        <v/>
      </c>
    </row>
    <row r="4456" spans="1:2" x14ac:dyDescent="0.25">
      <c r="A4456" s="15" t="str">
        <f t="shared" si="138"/>
        <v/>
      </c>
      <c r="B4456" s="18" t="str">
        <f t="shared" si="139"/>
        <v/>
      </c>
    </row>
    <row r="4457" spans="1:2" x14ac:dyDescent="0.25">
      <c r="A4457" s="15" t="str">
        <f t="shared" si="138"/>
        <v/>
      </c>
      <c r="B4457" s="18" t="str">
        <f t="shared" si="139"/>
        <v/>
      </c>
    </row>
    <row r="4458" spans="1:2" x14ac:dyDescent="0.25">
      <c r="A4458" s="15" t="str">
        <f t="shared" si="138"/>
        <v/>
      </c>
      <c r="B4458" s="18" t="str">
        <f t="shared" si="139"/>
        <v/>
      </c>
    </row>
    <row r="4459" spans="1:2" x14ac:dyDescent="0.25">
      <c r="A4459" s="15" t="str">
        <f t="shared" si="138"/>
        <v/>
      </c>
      <c r="B4459" s="18" t="str">
        <f t="shared" si="139"/>
        <v/>
      </c>
    </row>
    <row r="4460" spans="1:2" x14ac:dyDescent="0.25">
      <c r="A4460" s="15" t="str">
        <f t="shared" si="138"/>
        <v/>
      </c>
      <c r="B4460" s="18" t="str">
        <f t="shared" si="139"/>
        <v/>
      </c>
    </row>
    <row r="4461" spans="1:2" x14ac:dyDescent="0.25">
      <c r="A4461" s="15" t="str">
        <f t="shared" si="138"/>
        <v/>
      </c>
      <c r="B4461" s="18" t="str">
        <f t="shared" si="139"/>
        <v/>
      </c>
    </row>
    <row r="4462" spans="1:2" x14ac:dyDescent="0.25">
      <c r="A4462" s="15" t="str">
        <f t="shared" si="138"/>
        <v/>
      </c>
      <c r="B4462" s="18" t="str">
        <f t="shared" si="139"/>
        <v/>
      </c>
    </row>
    <row r="4463" spans="1:2" x14ac:dyDescent="0.25">
      <c r="A4463" s="15" t="str">
        <f t="shared" si="138"/>
        <v/>
      </c>
      <c r="B4463" s="18" t="str">
        <f t="shared" si="139"/>
        <v/>
      </c>
    </row>
    <row r="4464" spans="1:2" x14ac:dyDescent="0.25">
      <c r="A4464" s="15" t="str">
        <f t="shared" si="138"/>
        <v/>
      </c>
      <c r="B4464" s="18" t="str">
        <f t="shared" si="139"/>
        <v/>
      </c>
    </row>
    <row r="4465" spans="1:2" x14ac:dyDescent="0.25">
      <c r="A4465" s="15" t="str">
        <f t="shared" si="138"/>
        <v/>
      </c>
      <c r="B4465" s="18" t="str">
        <f t="shared" si="139"/>
        <v/>
      </c>
    </row>
    <row r="4466" spans="1:2" x14ac:dyDescent="0.25">
      <c r="A4466" s="15" t="str">
        <f t="shared" si="138"/>
        <v/>
      </c>
      <c r="B4466" s="18" t="str">
        <f t="shared" si="139"/>
        <v/>
      </c>
    </row>
    <row r="4467" spans="1:2" x14ac:dyDescent="0.25">
      <c r="A4467" s="15" t="str">
        <f t="shared" si="138"/>
        <v/>
      </c>
      <c r="B4467" s="18" t="str">
        <f t="shared" si="139"/>
        <v/>
      </c>
    </row>
    <row r="4468" spans="1:2" x14ac:dyDescent="0.25">
      <c r="A4468" s="15" t="str">
        <f t="shared" si="138"/>
        <v/>
      </c>
      <c r="B4468" s="18" t="str">
        <f t="shared" si="139"/>
        <v/>
      </c>
    </row>
    <row r="4469" spans="1:2" x14ac:dyDescent="0.25">
      <c r="A4469" s="15" t="str">
        <f t="shared" si="138"/>
        <v/>
      </c>
      <c r="B4469" s="18" t="str">
        <f t="shared" si="139"/>
        <v/>
      </c>
    </row>
    <row r="4470" spans="1:2" x14ac:dyDescent="0.25">
      <c r="A4470" s="15" t="str">
        <f t="shared" si="138"/>
        <v/>
      </c>
      <c r="B4470" s="18" t="str">
        <f t="shared" si="139"/>
        <v/>
      </c>
    </row>
    <row r="4471" spans="1:2" x14ac:dyDescent="0.25">
      <c r="A4471" s="15" t="str">
        <f t="shared" si="138"/>
        <v/>
      </c>
      <c r="B4471" s="18" t="str">
        <f t="shared" si="139"/>
        <v/>
      </c>
    </row>
    <row r="4472" spans="1:2" x14ac:dyDescent="0.25">
      <c r="A4472" s="15" t="str">
        <f t="shared" si="138"/>
        <v/>
      </c>
      <c r="B4472" s="18" t="str">
        <f t="shared" si="139"/>
        <v/>
      </c>
    </row>
    <row r="4473" spans="1:2" x14ac:dyDescent="0.25">
      <c r="A4473" s="15" t="str">
        <f t="shared" si="138"/>
        <v/>
      </c>
      <c r="B4473" s="18" t="str">
        <f t="shared" si="139"/>
        <v/>
      </c>
    </row>
    <row r="4474" spans="1:2" x14ac:dyDescent="0.25">
      <c r="A4474" s="15" t="str">
        <f t="shared" si="138"/>
        <v/>
      </c>
      <c r="B4474" s="18" t="str">
        <f t="shared" si="139"/>
        <v/>
      </c>
    </row>
    <row r="4475" spans="1:2" x14ac:dyDescent="0.25">
      <c r="A4475" s="15" t="str">
        <f t="shared" si="138"/>
        <v/>
      </c>
      <c r="B4475" s="18" t="str">
        <f t="shared" si="139"/>
        <v/>
      </c>
    </row>
    <row r="4476" spans="1:2" x14ac:dyDescent="0.25">
      <c r="A4476" s="15" t="str">
        <f t="shared" si="138"/>
        <v/>
      </c>
      <c r="B4476" s="18" t="str">
        <f t="shared" si="139"/>
        <v/>
      </c>
    </row>
    <row r="4477" spans="1:2" x14ac:dyDescent="0.25">
      <c r="A4477" s="15" t="str">
        <f t="shared" si="138"/>
        <v/>
      </c>
      <c r="B4477" s="18" t="str">
        <f t="shared" si="139"/>
        <v/>
      </c>
    </row>
    <row r="4478" spans="1:2" x14ac:dyDescent="0.25">
      <c r="A4478" s="15" t="str">
        <f t="shared" si="138"/>
        <v/>
      </c>
      <c r="B4478" s="18" t="str">
        <f t="shared" si="139"/>
        <v/>
      </c>
    </row>
    <row r="4479" spans="1:2" x14ac:dyDescent="0.25">
      <c r="A4479" s="15" t="str">
        <f t="shared" si="138"/>
        <v/>
      </c>
      <c r="B4479" s="18" t="str">
        <f t="shared" si="139"/>
        <v/>
      </c>
    </row>
    <row r="4480" spans="1:2" x14ac:dyDescent="0.25">
      <c r="A4480" s="15" t="str">
        <f t="shared" si="138"/>
        <v/>
      </c>
      <c r="B4480" s="18" t="str">
        <f t="shared" si="139"/>
        <v/>
      </c>
    </row>
    <row r="4481" spans="1:2" x14ac:dyDescent="0.25">
      <c r="A4481" s="15" t="str">
        <f t="shared" si="138"/>
        <v/>
      </c>
      <c r="B4481" s="18" t="str">
        <f t="shared" si="139"/>
        <v/>
      </c>
    </row>
    <row r="4482" spans="1:2" x14ac:dyDescent="0.25">
      <c r="A4482" s="15" t="str">
        <f t="shared" ref="A4482:A4545" si="140">B4482&amp;C4482</f>
        <v/>
      </c>
      <c r="B4482" s="18" t="str">
        <f t="shared" si="139"/>
        <v/>
      </c>
    </row>
    <row r="4483" spans="1:2" x14ac:dyDescent="0.25">
      <c r="A4483" s="15" t="str">
        <f t="shared" si="140"/>
        <v/>
      </c>
      <c r="B4483" s="18" t="str">
        <f t="shared" ref="B4483:B4546" si="141">IF(C4483="","",B4482)</f>
        <v/>
      </c>
    </row>
    <row r="4484" spans="1:2" x14ac:dyDescent="0.25">
      <c r="A4484" s="15" t="str">
        <f t="shared" si="140"/>
        <v/>
      </c>
      <c r="B4484" s="18" t="str">
        <f t="shared" si="141"/>
        <v/>
      </c>
    </row>
    <row r="4485" spans="1:2" x14ac:dyDescent="0.25">
      <c r="A4485" s="15" t="str">
        <f t="shared" si="140"/>
        <v/>
      </c>
      <c r="B4485" s="18" t="str">
        <f t="shared" si="141"/>
        <v/>
      </c>
    </row>
    <row r="4486" spans="1:2" x14ac:dyDescent="0.25">
      <c r="A4486" s="15" t="str">
        <f t="shared" si="140"/>
        <v/>
      </c>
      <c r="B4486" s="18" t="str">
        <f t="shared" si="141"/>
        <v/>
      </c>
    </row>
    <row r="4487" spans="1:2" x14ac:dyDescent="0.25">
      <c r="A4487" s="15" t="str">
        <f t="shared" si="140"/>
        <v/>
      </c>
      <c r="B4487" s="18" t="str">
        <f t="shared" si="141"/>
        <v/>
      </c>
    </row>
    <row r="4488" spans="1:2" x14ac:dyDescent="0.25">
      <c r="A4488" s="15" t="str">
        <f t="shared" si="140"/>
        <v/>
      </c>
      <c r="B4488" s="18" t="str">
        <f t="shared" si="141"/>
        <v/>
      </c>
    </row>
    <row r="4489" spans="1:2" x14ac:dyDescent="0.25">
      <c r="A4489" s="15" t="str">
        <f t="shared" si="140"/>
        <v/>
      </c>
      <c r="B4489" s="18" t="str">
        <f t="shared" si="141"/>
        <v/>
      </c>
    </row>
    <row r="4490" spans="1:2" x14ac:dyDescent="0.25">
      <c r="A4490" s="15" t="str">
        <f t="shared" si="140"/>
        <v/>
      </c>
      <c r="B4490" s="18" t="str">
        <f t="shared" si="141"/>
        <v/>
      </c>
    </row>
    <row r="4491" spans="1:2" x14ac:dyDescent="0.25">
      <c r="A4491" s="15" t="str">
        <f t="shared" si="140"/>
        <v/>
      </c>
      <c r="B4491" s="18" t="str">
        <f t="shared" si="141"/>
        <v/>
      </c>
    </row>
    <row r="4492" spans="1:2" x14ac:dyDescent="0.25">
      <c r="A4492" s="15" t="str">
        <f t="shared" si="140"/>
        <v/>
      </c>
      <c r="B4492" s="18" t="str">
        <f t="shared" si="141"/>
        <v/>
      </c>
    </row>
    <row r="4493" spans="1:2" x14ac:dyDescent="0.25">
      <c r="A4493" s="15" t="str">
        <f t="shared" si="140"/>
        <v/>
      </c>
      <c r="B4493" s="18" t="str">
        <f t="shared" si="141"/>
        <v/>
      </c>
    </row>
    <row r="4494" spans="1:2" x14ac:dyDescent="0.25">
      <c r="A4494" s="15" t="str">
        <f t="shared" si="140"/>
        <v/>
      </c>
      <c r="B4494" s="18" t="str">
        <f t="shared" si="141"/>
        <v/>
      </c>
    </row>
    <row r="4495" spans="1:2" x14ac:dyDescent="0.25">
      <c r="A4495" s="15" t="str">
        <f t="shared" si="140"/>
        <v/>
      </c>
      <c r="B4495" s="18" t="str">
        <f t="shared" si="141"/>
        <v/>
      </c>
    </row>
    <row r="4496" spans="1:2" x14ac:dyDescent="0.25">
      <c r="A4496" s="15" t="str">
        <f t="shared" si="140"/>
        <v/>
      </c>
      <c r="B4496" s="18" t="str">
        <f t="shared" si="141"/>
        <v/>
      </c>
    </row>
    <row r="4497" spans="1:2" x14ac:dyDescent="0.25">
      <c r="A4497" s="15" t="str">
        <f t="shared" si="140"/>
        <v/>
      </c>
      <c r="B4497" s="18" t="str">
        <f t="shared" si="141"/>
        <v/>
      </c>
    </row>
    <row r="4498" spans="1:2" x14ac:dyDescent="0.25">
      <c r="A4498" s="15" t="str">
        <f t="shared" si="140"/>
        <v/>
      </c>
      <c r="B4498" s="18" t="str">
        <f t="shared" si="141"/>
        <v/>
      </c>
    </row>
    <row r="4499" spans="1:2" x14ac:dyDescent="0.25">
      <c r="A4499" s="15" t="str">
        <f t="shared" si="140"/>
        <v/>
      </c>
      <c r="B4499" s="18" t="str">
        <f t="shared" si="141"/>
        <v/>
      </c>
    </row>
    <row r="4500" spans="1:2" x14ac:dyDescent="0.25">
      <c r="A4500" s="15" t="str">
        <f t="shared" si="140"/>
        <v/>
      </c>
      <c r="B4500" s="18" t="str">
        <f t="shared" si="141"/>
        <v/>
      </c>
    </row>
    <row r="4501" spans="1:2" x14ac:dyDescent="0.25">
      <c r="A4501" s="15" t="str">
        <f t="shared" si="140"/>
        <v/>
      </c>
      <c r="B4501" s="18" t="str">
        <f t="shared" si="141"/>
        <v/>
      </c>
    </row>
    <row r="4502" spans="1:2" x14ac:dyDescent="0.25">
      <c r="A4502" s="15" t="str">
        <f t="shared" si="140"/>
        <v/>
      </c>
      <c r="B4502" s="18" t="str">
        <f t="shared" si="141"/>
        <v/>
      </c>
    </row>
    <row r="4503" spans="1:2" x14ac:dyDescent="0.25">
      <c r="A4503" s="15" t="str">
        <f t="shared" si="140"/>
        <v/>
      </c>
      <c r="B4503" s="18" t="str">
        <f t="shared" si="141"/>
        <v/>
      </c>
    </row>
    <row r="4504" spans="1:2" x14ac:dyDescent="0.25">
      <c r="A4504" s="15" t="str">
        <f t="shared" si="140"/>
        <v/>
      </c>
      <c r="B4504" s="18" t="str">
        <f t="shared" si="141"/>
        <v/>
      </c>
    </row>
    <row r="4505" spans="1:2" x14ac:dyDescent="0.25">
      <c r="A4505" s="15" t="str">
        <f t="shared" si="140"/>
        <v/>
      </c>
      <c r="B4505" s="18" t="str">
        <f t="shared" si="141"/>
        <v/>
      </c>
    </row>
    <row r="4506" spans="1:2" x14ac:dyDescent="0.25">
      <c r="A4506" s="15" t="str">
        <f t="shared" si="140"/>
        <v/>
      </c>
      <c r="B4506" s="18" t="str">
        <f t="shared" si="141"/>
        <v/>
      </c>
    </row>
    <row r="4507" spans="1:2" x14ac:dyDescent="0.25">
      <c r="A4507" s="15" t="str">
        <f t="shared" si="140"/>
        <v/>
      </c>
      <c r="B4507" s="18" t="str">
        <f t="shared" si="141"/>
        <v/>
      </c>
    </row>
    <row r="4508" spans="1:2" x14ac:dyDescent="0.25">
      <c r="A4508" s="15" t="str">
        <f t="shared" si="140"/>
        <v/>
      </c>
      <c r="B4508" s="18" t="str">
        <f t="shared" si="141"/>
        <v/>
      </c>
    </row>
    <row r="4509" spans="1:2" x14ac:dyDescent="0.25">
      <c r="A4509" s="15" t="str">
        <f t="shared" si="140"/>
        <v/>
      </c>
      <c r="B4509" s="18" t="str">
        <f t="shared" si="141"/>
        <v/>
      </c>
    </row>
    <row r="4510" spans="1:2" x14ac:dyDescent="0.25">
      <c r="A4510" s="15" t="str">
        <f t="shared" si="140"/>
        <v/>
      </c>
      <c r="B4510" s="18" t="str">
        <f t="shared" si="141"/>
        <v/>
      </c>
    </row>
    <row r="4511" spans="1:2" x14ac:dyDescent="0.25">
      <c r="A4511" s="15" t="str">
        <f t="shared" si="140"/>
        <v/>
      </c>
      <c r="B4511" s="18" t="str">
        <f t="shared" si="141"/>
        <v/>
      </c>
    </row>
    <row r="4512" spans="1:2" x14ac:dyDescent="0.25">
      <c r="A4512" s="15" t="str">
        <f t="shared" si="140"/>
        <v/>
      </c>
      <c r="B4512" s="18" t="str">
        <f t="shared" si="141"/>
        <v/>
      </c>
    </row>
    <row r="4513" spans="1:2" x14ac:dyDescent="0.25">
      <c r="A4513" s="15" t="str">
        <f t="shared" si="140"/>
        <v/>
      </c>
      <c r="B4513" s="18" t="str">
        <f t="shared" si="141"/>
        <v/>
      </c>
    </row>
    <row r="4514" spans="1:2" x14ac:dyDescent="0.25">
      <c r="A4514" s="15" t="str">
        <f t="shared" si="140"/>
        <v/>
      </c>
      <c r="B4514" s="18" t="str">
        <f t="shared" si="141"/>
        <v/>
      </c>
    </row>
    <row r="4515" spans="1:2" x14ac:dyDescent="0.25">
      <c r="A4515" s="15" t="str">
        <f t="shared" si="140"/>
        <v/>
      </c>
      <c r="B4515" s="18" t="str">
        <f t="shared" si="141"/>
        <v/>
      </c>
    </row>
    <row r="4516" spans="1:2" x14ac:dyDescent="0.25">
      <c r="A4516" s="15" t="str">
        <f t="shared" si="140"/>
        <v/>
      </c>
      <c r="B4516" s="18" t="str">
        <f t="shared" si="141"/>
        <v/>
      </c>
    </row>
    <row r="4517" spans="1:2" x14ac:dyDescent="0.25">
      <c r="A4517" s="15" t="str">
        <f t="shared" si="140"/>
        <v/>
      </c>
      <c r="B4517" s="18" t="str">
        <f t="shared" si="141"/>
        <v/>
      </c>
    </row>
    <row r="4518" spans="1:2" x14ac:dyDescent="0.25">
      <c r="A4518" s="15" t="str">
        <f t="shared" si="140"/>
        <v/>
      </c>
      <c r="B4518" s="18" t="str">
        <f t="shared" si="141"/>
        <v/>
      </c>
    </row>
    <row r="4519" spans="1:2" x14ac:dyDescent="0.25">
      <c r="A4519" s="15" t="str">
        <f t="shared" si="140"/>
        <v/>
      </c>
      <c r="B4519" s="18" t="str">
        <f t="shared" si="141"/>
        <v/>
      </c>
    </row>
    <row r="4520" spans="1:2" x14ac:dyDescent="0.25">
      <c r="A4520" s="15" t="str">
        <f t="shared" si="140"/>
        <v/>
      </c>
      <c r="B4520" s="18" t="str">
        <f t="shared" si="141"/>
        <v/>
      </c>
    </row>
    <row r="4521" spans="1:2" x14ac:dyDescent="0.25">
      <c r="A4521" s="15" t="str">
        <f t="shared" si="140"/>
        <v/>
      </c>
      <c r="B4521" s="18" t="str">
        <f t="shared" si="141"/>
        <v/>
      </c>
    </row>
    <row r="4522" spans="1:2" x14ac:dyDescent="0.25">
      <c r="A4522" s="15" t="str">
        <f t="shared" si="140"/>
        <v/>
      </c>
      <c r="B4522" s="18" t="str">
        <f t="shared" si="141"/>
        <v/>
      </c>
    </row>
    <row r="4523" spans="1:2" x14ac:dyDescent="0.25">
      <c r="A4523" s="15" t="str">
        <f t="shared" si="140"/>
        <v/>
      </c>
      <c r="B4523" s="18" t="str">
        <f t="shared" si="141"/>
        <v/>
      </c>
    </row>
    <row r="4524" spans="1:2" x14ac:dyDescent="0.25">
      <c r="A4524" s="15" t="str">
        <f t="shared" si="140"/>
        <v/>
      </c>
      <c r="B4524" s="18" t="str">
        <f t="shared" si="141"/>
        <v/>
      </c>
    </row>
    <row r="4525" spans="1:2" x14ac:dyDescent="0.25">
      <c r="A4525" s="15" t="str">
        <f t="shared" si="140"/>
        <v/>
      </c>
      <c r="B4525" s="18" t="str">
        <f t="shared" si="141"/>
        <v/>
      </c>
    </row>
    <row r="4526" spans="1:2" x14ac:dyDescent="0.25">
      <c r="A4526" s="15" t="str">
        <f t="shared" si="140"/>
        <v/>
      </c>
      <c r="B4526" s="18" t="str">
        <f t="shared" si="141"/>
        <v/>
      </c>
    </row>
    <row r="4527" spans="1:2" x14ac:dyDescent="0.25">
      <c r="A4527" s="15" t="str">
        <f t="shared" si="140"/>
        <v/>
      </c>
      <c r="B4527" s="18" t="str">
        <f t="shared" si="141"/>
        <v/>
      </c>
    </row>
    <row r="4528" spans="1:2" x14ac:dyDescent="0.25">
      <c r="A4528" s="15" t="str">
        <f t="shared" si="140"/>
        <v/>
      </c>
      <c r="B4528" s="18" t="str">
        <f t="shared" si="141"/>
        <v/>
      </c>
    </row>
    <row r="4529" spans="1:2" x14ac:dyDescent="0.25">
      <c r="A4529" s="15" t="str">
        <f t="shared" si="140"/>
        <v/>
      </c>
      <c r="B4529" s="18" t="str">
        <f t="shared" si="141"/>
        <v/>
      </c>
    </row>
    <row r="4530" spans="1:2" x14ac:dyDescent="0.25">
      <c r="A4530" s="15" t="str">
        <f t="shared" si="140"/>
        <v/>
      </c>
      <c r="B4530" s="18" t="str">
        <f t="shared" si="141"/>
        <v/>
      </c>
    </row>
    <row r="4531" spans="1:2" x14ac:dyDescent="0.25">
      <c r="A4531" s="15" t="str">
        <f t="shared" si="140"/>
        <v/>
      </c>
      <c r="B4531" s="18" t="str">
        <f t="shared" si="141"/>
        <v/>
      </c>
    </row>
    <row r="4532" spans="1:2" x14ac:dyDescent="0.25">
      <c r="A4532" s="15" t="str">
        <f t="shared" si="140"/>
        <v/>
      </c>
      <c r="B4532" s="18" t="str">
        <f t="shared" si="141"/>
        <v/>
      </c>
    </row>
    <row r="4533" spans="1:2" x14ac:dyDescent="0.25">
      <c r="A4533" s="15" t="str">
        <f t="shared" si="140"/>
        <v/>
      </c>
      <c r="B4533" s="18" t="str">
        <f t="shared" si="141"/>
        <v/>
      </c>
    </row>
    <row r="4534" spans="1:2" x14ac:dyDescent="0.25">
      <c r="A4534" s="15" t="str">
        <f t="shared" si="140"/>
        <v/>
      </c>
      <c r="B4534" s="18" t="str">
        <f t="shared" si="141"/>
        <v/>
      </c>
    </row>
    <row r="4535" spans="1:2" x14ac:dyDescent="0.25">
      <c r="A4535" s="15" t="str">
        <f t="shared" si="140"/>
        <v/>
      </c>
      <c r="B4535" s="18" t="str">
        <f t="shared" si="141"/>
        <v/>
      </c>
    </row>
    <row r="4536" spans="1:2" x14ac:dyDescent="0.25">
      <c r="A4536" s="15" t="str">
        <f t="shared" si="140"/>
        <v/>
      </c>
      <c r="B4536" s="18" t="str">
        <f t="shared" si="141"/>
        <v/>
      </c>
    </row>
    <row r="4537" spans="1:2" x14ac:dyDescent="0.25">
      <c r="A4537" s="15" t="str">
        <f t="shared" si="140"/>
        <v/>
      </c>
      <c r="B4537" s="18" t="str">
        <f t="shared" si="141"/>
        <v/>
      </c>
    </row>
    <row r="4538" spans="1:2" x14ac:dyDescent="0.25">
      <c r="A4538" s="15" t="str">
        <f t="shared" si="140"/>
        <v/>
      </c>
      <c r="B4538" s="18" t="str">
        <f t="shared" si="141"/>
        <v/>
      </c>
    </row>
    <row r="4539" spans="1:2" x14ac:dyDescent="0.25">
      <c r="A4539" s="15" t="str">
        <f t="shared" si="140"/>
        <v/>
      </c>
      <c r="B4539" s="18" t="str">
        <f t="shared" si="141"/>
        <v/>
      </c>
    </row>
    <row r="4540" spans="1:2" x14ac:dyDescent="0.25">
      <c r="A4540" s="15" t="str">
        <f t="shared" si="140"/>
        <v/>
      </c>
      <c r="B4540" s="18" t="str">
        <f t="shared" si="141"/>
        <v/>
      </c>
    </row>
    <row r="4541" spans="1:2" x14ac:dyDescent="0.25">
      <c r="A4541" s="15" t="str">
        <f t="shared" si="140"/>
        <v/>
      </c>
      <c r="B4541" s="18" t="str">
        <f t="shared" si="141"/>
        <v/>
      </c>
    </row>
    <row r="4542" spans="1:2" x14ac:dyDescent="0.25">
      <c r="A4542" s="15" t="str">
        <f t="shared" si="140"/>
        <v/>
      </c>
      <c r="B4542" s="18" t="str">
        <f t="shared" si="141"/>
        <v/>
      </c>
    </row>
    <row r="4543" spans="1:2" x14ac:dyDescent="0.25">
      <c r="A4543" s="15" t="str">
        <f t="shared" si="140"/>
        <v/>
      </c>
      <c r="B4543" s="18" t="str">
        <f t="shared" si="141"/>
        <v/>
      </c>
    </row>
    <row r="4544" spans="1:2" x14ac:dyDescent="0.25">
      <c r="A4544" s="15" t="str">
        <f t="shared" si="140"/>
        <v/>
      </c>
      <c r="B4544" s="18" t="str">
        <f t="shared" si="141"/>
        <v/>
      </c>
    </row>
    <row r="4545" spans="1:2" x14ac:dyDescent="0.25">
      <c r="A4545" s="15" t="str">
        <f t="shared" si="140"/>
        <v/>
      </c>
      <c r="B4545" s="18" t="str">
        <f t="shared" si="141"/>
        <v/>
      </c>
    </row>
    <row r="4546" spans="1:2" x14ac:dyDescent="0.25">
      <c r="A4546" s="15" t="str">
        <f t="shared" ref="A4546:A4609" si="142">B4546&amp;C4546</f>
        <v/>
      </c>
      <c r="B4546" s="18" t="str">
        <f t="shared" si="141"/>
        <v/>
      </c>
    </row>
    <row r="4547" spans="1:2" x14ac:dyDescent="0.25">
      <c r="A4547" s="15" t="str">
        <f t="shared" si="142"/>
        <v/>
      </c>
      <c r="B4547" s="18" t="str">
        <f t="shared" ref="B4547:B4610" si="143">IF(C4547="","",B4546)</f>
        <v/>
      </c>
    </row>
    <row r="4548" spans="1:2" x14ac:dyDescent="0.25">
      <c r="A4548" s="15" t="str">
        <f t="shared" si="142"/>
        <v/>
      </c>
      <c r="B4548" s="18" t="str">
        <f t="shared" si="143"/>
        <v/>
      </c>
    </row>
    <row r="4549" spans="1:2" x14ac:dyDescent="0.25">
      <c r="A4549" s="15" t="str">
        <f t="shared" si="142"/>
        <v/>
      </c>
      <c r="B4549" s="18" t="str">
        <f t="shared" si="143"/>
        <v/>
      </c>
    </row>
    <row r="4550" spans="1:2" x14ac:dyDescent="0.25">
      <c r="A4550" s="15" t="str">
        <f t="shared" si="142"/>
        <v/>
      </c>
      <c r="B4550" s="18" t="str">
        <f t="shared" si="143"/>
        <v/>
      </c>
    </row>
    <row r="4551" spans="1:2" x14ac:dyDescent="0.25">
      <c r="A4551" s="15" t="str">
        <f t="shared" si="142"/>
        <v/>
      </c>
      <c r="B4551" s="18" t="str">
        <f t="shared" si="143"/>
        <v/>
      </c>
    </row>
    <row r="4552" spans="1:2" x14ac:dyDescent="0.25">
      <c r="A4552" s="15" t="str">
        <f t="shared" si="142"/>
        <v/>
      </c>
      <c r="B4552" s="18" t="str">
        <f t="shared" si="143"/>
        <v/>
      </c>
    </row>
    <row r="4553" spans="1:2" x14ac:dyDescent="0.25">
      <c r="A4553" s="15" t="str">
        <f t="shared" si="142"/>
        <v/>
      </c>
      <c r="B4553" s="18" t="str">
        <f t="shared" si="143"/>
        <v/>
      </c>
    </row>
    <row r="4554" spans="1:2" x14ac:dyDescent="0.25">
      <c r="A4554" s="15" t="str">
        <f t="shared" si="142"/>
        <v/>
      </c>
      <c r="B4554" s="18" t="str">
        <f t="shared" si="143"/>
        <v/>
      </c>
    </row>
    <row r="4555" spans="1:2" x14ac:dyDescent="0.25">
      <c r="A4555" s="15" t="str">
        <f t="shared" si="142"/>
        <v/>
      </c>
      <c r="B4555" s="18" t="str">
        <f t="shared" si="143"/>
        <v/>
      </c>
    </row>
    <row r="4556" spans="1:2" x14ac:dyDescent="0.25">
      <c r="A4556" s="15" t="str">
        <f t="shared" si="142"/>
        <v/>
      </c>
      <c r="B4556" s="18" t="str">
        <f t="shared" si="143"/>
        <v/>
      </c>
    </row>
    <row r="4557" spans="1:2" x14ac:dyDescent="0.25">
      <c r="A4557" s="15" t="str">
        <f t="shared" si="142"/>
        <v/>
      </c>
      <c r="B4557" s="18" t="str">
        <f t="shared" si="143"/>
        <v/>
      </c>
    </row>
    <row r="4558" spans="1:2" x14ac:dyDescent="0.25">
      <c r="A4558" s="15" t="str">
        <f t="shared" si="142"/>
        <v/>
      </c>
      <c r="B4558" s="18" t="str">
        <f t="shared" si="143"/>
        <v/>
      </c>
    </row>
    <row r="4559" spans="1:2" x14ac:dyDescent="0.25">
      <c r="A4559" s="15" t="str">
        <f t="shared" si="142"/>
        <v/>
      </c>
      <c r="B4559" s="18" t="str">
        <f t="shared" si="143"/>
        <v/>
      </c>
    </row>
    <row r="4560" spans="1:2" x14ac:dyDescent="0.25">
      <c r="A4560" s="15" t="str">
        <f t="shared" si="142"/>
        <v/>
      </c>
      <c r="B4560" s="18" t="str">
        <f t="shared" si="143"/>
        <v/>
      </c>
    </row>
    <row r="4561" spans="1:2" x14ac:dyDescent="0.25">
      <c r="A4561" s="15" t="str">
        <f t="shared" si="142"/>
        <v/>
      </c>
      <c r="B4561" s="18" t="str">
        <f t="shared" si="143"/>
        <v/>
      </c>
    </row>
    <row r="4562" spans="1:2" x14ac:dyDescent="0.25">
      <c r="A4562" s="15" t="str">
        <f t="shared" si="142"/>
        <v/>
      </c>
      <c r="B4562" s="18" t="str">
        <f t="shared" si="143"/>
        <v/>
      </c>
    </row>
    <row r="4563" spans="1:2" x14ac:dyDescent="0.25">
      <c r="A4563" s="15" t="str">
        <f t="shared" si="142"/>
        <v/>
      </c>
      <c r="B4563" s="18" t="str">
        <f t="shared" si="143"/>
        <v/>
      </c>
    </row>
    <row r="4564" spans="1:2" x14ac:dyDescent="0.25">
      <c r="A4564" s="15" t="str">
        <f t="shared" si="142"/>
        <v/>
      </c>
      <c r="B4564" s="18" t="str">
        <f t="shared" si="143"/>
        <v/>
      </c>
    </row>
    <row r="4565" spans="1:2" x14ac:dyDescent="0.25">
      <c r="A4565" s="15" t="str">
        <f t="shared" si="142"/>
        <v/>
      </c>
      <c r="B4565" s="18" t="str">
        <f t="shared" si="143"/>
        <v/>
      </c>
    </row>
    <row r="4566" spans="1:2" x14ac:dyDescent="0.25">
      <c r="A4566" s="15" t="str">
        <f t="shared" si="142"/>
        <v/>
      </c>
      <c r="B4566" s="18" t="str">
        <f t="shared" si="143"/>
        <v/>
      </c>
    </row>
    <row r="4567" spans="1:2" x14ac:dyDescent="0.25">
      <c r="A4567" s="15" t="str">
        <f t="shared" si="142"/>
        <v/>
      </c>
      <c r="B4567" s="18" t="str">
        <f t="shared" si="143"/>
        <v/>
      </c>
    </row>
    <row r="4568" spans="1:2" x14ac:dyDescent="0.25">
      <c r="A4568" s="15" t="str">
        <f t="shared" si="142"/>
        <v/>
      </c>
      <c r="B4568" s="18" t="str">
        <f t="shared" si="143"/>
        <v/>
      </c>
    </row>
    <row r="4569" spans="1:2" x14ac:dyDescent="0.25">
      <c r="A4569" s="15" t="str">
        <f t="shared" si="142"/>
        <v/>
      </c>
      <c r="B4569" s="18" t="str">
        <f t="shared" si="143"/>
        <v/>
      </c>
    </row>
    <row r="4570" spans="1:2" x14ac:dyDescent="0.25">
      <c r="A4570" s="15" t="str">
        <f t="shared" si="142"/>
        <v/>
      </c>
      <c r="B4570" s="18" t="str">
        <f t="shared" si="143"/>
        <v/>
      </c>
    </row>
    <row r="4571" spans="1:2" x14ac:dyDescent="0.25">
      <c r="A4571" s="15" t="str">
        <f t="shared" si="142"/>
        <v/>
      </c>
      <c r="B4571" s="18" t="str">
        <f t="shared" si="143"/>
        <v/>
      </c>
    </row>
    <row r="4572" spans="1:2" x14ac:dyDescent="0.25">
      <c r="A4572" s="15" t="str">
        <f t="shared" si="142"/>
        <v/>
      </c>
      <c r="B4572" s="18" t="str">
        <f t="shared" si="143"/>
        <v/>
      </c>
    </row>
    <row r="4573" spans="1:2" x14ac:dyDescent="0.25">
      <c r="A4573" s="15" t="str">
        <f t="shared" si="142"/>
        <v/>
      </c>
      <c r="B4573" s="18" t="str">
        <f t="shared" si="143"/>
        <v/>
      </c>
    </row>
    <row r="4574" spans="1:2" x14ac:dyDescent="0.25">
      <c r="A4574" s="15" t="str">
        <f t="shared" si="142"/>
        <v/>
      </c>
      <c r="B4574" s="18" t="str">
        <f t="shared" si="143"/>
        <v/>
      </c>
    </row>
    <row r="4575" spans="1:2" x14ac:dyDescent="0.25">
      <c r="A4575" s="15" t="str">
        <f t="shared" si="142"/>
        <v/>
      </c>
      <c r="B4575" s="18" t="str">
        <f t="shared" si="143"/>
        <v/>
      </c>
    </row>
    <row r="4576" spans="1:2" x14ac:dyDescent="0.25">
      <c r="A4576" s="15" t="str">
        <f t="shared" si="142"/>
        <v/>
      </c>
      <c r="B4576" s="18" t="str">
        <f t="shared" si="143"/>
        <v/>
      </c>
    </row>
    <row r="4577" spans="1:2" x14ac:dyDescent="0.25">
      <c r="A4577" s="15" t="str">
        <f t="shared" si="142"/>
        <v/>
      </c>
      <c r="B4577" s="18" t="str">
        <f t="shared" si="143"/>
        <v/>
      </c>
    </row>
    <row r="4578" spans="1:2" x14ac:dyDescent="0.25">
      <c r="A4578" s="15" t="str">
        <f t="shared" si="142"/>
        <v/>
      </c>
      <c r="B4578" s="18" t="str">
        <f t="shared" si="143"/>
        <v/>
      </c>
    </row>
    <row r="4579" spans="1:2" x14ac:dyDescent="0.25">
      <c r="A4579" s="15" t="str">
        <f t="shared" si="142"/>
        <v/>
      </c>
      <c r="B4579" s="18" t="str">
        <f t="shared" si="143"/>
        <v/>
      </c>
    </row>
    <row r="4580" spans="1:2" x14ac:dyDescent="0.25">
      <c r="A4580" s="15" t="str">
        <f t="shared" si="142"/>
        <v/>
      </c>
      <c r="B4580" s="18" t="str">
        <f t="shared" si="143"/>
        <v/>
      </c>
    </row>
    <row r="4581" spans="1:2" x14ac:dyDescent="0.25">
      <c r="A4581" s="15" t="str">
        <f t="shared" si="142"/>
        <v/>
      </c>
      <c r="B4581" s="18" t="str">
        <f t="shared" si="143"/>
        <v/>
      </c>
    </row>
    <row r="4582" spans="1:2" x14ac:dyDescent="0.25">
      <c r="A4582" s="15" t="str">
        <f t="shared" si="142"/>
        <v/>
      </c>
      <c r="B4582" s="18" t="str">
        <f t="shared" si="143"/>
        <v/>
      </c>
    </row>
    <row r="4583" spans="1:2" x14ac:dyDescent="0.25">
      <c r="A4583" s="15" t="str">
        <f t="shared" si="142"/>
        <v/>
      </c>
      <c r="B4583" s="18" t="str">
        <f t="shared" si="143"/>
        <v/>
      </c>
    </row>
    <row r="4584" spans="1:2" x14ac:dyDescent="0.25">
      <c r="A4584" s="15" t="str">
        <f t="shared" si="142"/>
        <v/>
      </c>
      <c r="B4584" s="18" t="str">
        <f t="shared" si="143"/>
        <v/>
      </c>
    </row>
    <row r="4585" spans="1:2" x14ac:dyDescent="0.25">
      <c r="A4585" s="15" t="str">
        <f t="shared" si="142"/>
        <v/>
      </c>
      <c r="B4585" s="18" t="str">
        <f t="shared" si="143"/>
        <v/>
      </c>
    </row>
    <row r="4586" spans="1:2" x14ac:dyDescent="0.25">
      <c r="A4586" s="15" t="str">
        <f t="shared" si="142"/>
        <v/>
      </c>
      <c r="B4586" s="18" t="str">
        <f t="shared" si="143"/>
        <v/>
      </c>
    </row>
    <row r="4587" spans="1:2" x14ac:dyDescent="0.25">
      <c r="A4587" s="15" t="str">
        <f t="shared" si="142"/>
        <v/>
      </c>
      <c r="B4587" s="18" t="str">
        <f t="shared" si="143"/>
        <v/>
      </c>
    </row>
    <row r="4588" spans="1:2" x14ac:dyDescent="0.25">
      <c r="A4588" s="15" t="str">
        <f t="shared" si="142"/>
        <v/>
      </c>
      <c r="B4588" s="18" t="str">
        <f t="shared" si="143"/>
        <v/>
      </c>
    </row>
    <row r="4589" spans="1:2" x14ac:dyDescent="0.25">
      <c r="A4589" s="15" t="str">
        <f t="shared" si="142"/>
        <v/>
      </c>
      <c r="B4589" s="18" t="str">
        <f t="shared" si="143"/>
        <v/>
      </c>
    </row>
    <row r="4590" spans="1:2" x14ac:dyDescent="0.25">
      <c r="A4590" s="15" t="str">
        <f t="shared" si="142"/>
        <v/>
      </c>
      <c r="B4590" s="18" t="str">
        <f t="shared" si="143"/>
        <v/>
      </c>
    </row>
    <row r="4591" spans="1:2" x14ac:dyDescent="0.25">
      <c r="A4591" s="15" t="str">
        <f t="shared" si="142"/>
        <v/>
      </c>
      <c r="B4591" s="18" t="str">
        <f t="shared" si="143"/>
        <v/>
      </c>
    </row>
    <row r="4592" spans="1:2" x14ac:dyDescent="0.25">
      <c r="A4592" s="15" t="str">
        <f t="shared" si="142"/>
        <v/>
      </c>
      <c r="B4592" s="18" t="str">
        <f t="shared" si="143"/>
        <v/>
      </c>
    </row>
    <row r="4593" spans="1:2" x14ac:dyDescent="0.25">
      <c r="A4593" s="15" t="str">
        <f t="shared" si="142"/>
        <v/>
      </c>
      <c r="B4593" s="18" t="str">
        <f t="shared" si="143"/>
        <v/>
      </c>
    </row>
    <row r="4594" spans="1:2" x14ac:dyDescent="0.25">
      <c r="A4594" s="15" t="str">
        <f t="shared" si="142"/>
        <v/>
      </c>
      <c r="B4594" s="18" t="str">
        <f t="shared" si="143"/>
        <v/>
      </c>
    </row>
    <row r="4595" spans="1:2" x14ac:dyDescent="0.25">
      <c r="A4595" s="15" t="str">
        <f t="shared" si="142"/>
        <v/>
      </c>
      <c r="B4595" s="18" t="str">
        <f t="shared" si="143"/>
        <v/>
      </c>
    </row>
    <row r="4596" spans="1:2" x14ac:dyDescent="0.25">
      <c r="A4596" s="15" t="str">
        <f t="shared" si="142"/>
        <v/>
      </c>
      <c r="B4596" s="18" t="str">
        <f t="shared" si="143"/>
        <v/>
      </c>
    </row>
    <row r="4597" spans="1:2" x14ac:dyDescent="0.25">
      <c r="A4597" s="15" t="str">
        <f t="shared" si="142"/>
        <v/>
      </c>
      <c r="B4597" s="18" t="str">
        <f t="shared" si="143"/>
        <v/>
      </c>
    </row>
    <row r="4598" spans="1:2" x14ac:dyDescent="0.25">
      <c r="A4598" s="15" t="str">
        <f t="shared" si="142"/>
        <v/>
      </c>
      <c r="B4598" s="18" t="str">
        <f t="shared" si="143"/>
        <v/>
      </c>
    </row>
    <row r="4599" spans="1:2" x14ac:dyDescent="0.25">
      <c r="A4599" s="15" t="str">
        <f t="shared" si="142"/>
        <v/>
      </c>
      <c r="B4599" s="18" t="str">
        <f t="shared" si="143"/>
        <v/>
      </c>
    </row>
    <row r="4600" spans="1:2" x14ac:dyDescent="0.25">
      <c r="A4600" s="15" t="str">
        <f t="shared" si="142"/>
        <v/>
      </c>
      <c r="B4600" s="18" t="str">
        <f t="shared" si="143"/>
        <v/>
      </c>
    </row>
    <row r="4601" spans="1:2" x14ac:dyDescent="0.25">
      <c r="A4601" s="15" t="str">
        <f t="shared" si="142"/>
        <v/>
      </c>
      <c r="B4601" s="18" t="str">
        <f t="shared" si="143"/>
        <v/>
      </c>
    </row>
    <row r="4602" spans="1:2" x14ac:dyDescent="0.25">
      <c r="A4602" s="15" t="str">
        <f t="shared" si="142"/>
        <v/>
      </c>
      <c r="B4602" s="18" t="str">
        <f t="shared" si="143"/>
        <v/>
      </c>
    </row>
    <row r="4603" spans="1:2" x14ac:dyDescent="0.25">
      <c r="A4603" s="15" t="str">
        <f t="shared" si="142"/>
        <v/>
      </c>
      <c r="B4603" s="18" t="str">
        <f t="shared" si="143"/>
        <v/>
      </c>
    </row>
    <row r="4604" spans="1:2" x14ac:dyDescent="0.25">
      <c r="A4604" s="15" t="str">
        <f t="shared" si="142"/>
        <v/>
      </c>
      <c r="B4604" s="18" t="str">
        <f t="shared" si="143"/>
        <v/>
      </c>
    </row>
    <row r="4605" spans="1:2" x14ac:dyDescent="0.25">
      <c r="A4605" s="15" t="str">
        <f t="shared" si="142"/>
        <v/>
      </c>
      <c r="B4605" s="18" t="str">
        <f t="shared" si="143"/>
        <v/>
      </c>
    </row>
    <row r="4606" spans="1:2" x14ac:dyDescent="0.25">
      <c r="A4606" s="15" t="str">
        <f t="shared" si="142"/>
        <v/>
      </c>
      <c r="B4606" s="18" t="str">
        <f t="shared" si="143"/>
        <v/>
      </c>
    </row>
    <row r="4607" spans="1:2" x14ac:dyDescent="0.25">
      <c r="A4607" s="15" t="str">
        <f t="shared" si="142"/>
        <v/>
      </c>
      <c r="B4607" s="18" t="str">
        <f t="shared" si="143"/>
        <v/>
      </c>
    </row>
    <row r="4608" spans="1:2" x14ac:dyDescent="0.25">
      <c r="A4608" s="15" t="str">
        <f t="shared" si="142"/>
        <v/>
      </c>
      <c r="B4608" s="18" t="str">
        <f t="shared" si="143"/>
        <v/>
      </c>
    </row>
    <row r="4609" spans="1:2" x14ac:dyDescent="0.25">
      <c r="A4609" s="15" t="str">
        <f t="shared" si="142"/>
        <v/>
      </c>
      <c r="B4609" s="18" t="str">
        <f t="shared" si="143"/>
        <v/>
      </c>
    </row>
    <row r="4610" spans="1:2" x14ac:dyDescent="0.25">
      <c r="A4610" s="15" t="str">
        <f t="shared" ref="A4610:A4673" si="144">B4610&amp;C4610</f>
        <v/>
      </c>
      <c r="B4610" s="18" t="str">
        <f t="shared" si="143"/>
        <v/>
      </c>
    </row>
    <row r="4611" spans="1:2" x14ac:dyDescent="0.25">
      <c r="A4611" s="15" t="str">
        <f t="shared" si="144"/>
        <v/>
      </c>
      <c r="B4611" s="18" t="str">
        <f t="shared" ref="B4611:B4674" si="145">IF(C4611="","",B4610)</f>
        <v/>
      </c>
    </row>
    <row r="4612" spans="1:2" x14ac:dyDescent="0.25">
      <c r="A4612" s="15" t="str">
        <f t="shared" si="144"/>
        <v/>
      </c>
      <c r="B4612" s="18" t="str">
        <f t="shared" si="145"/>
        <v/>
      </c>
    </row>
    <row r="4613" spans="1:2" x14ac:dyDescent="0.25">
      <c r="A4613" s="15" t="str">
        <f t="shared" si="144"/>
        <v/>
      </c>
      <c r="B4613" s="18" t="str">
        <f t="shared" si="145"/>
        <v/>
      </c>
    </row>
    <row r="4614" spans="1:2" x14ac:dyDescent="0.25">
      <c r="A4614" s="15" t="str">
        <f t="shared" si="144"/>
        <v/>
      </c>
      <c r="B4614" s="18" t="str">
        <f t="shared" si="145"/>
        <v/>
      </c>
    </row>
    <row r="4615" spans="1:2" x14ac:dyDescent="0.25">
      <c r="A4615" s="15" t="str">
        <f t="shared" si="144"/>
        <v/>
      </c>
      <c r="B4615" s="18" t="str">
        <f t="shared" si="145"/>
        <v/>
      </c>
    </row>
    <row r="4616" spans="1:2" x14ac:dyDescent="0.25">
      <c r="A4616" s="15" t="str">
        <f t="shared" si="144"/>
        <v/>
      </c>
      <c r="B4616" s="18" t="str">
        <f t="shared" si="145"/>
        <v/>
      </c>
    </row>
    <row r="4617" spans="1:2" x14ac:dyDescent="0.25">
      <c r="A4617" s="15" t="str">
        <f t="shared" si="144"/>
        <v/>
      </c>
      <c r="B4617" s="18" t="str">
        <f t="shared" si="145"/>
        <v/>
      </c>
    </row>
    <row r="4618" spans="1:2" x14ac:dyDescent="0.25">
      <c r="A4618" s="15" t="str">
        <f t="shared" si="144"/>
        <v/>
      </c>
      <c r="B4618" s="18" t="str">
        <f t="shared" si="145"/>
        <v/>
      </c>
    </row>
    <row r="4619" spans="1:2" x14ac:dyDescent="0.25">
      <c r="A4619" s="15" t="str">
        <f t="shared" si="144"/>
        <v/>
      </c>
      <c r="B4619" s="18" t="str">
        <f t="shared" si="145"/>
        <v/>
      </c>
    </row>
    <row r="4620" spans="1:2" x14ac:dyDescent="0.25">
      <c r="A4620" s="15" t="str">
        <f t="shared" si="144"/>
        <v/>
      </c>
      <c r="B4620" s="18" t="str">
        <f t="shared" si="145"/>
        <v/>
      </c>
    </row>
    <row r="4621" spans="1:2" x14ac:dyDescent="0.25">
      <c r="A4621" s="15" t="str">
        <f t="shared" si="144"/>
        <v/>
      </c>
      <c r="B4621" s="18" t="str">
        <f t="shared" si="145"/>
        <v/>
      </c>
    </row>
    <row r="4622" spans="1:2" x14ac:dyDescent="0.25">
      <c r="A4622" s="15" t="str">
        <f t="shared" si="144"/>
        <v/>
      </c>
      <c r="B4622" s="18" t="str">
        <f t="shared" si="145"/>
        <v/>
      </c>
    </row>
    <row r="4623" spans="1:2" x14ac:dyDescent="0.25">
      <c r="A4623" s="15" t="str">
        <f t="shared" si="144"/>
        <v/>
      </c>
      <c r="B4623" s="18" t="str">
        <f t="shared" si="145"/>
        <v/>
      </c>
    </row>
    <row r="4624" spans="1:2" x14ac:dyDescent="0.25">
      <c r="A4624" s="15" t="str">
        <f t="shared" si="144"/>
        <v/>
      </c>
      <c r="B4624" s="18" t="str">
        <f t="shared" si="145"/>
        <v/>
      </c>
    </row>
    <row r="4625" spans="1:2" x14ac:dyDescent="0.25">
      <c r="A4625" s="15" t="str">
        <f t="shared" si="144"/>
        <v/>
      </c>
      <c r="B4625" s="18" t="str">
        <f t="shared" si="145"/>
        <v/>
      </c>
    </row>
    <row r="4626" spans="1:2" x14ac:dyDescent="0.25">
      <c r="A4626" s="15" t="str">
        <f t="shared" si="144"/>
        <v/>
      </c>
      <c r="B4626" s="18" t="str">
        <f t="shared" si="145"/>
        <v/>
      </c>
    </row>
    <row r="4627" spans="1:2" x14ac:dyDescent="0.25">
      <c r="A4627" s="15" t="str">
        <f t="shared" si="144"/>
        <v/>
      </c>
      <c r="B4627" s="18" t="str">
        <f t="shared" si="145"/>
        <v/>
      </c>
    </row>
    <row r="4628" spans="1:2" x14ac:dyDescent="0.25">
      <c r="A4628" s="15" t="str">
        <f t="shared" si="144"/>
        <v/>
      </c>
      <c r="B4628" s="18" t="str">
        <f t="shared" si="145"/>
        <v/>
      </c>
    </row>
    <row r="4629" spans="1:2" x14ac:dyDescent="0.25">
      <c r="A4629" s="15" t="str">
        <f t="shared" si="144"/>
        <v/>
      </c>
      <c r="B4629" s="18" t="str">
        <f t="shared" si="145"/>
        <v/>
      </c>
    </row>
    <row r="4630" spans="1:2" x14ac:dyDescent="0.25">
      <c r="A4630" s="15" t="str">
        <f t="shared" si="144"/>
        <v/>
      </c>
      <c r="B4630" s="18" t="str">
        <f t="shared" si="145"/>
        <v/>
      </c>
    </row>
    <row r="4631" spans="1:2" x14ac:dyDescent="0.25">
      <c r="A4631" s="15" t="str">
        <f t="shared" si="144"/>
        <v/>
      </c>
      <c r="B4631" s="18" t="str">
        <f t="shared" si="145"/>
        <v/>
      </c>
    </row>
    <row r="4632" spans="1:2" x14ac:dyDescent="0.25">
      <c r="A4632" s="15" t="str">
        <f t="shared" si="144"/>
        <v/>
      </c>
      <c r="B4632" s="18" t="str">
        <f t="shared" si="145"/>
        <v/>
      </c>
    </row>
    <row r="4633" spans="1:2" x14ac:dyDescent="0.25">
      <c r="A4633" s="15" t="str">
        <f t="shared" si="144"/>
        <v/>
      </c>
      <c r="B4633" s="18" t="str">
        <f t="shared" si="145"/>
        <v/>
      </c>
    </row>
    <row r="4634" spans="1:2" x14ac:dyDescent="0.25">
      <c r="A4634" s="15" t="str">
        <f t="shared" si="144"/>
        <v/>
      </c>
      <c r="B4634" s="18" t="str">
        <f t="shared" si="145"/>
        <v/>
      </c>
    </row>
    <row r="4635" spans="1:2" x14ac:dyDescent="0.25">
      <c r="A4635" s="15" t="str">
        <f t="shared" si="144"/>
        <v/>
      </c>
      <c r="B4635" s="18" t="str">
        <f t="shared" si="145"/>
        <v/>
      </c>
    </row>
    <row r="4636" spans="1:2" x14ac:dyDescent="0.25">
      <c r="A4636" s="15" t="str">
        <f t="shared" si="144"/>
        <v/>
      </c>
      <c r="B4636" s="18" t="str">
        <f t="shared" si="145"/>
        <v/>
      </c>
    </row>
    <row r="4637" spans="1:2" x14ac:dyDescent="0.25">
      <c r="A4637" s="15" t="str">
        <f t="shared" si="144"/>
        <v/>
      </c>
      <c r="B4637" s="18" t="str">
        <f t="shared" si="145"/>
        <v/>
      </c>
    </row>
    <row r="4638" spans="1:2" x14ac:dyDescent="0.25">
      <c r="A4638" s="15" t="str">
        <f t="shared" si="144"/>
        <v/>
      </c>
      <c r="B4638" s="18" t="str">
        <f t="shared" si="145"/>
        <v/>
      </c>
    </row>
    <row r="4639" spans="1:2" x14ac:dyDescent="0.25">
      <c r="A4639" s="15" t="str">
        <f t="shared" si="144"/>
        <v/>
      </c>
      <c r="B4639" s="18" t="str">
        <f t="shared" si="145"/>
        <v/>
      </c>
    </row>
    <row r="4640" spans="1:2" x14ac:dyDescent="0.25">
      <c r="A4640" s="15" t="str">
        <f t="shared" si="144"/>
        <v/>
      </c>
      <c r="B4640" s="18" t="str">
        <f t="shared" si="145"/>
        <v/>
      </c>
    </row>
    <row r="4641" spans="1:2" x14ac:dyDescent="0.25">
      <c r="A4641" s="15" t="str">
        <f t="shared" si="144"/>
        <v/>
      </c>
      <c r="B4641" s="18" t="str">
        <f t="shared" si="145"/>
        <v/>
      </c>
    </row>
    <row r="4642" spans="1:2" x14ac:dyDescent="0.25">
      <c r="A4642" s="15" t="str">
        <f t="shared" si="144"/>
        <v/>
      </c>
      <c r="B4642" s="18" t="str">
        <f t="shared" si="145"/>
        <v/>
      </c>
    </row>
    <row r="4643" spans="1:2" x14ac:dyDescent="0.25">
      <c r="A4643" s="15" t="str">
        <f t="shared" si="144"/>
        <v/>
      </c>
      <c r="B4643" s="18" t="str">
        <f t="shared" si="145"/>
        <v/>
      </c>
    </row>
    <row r="4644" spans="1:2" x14ac:dyDescent="0.25">
      <c r="A4644" s="15" t="str">
        <f t="shared" si="144"/>
        <v/>
      </c>
      <c r="B4644" s="18" t="str">
        <f t="shared" si="145"/>
        <v/>
      </c>
    </row>
    <row r="4645" spans="1:2" x14ac:dyDescent="0.25">
      <c r="A4645" s="15" t="str">
        <f t="shared" si="144"/>
        <v/>
      </c>
      <c r="B4645" s="18" t="str">
        <f t="shared" si="145"/>
        <v/>
      </c>
    </row>
    <row r="4646" spans="1:2" x14ac:dyDescent="0.25">
      <c r="A4646" s="15" t="str">
        <f t="shared" si="144"/>
        <v/>
      </c>
      <c r="B4646" s="18" t="str">
        <f t="shared" si="145"/>
        <v/>
      </c>
    </row>
    <row r="4647" spans="1:2" x14ac:dyDescent="0.25">
      <c r="A4647" s="15" t="str">
        <f t="shared" si="144"/>
        <v/>
      </c>
      <c r="B4647" s="18" t="str">
        <f t="shared" si="145"/>
        <v/>
      </c>
    </row>
    <row r="4648" spans="1:2" x14ac:dyDescent="0.25">
      <c r="A4648" s="15" t="str">
        <f t="shared" si="144"/>
        <v/>
      </c>
      <c r="B4648" s="18" t="str">
        <f t="shared" si="145"/>
        <v/>
      </c>
    </row>
    <row r="4649" spans="1:2" x14ac:dyDescent="0.25">
      <c r="A4649" s="15" t="str">
        <f t="shared" si="144"/>
        <v/>
      </c>
      <c r="B4649" s="18" t="str">
        <f t="shared" si="145"/>
        <v/>
      </c>
    </row>
    <row r="4650" spans="1:2" x14ac:dyDescent="0.25">
      <c r="A4650" s="15" t="str">
        <f t="shared" si="144"/>
        <v/>
      </c>
      <c r="B4650" s="18" t="str">
        <f t="shared" si="145"/>
        <v/>
      </c>
    </row>
    <row r="4651" spans="1:2" x14ac:dyDescent="0.25">
      <c r="A4651" s="15" t="str">
        <f t="shared" si="144"/>
        <v/>
      </c>
      <c r="B4651" s="18" t="str">
        <f t="shared" si="145"/>
        <v/>
      </c>
    </row>
    <row r="4652" spans="1:2" x14ac:dyDescent="0.25">
      <c r="A4652" s="15" t="str">
        <f t="shared" si="144"/>
        <v/>
      </c>
      <c r="B4652" s="18" t="str">
        <f t="shared" si="145"/>
        <v/>
      </c>
    </row>
    <row r="4653" spans="1:2" x14ac:dyDescent="0.25">
      <c r="A4653" s="15" t="str">
        <f t="shared" si="144"/>
        <v/>
      </c>
      <c r="B4653" s="18" t="str">
        <f t="shared" si="145"/>
        <v/>
      </c>
    </row>
    <row r="4654" spans="1:2" x14ac:dyDescent="0.25">
      <c r="A4654" s="15" t="str">
        <f t="shared" si="144"/>
        <v/>
      </c>
      <c r="B4654" s="18" t="str">
        <f t="shared" si="145"/>
        <v/>
      </c>
    </row>
    <row r="4655" spans="1:2" x14ac:dyDescent="0.25">
      <c r="A4655" s="15" t="str">
        <f t="shared" si="144"/>
        <v/>
      </c>
      <c r="B4655" s="18" t="str">
        <f t="shared" si="145"/>
        <v/>
      </c>
    </row>
    <row r="4656" spans="1:2" x14ac:dyDescent="0.25">
      <c r="A4656" s="15" t="str">
        <f t="shared" si="144"/>
        <v/>
      </c>
      <c r="B4656" s="18" t="str">
        <f t="shared" si="145"/>
        <v/>
      </c>
    </row>
    <row r="4657" spans="1:2" x14ac:dyDescent="0.25">
      <c r="A4657" s="15" t="str">
        <f t="shared" si="144"/>
        <v/>
      </c>
      <c r="B4657" s="18" t="str">
        <f t="shared" si="145"/>
        <v/>
      </c>
    </row>
    <row r="4658" spans="1:2" x14ac:dyDescent="0.25">
      <c r="A4658" s="15" t="str">
        <f t="shared" si="144"/>
        <v/>
      </c>
      <c r="B4658" s="18" t="str">
        <f t="shared" si="145"/>
        <v/>
      </c>
    </row>
    <row r="4659" spans="1:2" x14ac:dyDescent="0.25">
      <c r="A4659" s="15" t="str">
        <f t="shared" si="144"/>
        <v/>
      </c>
      <c r="B4659" s="18" t="str">
        <f t="shared" si="145"/>
        <v/>
      </c>
    </row>
    <row r="4660" spans="1:2" x14ac:dyDescent="0.25">
      <c r="A4660" s="15" t="str">
        <f t="shared" si="144"/>
        <v/>
      </c>
      <c r="B4660" s="18" t="str">
        <f t="shared" si="145"/>
        <v/>
      </c>
    </row>
    <row r="4661" spans="1:2" x14ac:dyDescent="0.25">
      <c r="A4661" s="15" t="str">
        <f t="shared" si="144"/>
        <v/>
      </c>
      <c r="B4661" s="18" t="str">
        <f t="shared" si="145"/>
        <v/>
      </c>
    </row>
    <row r="4662" spans="1:2" x14ac:dyDescent="0.25">
      <c r="A4662" s="15" t="str">
        <f t="shared" si="144"/>
        <v/>
      </c>
      <c r="B4662" s="18" t="str">
        <f t="shared" si="145"/>
        <v/>
      </c>
    </row>
    <row r="4663" spans="1:2" x14ac:dyDescent="0.25">
      <c r="A4663" s="15" t="str">
        <f t="shared" si="144"/>
        <v/>
      </c>
      <c r="B4663" s="18" t="str">
        <f t="shared" si="145"/>
        <v/>
      </c>
    </row>
    <row r="4664" spans="1:2" x14ac:dyDescent="0.25">
      <c r="A4664" s="15" t="str">
        <f t="shared" si="144"/>
        <v/>
      </c>
      <c r="B4664" s="18" t="str">
        <f t="shared" si="145"/>
        <v/>
      </c>
    </row>
    <row r="4665" spans="1:2" x14ac:dyDescent="0.25">
      <c r="A4665" s="15" t="str">
        <f t="shared" si="144"/>
        <v/>
      </c>
      <c r="B4665" s="18" t="str">
        <f t="shared" si="145"/>
        <v/>
      </c>
    </row>
    <row r="4666" spans="1:2" x14ac:dyDescent="0.25">
      <c r="A4666" s="15" t="str">
        <f t="shared" si="144"/>
        <v/>
      </c>
      <c r="B4666" s="18" t="str">
        <f t="shared" si="145"/>
        <v/>
      </c>
    </row>
    <row r="4667" spans="1:2" x14ac:dyDescent="0.25">
      <c r="A4667" s="15" t="str">
        <f t="shared" si="144"/>
        <v/>
      </c>
      <c r="B4667" s="18" t="str">
        <f t="shared" si="145"/>
        <v/>
      </c>
    </row>
    <row r="4668" spans="1:2" x14ac:dyDescent="0.25">
      <c r="A4668" s="15" t="str">
        <f t="shared" si="144"/>
        <v/>
      </c>
      <c r="B4668" s="18" t="str">
        <f t="shared" si="145"/>
        <v/>
      </c>
    </row>
    <row r="4669" spans="1:2" x14ac:dyDescent="0.25">
      <c r="A4669" s="15" t="str">
        <f t="shared" si="144"/>
        <v/>
      </c>
      <c r="B4669" s="18" t="str">
        <f t="shared" si="145"/>
        <v/>
      </c>
    </row>
    <row r="4670" spans="1:2" x14ac:dyDescent="0.25">
      <c r="A4670" s="15" t="str">
        <f t="shared" si="144"/>
        <v/>
      </c>
      <c r="B4670" s="18" t="str">
        <f t="shared" si="145"/>
        <v/>
      </c>
    </row>
    <row r="4671" spans="1:2" x14ac:dyDescent="0.25">
      <c r="A4671" s="15" t="str">
        <f t="shared" si="144"/>
        <v/>
      </c>
      <c r="B4671" s="18" t="str">
        <f t="shared" si="145"/>
        <v/>
      </c>
    </row>
    <row r="4672" spans="1:2" x14ac:dyDescent="0.25">
      <c r="A4672" s="15" t="str">
        <f t="shared" si="144"/>
        <v/>
      </c>
      <c r="B4672" s="18" t="str">
        <f t="shared" si="145"/>
        <v/>
      </c>
    </row>
    <row r="4673" spans="1:2" x14ac:dyDescent="0.25">
      <c r="A4673" s="15" t="str">
        <f t="shared" si="144"/>
        <v/>
      </c>
      <c r="B4673" s="18" t="str">
        <f t="shared" si="145"/>
        <v/>
      </c>
    </row>
    <row r="4674" spans="1:2" x14ac:dyDescent="0.25">
      <c r="A4674" s="15" t="str">
        <f t="shared" ref="A4674:A4737" si="146">B4674&amp;C4674</f>
        <v/>
      </c>
      <c r="B4674" s="18" t="str">
        <f t="shared" si="145"/>
        <v/>
      </c>
    </row>
    <row r="4675" spans="1:2" x14ac:dyDescent="0.25">
      <c r="A4675" s="15" t="str">
        <f t="shared" si="146"/>
        <v/>
      </c>
      <c r="B4675" s="18" t="str">
        <f t="shared" ref="B4675:B4738" si="147">IF(C4675="","",B4674)</f>
        <v/>
      </c>
    </row>
    <row r="4676" spans="1:2" x14ac:dyDescent="0.25">
      <c r="A4676" s="15" t="str">
        <f t="shared" si="146"/>
        <v/>
      </c>
      <c r="B4676" s="18" t="str">
        <f t="shared" si="147"/>
        <v/>
      </c>
    </row>
    <row r="4677" spans="1:2" x14ac:dyDescent="0.25">
      <c r="A4677" s="15" t="str">
        <f t="shared" si="146"/>
        <v/>
      </c>
      <c r="B4677" s="18" t="str">
        <f t="shared" si="147"/>
        <v/>
      </c>
    </row>
    <row r="4678" spans="1:2" x14ac:dyDescent="0.25">
      <c r="A4678" s="15" t="str">
        <f t="shared" si="146"/>
        <v/>
      </c>
      <c r="B4678" s="18" t="str">
        <f t="shared" si="147"/>
        <v/>
      </c>
    </row>
    <row r="4679" spans="1:2" x14ac:dyDescent="0.25">
      <c r="A4679" s="15" t="str">
        <f t="shared" si="146"/>
        <v/>
      </c>
      <c r="B4679" s="18" t="str">
        <f t="shared" si="147"/>
        <v/>
      </c>
    </row>
    <row r="4680" spans="1:2" x14ac:dyDescent="0.25">
      <c r="A4680" s="15" t="str">
        <f t="shared" si="146"/>
        <v/>
      </c>
      <c r="B4680" s="18" t="str">
        <f t="shared" si="147"/>
        <v/>
      </c>
    </row>
    <row r="4681" spans="1:2" x14ac:dyDescent="0.25">
      <c r="A4681" s="15" t="str">
        <f t="shared" si="146"/>
        <v/>
      </c>
      <c r="B4681" s="18" t="str">
        <f t="shared" si="147"/>
        <v/>
      </c>
    </row>
    <row r="4682" spans="1:2" x14ac:dyDescent="0.25">
      <c r="A4682" s="15" t="str">
        <f t="shared" si="146"/>
        <v/>
      </c>
      <c r="B4682" s="18" t="str">
        <f t="shared" si="147"/>
        <v/>
      </c>
    </row>
    <row r="4683" spans="1:2" x14ac:dyDescent="0.25">
      <c r="A4683" s="15" t="str">
        <f t="shared" si="146"/>
        <v/>
      </c>
      <c r="B4683" s="18" t="str">
        <f t="shared" si="147"/>
        <v/>
      </c>
    </row>
    <row r="4684" spans="1:2" x14ac:dyDescent="0.25">
      <c r="A4684" s="15" t="str">
        <f t="shared" si="146"/>
        <v/>
      </c>
      <c r="B4684" s="18" t="str">
        <f t="shared" si="147"/>
        <v/>
      </c>
    </row>
    <row r="4685" spans="1:2" x14ac:dyDescent="0.25">
      <c r="A4685" s="15" t="str">
        <f t="shared" si="146"/>
        <v/>
      </c>
      <c r="B4685" s="18" t="str">
        <f t="shared" si="147"/>
        <v/>
      </c>
    </row>
    <row r="4686" spans="1:2" x14ac:dyDescent="0.25">
      <c r="A4686" s="15" t="str">
        <f t="shared" si="146"/>
        <v/>
      </c>
      <c r="B4686" s="18" t="str">
        <f t="shared" si="147"/>
        <v/>
      </c>
    </row>
    <row r="4687" spans="1:2" x14ac:dyDescent="0.25">
      <c r="A4687" s="15" t="str">
        <f t="shared" si="146"/>
        <v/>
      </c>
      <c r="B4687" s="18" t="str">
        <f t="shared" si="147"/>
        <v/>
      </c>
    </row>
    <row r="4688" spans="1:2" x14ac:dyDescent="0.25">
      <c r="A4688" s="15" t="str">
        <f t="shared" si="146"/>
        <v/>
      </c>
      <c r="B4688" s="18" t="str">
        <f t="shared" si="147"/>
        <v/>
      </c>
    </row>
    <row r="4689" spans="1:2" x14ac:dyDescent="0.25">
      <c r="A4689" s="15" t="str">
        <f t="shared" si="146"/>
        <v/>
      </c>
      <c r="B4689" s="18" t="str">
        <f t="shared" si="147"/>
        <v/>
      </c>
    </row>
    <row r="4690" spans="1:2" x14ac:dyDescent="0.25">
      <c r="A4690" s="15" t="str">
        <f t="shared" si="146"/>
        <v/>
      </c>
      <c r="B4690" s="18" t="str">
        <f t="shared" si="147"/>
        <v/>
      </c>
    </row>
    <row r="4691" spans="1:2" x14ac:dyDescent="0.25">
      <c r="A4691" s="15" t="str">
        <f t="shared" si="146"/>
        <v/>
      </c>
      <c r="B4691" s="18" t="str">
        <f t="shared" si="147"/>
        <v/>
      </c>
    </row>
    <row r="4692" spans="1:2" x14ac:dyDescent="0.25">
      <c r="A4692" s="15" t="str">
        <f t="shared" si="146"/>
        <v/>
      </c>
      <c r="B4692" s="18" t="str">
        <f t="shared" si="147"/>
        <v/>
      </c>
    </row>
    <row r="4693" spans="1:2" x14ac:dyDescent="0.25">
      <c r="A4693" s="15" t="str">
        <f t="shared" si="146"/>
        <v/>
      </c>
      <c r="B4693" s="18" t="str">
        <f t="shared" si="147"/>
        <v/>
      </c>
    </row>
    <row r="4694" spans="1:2" x14ac:dyDescent="0.25">
      <c r="A4694" s="15" t="str">
        <f t="shared" si="146"/>
        <v/>
      </c>
      <c r="B4694" s="18" t="str">
        <f t="shared" si="147"/>
        <v/>
      </c>
    </row>
    <row r="4695" spans="1:2" x14ac:dyDescent="0.25">
      <c r="A4695" s="15" t="str">
        <f t="shared" si="146"/>
        <v/>
      </c>
      <c r="B4695" s="18" t="str">
        <f t="shared" si="147"/>
        <v/>
      </c>
    </row>
    <row r="4696" spans="1:2" x14ac:dyDescent="0.25">
      <c r="A4696" s="15" t="str">
        <f t="shared" si="146"/>
        <v/>
      </c>
      <c r="B4696" s="18" t="str">
        <f t="shared" si="147"/>
        <v/>
      </c>
    </row>
    <row r="4697" spans="1:2" x14ac:dyDescent="0.25">
      <c r="A4697" s="15" t="str">
        <f t="shared" si="146"/>
        <v/>
      </c>
      <c r="B4697" s="18" t="str">
        <f t="shared" si="147"/>
        <v/>
      </c>
    </row>
    <row r="4698" spans="1:2" x14ac:dyDescent="0.25">
      <c r="A4698" s="15" t="str">
        <f t="shared" si="146"/>
        <v/>
      </c>
      <c r="B4698" s="18" t="str">
        <f t="shared" si="147"/>
        <v/>
      </c>
    </row>
    <row r="4699" spans="1:2" x14ac:dyDescent="0.25">
      <c r="A4699" s="15" t="str">
        <f t="shared" si="146"/>
        <v/>
      </c>
      <c r="B4699" s="18" t="str">
        <f t="shared" si="147"/>
        <v/>
      </c>
    </row>
    <row r="4700" spans="1:2" x14ac:dyDescent="0.25">
      <c r="A4700" s="15" t="str">
        <f t="shared" si="146"/>
        <v/>
      </c>
      <c r="B4700" s="18" t="str">
        <f t="shared" si="147"/>
        <v/>
      </c>
    </row>
    <row r="4701" spans="1:2" x14ac:dyDescent="0.25">
      <c r="A4701" s="15" t="str">
        <f t="shared" si="146"/>
        <v/>
      </c>
      <c r="B4701" s="18" t="str">
        <f t="shared" si="147"/>
        <v/>
      </c>
    </row>
    <row r="4702" spans="1:2" x14ac:dyDescent="0.25">
      <c r="A4702" s="15" t="str">
        <f t="shared" si="146"/>
        <v/>
      </c>
      <c r="B4702" s="18" t="str">
        <f t="shared" si="147"/>
        <v/>
      </c>
    </row>
    <row r="4703" spans="1:2" x14ac:dyDescent="0.25">
      <c r="A4703" s="15" t="str">
        <f t="shared" si="146"/>
        <v/>
      </c>
      <c r="B4703" s="18" t="str">
        <f t="shared" si="147"/>
        <v/>
      </c>
    </row>
    <row r="4704" spans="1:2" x14ac:dyDescent="0.25">
      <c r="A4704" s="15" t="str">
        <f t="shared" si="146"/>
        <v/>
      </c>
      <c r="B4704" s="18" t="str">
        <f t="shared" si="147"/>
        <v/>
      </c>
    </row>
    <row r="4705" spans="1:2" x14ac:dyDescent="0.25">
      <c r="A4705" s="15" t="str">
        <f t="shared" si="146"/>
        <v/>
      </c>
      <c r="B4705" s="18" t="str">
        <f t="shared" si="147"/>
        <v/>
      </c>
    </row>
    <row r="4706" spans="1:2" x14ac:dyDescent="0.25">
      <c r="A4706" s="15" t="str">
        <f t="shared" si="146"/>
        <v/>
      </c>
      <c r="B4706" s="18" t="str">
        <f t="shared" si="147"/>
        <v/>
      </c>
    </row>
    <row r="4707" spans="1:2" x14ac:dyDescent="0.25">
      <c r="A4707" s="15" t="str">
        <f t="shared" si="146"/>
        <v/>
      </c>
      <c r="B4707" s="18" t="str">
        <f t="shared" si="147"/>
        <v/>
      </c>
    </row>
    <row r="4708" spans="1:2" x14ac:dyDescent="0.25">
      <c r="A4708" s="15" t="str">
        <f t="shared" si="146"/>
        <v/>
      </c>
      <c r="B4708" s="18" t="str">
        <f t="shared" si="147"/>
        <v/>
      </c>
    </row>
    <row r="4709" spans="1:2" x14ac:dyDescent="0.25">
      <c r="A4709" s="15" t="str">
        <f t="shared" si="146"/>
        <v/>
      </c>
      <c r="B4709" s="18" t="str">
        <f t="shared" si="147"/>
        <v/>
      </c>
    </row>
    <row r="4710" spans="1:2" x14ac:dyDescent="0.25">
      <c r="A4710" s="15" t="str">
        <f t="shared" si="146"/>
        <v/>
      </c>
      <c r="B4710" s="18" t="str">
        <f t="shared" si="147"/>
        <v/>
      </c>
    </row>
    <row r="4711" spans="1:2" x14ac:dyDescent="0.25">
      <c r="A4711" s="15" t="str">
        <f t="shared" si="146"/>
        <v/>
      </c>
      <c r="B4711" s="18" t="str">
        <f t="shared" si="147"/>
        <v/>
      </c>
    </row>
    <row r="4712" spans="1:2" x14ac:dyDescent="0.25">
      <c r="A4712" s="15" t="str">
        <f t="shared" si="146"/>
        <v/>
      </c>
      <c r="B4712" s="18" t="str">
        <f t="shared" si="147"/>
        <v/>
      </c>
    </row>
    <row r="4713" spans="1:2" x14ac:dyDescent="0.25">
      <c r="A4713" s="15" t="str">
        <f t="shared" si="146"/>
        <v/>
      </c>
      <c r="B4713" s="18" t="str">
        <f t="shared" si="147"/>
        <v/>
      </c>
    </row>
    <row r="4714" spans="1:2" x14ac:dyDescent="0.25">
      <c r="A4714" s="15" t="str">
        <f t="shared" si="146"/>
        <v/>
      </c>
      <c r="B4714" s="18" t="str">
        <f t="shared" si="147"/>
        <v/>
      </c>
    </row>
    <row r="4715" spans="1:2" x14ac:dyDescent="0.25">
      <c r="A4715" s="15" t="str">
        <f t="shared" si="146"/>
        <v/>
      </c>
      <c r="B4715" s="18" t="str">
        <f t="shared" si="147"/>
        <v/>
      </c>
    </row>
    <row r="4716" spans="1:2" x14ac:dyDescent="0.25">
      <c r="A4716" s="15" t="str">
        <f t="shared" si="146"/>
        <v/>
      </c>
      <c r="B4716" s="18" t="str">
        <f t="shared" si="147"/>
        <v/>
      </c>
    </row>
    <row r="4717" spans="1:2" x14ac:dyDescent="0.25">
      <c r="A4717" s="15" t="str">
        <f t="shared" si="146"/>
        <v/>
      </c>
      <c r="B4717" s="18" t="str">
        <f t="shared" si="147"/>
        <v/>
      </c>
    </row>
    <row r="4718" spans="1:2" x14ac:dyDescent="0.25">
      <c r="A4718" s="15" t="str">
        <f t="shared" si="146"/>
        <v/>
      </c>
      <c r="B4718" s="18" t="str">
        <f t="shared" si="147"/>
        <v/>
      </c>
    </row>
    <row r="4719" spans="1:2" x14ac:dyDescent="0.25">
      <c r="A4719" s="15" t="str">
        <f t="shared" si="146"/>
        <v/>
      </c>
      <c r="B4719" s="18" t="str">
        <f t="shared" si="147"/>
        <v/>
      </c>
    </row>
    <row r="4720" spans="1:2" x14ac:dyDescent="0.25">
      <c r="A4720" s="15" t="str">
        <f t="shared" si="146"/>
        <v/>
      </c>
      <c r="B4720" s="18" t="str">
        <f t="shared" si="147"/>
        <v/>
      </c>
    </row>
    <row r="4721" spans="1:2" x14ac:dyDescent="0.25">
      <c r="A4721" s="15" t="str">
        <f t="shared" si="146"/>
        <v/>
      </c>
      <c r="B4721" s="18" t="str">
        <f t="shared" si="147"/>
        <v/>
      </c>
    </row>
    <row r="4722" spans="1:2" x14ac:dyDescent="0.25">
      <c r="A4722" s="15" t="str">
        <f t="shared" si="146"/>
        <v/>
      </c>
      <c r="B4722" s="18" t="str">
        <f t="shared" si="147"/>
        <v/>
      </c>
    </row>
    <row r="4723" spans="1:2" x14ac:dyDescent="0.25">
      <c r="A4723" s="15" t="str">
        <f t="shared" si="146"/>
        <v/>
      </c>
      <c r="B4723" s="18" t="str">
        <f t="shared" si="147"/>
        <v/>
      </c>
    </row>
    <row r="4724" spans="1:2" x14ac:dyDescent="0.25">
      <c r="A4724" s="15" t="str">
        <f t="shared" si="146"/>
        <v/>
      </c>
      <c r="B4724" s="18" t="str">
        <f t="shared" si="147"/>
        <v/>
      </c>
    </row>
    <row r="4725" spans="1:2" x14ac:dyDescent="0.25">
      <c r="A4725" s="15" t="str">
        <f t="shared" si="146"/>
        <v/>
      </c>
      <c r="B4725" s="18" t="str">
        <f t="shared" si="147"/>
        <v/>
      </c>
    </row>
    <row r="4726" spans="1:2" x14ac:dyDescent="0.25">
      <c r="A4726" s="15" t="str">
        <f t="shared" si="146"/>
        <v/>
      </c>
      <c r="B4726" s="18" t="str">
        <f t="shared" si="147"/>
        <v/>
      </c>
    </row>
    <row r="4727" spans="1:2" x14ac:dyDescent="0.25">
      <c r="A4727" s="15" t="str">
        <f t="shared" si="146"/>
        <v/>
      </c>
      <c r="B4727" s="18" t="str">
        <f t="shared" si="147"/>
        <v/>
      </c>
    </row>
    <row r="4728" spans="1:2" x14ac:dyDescent="0.25">
      <c r="A4728" s="15" t="str">
        <f t="shared" si="146"/>
        <v/>
      </c>
      <c r="B4728" s="18" t="str">
        <f t="shared" si="147"/>
        <v/>
      </c>
    </row>
    <row r="4729" spans="1:2" x14ac:dyDescent="0.25">
      <c r="A4729" s="15" t="str">
        <f t="shared" si="146"/>
        <v/>
      </c>
      <c r="B4729" s="18" t="str">
        <f t="shared" si="147"/>
        <v/>
      </c>
    </row>
    <row r="4730" spans="1:2" x14ac:dyDescent="0.25">
      <c r="A4730" s="15" t="str">
        <f t="shared" si="146"/>
        <v/>
      </c>
      <c r="B4730" s="18" t="str">
        <f t="shared" si="147"/>
        <v/>
      </c>
    </row>
    <row r="4731" spans="1:2" x14ac:dyDescent="0.25">
      <c r="A4731" s="15" t="str">
        <f t="shared" si="146"/>
        <v/>
      </c>
      <c r="B4731" s="18" t="str">
        <f t="shared" si="147"/>
        <v/>
      </c>
    </row>
    <row r="4732" spans="1:2" x14ac:dyDescent="0.25">
      <c r="A4732" s="15" t="str">
        <f t="shared" si="146"/>
        <v/>
      </c>
      <c r="B4732" s="18" t="str">
        <f t="shared" si="147"/>
        <v/>
      </c>
    </row>
    <row r="4733" spans="1:2" x14ac:dyDescent="0.25">
      <c r="A4733" s="15" t="str">
        <f t="shared" si="146"/>
        <v/>
      </c>
      <c r="B4733" s="18" t="str">
        <f t="shared" si="147"/>
        <v/>
      </c>
    </row>
    <row r="4734" spans="1:2" x14ac:dyDescent="0.25">
      <c r="A4734" s="15" t="str">
        <f t="shared" si="146"/>
        <v/>
      </c>
      <c r="B4734" s="18" t="str">
        <f t="shared" si="147"/>
        <v/>
      </c>
    </row>
    <row r="4735" spans="1:2" x14ac:dyDescent="0.25">
      <c r="A4735" s="15" t="str">
        <f t="shared" si="146"/>
        <v/>
      </c>
      <c r="B4735" s="18" t="str">
        <f t="shared" si="147"/>
        <v/>
      </c>
    </row>
    <row r="4736" spans="1:2" x14ac:dyDescent="0.25">
      <c r="A4736" s="15" t="str">
        <f t="shared" si="146"/>
        <v/>
      </c>
      <c r="B4736" s="18" t="str">
        <f t="shared" si="147"/>
        <v/>
      </c>
    </row>
    <row r="4737" spans="1:2" x14ac:dyDescent="0.25">
      <c r="A4737" s="15" t="str">
        <f t="shared" si="146"/>
        <v/>
      </c>
      <c r="B4737" s="18" t="str">
        <f t="shared" si="147"/>
        <v/>
      </c>
    </row>
    <row r="4738" spans="1:2" x14ac:dyDescent="0.25">
      <c r="A4738" s="15" t="str">
        <f t="shared" ref="A4738:A4801" si="148">B4738&amp;C4738</f>
        <v/>
      </c>
      <c r="B4738" s="18" t="str">
        <f t="shared" si="147"/>
        <v/>
      </c>
    </row>
    <row r="4739" spans="1:2" x14ac:dyDescent="0.25">
      <c r="A4739" s="15" t="str">
        <f t="shared" si="148"/>
        <v/>
      </c>
      <c r="B4739" s="18" t="str">
        <f t="shared" ref="B4739:B4802" si="149">IF(C4739="","",B4738)</f>
        <v/>
      </c>
    </row>
    <row r="4740" spans="1:2" x14ac:dyDescent="0.25">
      <c r="A4740" s="15" t="str">
        <f t="shared" si="148"/>
        <v/>
      </c>
      <c r="B4740" s="18" t="str">
        <f t="shared" si="149"/>
        <v/>
      </c>
    </row>
    <row r="4741" spans="1:2" x14ac:dyDescent="0.25">
      <c r="A4741" s="15" t="str">
        <f t="shared" si="148"/>
        <v/>
      </c>
      <c r="B4741" s="18" t="str">
        <f t="shared" si="149"/>
        <v/>
      </c>
    </row>
    <row r="4742" spans="1:2" x14ac:dyDescent="0.25">
      <c r="A4742" s="15" t="str">
        <f t="shared" si="148"/>
        <v/>
      </c>
      <c r="B4742" s="18" t="str">
        <f t="shared" si="149"/>
        <v/>
      </c>
    </row>
    <row r="4743" spans="1:2" x14ac:dyDescent="0.25">
      <c r="A4743" s="15" t="str">
        <f t="shared" si="148"/>
        <v/>
      </c>
      <c r="B4743" s="18" t="str">
        <f t="shared" si="149"/>
        <v/>
      </c>
    </row>
    <row r="4744" spans="1:2" x14ac:dyDescent="0.25">
      <c r="A4744" s="15" t="str">
        <f t="shared" si="148"/>
        <v/>
      </c>
      <c r="B4744" s="18" t="str">
        <f t="shared" si="149"/>
        <v/>
      </c>
    </row>
    <row r="4745" spans="1:2" x14ac:dyDescent="0.25">
      <c r="A4745" s="15" t="str">
        <f t="shared" si="148"/>
        <v/>
      </c>
      <c r="B4745" s="18" t="str">
        <f t="shared" si="149"/>
        <v/>
      </c>
    </row>
    <row r="4746" spans="1:2" x14ac:dyDescent="0.25">
      <c r="A4746" s="15" t="str">
        <f t="shared" si="148"/>
        <v/>
      </c>
      <c r="B4746" s="18" t="str">
        <f t="shared" si="149"/>
        <v/>
      </c>
    </row>
    <row r="4747" spans="1:2" x14ac:dyDescent="0.25">
      <c r="A4747" s="15" t="str">
        <f t="shared" si="148"/>
        <v/>
      </c>
      <c r="B4747" s="18" t="str">
        <f t="shared" si="149"/>
        <v/>
      </c>
    </row>
    <row r="4748" spans="1:2" x14ac:dyDescent="0.25">
      <c r="A4748" s="15" t="str">
        <f t="shared" si="148"/>
        <v/>
      </c>
      <c r="B4748" s="18" t="str">
        <f t="shared" si="149"/>
        <v/>
      </c>
    </row>
    <row r="4749" spans="1:2" x14ac:dyDescent="0.25">
      <c r="A4749" s="15" t="str">
        <f t="shared" si="148"/>
        <v/>
      </c>
      <c r="B4749" s="18" t="str">
        <f t="shared" si="149"/>
        <v/>
      </c>
    </row>
    <row r="4750" spans="1:2" x14ac:dyDescent="0.25">
      <c r="A4750" s="15" t="str">
        <f t="shared" si="148"/>
        <v/>
      </c>
      <c r="B4750" s="18" t="str">
        <f t="shared" si="149"/>
        <v/>
      </c>
    </row>
    <row r="4751" spans="1:2" x14ac:dyDescent="0.25">
      <c r="A4751" s="15" t="str">
        <f t="shared" si="148"/>
        <v/>
      </c>
      <c r="B4751" s="18" t="str">
        <f t="shared" si="149"/>
        <v/>
      </c>
    </row>
    <row r="4752" spans="1:2" x14ac:dyDescent="0.25">
      <c r="A4752" s="15" t="str">
        <f t="shared" si="148"/>
        <v/>
      </c>
      <c r="B4752" s="18" t="str">
        <f t="shared" si="149"/>
        <v/>
      </c>
    </row>
    <row r="4753" spans="1:2" x14ac:dyDescent="0.25">
      <c r="A4753" s="15" t="str">
        <f t="shared" si="148"/>
        <v/>
      </c>
      <c r="B4753" s="18" t="str">
        <f t="shared" si="149"/>
        <v/>
      </c>
    </row>
    <row r="4754" spans="1:2" x14ac:dyDescent="0.25">
      <c r="A4754" s="15" t="str">
        <f t="shared" si="148"/>
        <v/>
      </c>
      <c r="B4754" s="18" t="str">
        <f t="shared" si="149"/>
        <v/>
      </c>
    </row>
    <row r="4755" spans="1:2" x14ac:dyDescent="0.25">
      <c r="A4755" s="15" t="str">
        <f t="shared" si="148"/>
        <v/>
      </c>
      <c r="B4755" s="18" t="str">
        <f t="shared" si="149"/>
        <v/>
      </c>
    </row>
    <row r="4756" spans="1:2" x14ac:dyDescent="0.25">
      <c r="A4756" s="15" t="str">
        <f t="shared" si="148"/>
        <v/>
      </c>
      <c r="B4756" s="18" t="str">
        <f t="shared" si="149"/>
        <v/>
      </c>
    </row>
    <row r="4757" spans="1:2" x14ac:dyDescent="0.25">
      <c r="A4757" s="15" t="str">
        <f t="shared" si="148"/>
        <v/>
      </c>
      <c r="B4757" s="18" t="str">
        <f t="shared" si="149"/>
        <v/>
      </c>
    </row>
    <row r="4758" spans="1:2" x14ac:dyDescent="0.25">
      <c r="A4758" s="15" t="str">
        <f t="shared" si="148"/>
        <v/>
      </c>
      <c r="B4758" s="18" t="str">
        <f t="shared" si="149"/>
        <v/>
      </c>
    </row>
    <row r="4759" spans="1:2" x14ac:dyDescent="0.25">
      <c r="A4759" s="15" t="str">
        <f t="shared" si="148"/>
        <v/>
      </c>
      <c r="B4759" s="18" t="str">
        <f t="shared" si="149"/>
        <v/>
      </c>
    </row>
    <row r="4760" spans="1:2" x14ac:dyDescent="0.25">
      <c r="A4760" s="15" t="str">
        <f t="shared" si="148"/>
        <v/>
      </c>
      <c r="B4760" s="18" t="str">
        <f t="shared" si="149"/>
        <v/>
      </c>
    </row>
    <row r="4761" spans="1:2" x14ac:dyDescent="0.25">
      <c r="A4761" s="15" t="str">
        <f t="shared" si="148"/>
        <v/>
      </c>
      <c r="B4761" s="18" t="str">
        <f t="shared" si="149"/>
        <v/>
      </c>
    </row>
    <row r="4762" spans="1:2" x14ac:dyDescent="0.25">
      <c r="A4762" s="15" t="str">
        <f t="shared" si="148"/>
        <v/>
      </c>
      <c r="B4762" s="18" t="str">
        <f t="shared" si="149"/>
        <v/>
      </c>
    </row>
    <row r="4763" spans="1:2" x14ac:dyDescent="0.25">
      <c r="A4763" s="15" t="str">
        <f t="shared" si="148"/>
        <v/>
      </c>
      <c r="B4763" s="18" t="str">
        <f t="shared" si="149"/>
        <v/>
      </c>
    </row>
    <row r="4764" spans="1:2" x14ac:dyDescent="0.25">
      <c r="A4764" s="15" t="str">
        <f t="shared" si="148"/>
        <v/>
      </c>
      <c r="B4764" s="18" t="str">
        <f t="shared" si="149"/>
        <v/>
      </c>
    </row>
    <row r="4765" spans="1:2" x14ac:dyDescent="0.25">
      <c r="A4765" s="15" t="str">
        <f t="shared" si="148"/>
        <v/>
      </c>
      <c r="B4765" s="18" t="str">
        <f t="shared" si="149"/>
        <v/>
      </c>
    </row>
    <row r="4766" spans="1:2" x14ac:dyDescent="0.25">
      <c r="A4766" s="15" t="str">
        <f t="shared" si="148"/>
        <v/>
      </c>
      <c r="B4766" s="18" t="str">
        <f t="shared" si="149"/>
        <v/>
      </c>
    </row>
    <row r="4767" spans="1:2" x14ac:dyDescent="0.25">
      <c r="A4767" s="15" t="str">
        <f t="shared" si="148"/>
        <v/>
      </c>
      <c r="B4767" s="18" t="str">
        <f t="shared" si="149"/>
        <v/>
      </c>
    </row>
    <row r="4768" spans="1:2" x14ac:dyDescent="0.25">
      <c r="A4768" s="15" t="str">
        <f t="shared" si="148"/>
        <v/>
      </c>
      <c r="B4768" s="18" t="str">
        <f t="shared" si="149"/>
        <v/>
      </c>
    </row>
    <row r="4769" spans="1:2" x14ac:dyDescent="0.25">
      <c r="A4769" s="15" t="str">
        <f t="shared" si="148"/>
        <v/>
      </c>
      <c r="B4769" s="18" t="str">
        <f t="shared" si="149"/>
        <v/>
      </c>
    </row>
    <row r="4770" spans="1:2" x14ac:dyDescent="0.25">
      <c r="A4770" s="15" t="str">
        <f t="shared" si="148"/>
        <v/>
      </c>
      <c r="B4770" s="18" t="str">
        <f t="shared" si="149"/>
        <v/>
      </c>
    </row>
    <row r="4771" spans="1:2" x14ac:dyDescent="0.25">
      <c r="A4771" s="15" t="str">
        <f t="shared" si="148"/>
        <v/>
      </c>
      <c r="B4771" s="18" t="str">
        <f t="shared" si="149"/>
        <v/>
      </c>
    </row>
    <row r="4772" spans="1:2" x14ac:dyDescent="0.25">
      <c r="A4772" s="15" t="str">
        <f t="shared" si="148"/>
        <v/>
      </c>
      <c r="B4772" s="18" t="str">
        <f t="shared" si="149"/>
        <v/>
      </c>
    </row>
    <row r="4773" spans="1:2" x14ac:dyDescent="0.25">
      <c r="A4773" s="15" t="str">
        <f t="shared" si="148"/>
        <v/>
      </c>
      <c r="B4773" s="18" t="str">
        <f t="shared" si="149"/>
        <v/>
      </c>
    </row>
    <row r="4774" spans="1:2" x14ac:dyDescent="0.25">
      <c r="A4774" s="15" t="str">
        <f t="shared" si="148"/>
        <v/>
      </c>
      <c r="B4774" s="18" t="str">
        <f t="shared" si="149"/>
        <v/>
      </c>
    </row>
    <row r="4775" spans="1:2" x14ac:dyDescent="0.25">
      <c r="A4775" s="15" t="str">
        <f t="shared" si="148"/>
        <v/>
      </c>
      <c r="B4775" s="18" t="str">
        <f t="shared" si="149"/>
        <v/>
      </c>
    </row>
    <row r="4776" spans="1:2" x14ac:dyDescent="0.25">
      <c r="A4776" s="15" t="str">
        <f t="shared" si="148"/>
        <v/>
      </c>
      <c r="B4776" s="18" t="str">
        <f t="shared" si="149"/>
        <v/>
      </c>
    </row>
    <row r="4777" spans="1:2" x14ac:dyDescent="0.25">
      <c r="A4777" s="15" t="str">
        <f t="shared" si="148"/>
        <v/>
      </c>
      <c r="B4777" s="18" t="str">
        <f t="shared" si="149"/>
        <v/>
      </c>
    </row>
    <row r="4778" spans="1:2" x14ac:dyDescent="0.25">
      <c r="A4778" s="15" t="str">
        <f t="shared" si="148"/>
        <v/>
      </c>
      <c r="B4778" s="18" t="str">
        <f t="shared" si="149"/>
        <v/>
      </c>
    </row>
    <row r="4779" spans="1:2" x14ac:dyDescent="0.25">
      <c r="A4779" s="15" t="str">
        <f t="shared" si="148"/>
        <v/>
      </c>
      <c r="B4779" s="18" t="str">
        <f t="shared" si="149"/>
        <v/>
      </c>
    </row>
    <row r="4780" spans="1:2" x14ac:dyDescent="0.25">
      <c r="A4780" s="15" t="str">
        <f t="shared" si="148"/>
        <v/>
      </c>
      <c r="B4780" s="18" t="str">
        <f t="shared" si="149"/>
        <v/>
      </c>
    </row>
    <row r="4781" spans="1:2" x14ac:dyDescent="0.25">
      <c r="A4781" s="15" t="str">
        <f t="shared" si="148"/>
        <v/>
      </c>
      <c r="B4781" s="18" t="str">
        <f t="shared" si="149"/>
        <v/>
      </c>
    </row>
    <row r="4782" spans="1:2" x14ac:dyDescent="0.25">
      <c r="A4782" s="15" t="str">
        <f t="shared" si="148"/>
        <v/>
      </c>
      <c r="B4782" s="18" t="str">
        <f t="shared" si="149"/>
        <v/>
      </c>
    </row>
    <row r="4783" spans="1:2" x14ac:dyDescent="0.25">
      <c r="A4783" s="15" t="str">
        <f t="shared" si="148"/>
        <v/>
      </c>
      <c r="B4783" s="18" t="str">
        <f t="shared" si="149"/>
        <v/>
      </c>
    </row>
    <row r="4784" spans="1:2" x14ac:dyDescent="0.25">
      <c r="A4784" s="15" t="str">
        <f t="shared" si="148"/>
        <v/>
      </c>
      <c r="B4784" s="18" t="str">
        <f t="shared" si="149"/>
        <v/>
      </c>
    </row>
    <row r="4785" spans="1:2" x14ac:dyDescent="0.25">
      <c r="A4785" s="15" t="str">
        <f t="shared" si="148"/>
        <v/>
      </c>
      <c r="B4785" s="18" t="str">
        <f t="shared" si="149"/>
        <v/>
      </c>
    </row>
    <row r="4786" spans="1:2" x14ac:dyDescent="0.25">
      <c r="A4786" s="15" t="str">
        <f t="shared" si="148"/>
        <v/>
      </c>
      <c r="B4786" s="18" t="str">
        <f t="shared" si="149"/>
        <v/>
      </c>
    </row>
    <row r="4787" spans="1:2" x14ac:dyDescent="0.25">
      <c r="A4787" s="15" t="str">
        <f t="shared" si="148"/>
        <v/>
      </c>
      <c r="B4787" s="18" t="str">
        <f t="shared" si="149"/>
        <v/>
      </c>
    </row>
    <row r="4788" spans="1:2" x14ac:dyDescent="0.25">
      <c r="A4788" s="15" t="str">
        <f t="shared" si="148"/>
        <v/>
      </c>
      <c r="B4788" s="18" t="str">
        <f t="shared" si="149"/>
        <v/>
      </c>
    </row>
    <row r="4789" spans="1:2" x14ac:dyDescent="0.25">
      <c r="A4789" s="15" t="str">
        <f t="shared" si="148"/>
        <v/>
      </c>
      <c r="B4789" s="18" t="str">
        <f t="shared" si="149"/>
        <v/>
      </c>
    </row>
    <row r="4790" spans="1:2" x14ac:dyDescent="0.25">
      <c r="A4790" s="15" t="str">
        <f t="shared" si="148"/>
        <v/>
      </c>
      <c r="B4790" s="18" t="str">
        <f t="shared" si="149"/>
        <v/>
      </c>
    </row>
    <row r="4791" spans="1:2" x14ac:dyDescent="0.25">
      <c r="A4791" s="15" t="str">
        <f t="shared" si="148"/>
        <v/>
      </c>
      <c r="B4791" s="18" t="str">
        <f t="shared" si="149"/>
        <v/>
      </c>
    </row>
    <row r="4792" spans="1:2" x14ac:dyDescent="0.25">
      <c r="A4792" s="15" t="str">
        <f t="shared" si="148"/>
        <v/>
      </c>
      <c r="B4792" s="18" t="str">
        <f t="shared" si="149"/>
        <v/>
      </c>
    </row>
    <row r="4793" spans="1:2" x14ac:dyDescent="0.25">
      <c r="A4793" s="15" t="str">
        <f t="shared" si="148"/>
        <v/>
      </c>
      <c r="B4793" s="18" t="str">
        <f t="shared" si="149"/>
        <v/>
      </c>
    </row>
    <row r="4794" spans="1:2" x14ac:dyDescent="0.25">
      <c r="A4794" s="15" t="str">
        <f t="shared" si="148"/>
        <v/>
      </c>
      <c r="B4794" s="18" t="str">
        <f t="shared" si="149"/>
        <v/>
      </c>
    </row>
    <row r="4795" spans="1:2" x14ac:dyDescent="0.25">
      <c r="A4795" s="15" t="str">
        <f t="shared" si="148"/>
        <v/>
      </c>
      <c r="B4795" s="18" t="str">
        <f t="shared" si="149"/>
        <v/>
      </c>
    </row>
    <row r="4796" spans="1:2" x14ac:dyDescent="0.25">
      <c r="A4796" s="15" t="str">
        <f t="shared" si="148"/>
        <v/>
      </c>
      <c r="B4796" s="18" t="str">
        <f t="shared" si="149"/>
        <v/>
      </c>
    </row>
    <row r="4797" spans="1:2" x14ac:dyDescent="0.25">
      <c r="A4797" s="15" t="str">
        <f t="shared" si="148"/>
        <v/>
      </c>
      <c r="B4797" s="18" t="str">
        <f t="shared" si="149"/>
        <v/>
      </c>
    </row>
    <row r="4798" spans="1:2" x14ac:dyDescent="0.25">
      <c r="A4798" s="15" t="str">
        <f t="shared" si="148"/>
        <v/>
      </c>
      <c r="B4798" s="18" t="str">
        <f t="shared" si="149"/>
        <v/>
      </c>
    </row>
    <row r="4799" spans="1:2" x14ac:dyDescent="0.25">
      <c r="A4799" s="15" t="str">
        <f t="shared" si="148"/>
        <v/>
      </c>
      <c r="B4799" s="18" t="str">
        <f t="shared" si="149"/>
        <v/>
      </c>
    </row>
    <row r="4800" spans="1:2" x14ac:dyDescent="0.25">
      <c r="A4800" s="15" t="str">
        <f t="shared" si="148"/>
        <v/>
      </c>
      <c r="B4800" s="18" t="str">
        <f t="shared" si="149"/>
        <v/>
      </c>
    </row>
    <row r="4801" spans="1:2" x14ac:dyDescent="0.25">
      <c r="A4801" s="15" t="str">
        <f t="shared" si="148"/>
        <v/>
      </c>
      <c r="B4801" s="18" t="str">
        <f t="shared" si="149"/>
        <v/>
      </c>
    </row>
    <row r="4802" spans="1:2" x14ac:dyDescent="0.25">
      <c r="A4802" s="15" t="str">
        <f t="shared" ref="A4802:A4865" si="150">B4802&amp;C4802</f>
        <v/>
      </c>
      <c r="B4802" s="18" t="str">
        <f t="shared" si="149"/>
        <v/>
      </c>
    </row>
    <row r="4803" spans="1:2" x14ac:dyDescent="0.25">
      <c r="A4803" s="15" t="str">
        <f t="shared" si="150"/>
        <v/>
      </c>
      <c r="B4803" s="18" t="str">
        <f t="shared" ref="B4803:B4866" si="151">IF(C4803="","",B4802)</f>
        <v/>
      </c>
    </row>
    <row r="4804" spans="1:2" x14ac:dyDescent="0.25">
      <c r="A4804" s="15" t="str">
        <f t="shared" si="150"/>
        <v/>
      </c>
      <c r="B4804" s="18" t="str">
        <f t="shared" si="151"/>
        <v/>
      </c>
    </row>
    <row r="4805" spans="1:2" x14ac:dyDescent="0.25">
      <c r="A4805" s="15" t="str">
        <f t="shared" si="150"/>
        <v/>
      </c>
      <c r="B4805" s="18" t="str">
        <f t="shared" si="151"/>
        <v/>
      </c>
    </row>
    <row r="4806" spans="1:2" x14ac:dyDescent="0.25">
      <c r="A4806" s="15" t="str">
        <f t="shared" si="150"/>
        <v/>
      </c>
      <c r="B4806" s="18" t="str">
        <f t="shared" si="151"/>
        <v/>
      </c>
    </row>
    <row r="4807" spans="1:2" x14ac:dyDescent="0.25">
      <c r="A4807" s="15" t="str">
        <f t="shared" si="150"/>
        <v/>
      </c>
      <c r="B4807" s="18" t="str">
        <f t="shared" si="151"/>
        <v/>
      </c>
    </row>
    <row r="4808" spans="1:2" x14ac:dyDescent="0.25">
      <c r="A4808" s="15" t="str">
        <f t="shared" si="150"/>
        <v/>
      </c>
      <c r="B4808" s="18" t="str">
        <f t="shared" si="151"/>
        <v/>
      </c>
    </row>
    <row r="4809" spans="1:2" x14ac:dyDescent="0.25">
      <c r="A4809" s="15" t="str">
        <f t="shared" si="150"/>
        <v/>
      </c>
      <c r="B4809" s="18" t="str">
        <f t="shared" si="151"/>
        <v/>
      </c>
    </row>
    <row r="4810" spans="1:2" x14ac:dyDescent="0.25">
      <c r="A4810" s="15" t="str">
        <f t="shared" si="150"/>
        <v/>
      </c>
      <c r="B4810" s="18" t="str">
        <f t="shared" si="151"/>
        <v/>
      </c>
    </row>
    <row r="4811" spans="1:2" x14ac:dyDescent="0.25">
      <c r="A4811" s="15" t="str">
        <f t="shared" si="150"/>
        <v/>
      </c>
      <c r="B4811" s="18" t="str">
        <f t="shared" si="151"/>
        <v/>
      </c>
    </row>
    <row r="4812" spans="1:2" x14ac:dyDescent="0.25">
      <c r="A4812" s="15" t="str">
        <f t="shared" si="150"/>
        <v/>
      </c>
      <c r="B4812" s="18" t="str">
        <f t="shared" si="151"/>
        <v/>
      </c>
    </row>
    <row r="4813" spans="1:2" x14ac:dyDescent="0.25">
      <c r="A4813" s="15" t="str">
        <f t="shared" si="150"/>
        <v/>
      </c>
      <c r="B4813" s="18" t="str">
        <f t="shared" si="151"/>
        <v/>
      </c>
    </row>
    <row r="4814" spans="1:2" x14ac:dyDescent="0.25">
      <c r="A4814" s="15" t="str">
        <f t="shared" si="150"/>
        <v/>
      </c>
      <c r="B4814" s="18" t="str">
        <f t="shared" si="151"/>
        <v/>
      </c>
    </row>
    <row r="4815" spans="1:2" x14ac:dyDescent="0.25">
      <c r="A4815" s="15" t="str">
        <f t="shared" si="150"/>
        <v/>
      </c>
      <c r="B4815" s="18" t="str">
        <f t="shared" si="151"/>
        <v/>
      </c>
    </row>
    <row r="4816" spans="1:2" x14ac:dyDescent="0.25">
      <c r="A4816" s="15" t="str">
        <f t="shared" si="150"/>
        <v/>
      </c>
      <c r="B4816" s="18" t="str">
        <f t="shared" si="151"/>
        <v/>
      </c>
    </row>
    <row r="4817" spans="1:2" x14ac:dyDescent="0.25">
      <c r="A4817" s="15" t="str">
        <f t="shared" si="150"/>
        <v/>
      </c>
      <c r="B4817" s="18" t="str">
        <f t="shared" si="151"/>
        <v/>
      </c>
    </row>
    <row r="4818" spans="1:2" x14ac:dyDescent="0.25">
      <c r="A4818" s="15" t="str">
        <f t="shared" si="150"/>
        <v/>
      </c>
      <c r="B4818" s="18" t="str">
        <f t="shared" si="151"/>
        <v/>
      </c>
    </row>
    <row r="4819" spans="1:2" x14ac:dyDescent="0.25">
      <c r="A4819" s="15" t="str">
        <f t="shared" si="150"/>
        <v/>
      </c>
      <c r="B4819" s="18" t="str">
        <f t="shared" si="151"/>
        <v/>
      </c>
    </row>
    <row r="4820" spans="1:2" x14ac:dyDescent="0.25">
      <c r="A4820" s="15" t="str">
        <f t="shared" si="150"/>
        <v/>
      </c>
      <c r="B4820" s="18" t="str">
        <f t="shared" si="151"/>
        <v/>
      </c>
    </row>
    <row r="4821" spans="1:2" x14ac:dyDescent="0.25">
      <c r="A4821" s="15" t="str">
        <f t="shared" si="150"/>
        <v/>
      </c>
      <c r="B4821" s="18" t="str">
        <f t="shared" si="151"/>
        <v/>
      </c>
    </row>
    <row r="4822" spans="1:2" x14ac:dyDescent="0.25">
      <c r="A4822" s="15" t="str">
        <f t="shared" si="150"/>
        <v/>
      </c>
      <c r="B4822" s="18" t="str">
        <f t="shared" si="151"/>
        <v/>
      </c>
    </row>
    <row r="4823" spans="1:2" x14ac:dyDescent="0.25">
      <c r="A4823" s="15" t="str">
        <f t="shared" si="150"/>
        <v/>
      </c>
      <c r="B4823" s="18" t="str">
        <f t="shared" si="151"/>
        <v/>
      </c>
    </row>
    <row r="4824" spans="1:2" x14ac:dyDescent="0.25">
      <c r="A4824" s="15" t="str">
        <f t="shared" si="150"/>
        <v/>
      </c>
      <c r="B4824" s="18" t="str">
        <f t="shared" si="151"/>
        <v/>
      </c>
    </row>
    <row r="4825" spans="1:2" x14ac:dyDescent="0.25">
      <c r="A4825" s="15" t="str">
        <f t="shared" si="150"/>
        <v/>
      </c>
      <c r="B4825" s="18" t="str">
        <f t="shared" si="151"/>
        <v/>
      </c>
    </row>
    <row r="4826" spans="1:2" x14ac:dyDescent="0.25">
      <c r="A4826" s="15" t="str">
        <f t="shared" si="150"/>
        <v/>
      </c>
      <c r="B4826" s="18" t="str">
        <f t="shared" si="151"/>
        <v/>
      </c>
    </row>
    <row r="4827" spans="1:2" x14ac:dyDescent="0.25">
      <c r="A4827" s="15" t="str">
        <f t="shared" si="150"/>
        <v/>
      </c>
      <c r="B4827" s="18" t="str">
        <f t="shared" si="151"/>
        <v/>
      </c>
    </row>
    <row r="4828" spans="1:2" x14ac:dyDescent="0.25">
      <c r="A4828" s="15" t="str">
        <f t="shared" si="150"/>
        <v/>
      </c>
      <c r="B4828" s="18" t="str">
        <f t="shared" si="151"/>
        <v/>
      </c>
    </row>
    <row r="4829" spans="1:2" x14ac:dyDescent="0.25">
      <c r="A4829" s="15" t="str">
        <f t="shared" si="150"/>
        <v/>
      </c>
      <c r="B4829" s="18" t="str">
        <f t="shared" si="151"/>
        <v/>
      </c>
    </row>
    <row r="4830" spans="1:2" x14ac:dyDescent="0.25">
      <c r="A4830" s="15" t="str">
        <f t="shared" si="150"/>
        <v/>
      </c>
      <c r="B4830" s="18" t="str">
        <f t="shared" si="151"/>
        <v/>
      </c>
    </row>
    <row r="4831" spans="1:2" x14ac:dyDescent="0.25">
      <c r="A4831" s="15" t="str">
        <f t="shared" si="150"/>
        <v/>
      </c>
      <c r="B4831" s="18" t="str">
        <f t="shared" si="151"/>
        <v/>
      </c>
    </row>
    <row r="4832" spans="1:2" x14ac:dyDescent="0.25">
      <c r="A4832" s="15" t="str">
        <f t="shared" si="150"/>
        <v/>
      </c>
      <c r="B4832" s="18" t="str">
        <f t="shared" si="151"/>
        <v/>
      </c>
    </row>
    <row r="4833" spans="1:2" x14ac:dyDescent="0.25">
      <c r="A4833" s="15" t="str">
        <f t="shared" si="150"/>
        <v/>
      </c>
      <c r="B4833" s="18" t="str">
        <f t="shared" si="151"/>
        <v/>
      </c>
    </row>
    <row r="4834" spans="1:2" x14ac:dyDescent="0.25">
      <c r="A4834" s="15" t="str">
        <f t="shared" si="150"/>
        <v/>
      </c>
      <c r="B4834" s="18" t="str">
        <f t="shared" si="151"/>
        <v/>
      </c>
    </row>
    <row r="4835" spans="1:2" x14ac:dyDescent="0.25">
      <c r="A4835" s="15" t="str">
        <f t="shared" si="150"/>
        <v/>
      </c>
      <c r="B4835" s="18" t="str">
        <f t="shared" si="151"/>
        <v/>
      </c>
    </row>
    <row r="4836" spans="1:2" x14ac:dyDescent="0.25">
      <c r="A4836" s="15" t="str">
        <f t="shared" si="150"/>
        <v/>
      </c>
      <c r="B4836" s="18" t="str">
        <f t="shared" si="151"/>
        <v/>
      </c>
    </row>
    <row r="4837" spans="1:2" x14ac:dyDescent="0.25">
      <c r="A4837" s="15" t="str">
        <f t="shared" si="150"/>
        <v/>
      </c>
      <c r="B4837" s="18" t="str">
        <f t="shared" si="151"/>
        <v/>
      </c>
    </row>
    <row r="4838" spans="1:2" x14ac:dyDescent="0.25">
      <c r="A4838" s="15" t="str">
        <f t="shared" si="150"/>
        <v/>
      </c>
      <c r="B4838" s="18" t="str">
        <f t="shared" si="151"/>
        <v/>
      </c>
    </row>
    <row r="4839" spans="1:2" x14ac:dyDescent="0.25">
      <c r="A4839" s="15" t="str">
        <f t="shared" si="150"/>
        <v/>
      </c>
      <c r="B4839" s="18" t="str">
        <f t="shared" si="151"/>
        <v/>
      </c>
    </row>
    <row r="4840" spans="1:2" x14ac:dyDescent="0.25">
      <c r="A4840" s="15" t="str">
        <f t="shared" si="150"/>
        <v/>
      </c>
      <c r="B4840" s="18" t="str">
        <f t="shared" si="151"/>
        <v/>
      </c>
    </row>
    <row r="4841" spans="1:2" x14ac:dyDescent="0.25">
      <c r="A4841" s="15" t="str">
        <f t="shared" si="150"/>
        <v/>
      </c>
      <c r="B4841" s="18" t="str">
        <f t="shared" si="151"/>
        <v/>
      </c>
    </row>
    <row r="4842" spans="1:2" x14ac:dyDescent="0.25">
      <c r="A4842" s="15" t="str">
        <f t="shared" si="150"/>
        <v/>
      </c>
      <c r="B4842" s="18" t="str">
        <f t="shared" si="151"/>
        <v/>
      </c>
    </row>
    <row r="4843" spans="1:2" x14ac:dyDescent="0.25">
      <c r="A4843" s="15" t="str">
        <f t="shared" si="150"/>
        <v/>
      </c>
      <c r="B4843" s="18" t="str">
        <f t="shared" si="151"/>
        <v/>
      </c>
    </row>
    <row r="4844" spans="1:2" x14ac:dyDescent="0.25">
      <c r="A4844" s="15" t="str">
        <f t="shared" si="150"/>
        <v/>
      </c>
      <c r="B4844" s="18" t="str">
        <f t="shared" si="151"/>
        <v/>
      </c>
    </row>
    <row r="4845" spans="1:2" x14ac:dyDescent="0.25">
      <c r="A4845" s="15" t="str">
        <f t="shared" si="150"/>
        <v/>
      </c>
      <c r="B4845" s="18" t="str">
        <f t="shared" si="151"/>
        <v/>
      </c>
    </row>
    <row r="4846" spans="1:2" x14ac:dyDescent="0.25">
      <c r="A4846" s="15" t="str">
        <f t="shared" si="150"/>
        <v/>
      </c>
      <c r="B4846" s="18" t="str">
        <f t="shared" si="151"/>
        <v/>
      </c>
    </row>
    <row r="4847" spans="1:2" x14ac:dyDescent="0.25">
      <c r="A4847" s="15" t="str">
        <f t="shared" si="150"/>
        <v/>
      </c>
      <c r="B4847" s="18" t="str">
        <f t="shared" si="151"/>
        <v/>
      </c>
    </row>
    <row r="4848" spans="1:2" x14ac:dyDescent="0.25">
      <c r="A4848" s="15" t="str">
        <f t="shared" si="150"/>
        <v/>
      </c>
      <c r="B4848" s="18" t="str">
        <f t="shared" si="151"/>
        <v/>
      </c>
    </row>
    <row r="4849" spans="1:2" x14ac:dyDescent="0.25">
      <c r="A4849" s="15" t="str">
        <f t="shared" si="150"/>
        <v/>
      </c>
      <c r="B4849" s="18" t="str">
        <f t="shared" si="151"/>
        <v/>
      </c>
    </row>
    <row r="4850" spans="1:2" x14ac:dyDescent="0.25">
      <c r="A4850" s="15" t="str">
        <f t="shared" si="150"/>
        <v/>
      </c>
      <c r="B4850" s="18" t="str">
        <f t="shared" si="151"/>
        <v/>
      </c>
    </row>
    <row r="4851" spans="1:2" x14ac:dyDescent="0.25">
      <c r="A4851" s="15" t="str">
        <f t="shared" si="150"/>
        <v/>
      </c>
      <c r="B4851" s="18" t="str">
        <f t="shared" si="151"/>
        <v/>
      </c>
    </row>
    <row r="4852" spans="1:2" x14ac:dyDescent="0.25">
      <c r="A4852" s="15" t="str">
        <f t="shared" si="150"/>
        <v/>
      </c>
      <c r="B4852" s="18" t="str">
        <f t="shared" si="151"/>
        <v/>
      </c>
    </row>
    <row r="4853" spans="1:2" x14ac:dyDescent="0.25">
      <c r="A4853" s="15" t="str">
        <f t="shared" si="150"/>
        <v/>
      </c>
      <c r="B4853" s="18" t="str">
        <f t="shared" si="151"/>
        <v/>
      </c>
    </row>
    <row r="4854" spans="1:2" x14ac:dyDescent="0.25">
      <c r="A4854" s="15" t="str">
        <f t="shared" si="150"/>
        <v/>
      </c>
      <c r="B4854" s="18" t="str">
        <f t="shared" si="151"/>
        <v/>
      </c>
    </row>
    <row r="4855" spans="1:2" x14ac:dyDescent="0.25">
      <c r="A4855" s="15" t="str">
        <f t="shared" si="150"/>
        <v/>
      </c>
      <c r="B4855" s="18" t="str">
        <f t="shared" si="151"/>
        <v/>
      </c>
    </row>
    <row r="4856" spans="1:2" x14ac:dyDescent="0.25">
      <c r="A4856" s="15" t="str">
        <f t="shared" si="150"/>
        <v/>
      </c>
      <c r="B4856" s="18" t="str">
        <f t="shared" si="151"/>
        <v/>
      </c>
    </row>
    <row r="4857" spans="1:2" x14ac:dyDescent="0.25">
      <c r="A4857" s="15" t="str">
        <f t="shared" si="150"/>
        <v/>
      </c>
      <c r="B4857" s="18" t="str">
        <f t="shared" si="151"/>
        <v/>
      </c>
    </row>
    <row r="4858" spans="1:2" x14ac:dyDescent="0.25">
      <c r="A4858" s="15" t="str">
        <f t="shared" si="150"/>
        <v/>
      </c>
      <c r="B4858" s="18" t="str">
        <f t="shared" si="151"/>
        <v/>
      </c>
    </row>
    <row r="4859" spans="1:2" x14ac:dyDescent="0.25">
      <c r="A4859" s="15" t="str">
        <f t="shared" si="150"/>
        <v/>
      </c>
      <c r="B4859" s="18" t="str">
        <f t="shared" si="151"/>
        <v/>
      </c>
    </row>
    <row r="4860" spans="1:2" x14ac:dyDescent="0.25">
      <c r="A4860" s="15" t="str">
        <f t="shared" si="150"/>
        <v/>
      </c>
      <c r="B4860" s="18" t="str">
        <f t="shared" si="151"/>
        <v/>
      </c>
    </row>
    <row r="4861" spans="1:2" x14ac:dyDescent="0.25">
      <c r="A4861" s="15" t="str">
        <f t="shared" si="150"/>
        <v/>
      </c>
      <c r="B4861" s="18" t="str">
        <f t="shared" si="151"/>
        <v/>
      </c>
    </row>
    <row r="4862" spans="1:2" x14ac:dyDescent="0.25">
      <c r="A4862" s="15" t="str">
        <f t="shared" si="150"/>
        <v/>
      </c>
      <c r="B4862" s="18" t="str">
        <f t="shared" si="151"/>
        <v/>
      </c>
    </row>
    <row r="4863" spans="1:2" x14ac:dyDescent="0.25">
      <c r="A4863" s="15" t="str">
        <f t="shared" si="150"/>
        <v/>
      </c>
      <c r="B4863" s="18" t="str">
        <f t="shared" si="151"/>
        <v/>
      </c>
    </row>
    <row r="4864" spans="1:2" x14ac:dyDescent="0.25">
      <c r="A4864" s="15" t="str">
        <f t="shared" si="150"/>
        <v/>
      </c>
      <c r="B4864" s="18" t="str">
        <f t="shared" si="151"/>
        <v/>
      </c>
    </row>
    <row r="4865" spans="1:2" x14ac:dyDescent="0.25">
      <c r="A4865" s="15" t="str">
        <f t="shared" si="150"/>
        <v/>
      </c>
      <c r="B4865" s="18" t="str">
        <f t="shared" si="151"/>
        <v/>
      </c>
    </row>
    <row r="4866" spans="1:2" x14ac:dyDescent="0.25">
      <c r="A4866" s="15" t="str">
        <f t="shared" ref="A4866:A4929" si="152">B4866&amp;C4866</f>
        <v/>
      </c>
      <c r="B4866" s="18" t="str">
        <f t="shared" si="151"/>
        <v/>
      </c>
    </row>
    <row r="4867" spans="1:2" x14ac:dyDescent="0.25">
      <c r="A4867" s="15" t="str">
        <f t="shared" si="152"/>
        <v/>
      </c>
      <c r="B4867" s="18" t="str">
        <f t="shared" ref="B4867:B4930" si="153">IF(C4867="","",B4866)</f>
        <v/>
      </c>
    </row>
    <row r="4868" spans="1:2" x14ac:dyDescent="0.25">
      <c r="A4868" s="15" t="str">
        <f t="shared" si="152"/>
        <v/>
      </c>
      <c r="B4868" s="18" t="str">
        <f t="shared" si="153"/>
        <v/>
      </c>
    </row>
    <row r="4869" spans="1:2" x14ac:dyDescent="0.25">
      <c r="A4869" s="15" t="str">
        <f t="shared" si="152"/>
        <v/>
      </c>
      <c r="B4869" s="18" t="str">
        <f t="shared" si="153"/>
        <v/>
      </c>
    </row>
    <row r="4870" spans="1:2" x14ac:dyDescent="0.25">
      <c r="A4870" s="15" t="str">
        <f t="shared" si="152"/>
        <v/>
      </c>
      <c r="B4870" s="18" t="str">
        <f t="shared" si="153"/>
        <v/>
      </c>
    </row>
    <row r="4871" spans="1:2" x14ac:dyDescent="0.25">
      <c r="A4871" s="15" t="str">
        <f t="shared" si="152"/>
        <v/>
      </c>
      <c r="B4871" s="18" t="str">
        <f t="shared" si="153"/>
        <v/>
      </c>
    </row>
    <row r="4872" spans="1:2" x14ac:dyDescent="0.25">
      <c r="A4872" s="15" t="str">
        <f t="shared" si="152"/>
        <v/>
      </c>
      <c r="B4872" s="18" t="str">
        <f t="shared" si="153"/>
        <v/>
      </c>
    </row>
    <row r="4873" spans="1:2" x14ac:dyDescent="0.25">
      <c r="A4873" s="15" t="str">
        <f t="shared" si="152"/>
        <v/>
      </c>
      <c r="B4873" s="18" t="str">
        <f t="shared" si="153"/>
        <v/>
      </c>
    </row>
    <row r="4874" spans="1:2" x14ac:dyDescent="0.25">
      <c r="A4874" s="15" t="str">
        <f t="shared" si="152"/>
        <v/>
      </c>
      <c r="B4874" s="18" t="str">
        <f t="shared" si="153"/>
        <v/>
      </c>
    </row>
    <row r="4875" spans="1:2" x14ac:dyDescent="0.25">
      <c r="A4875" s="15" t="str">
        <f t="shared" si="152"/>
        <v/>
      </c>
      <c r="B4875" s="18" t="str">
        <f t="shared" si="153"/>
        <v/>
      </c>
    </row>
    <row r="4876" spans="1:2" x14ac:dyDescent="0.25">
      <c r="A4876" s="15" t="str">
        <f t="shared" si="152"/>
        <v/>
      </c>
      <c r="B4876" s="18" t="str">
        <f t="shared" si="153"/>
        <v/>
      </c>
    </row>
    <row r="4877" spans="1:2" x14ac:dyDescent="0.25">
      <c r="A4877" s="15" t="str">
        <f t="shared" si="152"/>
        <v/>
      </c>
      <c r="B4877" s="18" t="str">
        <f t="shared" si="153"/>
        <v/>
      </c>
    </row>
    <row r="4878" spans="1:2" x14ac:dyDescent="0.25">
      <c r="A4878" s="15" t="str">
        <f t="shared" si="152"/>
        <v/>
      </c>
      <c r="B4878" s="18" t="str">
        <f t="shared" si="153"/>
        <v/>
      </c>
    </row>
    <row r="4879" spans="1:2" x14ac:dyDescent="0.25">
      <c r="A4879" s="15" t="str">
        <f t="shared" si="152"/>
        <v/>
      </c>
      <c r="B4879" s="18" t="str">
        <f t="shared" si="153"/>
        <v/>
      </c>
    </row>
    <row r="4880" spans="1:2" x14ac:dyDescent="0.25">
      <c r="A4880" s="15" t="str">
        <f t="shared" si="152"/>
        <v/>
      </c>
      <c r="B4880" s="18" t="str">
        <f t="shared" si="153"/>
        <v/>
      </c>
    </row>
    <row r="4881" spans="1:2" x14ac:dyDescent="0.25">
      <c r="A4881" s="15" t="str">
        <f t="shared" si="152"/>
        <v/>
      </c>
      <c r="B4881" s="18" t="str">
        <f t="shared" si="153"/>
        <v/>
      </c>
    </row>
    <row r="4882" spans="1:2" x14ac:dyDescent="0.25">
      <c r="A4882" s="15" t="str">
        <f t="shared" si="152"/>
        <v/>
      </c>
      <c r="B4882" s="18" t="str">
        <f t="shared" si="153"/>
        <v/>
      </c>
    </row>
    <row r="4883" spans="1:2" x14ac:dyDescent="0.25">
      <c r="A4883" s="15" t="str">
        <f t="shared" si="152"/>
        <v/>
      </c>
      <c r="B4883" s="18" t="str">
        <f t="shared" si="153"/>
        <v/>
      </c>
    </row>
    <row r="4884" spans="1:2" x14ac:dyDescent="0.25">
      <c r="A4884" s="15" t="str">
        <f t="shared" si="152"/>
        <v/>
      </c>
      <c r="B4884" s="18" t="str">
        <f t="shared" si="153"/>
        <v/>
      </c>
    </row>
    <row r="4885" spans="1:2" x14ac:dyDescent="0.25">
      <c r="A4885" s="15" t="str">
        <f t="shared" si="152"/>
        <v/>
      </c>
      <c r="B4885" s="18" t="str">
        <f t="shared" si="153"/>
        <v/>
      </c>
    </row>
    <row r="4886" spans="1:2" x14ac:dyDescent="0.25">
      <c r="A4886" s="15" t="str">
        <f t="shared" si="152"/>
        <v/>
      </c>
      <c r="B4886" s="18" t="str">
        <f t="shared" si="153"/>
        <v/>
      </c>
    </row>
    <row r="4887" spans="1:2" x14ac:dyDescent="0.25">
      <c r="A4887" s="15" t="str">
        <f t="shared" si="152"/>
        <v/>
      </c>
      <c r="B4887" s="18" t="str">
        <f t="shared" si="153"/>
        <v/>
      </c>
    </row>
    <row r="4888" spans="1:2" x14ac:dyDescent="0.25">
      <c r="A4888" s="15" t="str">
        <f t="shared" si="152"/>
        <v/>
      </c>
      <c r="B4888" s="18" t="str">
        <f t="shared" si="153"/>
        <v/>
      </c>
    </row>
    <row r="4889" spans="1:2" x14ac:dyDescent="0.25">
      <c r="A4889" s="15" t="str">
        <f t="shared" si="152"/>
        <v/>
      </c>
      <c r="B4889" s="18" t="str">
        <f t="shared" si="153"/>
        <v/>
      </c>
    </row>
    <row r="4890" spans="1:2" x14ac:dyDescent="0.25">
      <c r="A4890" s="15" t="str">
        <f t="shared" si="152"/>
        <v/>
      </c>
      <c r="B4890" s="18" t="str">
        <f t="shared" si="153"/>
        <v/>
      </c>
    </row>
    <row r="4891" spans="1:2" x14ac:dyDescent="0.25">
      <c r="A4891" s="15" t="str">
        <f t="shared" si="152"/>
        <v/>
      </c>
      <c r="B4891" s="18" t="str">
        <f t="shared" si="153"/>
        <v/>
      </c>
    </row>
    <row r="4892" spans="1:2" x14ac:dyDescent="0.25">
      <c r="A4892" s="15" t="str">
        <f t="shared" si="152"/>
        <v/>
      </c>
      <c r="B4892" s="18" t="str">
        <f t="shared" si="153"/>
        <v/>
      </c>
    </row>
    <row r="4893" spans="1:2" x14ac:dyDescent="0.25">
      <c r="A4893" s="15" t="str">
        <f t="shared" si="152"/>
        <v/>
      </c>
      <c r="B4893" s="18" t="str">
        <f t="shared" si="153"/>
        <v/>
      </c>
    </row>
    <row r="4894" spans="1:2" x14ac:dyDescent="0.25">
      <c r="A4894" s="15" t="str">
        <f t="shared" si="152"/>
        <v/>
      </c>
      <c r="B4894" s="18" t="str">
        <f t="shared" si="153"/>
        <v/>
      </c>
    </row>
    <row r="4895" spans="1:2" x14ac:dyDescent="0.25">
      <c r="A4895" s="15" t="str">
        <f t="shared" si="152"/>
        <v/>
      </c>
      <c r="B4895" s="18" t="str">
        <f t="shared" si="153"/>
        <v/>
      </c>
    </row>
    <row r="4896" spans="1:2" x14ac:dyDescent="0.25">
      <c r="A4896" s="15" t="str">
        <f t="shared" si="152"/>
        <v/>
      </c>
      <c r="B4896" s="18" t="str">
        <f t="shared" si="153"/>
        <v/>
      </c>
    </row>
    <row r="4897" spans="1:2" x14ac:dyDescent="0.25">
      <c r="A4897" s="15" t="str">
        <f t="shared" si="152"/>
        <v/>
      </c>
      <c r="B4897" s="18" t="str">
        <f t="shared" si="153"/>
        <v/>
      </c>
    </row>
    <row r="4898" spans="1:2" x14ac:dyDescent="0.25">
      <c r="A4898" s="15" t="str">
        <f t="shared" si="152"/>
        <v/>
      </c>
      <c r="B4898" s="18" t="str">
        <f t="shared" si="153"/>
        <v/>
      </c>
    </row>
    <row r="4899" spans="1:2" x14ac:dyDescent="0.25">
      <c r="A4899" s="15" t="str">
        <f t="shared" si="152"/>
        <v/>
      </c>
      <c r="B4899" s="18" t="str">
        <f t="shared" si="153"/>
        <v/>
      </c>
    </row>
    <row r="4900" spans="1:2" x14ac:dyDescent="0.25">
      <c r="A4900" s="15" t="str">
        <f t="shared" si="152"/>
        <v/>
      </c>
      <c r="B4900" s="18" t="str">
        <f t="shared" si="153"/>
        <v/>
      </c>
    </row>
    <row r="4901" spans="1:2" x14ac:dyDescent="0.25">
      <c r="A4901" s="15" t="str">
        <f t="shared" si="152"/>
        <v/>
      </c>
      <c r="B4901" s="18" t="str">
        <f t="shared" si="153"/>
        <v/>
      </c>
    </row>
    <row r="4902" spans="1:2" x14ac:dyDescent="0.25">
      <c r="A4902" s="15" t="str">
        <f t="shared" si="152"/>
        <v/>
      </c>
      <c r="B4902" s="18" t="str">
        <f t="shared" si="153"/>
        <v/>
      </c>
    </row>
    <row r="4903" spans="1:2" x14ac:dyDescent="0.25">
      <c r="A4903" s="15" t="str">
        <f t="shared" si="152"/>
        <v/>
      </c>
      <c r="B4903" s="18" t="str">
        <f t="shared" si="153"/>
        <v/>
      </c>
    </row>
    <row r="4904" spans="1:2" x14ac:dyDescent="0.25">
      <c r="A4904" s="15" t="str">
        <f t="shared" si="152"/>
        <v/>
      </c>
      <c r="B4904" s="18" t="str">
        <f t="shared" si="153"/>
        <v/>
      </c>
    </row>
    <row r="4905" spans="1:2" x14ac:dyDescent="0.25">
      <c r="A4905" s="15" t="str">
        <f t="shared" si="152"/>
        <v/>
      </c>
      <c r="B4905" s="18" t="str">
        <f t="shared" si="153"/>
        <v/>
      </c>
    </row>
    <row r="4906" spans="1:2" x14ac:dyDescent="0.25">
      <c r="A4906" s="15" t="str">
        <f t="shared" si="152"/>
        <v/>
      </c>
      <c r="B4906" s="18" t="str">
        <f t="shared" si="153"/>
        <v/>
      </c>
    </row>
    <row r="4907" spans="1:2" x14ac:dyDescent="0.25">
      <c r="A4907" s="15" t="str">
        <f t="shared" si="152"/>
        <v/>
      </c>
      <c r="B4907" s="18" t="str">
        <f t="shared" si="153"/>
        <v/>
      </c>
    </row>
    <row r="4908" spans="1:2" x14ac:dyDescent="0.25">
      <c r="A4908" s="15" t="str">
        <f t="shared" si="152"/>
        <v/>
      </c>
      <c r="B4908" s="18" t="str">
        <f t="shared" si="153"/>
        <v/>
      </c>
    </row>
    <row r="4909" spans="1:2" x14ac:dyDescent="0.25">
      <c r="A4909" s="15" t="str">
        <f t="shared" si="152"/>
        <v/>
      </c>
      <c r="B4909" s="18" t="str">
        <f t="shared" si="153"/>
        <v/>
      </c>
    </row>
    <row r="4910" spans="1:2" x14ac:dyDescent="0.25">
      <c r="A4910" s="15" t="str">
        <f t="shared" si="152"/>
        <v/>
      </c>
      <c r="B4910" s="18" t="str">
        <f t="shared" si="153"/>
        <v/>
      </c>
    </row>
    <row r="4911" spans="1:2" x14ac:dyDescent="0.25">
      <c r="A4911" s="15" t="str">
        <f t="shared" si="152"/>
        <v/>
      </c>
      <c r="B4911" s="18" t="str">
        <f t="shared" si="153"/>
        <v/>
      </c>
    </row>
    <row r="4912" spans="1:2" x14ac:dyDescent="0.25">
      <c r="A4912" s="15" t="str">
        <f t="shared" si="152"/>
        <v/>
      </c>
      <c r="B4912" s="18" t="str">
        <f t="shared" si="153"/>
        <v/>
      </c>
    </row>
    <row r="4913" spans="1:2" x14ac:dyDescent="0.25">
      <c r="A4913" s="15" t="str">
        <f t="shared" si="152"/>
        <v/>
      </c>
      <c r="B4913" s="18" t="str">
        <f t="shared" si="153"/>
        <v/>
      </c>
    </row>
    <row r="4914" spans="1:2" x14ac:dyDescent="0.25">
      <c r="A4914" s="15" t="str">
        <f t="shared" si="152"/>
        <v/>
      </c>
      <c r="B4914" s="18" t="str">
        <f t="shared" si="153"/>
        <v/>
      </c>
    </row>
    <row r="4915" spans="1:2" x14ac:dyDescent="0.25">
      <c r="A4915" s="15" t="str">
        <f t="shared" si="152"/>
        <v/>
      </c>
      <c r="B4915" s="18" t="str">
        <f t="shared" si="153"/>
        <v/>
      </c>
    </row>
    <row r="4916" spans="1:2" x14ac:dyDescent="0.25">
      <c r="A4916" s="15" t="str">
        <f t="shared" si="152"/>
        <v/>
      </c>
      <c r="B4916" s="18" t="str">
        <f t="shared" si="153"/>
        <v/>
      </c>
    </row>
    <row r="4917" spans="1:2" x14ac:dyDescent="0.25">
      <c r="A4917" s="15" t="str">
        <f t="shared" si="152"/>
        <v/>
      </c>
      <c r="B4917" s="18" t="str">
        <f t="shared" si="153"/>
        <v/>
      </c>
    </row>
    <row r="4918" spans="1:2" x14ac:dyDescent="0.25">
      <c r="A4918" s="15" t="str">
        <f t="shared" si="152"/>
        <v/>
      </c>
      <c r="B4918" s="18" t="str">
        <f t="shared" si="153"/>
        <v/>
      </c>
    </row>
    <row r="4919" spans="1:2" x14ac:dyDescent="0.25">
      <c r="A4919" s="15" t="str">
        <f t="shared" si="152"/>
        <v/>
      </c>
      <c r="B4919" s="18" t="str">
        <f t="shared" si="153"/>
        <v/>
      </c>
    </row>
    <row r="4920" spans="1:2" x14ac:dyDescent="0.25">
      <c r="A4920" s="15" t="str">
        <f t="shared" si="152"/>
        <v/>
      </c>
      <c r="B4920" s="18" t="str">
        <f t="shared" si="153"/>
        <v/>
      </c>
    </row>
    <row r="4921" spans="1:2" x14ac:dyDescent="0.25">
      <c r="A4921" s="15" t="str">
        <f t="shared" si="152"/>
        <v/>
      </c>
      <c r="B4921" s="18" t="str">
        <f t="shared" si="153"/>
        <v/>
      </c>
    </row>
    <row r="4922" spans="1:2" x14ac:dyDescent="0.25">
      <c r="A4922" s="15" t="str">
        <f t="shared" si="152"/>
        <v/>
      </c>
      <c r="B4922" s="18" t="str">
        <f t="shared" si="153"/>
        <v/>
      </c>
    </row>
    <row r="4923" spans="1:2" x14ac:dyDescent="0.25">
      <c r="A4923" s="15" t="str">
        <f t="shared" si="152"/>
        <v/>
      </c>
      <c r="B4923" s="18" t="str">
        <f t="shared" si="153"/>
        <v/>
      </c>
    </row>
    <row r="4924" spans="1:2" x14ac:dyDescent="0.25">
      <c r="A4924" s="15" t="str">
        <f t="shared" si="152"/>
        <v/>
      </c>
      <c r="B4924" s="18" t="str">
        <f t="shared" si="153"/>
        <v/>
      </c>
    </row>
    <row r="4925" spans="1:2" x14ac:dyDescent="0.25">
      <c r="A4925" s="15" t="str">
        <f t="shared" si="152"/>
        <v/>
      </c>
      <c r="B4925" s="18" t="str">
        <f t="shared" si="153"/>
        <v/>
      </c>
    </row>
    <row r="4926" spans="1:2" x14ac:dyDescent="0.25">
      <c r="A4926" s="15" t="str">
        <f t="shared" si="152"/>
        <v/>
      </c>
      <c r="B4926" s="18" t="str">
        <f t="shared" si="153"/>
        <v/>
      </c>
    </row>
    <row r="4927" spans="1:2" x14ac:dyDescent="0.25">
      <c r="A4927" s="15" t="str">
        <f t="shared" si="152"/>
        <v/>
      </c>
      <c r="B4927" s="18" t="str">
        <f t="shared" si="153"/>
        <v/>
      </c>
    </row>
    <row r="4928" spans="1:2" x14ac:dyDescent="0.25">
      <c r="A4928" s="15" t="str">
        <f t="shared" si="152"/>
        <v/>
      </c>
      <c r="B4928" s="18" t="str">
        <f t="shared" si="153"/>
        <v/>
      </c>
    </row>
    <row r="4929" spans="1:2" x14ac:dyDescent="0.25">
      <c r="A4929" s="15" t="str">
        <f t="shared" si="152"/>
        <v/>
      </c>
      <c r="B4929" s="18" t="str">
        <f t="shared" si="153"/>
        <v/>
      </c>
    </row>
    <row r="4930" spans="1:2" x14ac:dyDescent="0.25">
      <c r="A4930" s="15" t="str">
        <f t="shared" ref="A4930:A4993" si="154">B4930&amp;C4930</f>
        <v/>
      </c>
      <c r="B4930" s="18" t="str">
        <f t="shared" si="153"/>
        <v/>
      </c>
    </row>
    <row r="4931" spans="1:2" x14ac:dyDescent="0.25">
      <c r="A4931" s="15" t="str">
        <f t="shared" si="154"/>
        <v/>
      </c>
      <c r="B4931" s="18" t="str">
        <f t="shared" ref="B4931:B4994" si="155">IF(C4931="","",B4930)</f>
        <v/>
      </c>
    </row>
    <row r="4932" spans="1:2" x14ac:dyDescent="0.25">
      <c r="A4932" s="15" t="str">
        <f t="shared" si="154"/>
        <v/>
      </c>
      <c r="B4932" s="18" t="str">
        <f t="shared" si="155"/>
        <v/>
      </c>
    </row>
    <row r="4933" spans="1:2" x14ac:dyDescent="0.25">
      <c r="A4933" s="15" t="str">
        <f t="shared" si="154"/>
        <v/>
      </c>
      <c r="B4933" s="18" t="str">
        <f t="shared" si="155"/>
        <v/>
      </c>
    </row>
    <row r="4934" spans="1:2" x14ac:dyDescent="0.25">
      <c r="A4934" s="15" t="str">
        <f t="shared" si="154"/>
        <v/>
      </c>
      <c r="B4934" s="18" t="str">
        <f t="shared" si="155"/>
        <v/>
      </c>
    </row>
    <row r="4935" spans="1:2" x14ac:dyDescent="0.25">
      <c r="A4935" s="15" t="str">
        <f t="shared" si="154"/>
        <v/>
      </c>
      <c r="B4935" s="18" t="str">
        <f t="shared" si="155"/>
        <v/>
      </c>
    </row>
    <row r="4936" spans="1:2" x14ac:dyDescent="0.25">
      <c r="A4936" s="15" t="str">
        <f t="shared" si="154"/>
        <v/>
      </c>
      <c r="B4936" s="18" t="str">
        <f t="shared" si="155"/>
        <v/>
      </c>
    </row>
    <row r="4937" spans="1:2" x14ac:dyDescent="0.25">
      <c r="A4937" s="15" t="str">
        <f t="shared" si="154"/>
        <v/>
      </c>
      <c r="B4937" s="18" t="str">
        <f t="shared" si="155"/>
        <v/>
      </c>
    </row>
    <row r="4938" spans="1:2" x14ac:dyDescent="0.25">
      <c r="A4938" s="15" t="str">
        <f t="shared" si="154"/>
        <v/>
      </c>
      <c r="B4938" s="18" t="str">
        <f t="shared" si="155"/>
        <v/>
      </c>
    </row>
    <row r="4939" spans="1:2" x14ac:dyDescent="0.25">
      <c r="A4939" s="15" t="str">
        <f t="shared" si="154"/>
        <v/>
      </c>
      <c r="B4939" s="18" t="str">
        <f t="shared" si="155"/>
        <v/>
      </c>
    </row>
    <row r="4940" spans="1:2" x14ac:dyDescent="0.25">
      <c r="A4940" s="15" t="str">
        <f t="shared" si="154"/>
        <v/>
      </c>
      <c r="B4940" s="18" t="str">
        <f t="shared" si="155"/>
        <v/>
      </c>
    </row>
    <row r="4941" spans="1:2" x14ac:dyDescent="0.25">
      <c r="A4941" s="15" t="str">
        <f t="shared" si="154"/>
        <v/>
      </c>
      <c r="B4941" s="18" t="str">
        <f t="shared" si="155"/>
        <v/>
      </c>
    </row>
    <row r="4942" spans="1:2" x14ac:dyDescent="0.25">
      <c r="A4942" s="15" t="str">
        <f t="shared" si="154"/>
        <v/>
      </c>
      <c r="B4942" s="18" t="str">
        <f t="shared" si="155"/>
        <v/>
      </c>
    </row>
    <row r="4943" spans="1:2" x14ac:dyDescent="0.25">
      <c r="A4943" s="15" t="str">
        <f t="shared" si="154"/>
        <v/>
      </c>
      <c r="B4943" s="18" t="str">
        <f t="shared" si="155"/>
        <v/>
      </c>
    </row>
    <row r="4944" spans="1:2" x14ac:dyDescent="0.25">
      <c r="A4944" s="15" t="str">
        <f t="shared" si="154"/>
        <v/>
      </c>
      <c r="B4944" s="18" t="str">
        <f t="shared" si="155"/>
        <v/>
      </c>
    </row>
    <row r="4945" spans="1:2" x14ac:dyDescent="0.25">
      <c r="A4945" s="15" t="str">
        <f t="shared" si="154"/>
        <v/>
      </c>
      <c r="B4945" s="18" t="str">
        <f t="shared" si="155"/>
        <v/>
      </c>
    </row>
    <row r="4946" spans="1:2" x14ac:dyDescent="0.25">
      <c r="A4946" s="15" t="str">
        <f t="shared" si="154"/>
        <v/>
      </c>
      <c r="B4946" s="18" t="str">
        <f t="shared" si="155"/>
        <v/>
      </c>
    </row>
    <row r="4947" spans="1:2" x14ac:dyDescent="0.25">
      <c r="A4947" s="15" t="str">
        <f t="shared" si="154"/>
        <v/>
      </c>
      <c r="B4947" s="18" t="str">
        <f t="shared" si="155"/>
        <v/>
      </c>
    </row>
    <row r="4948" spans="1:2" x14ac:dyDescent="0.25">
      <c r="A4948" s="15" t="str">
        <f t="shared" si="154"/>
        <v/>
      </c>
      <c r="B4948" s="18" t="str">
        <f t="shared" si="155"/>
        <v/>
      </c>
    </row>
    <row r="4949" spans="1:2" x14ac:dyDescent="0.25">
      <c r="A4949" s="15" t="str">
        <f t="shared" si="154"/>
        <v/>
      </c>
      <c r="B4949" s="18" t="str">
        <f t="shared" si="155"/>
        <v/>
      </c>
    </row>
    <row r="4950" spans="1:2" x14ac:dyDescent="0.25">
      <c r="A4950" s="15" t="str">
        <f t="shared" si="154"/>
        <v/>
      </c>
      <c r="B4950" s="18" t="str">
        <f t="shared" si="155"/>
        <v/>
      </c>
    </row>
    <row r="4951" spans="1:2" x14ac:dyDescent="0.25">
      <c r="A4951" s="15" t="str">
        <f t="shared" si="154"/>
        <v/>
      </c>
      <c r="B4951" s="18" t="str">
        <f t="shared" si="155"/>
        <v/>
      </c>
    </row>
    <row r="4952" spans="1:2" x14ac:dyDescent="0.25">
      <c r="A4952" s="15" t="str">
        <f t="shared" si="154"/>
        <v/>
      </c>
      <c r="B4952" s="18" t="str">
        <f t="shared" si="155"/>
        <v/>
      </c>
    </row>
    <row r="4953" spans="1:2" x14ac:dyDescent="0.25">
      <c r="A4953" s="15" t="str">
        <f t="shared" si="154"/>
        <v/>
      </c>
      <c r="B4953" s="18" t="str">
        <f t="shared" si="155"/>
        <v/>
      </c>
    </row>
    <row r="4954" spans="1:2" x14ac:dyDescent="0.25">
      <c r="A4954" s="15" t="str">
        <f t="shared" si="154"/>
        <v/>
      </c>
      <c r="B4954" s="18" t="str">
        <f t="shared" si="155"/>
        <v/>
      </c>
    </row>
    <row r="4955" spans="1:2" x14ac:dyDescent="0.25">
      <c r="A4955" s="15" t="str">
        <f t="shared" si="154"/>
        <v/>
      </c>
      <c r="B4955" s="18" t="str">
        <f t="shared" si="155"/>
        <v/>
      </c>
    </row>
    <row r="4956" spans="1:2" x14ac:dyDescent="0.25">
      <c r="A4956" s="15" t="str">
        <f t="shared" si="154"/>
        <v/>
      </c>
      <c r="B4956" s="18" t="str">
        <f t="shared" si="155"/>
        <v/>
      </c>
    </row>
    <row r="4957" spans="1:2" x14ac:dyDescent="0.25">
      <c r="A4957" s="15" t="str">
        <f t="shared" si="154"/>
        <v/>
      </c>
      <c r="B4957" s="18" t="str">
        <f t="shared" si="155"/>
        <v/>
      </c>
    </row>
    <row r="4958" spans="1:2" x14ac:dyDescent="0.25">
      <c r="A4958" s="15" t="str">
        <f t="shared" si="154"/>
        <v/>
      </c>
      <c r="B4958" s="18" t="str">
        <f t="shared" si="155"/>
        <v/>
      </c>
    </row>
    <row r="4959" spans="1:2" x14ac:dyDescent="0.25">
      <c r="A4959" s="15" t="str">
        <f t="shared" si="154"/>
        <v/>
      </c>
      <c r="B4959" s="18" t="str">
        <f t="shared" si="155"/>
        <v/>
      </c>
    </row>
    <row r="4960" spans="1:2" x14ac:dyDescent="0.25">
      <c r="A4960" s="15" t="str">
        <f t="shared" si="154"/>
        <v/>
      </c>
      <c r="B4960" s="18" t="str">
        <f t="shared" si="155"/>
        <v/>
      </c>
    </row>
    <row r="4961" spans="1:2" x14ac:dyDescent="0.25">
      <c r="A4961" s="15" t="str">
        <f t="shared" si="154"/>
        <v/>
      </c>
      <c r="B4961" s="18" t="str">
        <f t="shared" si="155"/>
        <v/>
      </c>
    </row>
    <row r="4962" spans="1:2" x14ac:dyDescent="0.25">
      <c r="A4962" s="15" t="str">
        <f t="shared" si="154"/>
        <v/>
      </c>
      <c r="B4962" s="18" t="str">
        <f t="shared" si="155"/>
        <v/>
      </c>
    </row>
    <row r="4963" spans="1:2" x14ac:dyDescent="0.25">
      <c r="A4963" s="15" t="str">
        <f t="shared" si="154"/>
        <v/>
      </c>
      <c r="B4963" s="18" t="str">
        <f t="shared" si="155"/>
        <v/>
      </c>
    </row>
    <row r="4964" spans="1:2" x14ac:dyDescent="0.25">
      <c r="A4964" s="15" t="str">
        <f t="shared" si="154"/>
        <v/>
      </c>
      <c r="B4964" s="18" t="str">
        <f t="shared" si="155"/>
        <v/>
      </c>
    </row>
    <row r="4965" spans="1:2" x14ac:dyDescent="0.25">
      <c r="A4965" s="15" t="str">
        <f t="shared" si="154"/>
        <v/>
      </c>
      <c r="B4965" s="18" t="str">
        <f t="shared" si="155"/>
        <v/>
      </c>
    </row>
    <row r="4966" spans="1:2" x14ac:dyDescent="0.25">
      <c r="A4966" s="15" t="str">
        <f t="shared" si="154"/>
        <v/>
      </c>
      <c r="B4966" s="18" t="str">
        <f t="shared" si="155"/>
        <v/>
      </c>
    </row>
    <row r="4967" spans="1:2" x14ac:dyDescent="0.25">
      <c r="A4967" s="15" t="str">
        <f t="shared" si="154"/>
        <v/>
      </c>
      <c r="B4967" s="18" t="str">
        <f t="shared" si="155"/>
        <v/>
      </c>
    </row>
    <row r="4968" spans="1:2" x14ac:dyDescent="0.25">
      <c r="A4968" s="15" t="str">
        <f t="shared" si="154"/>
        <v/>
      </c>
      <c r="B4968" s="18" t="str">
        <f t="shared" si="155"/>
        <v/>
      </c>
    </row>
    <row r="4969" spans="1:2" x14ac:dyDescent="0.25">
      <c r="A4969" s="15" t="str">
        <f t="shared" si="154"/>
        <v/>
      </c>
      <c r="B4969" s="18" t="str">
        <f t="shared" si="155"/>
        <v/>
      </c>
    </row>
    <row r="4970" spans="1:2" x14ac:dyDescent="0.25">
      <c r="A4970" s="15" t="str">
        <f t="shared" si="154"/>
        <v/>
      </c>
      <c r="B4970" s="18" t="str">
        <f t="shared" si="155"/>
        <v/>
      </c>
    </row>
    <row r="4971" spans="1:2" x14ac:dyDescent="0.25">
      <c r="A4971" s="15" t="str">
        <f t="shared" si="154"/>
        <v/>
      </c>
      <c r="B4971" s="18" t="str">
        <f t="shared" si="155"/>
        <v/>
      </c>
    </row>
    <row r="4972" spans="1:2" x14ac:dyDescent="0.25">
      <c r="A4972" s="15" t="str">
        <f t="shared" si="154"/>
        <v/>
      </c>
      <c r="B4972" s="18" t="str">
        <f t="shared" si="155"/>
        <v/>
      </c>
    </row>
    <row r="4973" spans="1:2" x14ac:dyDescent="0.25">
      <c r="A4973" s="15" t="str">
        <f t="shared" si="154"/>
        <v/>
      </c>
      <c r="B4973" s="18" t="str">
        <f t="shared" si="155"/>
        <v/>
      </c>
    </row>
    <row r="4974" spans="1:2" x14ac:dyDescent="0.25">
      <c r="A4974" s="15" t="str">
        <f t="shared" si="154"/>
        <v/>
      </c>
      <c r="B4974" s="18" t="str">
        <f t="shared" si="155"/>
        <v/>
      </c>
    </row>
    <row r="4975" spans="1:2" x14ac:dyDescent="0.25">
      <c r="A4975" s="15" t="str">
        <f t="shared" si="154"/>
        <v/>
      </c>
      <c r="B4975" s="18" t="str">
        <f t="shared" si="155"/>
        <v/>
      </c>
    </row>
    <row r="4976" spans="1:2" x14ac:dyDescent="0.25">
      <c r="A4976" s="15" t="str">
        <f t="shared" si="154"/>
        <v/>
      </c>
      <c r="B4976" s="18" t="str">
        <f t="shared" si="155"/>
        <v/>
      </c>
    </row>
    <row r="4977" spans="1:2" x14ac:dyDescent="0.25">
      <c r="A4977" s="15" t="str">
        <f t="shared" si="154"/>
        <v/>
      </c>
      <c r="B4977" s="18" t="str">
        <f t="shared" si="155"/>
        <v/>
      </c>
    </row>
    <row r="4978" spans="1:2" x14ac:dyDescent="0.25">
      <c r="A4978" s="15" t="str">
        <f t="shared" si="154"/>
        <v/>
      </c>
      <c r="B4978" s="18" t="str">
        <f t="shared" si="155"/>
        <v/>
      </c>
    </row>
    <row r="4979" spans="1:2" x14ac:dyDescent="0.25">
      <c r="A4979" s="15" t="str">
        <f t="shared" si="154"/>
        <v/>
      </c>
      <c r="B4979" s="18" t="str">
        <f t="shared" si="155"/>
        <v/>
      </c>
    </row>
    <row r="4980" spans="1:2" x14ac:dyDescent="0.25">
      <c r="A4980" s="15" t="str">
        <f t="shared" si="154"/>
        <v/>
      </c>
      <c r="B4980" s="18" t="str">
        <f t="shared" si="155"/>
        <v/>
      </c>
    </row>
    <row r="4981" spans="1:2" x14ac:dyDescent="0.25">
      <c r="A4981" s="15" t="str">
        <f t="shared" si="154"/>
        <v/>
      </c>
      <c r="B4981" s="18" t="str">
        <f t="shared" si="155"/>
        <v/>
      </c>
    </row>
    <row r="4982" spans="1:2" x14ac:dyDescent="0.25">
      <c r="A4982" s="15" t="str">
        <f t="shared" si="154"/>
        <v/>
      </c>
      <c r="B4982" s="18" t="str">
        <f t="shared" si="155"/>
        <v/>
      </c>
    </row>
    <row r="4983" spans="1:2" x14ac:dyDescent="0.25">
      <c r="A4983" s="15" t="str">
        <f t="shared" si="154"/>
        <v/>
      </c>
      <c r="B4983" s="18" t="str">
        <f t="shared" si="155"/>
        <v/>
      </c>
    </row>
    <row r="4984" spans="1:2" x14ac:dyDescent="0.25">
      <c r="A4984" s="15" t="str">
        <f t="shared" si="154"/>
        <v/>
      </c>
      <c r="B4984" s="18" t="str">
        <f t="shared" si="155"/>
        <v/>
      </c>
    </row>
    <row r="4985" spans="1:2" x14ac:dyDescent="0.25">
      <c r="A4985" s="15" t="str">
        <f t="shared" si="154"/>
        <v/>
      </c>
      <c r="B4985" s="18" t="str">
        <f t="shared" si="155"/>
        <v/>
      </c>
    </row>
    <row r="4986" spans="1:2" x14ac:dyDescent="0.25">
      <c r="A4986" s="15" t="str">
        <f t="shared" si="154"/>
        <v/>
      </c>
      <c r="B4986" s="18" t="str">
        <f t="shared" si="155"/>
        <v/>
      </c>
    </row>
    <row r="4987" spans="1:2" x14ac:dyDescent="0.25">
      <c r="A4987" s="15" t="str">
        <f t="shared" si="154"/>
        <v/>
      </c>
      <c r="B4987" s="18" t="str">
        <f t="shared" si="155"/>
        <v/>
      </c>
    </row>
    <row r="4988" spans="1:2" x14ac:dyDescent="0.25">
      <c r="A4988" s="15" t="str">
        <f t="shared" si="154"/>
        <v/>
      </c>
      <c r="B4988" s="18" t="str">
        <f t="shared" si="155"/>
        <v/>
      </c>
    </row>
    <row r="4989" spans="1:2" x14ac:dyDescent="0.25">
      <c r="A4989" s="15" t="str">
        <f t="shared" si="154"/>
        <v/>
      </c>
      <c r="B4989" s="18" t="str">
        <f t="shared" si="155"/>
        <v/>
      </c>
    </row>
    <row r="4990" spans="1:2" x14ac:dyDescent="0.25">
      <c r="A4990" s="15" t="str">
        <f t="shared" si="154"/>
        <v/>
      </c>
      <c r="B4990" s="18" t="str">
        <f t="shared" si="155"/>
        <v/>
      </c>
    </row>
    <row r="4991" spans="1:2" x14ac:dyDescent="0.25">
      <c r="A4991" s="15" t="str">
        <f t="shared" si="154"/>
        <v/>
      </c>
      <c r="B4991" s="18" t="str">
        <f t="shared" si="155"/>
        <v/>
      </c>
    </row>
    <row r="4992" spans="1:2" x14ac:dyDescent="0.25">
      <c r="A4992" s="15" t="str">
        <f t="shared" si="154"/>
        <v/>
      </c>
      <c r="B4992" s="18" t="str">
        <f t="shared" si="155"/>
        <v/>
      </c>
    </row>
    <row r="4993" spans="1:2" x14ac:dyDescent="0.25">
      <c r="A4993" s="15" t="str">
        <f t="shared" si="154"/>
        <v/>
      </c>
      <c r="B4993" s="18" t="str">
        <f t="shared" si="155"/>
        <v/>
      </c>
    </row>
    <row r="4994" spans="1:2" x14ac:dyDescent="0.25">
      <c r="A4994" s="15" t="str">
        <f t="shared" ref="A4994:A5057" si="156">B4994&amp;C4994</f>
        <v/>
      </c>
      <c r="B4994" s="18" t="str">
        <f t="shared" si="155"/>
        <v/>
      </c>
    </row>
    <row r="4995" spans="1:2" x14ac:dyDescent="0.25">
      <c r="A4995" s="15" t="str">
        <f t="shared" si="156"/>
        <v/>
      </c>
      <c r="B4995" s="18" t="str">
        <f t="shared" ref="B4995:B5058" si="157">IF(C4995="","",B4994)</f>
        <v/>
      </c>
    </row>
    <row r="4996" spans="1:2" x14ac:dyDescent="0.25">
      <c r="A4996" s="15" t="str">
        <f t="shared" si="156"/>
        <v/>
      </c>
      <c r="B4996" s="18" t="str">
        <f t="shared" si="157"/>
        <v/>
      </c>
    </row>
    <row r="4997" spans="1:2" x14ac:dyDescent="0.25">
      <c r="A4997" s="15" t="str">
        <f t="shared" si="156"/>
        <v/>
      </c>
      <c r="B4997" s="18" t="str">
        <f t="shared" si="157"/>
        <v/>
      </c>
    </row>
    <row r="4998" spans="1:2" x14ac:dyDescent="0.25">
      <c r="A4998" s="15" t="str">
        <f t="shared" si="156"/>
        <v/>
      </c>
      <c r="B4998" s="18" t="str">
        <f t="shared" si="157"/>
        <v/>
      </c>
    </row>
    <row r="4999" spans="1:2" x14ac:dyDescent="0.25">
      <c r="A4999" s="15" t="str">
        <f t="shared" si="156"/>
        <v/>
      </c>
      <c r="B4999" s="18" t="str">
        <f t="shared" si="157"/>
        <v/>
      </c>
    </row>
    <row r="5000" spans="1:2" x14ac:dyDescent="0.25">
      <c r="A5000" s="15" t="str">
        <f t="shared" si="156"/>
        <v/>
      </c>
      <c r="B5000" s="18" t="str">
        <f t="shared" si="157"/>
        <v/>
      </c>
    </row>
    <row r="5001" spans="1:2" x14ac:dyDescent="0.25">
      <c r="A5001" s="15" t="str">
        <f t="shared" si="156"/>
        <v/>
      </c>
      <c r="B5001" s="18" t="str">
        <f t="shared" si="157"/>
        <v/>
      </c>
    </row>
    <row r="5002" spans="1:2" x14ac:dyDescent="0.25">
      <c r="A5002" s="15" t="str">
        <f t="shared" si="156"/>
        <v/>
      </c>
      <c r="B5002" s="18" t="str">
        <f t="shared" si="157"/>
        <v/>
      </c>
    </row>
    <row r="5003" spans="1:2" x14ac:dyDescent="0.25">
      <c r="A5003" s="15" t="str">
        <f t="shared" si="156"/>
        <v/>
      </c>
      <c r="B5003" s="18" t="str">
        <f t="shared" si="157"/>
        <v/>
      </c>
    </row>
    <row r="5004" spans="1:2" x14ac:dyDescent="0.25">
      <c r="A5004" s="15" t="str">
        <f t="shared" si="156"/>
        <v/>
      </c>
      <c r="B5004" s="18" t="str">
        <f t="shared" si="157"/>
        <v/>
      </c>
    </row>
    <row r="5005" spans="1:2" x14ac:dyDescent="0.25">
      <c r="A5005" s="15" t="str">
        <f t="shared" si="156"/>
        <v/>
      </c>
      <c r="B5005" s="18" t="str">
        <f t="shared" si="157"/>
        <v/>
      </c>
    </row>
    <row r="5006" spans="1:2" x14ac:dyDescent="0.25">
      <c r="A5006" s="15" t="str">
        <f t="shared" si="156"/>
        <v/>
      </c>
      <c r="B5006" s="18" t="str">
        <f t="shared" si="157"/>
        <v/>
      </c>
    </row>
    <row r="5007" spans="1:2" x14ac:dyDescent="0.25">
      <c r="A5007" s="15" t="str">
        <f t="shared" si="156"/>
        <v/>
      </c>
      <c r="B5007" s="18" t="str">
        <f t="shared" si="157"/>
        <v/>
      </c>
    </row>
    <row r="5008" spans="1:2" x14ac:dyDescent="0.25">
      <c r="A5008" s="15" t="str">
        <f t="shared" si="156"/>
        <v/>
      </c>
      <c r="B5008" s="18" t="str">
        <f t="shared" si="157"/>
        <v/>
      </c>
    </row>
    <row r="5009" spans="1:2" x14ac:dyDescent="0.25">
      <c r="A5009" s="15" t="str">
        <f t="shared" si="156"/>
        <v/>
      </c>
      <c r="B5009" s="18" t="str">
        <f t="shared" si="157"/>
        <v/>
      </c>
    </row>
    <row r="5010" spans="1:2" x14ac:dyDescent="0.25">
      <c r="A5010" s="15" t="str">
        <f t="shared" si="156"/>
        <v/>
      </c>
      <c r="B5010" s="18" t="str">
        <f t="shared" si="157"/>
        <v/>
      </c>
    </row>
    <row r="5011" spans="1:2" x14ac:dyDescent="0.25">
      <c r="A5011" s="15" t="str">
        <f t="shared" si="156"/>
        <v/>
      </c>
      <c r="B5011" s="18" t="str">
        <f t="shared" si="157"/>
        <v/>
      </c>
    </row>
    <row r="5012" spans="1:2" x14ac:dyDescent="0.25">
      <c r="A5012" s="15" t="str">
        <f t="shared" si="156"/>
        <v/>
      </c>
      <c r="B5012" s="18" t="str">
        <f t="shared" si="157"/>
        <v/>
      </c>
    </row>
    <row r="5013" spans="1:2" x14ac:dyDescent="0.25">
      <c r="A5013" s="15" t="str">
        <f t="shared" si="156"/>
        <v/>
      </c>
      <c r="B5013" s="18" t="str">
        <f t="shared" si="157"/>
        <v/>
      </c>
    </row>
    <row r="5014" spans="1:2" x14ac:dyDescent="0.25">
      <c r="A5014" s="15" t="str">
        <f t="shared" si="156"/>
        <v/>
      </c>
      <c r="B5014" s="18" t="str">
        <f t="shared" si="157"/>
        <v/>
      </c>
    </row>
    <row r="5015" spans="1:2" x14ac:dyDescent="0.25">
      <c r="A5015" s="15" t="str">
        <f t="shared" si="156"/>
        <v/>
      </c>
      <c r="B5015" s="18" t="str">
        <f t="shared" si="157"/>
        <v/>
      </c>
    </row>
    <row r="5016" spans="1:2" x14ac:dyDescent="0.25">
      <c r="A5016" s="15" t="str">
        <f t="shared" si="156"/>
        <v/>
      </c>
      <c r="B5016" s="18" t="str">
        <f t="shared" si="157"/>
        <v/>
      </c>
    </row>
    <row r="5017" spans="1:2" x14ac:dyDescent="0.25">
      <c r="A5017" s="15" t="str">
        <f t="shared" si="156"/>
        <v/>
      </c>
      <c r="B5017" s="18" t="str">
        <f t="shared" si="157"/>
        <v/>
      </c>
    </row>
    <row r="5018" spans="1:2" x14ac:dyDescent="0.25">
      <c r="A5018" s="15" t="str">
        <f t="shared" si="156"/>
        <v/>
      </c>
      <c r="B5018" s="18" t="str">
        <f t="shared" si="157"/>
        <v/>
      </c>
    </row>
    <row r="5019" spans="1:2" x14ac:dyDescent="0.25">
      <c r="A5019" s="15" t="str">
        <f t="shared" si="156"/>
        <v/>
      </c>
      <c r="B5019" s="18" t="str">
        <f t="shared" si="157"/>
        <v/>
      </c>
    </row>
    <row r="5020" spans="1:2" x14ac:dyDescent="0.25">
      <c r="A5020" s="15" t="str">
        <f t="shared" si="156"/>
        <v/>
      </c>
      <c r="B5020" s="18" t="str">
        <f t="shared" si="157"/>
        <v/>
      </c>
    </row>
    <row r="5021" spans="1:2" x14ac:dyDescent="0.25">
      <c r="A5021" s="15" t="str">
        <f t="shared" si="156"/>
        <v/>
      </c>
      <c r="B5021" s="18" t="str">
        <f t="shared" si="157"/>
        <v/>
      </c>
    </row>
    <row r="5022" spans="1:2" x14ac:dyDescent="0.25">
      <c r="A5022" s="15" t="str">
        <f t="shared" si="156"/>
        <v/>
      </c>
      <c r="B5022" s="18" t="str">
        <f t="shared" si="157"/>
        <v/>
      </c>
    </row>
    <row r="5023" spans="1:2" x14ac:dyDescent="0.25">
      <c r="A5023" s="15" t="str">
        <f t="shared" si="156"/>
        <v/>
      </c>
      <c r="B5023" s="18" t="str">
        <f t="shared" si="157"/>
        <v/>
      </c>
    </row>
    <row r="5024" spans="1:2" x14ac:dyDescent="0.25">
      <c r="A5024" s="15" t="str">
        <f t="shared" si="156"/>
        <v/>
      </c>
      <c r="B5024" s="18" t="str">
        <f t="shared" si="157"/>
        <v/>
      </c>
    </row>
    <row r="5025" spans="1:2" x14ac:dyDescent="0.25">
      <c r="A5025" s="15" t="str">
        <f t="shared" si="156"/>
        <v/>
      </c>
      <c r="B5025" s="18" t="str">
        <f t="shared" si="157"/>
        <v/>
      </c>
    </row>
    <row r="5026" spans="1:2" x14ac:dyDescent="0.25">
      <c r="A5026" s="15" t="str">
        <f t="shared" si="156"/>
        <v/>
      </c>
      <c r="B5026" s="18" t="str">
        <f t="shared" si="157"/>
        <v/>
      </c>
    </row>
    <row r="5027" spans="1:2" x14ac:dyDescent="0.25">
      <c r="A5027" s="15" t="str">
        <f t="shared" si="156"/>
        <v/>
      </c>
      <c r="B5027" s="18" t="str">
        <f t="shared" si="157"/>
        <v/>
      </c>
    </row>
    <row r="5028" spans="1:2" x14ac:dyDescent="0.25">
      <c r="A5028" s="15" t="str">
        <f t="shared" si="156"/>
        <v/>
      </c>
      <c r="B5028" s="18" t="str">
        <f t="shared" si="157"/>
        <v/>
      </c>
    </row>
    <row r="5029" spans="1:2" x14ac:dyDescent="0.25">
      <c r="A5029" s="15" t="str">
        <f t="shared" si="156"/>
        <v/>
      </c>
      <c r="B5029" s="18" t="str">
        <f t="shared" si="157"/>
        <v/>
      </c>
    </row>
    <row r="5030" spans="1:2" x14ac:dyDescent="0.25">
      <c r="A5030" s="15" t="str">
        <f t="shared" si="156"/>
        <v/>
      </c>
      <c r="B5030" s="18" t="str">
        <f t="shared" si="157"/>
        <v/>
      </c>
    </row>
    <row r="5031" spans="1:2" x14ac:dyDescent="0.25">
      <c r="A5031" s="15" t="str">
        <f t="shared" si="156"/>
        <v/>
      </c>
      <c r="B5031" s="18" t="str">
        <f t="shared" si="157"/>
        <v/>
      </c>
    </row>
    <row r="5032" spans="1:2" x14ac:dyDescent="0.25">
      <c r="A5032" s="15" t="str">
        <f t="shared" si="156"/>
        <v/>
      </c>
      <c r="B5032" s="18" t="str">
        <f t="shared" si="157"/>
        <v/>
      </c>
    </row>
    <row r="5033" spans="1:2" x14ac:dyDescent="0.25">
      <c r="A5033" s="15" t="str">
        <f t="shared" si="156"/>
        <v/>
      </c>
      <c r="B5033" s="18" t="str">
        <f t="shared" si="157"/>
        <v/>
      </c>
    </row>
    <row r="5034" spans="1:2" x14ac:dyDescent="0.25">
      <c r="A5034" s="15" t="str">
        <f t="shared" si="156"/>
        <v/>
      </c>
      <c r="B5034" s="18" t="str">
        <f t="shared" si="157"/>
        <v/>
      </c>
    </row>
    <row r="5035" spans="1:2" x14ac:dyDescent="0.25">
      <c r="A5035" s="15" t="str">
        <f t="shared" si="156"/>
        <v/>
      </c>
      <c r="B5035" s="18" t="str">
        <f t="shared" si="157"/>
        <v/>
      </c>
    </row>
    <row r="5036" spans="1:2" x14ac:dyDescent="0.25">
      <c r="A5036" s="15" t="str">
        <f t="shared" si="156"/>
        <v/>
      </c>
      <c r="B5036" s="18" t="str">
        <f t="shared" si="157"/>
        <v/>
      </c>
    </row>
    <row r="5037" spans="1:2" x14ac:dyDescent="0.25">
      <c r="A5037" s="15" t="str">
        <f t="shared" si="156"/>
        <v/>
      </c>
      <c r="B5037" s="18" t="str">
        <f t="shared" si="157"/>
        <v/>
      </c>
    </row>
    <row r="5038" spans="1:2" x14ac:dyDescent="0.25">
      <c r="A5038" s="15" t="str">
        <f t="shared" si="156"/>
        <v/>
      </c>
      <c r="B5038" s="18" t="str">
        <f t="shared" si="157"/>
        <v/>
      </c>
    </row>
    <row r="5039" spans="1:2" x14ac:dyDescent="0.25">
      <c r="A5039" s="15" t="str">
        <f t="shared" si="156"/>
        <v/>
      </c>
      <c r="B5039" s="18" t="str">
        <f t="shared" si="157"/>
        <v/>
      </c>
    </row>
    <row r="5040" spans="1:2" x14ac:dyDescent="0.25">
      <c r="A5040" s="15" t="str">
        <f t="shared" si="156"/>
        <v/>
      </c>
      <c r="B5040" s="18" t="str">
        <f t="shared" si="157"/>
        <v/>
      </c>
    </row>
    <row r="5041" spans="1:2" x14ac:dyDescent="0.25">
      <c r="A5041" s="15" t="str">
        <f t="shared" si="156"/>
        <v/>
      </c>
      <c r="B5041" s="18" t="str">
        <f t="shared" si="157"/>
        <v/>
      </c>
    </row>
    <row r="5042" spans="1:2" x14ac:dyDescent="0.25">
      <c r="A5042" s="15" t="str">
        <f t="shared" si="156"/>
        <v/>
      </c>
      <c r="B5042" s="18" t="str">
        <f t="shared" si="157"/>
        <v/>
      </c>
    </row>
    <row r="5043" spans="1:2" x14ac:dyDescent="0.25">
      <c r="A5043" s="15" t="str">
        <f t="shared" si="156"/>
        <v/>
      </c>
      <c r="B5043" s="18" t="str">
        <f t="shared" si="157"/>
        <v/>
      </c>
    </row>
    <row r="5044" spans="1:2" x14ac:dyDescent="0.25">
      <c r="A5044" s="15" t="str">
        <f t="shared" si="156"/>
        <v/>
      </c>
      <c r="B5044" s="18" t="str">
        <f t="shared" si="157"/>
        <v/>
      </c>
    </row>
    <row r="5045" spans="1:2" x14ac:dyDescent="0.25">
      <c r="A5045" s="15" t="str">
        <f t="shared" si="156"/>
        <v/>
      </c>
      <c r="B5045" s="18" t="str">
        <f t="shared" si="157"/>
        <v/>
      </c>
    </row>
    <row r="5046" spans="1:2" x14ac:dyDescent="0.25">
      <c r="A5046" s="15" t="str">
        <f t="shared" si="156"/>
        <v/>
      </c>
      <c r="B5046" s="18" t="str">
        <f t="shared" si="157"/>
        <v/>
      </c>
    </row>
    <row r="5047" spans="1:2" x14ac:dyDescent="0.25">
      <c r="A5047" s="15" t="str">
        <f t="shared" si="156"/>
        <v/>
      </c>
      <c r="B5047" s="18" t="str">
        <f t="shared" si="157"/>
        <v/>
      </c>
    </row>
    <row r="5048" spans="1:2" x14ac:dyDescent="0.25">
      <c r="A5048" s="15" t="str">
        <f t="shared" si="156"/>
        <v/>
      </c>
      <c r="B5048" s="18" t="str">
        <f t="shared" si="157"/>
        <v/>
      </c>
    </row>
    <row r="5049" spans="1:2" x14ac:dyDescent="0.25">
      <c r="A5049" s="15" t="str">
        <f t="shared" si="156"/>
        <v/>
      </c>
      <c r="B5049" s="18" t="str">
        <f t="shared" si="157"/>
        <v/>
      </c>
    </row>
    <row r="5050" spans="1:2" x14ac:dyDescent="0.25">
      <c r="A5050" s="15" t="str">
        <f t="shared" si="156"/>
        <v/>
      </c>
      <c r="B5050" s="18" t="str">
        <f t="shared" si="157"/>
        <v/>
      </c>
    </row>
    <row r="5051" spans="1:2" x14ac:dyDescent="0.25">
      <c r="A5051" s="15" t="str">
        <f t="shared" si="156"/>
        <v/>
      </c>
      <c r="B5051" s="18" t="str">
        <f t="shared" si="157"/>
        <v/>
      </c>
    </row>
    <row r="5052" spans="1:2" x14ac:dyDescent="0.25">
      <c r="A5052" s="15" t="str">
        <f t="shared" si="156"/>
        <v/>
      </c>
      <c r="B5052" s="18" t="str">
        <f t="shared" si="157"/>
        <v/>
      </c>
    </row>
    <row r="5053" spans="1:2" x14ac:dyDescent="0.25">
      <c r="A5053" s="15" t="str">
        <f t="shared" si="156"/>
        <v/>
      </c>
      <c r="B5053" s="18" t="str">
        <f t="shared" si="157"/>
        <v/>
      </c>
    </row>
    <row r="5054" spans="1:2" x14ac:dyDescent="0.25">
      <c r="A5054" s="15" t="str">
        <f t="shared" si="156"/>
        <v/>
      </c>
      <c r="B5054" s="18" t="str">
        <f t="shared" si="157"/>
        <v/>
      </c>
    </row>
    <row r="5055" spans="1:2" x14ac:dyDescent="0.25">
      <c r="A5055" s="15" t="str">
        <f t="shared" si="156"/>
        <v/>
      </c>
      <c r="B5055" s="18" t="str">
        <f t="shared" si="157"/>
        <v/>
      </c>
    </row>
    <row r="5056" spans="1:2" x14ac:dyDescent="0.25">
      <c r="A5056" s="15" t="str">
        <f t="shared" si="156"/>
        <v/>
      </c>
      <c r="B5056" s="18" t="str">
        <f t="shared" si="157"/>
        <v/>
      </c>
    </row>
    <row r="5057" spans="1:2" x14ac:dyDescent="0.25">
      <c r="A5057" s="15" t="str">
        <f t="shared" si="156"/>
        <v/>
      </c>
      <c r="B5057" s="18" t="str">
        <f t="shared" si="157"/>
        <v/>
      </c>
    </row>
    <row r="5058" spans="1:2" x14ac:dyDescent="0.25">
      <c r="A5058" s="15" t="str">
        <f t="shared" ref="A5058:A5121" si="158">B5058&amp;C5058</f>
        <v/>
      </c>
      <c r="B5058" s="18" t="str">
        <f t="shared" si="157"/>
        <v/>
      </c>
    </row>
    <row r="5059" spans="1:2" x14ac:dyDescent="0.25">
      <c r="A5059" s="15" t="str">
        <f t="shared" si="158"/>
        <v/>
      </c>
      <c r="B5059" s="18" t="str">
        <f t="shared" ref="B5059:B5122" si="159">IF(C5059="","",B5058)</f>
        <v/>
      </c>
    </row>
    <row r="5060" spans="1:2" x14ac:dyDescent="0.25">
      <c r="A5060" s="15" t="str">
        <f t="shared" si="158"/>
        <v/>
      </c>
      <c r="B5060" s="18" t="str">
        <f t="shared" si="159"/>
        <v/>
      </c>
    </row>
    <row r="5061" spans="1:2" x14ac:dyDescent="0.25">
      <c r="A5061" s="15" t="str">
        <f t="shared" si="158"/>
        <v/>
      </c>
      <c r="B5061" s="18" t="str">
        <f t="shared" si="159"/>
        <v/>
      </c>
    </row>
    <row r="5062" spans="1:2" x14ac:dyDescent="0.25">
      <c r="A5062" s="15" t="str">
        <f t="shared" si="158"/>
        <v/>
      </c>
      <c r="B5062" s="18" t="str">
        <f t="shared" si="159"/>
        <v/>
      </c>
    </row>
    <row r="5063" spans="1:2" x14ac:dyDescent="0.25">
      <c r="A5063" s="15" t="str">
        <f t="shared" si="158"/>
        <v/>
      </c>
      <c r="B5063" s="18" t="str">
        <f t="shared" si="159"/>
        <v/>
      </c>
    </row>
    <row r="5064" spans="1:2" x14ac:dyDescent="0.25">
      <c r="A5064" s="15" t="str">
        <f t="shared" si="158"/>
        <v/>
      </c>
      <c r="B5064" s="18" t="str">
        <f t="shared" si="159"/>
        <v/>
      </c>
    </row>
    <row r="5065" spans="1:2" x14ac:dyDescent="0.25">
      <c r="A5065" s="15" t="str">
        <f t="shared" si="158"/>
        <v/>
      </c>
      <c r="B5065" s="18" t="str">
        <f t="shared" si="159"/>
        <v/>
      </c>
    </row>
    <row r="5066" spans="1:2" x14ac:dyDescent="0.25">
      <c r="A5066" s="15" t="str">
        <f t="shared" si="158"/>
        <v/>
      </c>
      <c r="B5066" s="18" t="str">
        <f t="shared" si="159"/>
        <v/>
      </c>
    </row>
    <row r="5067" spans="1:2" x14ac:dyDescent="0.25">
      <c r="A5067" s="15" t="str">
        <f t="shared" si="158"/>
        <v/>
      </c>
      <c r="B5067" s="18" t="str">
        <f t="shared" si="159"/>
        <v/>
      </c>
    </row>
    <row r="5068" spans="1:2" x14ac:dyDescent="0.25">
      <c r="A5068" s="15" t="str">
        <f t="shared" si="158"/>
        <v/>
      </c>
      <c r="B5068" s="18" t="str">
        <f t="shared" si="159"/>
        <v/>
      </c>
    </row>
    <row r="5069" spans="1:2" x14ac:dyDescent="0.25">
      <c r="A5069" s="15" t="str">
        <f t="shared" si="158"/>
        <v/>
      </c>
      <c r="B5069" s="18" t="str">
        <f t="shared" si="159"/>
        <v/>
      </c>
    </row>
    <row r="5070" spans="1:2" x14ac:dyDescent="0.25">
      <c r="A5070" s="15" t="str">
        <f t="shared" si="158"/>
        <v/>
      </c>
      <c r="B5070" s="18" t="str">
        <f t="shared" si="159"/>
        <v/>
      </c>
    </row>
    <row r="5071" spans="1:2" x14ac:dyDescent="0.25">
      <c r="A5071" s="15" t="str">
        <f t="shared" si="158"/>
        <v/>
      </c>
      <c r="B5071" s="18" t="str">
        <f t="shared" si="159"/>
        <v/>
      </c>
    </row>
    <row r="5072" spans="1:2" x14ac:dyDescent="0.25">
      <c r="A5072" s="15" t="str">
        <f t="shared" si="158"/>
        <v/>
      </c>
      <c r="B5072" s="18" t="str">
        <f t="shared" si="159"/>
        <v/>
      </c>
    </row>
    <row r="5073" spans="1:2" x14ac:dyDescent="0.25">
      <c r="A5073" s="15" t="str">
        <f t="shared" si="158"/>
        <v/>
      </c>
      <c r="B5073" s="18" t="str">
        <f t="shared" si="159"/>
        <v/>
      </c>
    </row>
    <row r="5074" spans="1:2" x14ac:dyDescent="0.25">
      <c r="A5074" s="15" t="str">
        <f t="shared" si="158"/>
        <v/>
      </c>
      <c r="B5074" s="18" t="str">
        <f t="shared" si="159"/>
        <v/>
      </c>
    </row>
    <row r="5075" spans="1:2" x14ac:dyDescent="0.25">
      <c r="A5075" s="15" t="str">
        <f t="shared" si="158"/>
        <v/>
      </c>
      <c r="B5075" s="18" t="str">
        <f t="shared" si="159"/>
        <v/>
      </c>
    </row>
    <row r="5076" spans="1:2" x14ac:dyDescent="0.25">
      <c r="A5076" s="15" t="str">
        <f t="shared" si="158"/>
        <v/>
      </c>
      <c r="B5076" s="18" t="str">
        <f t="shared" si="159"/>
        <v/>
      </c>
    </row>
    <row r="5077" spans="1:2" x14ac:dyDescent="0.25">
      <c r="A5077" s="15" t="str">
        <f t="shared" si="158"/>
        <v/>
      </c>
      <c r="B5077" s="18" t="str">
        <f t="shared" si="159"/>
        <v/>
      </c>
    </row>
    <row r="5078" spans="1:2" x14ac:dyDescent="0.25">
      <c r="A5078" s="15" t="str">
        <f t="shared" si="158"/>
        <v/>
      </c>
      <c r="B5078" s="18" t="str">
        <f t="shared" si="159"/>
        <v/>
      </c>
    </row>
    <row r="5079" spans="1:2" x14ac:dyDescent="0.25">
      <c r="A5079" s="15" t="str">
        <f t="shared" si="158"/>
        <v/>
      </c>
      <c r="B5079" s="18" t="str">
        <f t="shared" si="159"/>
        <v/>
      </c>
    </row>
    <row r="5080" spans="1:2" x14ac:dyDescent="0.25">
      <c r="A5080" s="15" t="str">
        <f t="shared" si="158"/>
        <v/>
      </c>
      <c r="B5080" s="18" t="str">
        <f t="shared" si="159"/>
        <v/>
      </c>
    </row>
    <row r="5081" spans="1:2" x14ac:dyDescent="0.25">
      <c r="A5081" s="15" t="str">
        <f t="shared" si="158"/>
        <v/>
      </c>
      <c r="B5081" s="18" t="str">
        <f t="shared" si="159"/>
        <v/>
      </c>
    </row>
    <row r="5082" spans="1:2" x14ac:dyDescent="0.25">
      <c r="A5082" s="15" t="str">
        <f t="shared" si="158"/>
        <v/>
      </c>
      <c r="B5082" s="18" t="str">
        <f t="shared" si="159"/>
        <v/>
      </c>
    </row>
    <row r="5083" spans="1:2" x14ac:dyDescent="0.25">
      <c r="A5083" s="15" t="str">
        <f t="shared" si="158"/>
        <v/>
      </c>
      <c r="B5083" s="18" t="str">
        <f t="shared" si="159"/>
        <v/>
      </c>
    </row>
    <row r="5084" spans="1:2" x14ac:dyDescent="0.25">
      <c r="A5084" s="15" t="str">
        <f t="shared" si="158"/>
        <v/>
      </c>
      <c r="B5084" s="18" t="str">
        <f t="shared" si="159"/>
        <v/>
      </c>
    </row>
    <row r="5085" spans="1:2" x14ac:dyDescent="0.25">
      <c r="A5085" s="15" t="str">
        <f t="shared" si="158"/>
        <v/>
      </c>
      <c r="B5085" s="18" t="str">
        <f t="shared" si="159"/>
        <v/>
      </c>
    </row>
    <row r="5086" spans="1:2" x14ac:dyDescent="0.25">
      <c r="A5086" s="15" t="str">
        <f t="shared" si="158"/>
        <v/>
      </c>
      <c r="B5086" s="18" t="str">
        <f t="shared" si="159"/>
        <v/>
      </c>
    </row>
    <row r="5087" spans="1:2" x14ac:dyDescent="0.25">
      <c r="A5087" s="15" t="str">
        <f t="shared" si="158"/>
        <v/>
      </c>
      <c r="B5087" s="18" t="str">
        <f t="shared" si="159"/>
        <v/>
      </c>
    </row>
    <row r="5088" spans="1:2" x14ac:dyDescent="0.25">
      <c r="A5088" s="15" t="str">
        <f t="shared" si="158"/>
        <v/>
      </c>
      <c r="B5088" s="18" t="str">
        <f t="shared" si="159"/>
        <v/>
      </c>
    </row>
    <row r="5089" spans="1:2" x14ac:dyDescent="0.25">
      <c r="A5089" s="15" t="str">
        <f t="shared" si="158"/>
        <v/>
      </c>
      <c r="B5089" s="18" t="str">
        <f t="shared" si="159"/>
        <v/>
      </c>
    </row>
    <row r="5090" spans="1:2" x14ac:dyDescent="0.25">
      <c r="A5090" s="15" t="str">
        <f t="shared" si="158"/>
        <v/>
      </c>
      <c r="B5090" s="18" t="str">
        <f t="shared" si="159"/>
        <v/>
      </c>
    </row>
    <row r="5091" spans="1:2" x14ac:dyDescent="0.25">
      <c r="A5091" s="15" t="str">
        <f t="shared" si="158"/>
        <v/>
      </c>
      <c r="B5091" s="18" t="str">
        <f t="shared" si="159"/>
        <v/>
      </c>
    </row>
    <row r="5092" spans="1:2" x14ac:dyDescent="0.25">
      <c r="A5092" s="15" t="str">
        <f t="shared" si="158"/>
        <v/>
      </c>
      <c r="B5092" s="18" t="str">
        <f t="shared" si="159"/>
        <v/>
      </c>
    </row>
    <row r="5093" spans="1:2" x14ac:dyDescent="0.25">
      <c r="A5093" s="15" t="str">
        <f t="shared" si="158"/>
        <v/>
      </c>
      <c r="B5093" s="18" t="str">
        <f t="shared" si="159"/>
        <v/>
      </c>
    </row>
    <row r="5094" spans="1:2" x14ac:dyDescent="0.25">
      <c r="A5094" s="15" t="str">
        <f t="shared" si="158"/>
        <v/>
      </c>
      <c r="B5094" s="18" t="str">
        <f t="shared" si="159"/>
        <v/>
      </c>
    </row>
    <row r="5095" spans="1:2" x14ac:dyDescent="0.25">
      <c r="A5095" s="15" t="str">
        <f t="shared" si="158"/>
        <v/>
      </c>
      <c r="B5095" s="18" t="str">
        <f t="shared" si="159"/>
        <v/>
      </c>
    </row>
    <row r="5096" spans="1:2" x14ac:dyDescent="0.25">
      <c r="A5096" s="15" t="str">
        <f t="shared" si="158"/>
        <v/>
      </c>
      <c r="B5096" s="18" t="str">
        <f t="shared" si="159"/>
        <v/>
      </c>
    </row>
    <row r="5097" spans="1:2" x14ac:dyDescent="0.25">
      <c r="A5097" s="15" t="str">
        <f t="shared" si="158"/>
        <v/>
      </c>
      <c r="B5097" s="18" t="str">
        <f t="shared" si="159"/>
        <v/>
      </c>
    </row>
    <row r="5098" spans="1:2" x14ac:dyDescent="0.25">
      <c r="A5098" s="15" t="str">
        <f t="shared" si="158"/>
        <v/>
      </c>
      <c r="B5098" s="18" t="str">
        <f t="shared" si="159"/>
        <v/>
      </c>
    </row>
    <row r="5099" spans="1:2" x14ac:dyDescent="0.25">
      <c r="A5099" s="15" t="str">
        <f t="shared" si="158"/>
        <v/>
      </c>
      <c r="B5099" s="18" t="str">
        <f t="shared" si="159"/>
        <v/>
      </c>
    </row>
    <row r="5100" spans="1:2" x14ac:dyDescent="0.25">
      <c r="A5100" s="15" t="str">
        <f t="shared" si="158"/>
        <v/>
      </c>
      <c r="B5100" s="18" t="str">
        <f t="shared" si="159"/>
        <v/>
      </c>
    </row>
    <row r="5101" spans="1:2" x14ac:dyDescent="0.25">
      <c r="A5101" s="15" t="str">
        <f t="shared" si="158"/>
        <v/>
      </c>
      <c r="B5101" s="18" t="str">
        <f t="shared" si="159"/>
        <v/>
      </c>
    </row>
    <row r="5102" spans="1:2" x14ac:dyDescent="0.25">
      <c r="A5102" s="15" t="str">
        <f t="shared" si="158"/>
        <v/>
      </c>
      <c r="B5102" s="18" t="str">
        <f t="shared" si="159"/>
        <v/>
      </c>
    </row>
    <row r="5103" spans="1:2" x14ac:dyDescent="0.25">
      <c r="A5103" s="15" t="str">
        <f t="shared" si="158"/>
        <v/>
      </c>
      <c r="B5103" s="18" t="str">
        <f t="shared" si="159"/>
        <v/>
      </c>
    </row>
    <row r="5104" spans="1:2" x14ac:dyDescent="0.25">
      <c r="A5104" s="15" t="str">
        <f t="shared" si="158"/>
        <v/>
      </c>
      <c r="B5104" s="18" t="str">
        <f t="shared" si="159"/>
        <v/>
      </c>
    </row>
    <row r="5105" spans="1:2" x14ac:dyDescent="0.25">
      <c r="A5105" s="15" t="str">
        <f t="shared" si="158"/>
        <v/>
      </c>
      <c r="B5105" s="18" t="str">
        <f t="shared" si="159"/>
        <v/>
      </c>
    </row>
    <row r="5106" spans="1:2" x14ac:dyDescent="0.25">
      <c r="A5106" s="15" t="str">
        <f t="shared" si="158"/>
        <v/>
      </c>
      <c r="B5106" s="18" t="str">
        <f t="shared" si="159"/>
        <v/>
      </c>
    </row>
    <row r="5107" spans="1:2" x14ac:dyDescent="0.25">
      <c r="A5107" s="15" t="str">
        <f t="shared" si="158"/>
        <v/>
      </c>
      <c r="B5107" s="18" t="str">
        <f t="shared" si="159"/>
        <v/>
      </c>
    </row>
    <row r="5108" spans="1:2" x14ac:dyDescent="0.25">
      <c r="A5108" s="15" t="str">
        <f t="shared" si="158"/>
        <v/>
      </c>
      <c r="B5108" s="18" t="str">
        <f t="shared" si="159"/>
        <v/>
      </c>
    </row>
    <row r="5109" spans="1:2" x14ac:dyDescent="0.25">
      <c r="A5109" s="15" t="str">
        <f t="shared" si="158"/>
        <v/>
      </c>
      <c r="B5109" s="18" t="str">
        <f t="shared" si="159"/>
        <v/>
      </c>
    </row>
    <row r="5110" spans="1:2" x14ac:dyDescent="0.25">
      <c r="A5110" s="15" t="str">
        <f t="shared" si="158"/>
        <v/>
      </c>
      <c r="B5110" s="18" t="str">
        <f t="shared" si="159"/>
        <v/>
      </c>
    </row>
    <row r="5111" spans="1:2" x14ac:dyDescent="0.25">
      <c r="A5111" s="15" t="str">
        <f t="shared" si="158"/>
        <v/>
      </c>
      <c r="B5111" s="18" t="str">
        <f t="shared" si="159"/>
        <v/>
      </c>
    </row>
    <row r="5112" spans="1:2" x14ac:dyDescent="0.25">
      <c r="A5112" s="15" t="str">
        <f t="shared" si="158"/>
        <v/>
      </c>
      <c r="B5112" s="18" t="str">
        <f t="shared" si="159"/>
        <v/>
      </c>
    </row>
    <row r="5113" spans="1:2" x14ac:dyDescent="0.25">
      <c r="A5113" s="15" t="str">
        <f t="shared" si="158"/>
        <v/>
      </c>
      <c r="B5113" s="18" t="str">
        <f t="shared" si="159"/>
        <v/>
      </c>
    </row>
    <row r="5114" spans="1:2" x14ac:dyDescent="0.25">
      <c r="A5114" s="15" t="str">
        <f t="shared" si="158"/>
        <v/>
      </c>
      <c r="B5114" s="18" t="str">
        <f t="shared" si="159"/>
        <v/>
      </c>
    </row>
    <row r="5115" spans="1:2" x14ac:dyDescent="0.25">
      <c r="A5115" s="15" t="str">
        <f t="shared" si="158"/>
        <v/>
      </c>
      <c r="B5115" s="18" t="str">
        <f t="shared" si="159"/>
        <v/>
      </c>
    </row>
    <row r="5116" spans="1:2" x14ac:dyDescent="0.25">
      <c r="A5116" s="15" t="str">
        <f t="shared" si="158"/>
        <v/>
      </c>
      <c r="B5116" s="18" t="str">
        <f t="shared" si="159"/>
        <v/>
      </c>
    </row>
    <row r="5117" spans="1:2" x14ac:dyDescent="0.25">
      <c r="A5117" s="15" t="str">
        <f t="shared" si="158"/>
        <v/>
      </c>
      <c r="B5117" s="18" t="str">
        <f t="shared" si="159"/>
        <v/>
      </c>
    </row>
    <row r="5118" spans="1:2" x14ac:dyDescent="0.25">
      <c r="A5118" s="15" t="str">
        <f t="shared" si="158"/>
        <v/>
      </c>
      <c r="B5118" s="18" t="str">
        <f t="shared" si="159"/>
        <v/>
      </c>
    </row>
    <row r="5119" spans="1:2" x14ac:dyDescent="0.25">
      <c r="A5119" s="15" t="str">
        <f t="shared" si="158"/>
        <v/>
      </c>
      <c r="B5119" s="18" t="str">
        <f t="shared" si="159"/>
        <v/>
      </c>
    </row>
    <row r="5120" spans="1:2" x14ac:dyDescent="0.25">
      <c r="A5120" s="15" t="str">
        <f t="shared" si="158"/>
        <v/>
      </c>
      <c r="B5120" s="18" t="str">
        <f t="shared" si="159"/>
        <v/>
      </c>
    </row>
    <row r="5121" spans="1:2" x14ac:dyDescent="0.25">
      <c r="A5121" s="15" t="str">
        <f t="shared" si="158"/>
        <v/>
      </c>
      <c r="B5121" s="18" t="str">
        <f t="shared" si="159"/>
        <v/>
      </c>
    </row>
    <row r="5122" spans="1:2" x14ac:dyDescent="0.25">
      <c r="A5122" s="15" t="str">
        <f t="shared" ref="A5122:A5185" si="160">B5122&amp;C5122</f>
        <v/>
      </c>
      <c r="B5122" s="18" t="str">
        <f t="shared" si="159"/>
        <v/>
      </c>
    </row>
    <row r="5123" spans="1:2" x14ac:dyDescent="0.25">
      <c r="A5123" s="15" t="str">
        <f t="shared" si="160"/>
        <v/>
      </c>
      <c r="B5123" s="18" t="str">
        <f t="shared" ref="B5123:B5186" si="161">IF(C5123="","",B5122)</f>
        <v/>
      </c>
    </row>
    <row r="5124" spans="1:2" x14ac:dyDescent="0.25">
      <c r="A5124" s="15" t="str">
        <f t="shared" si="160"/>
        <v/>
      </c>
      <c r="B5124" s="18" t="str">
        <f t="shared" si="161"/>
        <v/>
      </c>
    </row>
    <row r="5125" spans="1:2" x14ac:dyDescent="0.25">
      <c r="A5125" s="15" t="str">
        <f t="shared" si="160"/>
        <v/>
      </c>
      <c r="B5125" s="18" t="str">
        <f t="shared" si="161"/>
        <v/>
      </c>
    </row>
    <row r="5126" spans="1:2" x14ac:dyDescent="0.25">
      <c r="A5126" s="15" t="str">
        <f t="shared" si="160"/>
        <v/>
      </c>
      <c r="B5126" s="18" t="str">
        <f t="shared" si="161"/>
        <v/>
      </c>
    </row>
    <row r="5127" spans="1:2" x14ac:dyDescent="0.25">
      <c r="A5127" s="15" t="str">
        <f t="shared" si="160"/>
        <v/>
      </c>
      <c r="B5127" s="18" t="str">
        <f t="shared" si="161"/>
        <v/>
      </c>
    </row>
    <row r="5128" spans="1:2" x14ac:dyDescent="0.25">
      <c r="A5128" s="15" t="str">
        <f t="shared" si="160"/>
        <v/>
      </c>
      <c r="B5128" s="18" t="str">
        <f t="shared" si="161"/>
        <v/>
      </c>
    </row>
    <row r="5129" spans="1:2" x14ac:dyDescent="0.25">
      <c r="A5129" s="15" t="str">
        <f t="shared" si="160"/>
        <v/>
      </c>
      <c r="B5129" s="18" t="str">
        <f t="shared" si="161"/>
        <v/>
      </c>
    </row>
    <row r="5130" spans="1:2" x14ac:dyDescent="0.25">
      <c r="A5130" s="15" t="str">
        <f t="shared" si="160"/>
        <v/>
      </c>
      <c r="B5130" s="18" t="str">
        <f t="shared" si="161"/>
        <v/>
      </c>
    </row>
    <row r="5131" spans="1:2" x14ac:dyDescent="0.25">
      <c r="A5131" s="15" t="str">
        <f t="shared" si="160"/>
        <v/>
      </c>
      <c r="B5131" s="18" t="str">
        <f t="shared" si="161"/>
        <v/>
      </c>
    </row>
    <row r="5132" spans="1:2" x14ac:dyDescent="0.25">
      <c r="A5132" s="15" t="str">
        <f t="shared" si="160"/>
        <v/>
      </c>
      <c r="B5132" s="18" t="str">
        <f t="shared" si="161"/>
        <v/>
      </c>
    </row>
    <row r="5133" spans="1:2" x14ac:dyDescent="0.25">
      <c r="A5133" s="15" t="str">
        <f t="shared" si="160"/>
        <v/>
      </c>
      <c r="B5133" s="18" t="str">
        <f t="shared" si="161"/>
        <v/>
      </c>
    </row>
    <row r="5134" spans="1:2" x14ac:dyDescent="0.25">
      <c r="A5134" s="15" t="str">
        <f t="shared" si="160"/>
        <v/>
      </c>
      <c r="B5134" s="18" t="str">
        <f t="shared" si="161"/>
        <v/>
      </c>
    </row>
    <row r="5135" spans="1:2" x14ac:dyDescent="0.25">
      <c r="A5135" s="15" t="str">
        <f t="shared" si="160"/>
        <v/>
      </c>
      <c r="B5135" s="18" t="str">
        <f t="shared" si="161"/>
        <v/>
      </c>
    </row>
    <row r="5136" spans="1:2" x14ac:dyDescent="0.25">
      <c r="A5136" s="15" t="str">
        <f t="shared" si="160"/>
        <v/>
      </c>
      <c r="B5136" s="18" t="str">
        <f t="shared" si="161"/>
        <v/>
      </c>
    </row>
    <row r="5137" spans="1:2" x14ac:dyDescent="0.25">
      <c r="A5137" s="15" t="str">
        <f t="shared" si="160"/>
        <v/>
      </c>
      <c r="B5137" s="18" t="str">
        <f t="shared" si="161"/>
        <v/>
      </c>
    </row>
    <row r="5138" spans="1:2" x14ac:dyDescent="0.25">
      <c r="A5138" s="15" t="str">
        <f t="shared" si="160"/>
        <v/>
      </c>
      <c r="B5138" s="18" t="str">
        <f t="shared" si="161"/>
        <v/>
      </c>
    </row>
    <row r="5139" spans="1:2" x14ac:dyDescent="0.25">
      <c r="A5139" s="15" t="str">
        <f t="shared" si="160"/>
        <v/>
      </c>
      <c r="B5139" s="18" t="str">
        <f t="shared" si="161"/>
        <v/>
      </c>
    </row>
    <row r="5140" spans="1:2" x14ac:dyDescent="0.25">
      <c r="A5140" s="15" t="str">
        <f t="shared" si="160"/>
        <v/>
      </c>
      <c r="B5140" s="18" t="str">
        <f t="shared" si="161"/>
        <v/>
      </c>
    </row>
    <row r="5141" spans="1:2" x14ac:dyDescent="0.25">
      <c r="A5141" s="15" t="str">
        <f t="shared" si="160"/>
        <v/>
      </c>
      <c r="B5141" s="18" t="str">
        <f t="shared" si="161"/>
        <v/>
      </c>
    </row>
    <row r="5142" spans="1:2" x14ac:dyDescent="0.25">
      <c r="A5142" s="15" t="str">
        <f t="shared" si="160"/>
        <v/>
      </c>
      <c r="B5142" s="18" t="str">
        <f t="shared" si="161"/>
        <v/>
      </c>
    </row>
    <row r="5143" spans="1:2" x14ac:dyDescent="0.25">
      <c r="A5143" s="15" t="str">
        <f t="shared" si="160"/>
        <v/>
      </c>
      <c r="B5143" s="18" t="str">
        <f t="shared" si="161"/>
        <v/>
      </c>
    </row>
    <row r="5144" spans="1:2" x14ac:dyDescent="0.25">
      <c r="A5144" s="15" t="str">
        <f t="shared" si="160"/>
        <v/>
      </c>
      <c r="B5144" s="18" t="str">
        <f t="shared" si="161"/>
        <v/>
      </c>
    </row>
    <row r="5145" spans="1:2" x14ac:dyDescent="0.25">
      <c r="A5145" s="15" t="str">
        <f t="shared" si="160"/>
        <v/>
      </c>
      <c r="B5145" s="18" t="str">
        <f t="shared" si="161"/>
        <v/>
      </c>
    </row>
    <row r="5146" spans="1:2" x14ac:dyDescent="0.25">
      <c r="A5146" s="15" t="str">
        <f t="shared" si="160"/>
        <v/>
      </c>
      <c r="B5146" s="18" t="str">
        <f t="shared" si="161"/>
        <v/>
      </c>
    </row>
    <row r="5147" spans="1:2" x14ac:dyDescent="0.25">
      <c r="A5147" s="15" t="str">
        <f t="shared" si="160"/>
        <v/>
      </c>
      <c r="B5147" s="18" t="str">
        <f t="shared" si="161"/>
        <v/>
      </c>
    </row>
    <row r="5148" spans="1:2" x14ac:dyDescent="0.25">
      <c r="A5148" s="15" t="str">
        <f t="shared" si="160"/>
        <v/>
      </c>
      <c r="B5148" s="18" t="str">
        <f t="shared" si="161"/>
        <v/>
      </c>
    </row>
    <row r="5149" spans="1:2" x14ac:dyDescent="0.25">
      <c r="A5149" s="15" t="str">
        <f t="shared" si="160"/>
        <v/>
      </c>
      <c r="B5149" s="18" t="str">
        <f t="shared" si="161"/>
        <v/>
      </c>
    </row>
    <row r="5150" spans="1:2" x14ac:dyDescent="0.25">
      <c r="A5150" s="15" t="str">
        <f t="shared" si="160"/>
        <v/>
      </c>
      <c r="B5150" s="18" t="str">
        <f t="shared" si="161"/>
        <v/>
      </c>
    </row>
    <row r="5151" spans="1:2" x14ac:dyDescent="0.25">
      <c r="A5151" s="15" t="str">
        <f t="shared" si="160"/>
        <v/>
      </c>
      <c r="B5151" s="18" t="str">
        <f t="shared" si="161"/>
        <v/>
      </c>
    </row>
    <row r="5152" spans="1:2" x14ac:dyDescent="0.25">
      <c r="A5152" s="15" t="str">
        <f t="shared" si="160"/>
        <v/>
      </c>
      <c r="B5152" s="18" t="str">
        <f t="shared" si="161"/>
        <v/>
      </c>
    </row>
    <row r="5153" spans="1:2" x14ac:dyDescent="0.25">
      <c r="A5153" s="15" t="str">
        <f t="shared" si="160"/>
        <v/>
      </c>
      <c r="B5153" s="18" t="str">
        <f t="shared" si="161"/>
        <v/>
      </c>
    </row>
    <row r="5154" spans="1:2" x14ac:dyDescent="0.25">
      <c r="A5154" s="15" t="str">
        <f t="shared" si="160"/>
        <v/>
      </c>
      <c r="B5154" s="18" t="str">
        <f t="shared" si="161"/>
        <v/>
      </c>
    </row>
    <row r="5155" spans="1:2" x14ac:dyDescent="0.25">
      <c r="A5155" s="15" t="str">
        <f t="shared" si="160"/>
        <v/>
      </c>
      <c r="B5155" s="18" t="str">
        <f t="shared" si="161"/>
        <v/>
      </c>
    </row>
    <row r="5156" spans="1:2" x14ac:dyDescent="0.25">
      <c r="A5156" s="15" t="str">
        <f t="shared" si="160"/>
        <v/>
      </c>
      <c r="B5156" s="18" t="str">
        <f t="shared" si="161"/>
        <v/>
      </c>
    </row>
    <row r="5157" spans="1:2" x14ac:dyDescent="0.25">
      <c r="A5157" s="15" t="str">
        <f t="shared" si="160"/>
        <v/>
      </c>
      <c r="B5157" s="18" t="str">
        <f t="shared" si="161"/>
        <v/>
      </c>
    </row>
    <row r="5158" spans="1:2" x14ac:dyDescent="0.25">
      <c r="A5158" s="15" t="str">
        <f t="shared" si="160"/>
        <v/>
      </c>
      <c r="B5158" s="18" t="str">
        <f t="shared" si="161"/>
        <v/>
      </c>
    </row>
    <row r="5159" spans="1:2" x14ac:dyDescent="0.25">
      <c r="A5159" s="15" t="str">
        <f t="shared" si="160"/>
        <v/>
      </c>
      <c r="B5159" s="18" t="str">
        <f t="shared" si="161"/>
        <v/>
      </c>
    </row>
    <row r="5160" spans="1:2" x14ac:dyDescent="0.25">
      <c r="A5160" s="15" t="str">
        <f t="shared" si="160"/>
        <v/>
      </c>
      <c r="B5160" s="18" t="str">
        <f t="shared" si="161"/>
        <v/>
      </c>
    </row>
    <row r="5161" spans="1:2" x14ac:dyDescent="0.25">
      <c r="A5161" s="15" t="str">
        <f t="shared" si="160"/>
        <v/>
      </c>
      <c r="B5161" s="18" t="str">
        <f t="shared" si="161"/>
        <v/>
      </c>
    </row>
    <row r="5162" spans="1:2" x14ac:dyDescent="0.25">
      <c r="A5162" s="15" t="str">
        <f t="shared" si="160"/>
        <v/>
      </c>
      <c r="B5162" s="18" t="str">
        <f t="shared" si="161"/>
        <v/>
      </c>
    </row>
    <row r="5163" spans="1:2" x14ac:dyDescent="0.25">
      <c r="A5163" s="15" t="str">
        <f t="shared" si="160"/>
        <v/>
      </c>
      <c r="B5163" s="18" t="str">
        <f t="shared" si="161"/>
        <v/>
      </c>
    </row>
    <row r="5164" spans="1:2" x14ac:dyDescent="0.25">
      <c r="A5164" s="15" t="str">
        <f t="shared" si="160"/>
        <v/>
      </c>
      <c r="B5164" s="18" t="str">
        <f t="shared" si="161"/>
        <v/>
      </c>
    </row>
    <row r="5165" spans="1:2" x14ac:dyDescent="0.25">
      <c r="A5165" s="15" t="str">
        <f t="shared" si="160"/>
        <v/>
      </c>
      <c r="B5165" s="18" t="str">
        <f t="shared" si="161"/>
        <v/>
      </c>
    </row>
    <row r="5166" spans="1:2" x14ac:dyDescent="0.25">
      <c r="A5166" s="15" t="str">
        <f t="shared" si="160"/>
        <v/>
      </c>
      <c r="B5166" s="18" t="str">
        <f t="shared" si="161"/>
        <v/>
      </c>
    </row>
    <row r="5167" spans="1:2" x14ac:dyDescent="0.25">
      <c r="A5167" s="15" t="str">
        <f t="shared" si="160"/>
        <v/>
      </c>
      <c r="B5167" s="18" t="str">
        <f t="shared" si="161"/>
        <v/>
      </c>
    </row>
    <row r="5168" spans="1:2" x14ac:dyDescent="0.25">
      <c r="A5168" s="15" t="str">
        <f t="shared" si="160"/>
        <v/>
      </c>
      <c r="B5168" s="18" t="str">
        <f t="shared" si="161"/>
        <v/>
      </c>
    </row>
    <row r="5169" spans="1:2" x14ac:dyDescent="0.25">
      <c r="A5169" s="15" t="str">
        <f t="shared" si="160"/>
        <v/>
      </c>
      <c r="B5169" s="18" t="str">
        <f t="shared" si="161"/>
        <v/>
      </c>
    </row>
    <row r="5170" spans="1:2" x14ac:dyDescent="0.25">
      <c r="A5170" s="15" t="str">
        <f t="shared" si="160"/>
        <v/>
      </c>
      <c r="B5170" s="18" t="str">
        <f t="shared" si="161"/>
        <v/>
      </c>
    </row>
    <row r="5171" spans="1:2" x14ac:dyDescent="0.25">
      <c r="A5171" s="15" t="str">
        <f t="shared" si="160"/>
        <v/>
      </c>
      <c r="B5171" s="18" t="str">
        <f t="shared" si="161"/>
        <v/>
      </c>
    </row>
    <row r="5172" spans="1:2" x14ac:dyDescent="0.25">
      <c r="A5172" s="15" t="str">
        <f t="shared" si="160"/>
        <v/>
      </c>
      <c r="B5172" s="18" t="str">
        <f t="shared" si="161"/>
        <v/>
      </c>
    </row>
    <row r="5173" spans="1:2" x14ac:dyDescent="0.25">
      <c r="A5173" s="15" t="str">
        <f t="shared" si="160"/>
        <v/>
      </c>
      <c r="B5173" s="18" t="str">
        <f t="shared" si="161"/>
        <v/>
      </c>
    </row>
    <row r="5174" spans="1:2" x14ac:dyDescent="0.25">
      <c r="A5174" s="15" t="str">
        <f t="shared" si="160"/>
        <v/>
      </c>
      <c r="B5174" s="18" t="str">
        <f t="shared" si="161"/>
        <v/>
      </c>
    </row>
    <row r="5175" spans="1:2" x14ac:dyDescent="0.25">
      <c r="A5175" s="15" t="str">
        <f t="shared" si="160"/>
        <v/>
      </c>
      <c r="B5175" s="18" t="str">
        <f t="shared" si="161"/>
        <v/>
      </c>
    </row>
    <row r="5176" spans="1:2" x14ac:dyDescent="0.25">
      <c r="A5176" s="15" t="str">
        <f t="shared" si="160"/>
        <v/>
      </c>
      <c r="B5176" s="18" t="str">
        <f t="shared" si="161"/>
        <v/>
      </c>
    </row>
    <row r="5177" spans="1:2" x14ac:dyDescent="0.25">
      <c r="A5177" s="15" t="str">
        <f t="shared" si="160"/>
        <v/>
      </c>
      <c r="B5177" s="18" t="str">
        <f t="shared" si="161"/>
        <v/>
      </c>
    </row>
    <row r="5178" spans="1:2" x14ac:dyDescent="0.25">
      <c r="A5178" s="15" t="str">
        <f t="shared" si="160"/>
        <v/>
      </c>
      <c r="B5178" s="18" t="str">
        <f t="shared" si="161"/>
        <v/>
      </c>
    </row>
    <row r="5179" spans="1:2" x14ac:dyDescent="0.25">
      <c r="A5179" s="15" t="str">
        <f t="shared" si="160"/>
        <v/>
      </c>
      <c r="B5179" s="18" t="str">
        <f t="shared" si="161"/>
        <v/>
      </c>
    </row>
    <row r="5180" spans="1:2" x14ac:dyDescent="0.25">
      <c r="A5180" s="15" t="str">
        <f t="shared" si="160"/>
        <v/>
      </c>
      <c r="B5180" s="18" t="str">
        <f t="shared" si="161"/>
        <v/>
      </c>
    </row>
    <row r="5181" spans="1:2" x14ac:dyDescent="0.25">
      <c r="A5181" s="15" t="str">
        <f t="shared" si="160"/>
        <v/>
      </c>
      <c r="B5181" s="18" t="str">
        <f t="shared" si="161"/>
        <v/>
      </c>
    </row>
    <row r="5182" spans="1:2" x14ac:dyDescent="0.25">
      <c r="A5182" s="15" t="str">
        <f t="shared" si="160"/>
        <v/>
      </c>
      <c r="B5182" s="18" t="str">
        <f t="shared" si="161"/>
        <v/>
      </c>
    </row>
    <row r="5183" spans="1:2" x14ac:dyDescent="0.25">
      <c r="A5183" s="15" t="str">
        <f t="shared" si="160"/>
        <v/>
      </c>
      <c r="B5183" s="18" t="str">
        <f t="shared" si="161"/>
        <v/>
      </c>
    </row>
    <row r="5184" spans="1:2" x14ac:dyDescent="0.25">
      <c r="A5184" s="15" t="str">
        <f t="shared" si="160"/>
        <v/>
      </c>
      <c r="B5184" s="18" t="str">
        <f t="shared" si="161"/>
        <v/>
      </c>
    </row>
    <row r="5185" spans="1:2" x14ac:dyDescent="0.25">
      <c r="A5185" s="15" t="str">
        <f t="shared" si="160"/>
        <v/>
      </c>
      <c r="B5185" s="18" t="str">
        <f t="shared" si="161"/>
        <v/>
      </c>
    </row>
    <row r="5186" spans="1:2" x14ac:dyDescent="0.25">
      <c r="A5186" s="15" t="str">
        <f t="shared" ref="A5186:A5249" si="162">B5186&amp;C5186</f>
        <v/>
      </c>
      <c r="B5186" s="18" t="str">
        <f t="shared" si="161"/>
        <v/>
      </c>
    </row>
    <row r="5187" spans="1:2" x14ac:dyDescent="0.25">
      <c r="A5187" s="15" t="str">
        <f t="shared" si="162"/>
        <v/>
      </c>
      <c r="B5187" s="18" t="str">
        <f t="shared" ref="B5187:B5250" si="163">IF(C5187="","",B5186)</f>
        <v/>
      </c>
    </row>
    <row r="5188" spans="1:2" x14ac:dyDescent="0.25">
      <c r="A5188" s="15" t="str">
        <f t="shared" si="162"/>
        <v/>
      </c>
      <c r="B5188" s="18" t="str">
        <f t="shared" si="163"/>
        <v/>
      </c>
    </row>
    <row r="5189" spans="1:2" x14ac:dyDescent="0.25">
      <c r="A5189" s="15" t="str">
        <f t="shared" si="162"/>
        <v/>
      </c>
      <c r="B5189" s="18" t="str">
        <f t="shared" si="163"/>
        <v/>
      </c>
    </row>
    <row r="5190" spans="1:2" x14ac:dyDescent="0.25">
      <c r="A5190" s="15" t="str">
        <f t="shared" si="162"/>
        <v/>
      </c>
      <c r="B5190" s="18" t="str">
        <f t="shared" si="163"/>
        <v/>
      </c>
    </row>
    <row r="5191" spans="1:2" x14ac:dyDescent="0.25">
      <c r="A5191" s="15" t="str">
        <f t="shared" si="162"/>
        <v/>
      </c>
      <c r="B5191" s="18" t="str">
        <f t="shared" si="163"/>
        <v/>
      </c>
    </row>
    <row r="5192" spans="1:2" x14ac:dyDescent="0.25">
      <c r="A5192" s="15" t="str">
        <f t="shared" si="162"/>
        <v/>
      </c>
      <c r="B5192" s="18" t="str">
        <f t="shared" si="163"/>
        <v/>
      </c>
    </row>
    <row r="5193" spans="1:2" x14ac:dyDescent="0.25">
      <c r="A5193" s="15" t="str">
        <f t="shared" si="162"/>
        <v/>
      </c>
      <c r="B5193" s="18" t="str">
        <f t="shared" si="163"/>
        <v/>
      </c>
    </row>
    <row r="5194" spans="1:2" x14ac:dyDescent="0.25">
      <c r="A5194" s="15" t="str">
        <f t="shared" si="162"/>
        <v/>
      </c>
      <c r="B5194" s="18" t="str">
        <f t="shared" si="163"/>
        <v/>
      </c>
    </row>
    <row r="5195" spans="1:2" x14ac:dyDescent="0.25">
      <c r="A5195" s="15" t="str">
        <f t="shared" si="162"/>
        <v/>
      </c>
      <c r="B5195" s="18" t="str">
        <f t="shared" si="163"/>
        <v/>
      </c>
    </row>
    <row r="5196" spans="1:2" x14ac:dyDescent="0.25">
      <c r="A5196" s="15" t="str">
        <f t="shared" si="162"/>
        <v/>
      </c>
      <c r="B5196" s="18" t="str">
        <f t="shared" si="163"/>
        <v/>
      </c>
    </row>
    <row r="5197" spans="1:2" x14ac:dyDescent="0.25">
      <c r="A5197" s="15" t="str">
        <f t="shared" si="162"/>
        <v/>
      </c>
      <c r="B5197" s="18" t="str">
        <f t="shared" si="163"/>
        <v/>
      </c>
    </row>
    <row r="5198" spans="1:2" x14ac:dyDescent="0.25">
      <c r="A5198" s="15" t="str">
        <f t="shared" si="162"/>
        <v/>
      </c>
      <c r="B5198" s="18" t="str">
        <f t="shared" si="163"/>
        <v/>
      </c>
    </row>
    <row r="5199" spans="1:2" x14ac:dyDescent="0.25">
      <c r="A5199" s="15" t="str">
        <f t="shared" si="162"/>
        <v/>
      </c>
      <c r="B5199" s="18" t="str">
        <f t="shared" si="163"/>
        <v/>
      </c>
    </row>
    <row r="5200" spans="1:2" x14ac:dyDescent="0.25">
      <c r="A5200" s="15" t="str">
        <f t="shared" si="162"/>
        <v/>
      </c>
      <c r="B5200" s="18" t="str">
        <f t="shared" si="163"/>
        <v/>
      </c>
    </row>
    <row r="5201" spans="1:2" x14ac:dyDescent="0.25">
      <c r="A5201" s="15" t="str">
        <f t="shared" si="162"/>
        <v/>
      </c>
      <c r="B5201" s="18" t="str">
        <f t="shared" si="163"/>
        <v/>
      </c>
    </row>
    <row r="5202" spans="1:2" x14ac:dyDescent="0.25">
      <c r="A5202" s="15" t="str">
        <f t="shared" si="162"/>
        <v/>
      </c>
      <c r="B5202" s="18" t="str">
        <f t="shared" si="163"/>
        <v/>
      </c>
    </row>
    <row r="5203" spans="1:2" x14ac:dyDescent="0.25">
      <c r="A5203" s="15" t="str">
        <f t="shared" si="162"/>
        <v/>
      </c>
      <c r="B5203" s="18" t="str">
        <f t="shared" si="163"/>
        <v/>
      </c>
    </row>
    <row r="5204" spans="1:2" x14ac:dyDescent="0.25">
      <c r="A5204" s="15" t="str">
        <f t="shared" si="162"/>
        <v/>
      </c>
      <c r="B5204" s="18" t="str">
        <f t="shared" si="163"/>
        <v/>
      </c>
    </row>
    <row r="5205" spans="1:2" x14ac:dyDescent="0.25">
      <c r="A5205" s="15" t="str">
        <f t="shared" si="162"/>
        <v/>
      </c>
      <c r="B5205" s="18" t="str">
        <f t="shared" si="163"/>
        <v/>
      </c>
    </row>
    <row r="5206" spans="1:2" x14ac:dyDescent="0.25">
      <c r="A5206" s="15" t="str">
        <f t="shared" si="162"/>
        <v/>
      </c>
      <c r="B5206" s="18" t="str">
        <f t="shared" si="163"/>
        <v/>
      </c>
    </row>
    <row r="5207" spans="1:2" x14ac:dyDescent="0.25">
      <c r="A5207" s="15" t="str">
        <f t="shared" si="162"/>
        <v/>
      </c>
      <c r="B5207" s="18" t="str">
        <f t="shared" si="163"/>
        <v/>
      </c>
    </row>
    <row r="5208" spans="1:2" x14ac:dyDescent="0.25">
      <c r="A5208" s="15" t="str">
        <f t="shared" si="162"/>
        <v/>
      </c>
      <c r="B5208" s="18" t="str">
        <f t="shared" si="163"/>
        <v/>
      </c>
    </row>
    <row r="5209" spans="1:2" x14ac:dyDescent="0.25">
      <c r="A5209" s="15" t="str">
        <f t="shared" si="162"/>
        <v/>
      </c>
      <c r="B5209" s="18" t="str">
        <f t="shared" si="163"/>
        <v/>
      </c>
    </row>
    <row r="5210" spans="1:2" x14ac:dyDescent="0.25">
      <c r="A5210" s="15" t="str">
        <f t="shared" si="162"/>
        <v/>
      </c>
      <c r="B5210" s="18" t="str">
        <f t="shared" si="163"/>
        <v/>
      </c>
    </row>
    <row r="5211" spans="1:2" x14ac:dyDescent="0.25">
      <c r="A5211" s="15" t="str">
        <f t="shared" si="162"/>
        <v/>
      </c>
      <c r="B5211" s="18" t="str">
        <f t="shared" si="163"/>
        <v/>
      </c>
    </row>
    <row r="5212" spans="1:2" x14ac:dyDescent="0.25">
      <c r="A5212" s="15" t="str">
        <f t="shared" si="162"/>
        <v/>
      </c>
      <c r="B5212" s="18" t="str">
        <f t="shared" si="163"/>
        <v/>
      </c>
    </row>
    <row r="5213" spans="1:2" x14ac:dyDescent="0.25">
      <c r="A5213" s="15" t="str">
        <f t="shared" si="162"/>
        <v/>
      </c>
      <c r="B5213" s="18" t="str">
        <f t="shared" si="163"/>
        <v/>
      </c>
    </row>
    <row r="5214" spans="1:2" x14ac:dyDescent="0.25">
      <c r="A5214" s="15" t="str">
        <f t="shared" si="162"/>
        <v/>
      </c>
      <c r="B5214" s="18" t="str">
        <f t="shared" si="163"/>
        <v/>
      </c>
    </row>
    <row r="5215" spans="1:2" x14ac:dyDescent="0.25">
      <c r="A5215" s="15" t="str">
        <f t="shared" si="162"/>
        <v/>
      </c>
      <c r="B5215" s="18" t="str">
        <f t="shared" si="163"/>
        <v/>
      </c>
    </row>
    <row r="5216" spans="1:2" x14ac:dyDescent="0.25">
      <c r="A5216" s="15" t="str">
        <f t="shared" si="162"/>
        <v/>
      </c>
      <c r="B5216" s="18" t="str">
        <f t="shared" si="163"/>
        <v/>
      </c>
    </row>
    <row r="5217" spans="1:2" x14ac:dyDescent="0.25">
      <c r="A5217" s="15" t="str">
        <f t="shared" si="162"/>
        <v/>
      </c>
      <c r="B5217" s="18" t="str">
        <f t="shared" si="163"/>
        <v/>
      </c>
    </row>
    <row r="5218" spans="1:2" x14ac:dyDescent="0.25">
      <c r="A5218" s="15" t="str">
        <f t="shared" si="162"/>
        <v/>
      </c>
      <c r="B5218" s="18" t="str">
        <f t="shared" si="163"/>
        <v/>
      </c>
    </row>
    <row r="5219" spans="1:2" x14ac:dyDescent="0.25">
      <c r="A5219" s="15" t="str">
        <f t="shared" si="162"/>
        <v/>
      </c>
      <c r="B5219" s="18" t="str">
        <f t="shared" si="163"/>
        <v/>
      </c>
    </row>
    <row r="5220" spans="1:2" x14ac:dyDescent="0.25">
      <c r="A5220" s="15" t="str">
        <f t="shared" si="162"/>
        <v/>
      </c>
      <c r="B5220" s="18" t="str">
        <f t="shared" si="163"/>
        <v/>
      </c>
    </row>
    <row r="5221" spans="1:2" x14ac:dyDescent="0.25">
      <c r="A5221" s="15" t="str">
        <f t="shared" si="162"/>
        <v/>
      </c>
      <c r="B5221" s="18" t="str">
        <f t="shared" si="163"/>
        <v/>
      </c>
    </row>
    <row r="5222" spans="1:2" x14ac:dyDescent="0.25">
      <c r="A5222" s="15" t="str">
        <f t="shared" si="162"/>
        <v/>
      </c>
      <c r="B5222" s="18" t="str">
        <f t="shared" si="163"/>
        <v/>
      </c>
    </row>
    <row r="5223" spans="1:2" x14ac:dyDescent="0.25">
      <c r="A5223" s="15" t="str">
        <f t="shared" si="162"/>
        <v/>
      </c>
      <c r="B5223" s="18" t="str">
        <f t="shared" si="163"/>
        <v/>
      </c>
    </row>
    <row r="5224" spans="1:2" x14ac:dyDescent="0.25">
      <c r="A5224" s="15" t="str">
        <f t="shared" si="162"/>
        <v/>
      </c>
      <c r="B5224" s="18" t="str">
        <f t="shared" si="163"/>
        <v/>
      </c>
    </row>
    <row r="5225" spans="1:2" x14ac:dyDescent="0.25">
      <c r="A5225" s="15" t="str">
        <f t="shared" si="162"/>
        <v/>
      </c>
      <c r="B5225" s="18" t="str">
        <f t="shared" si="163"/>
        <v/>
      </c>
    </row>
    <row r="5226" spans="1:2" x14ac:dyDescent="0.25">
      <c r="A5226" s="15" t="str">
        <f t="shared" si="162"/>
        <v/>
      </c>
      <c r="B5226" s="18" t="str">
        <f t="shared" si="163"/>
        <v/>
      </c>
    </row>
    <row r="5227" spans="1:2" x14ac:dyDescent="0.25">
      <c r="A5227" s="15" t="str">
        <f t="shared" si="162"/>
        <v/>
      </c>
      <c r="B5227" s="18" t="str">
        <f t="shared" si="163"/>
        <v/>
      </c>
    </row>
    <row r="5228" spans="1:2" x14ac:dyDescent="0.25">
      <c r="A5228" s="15" t="str">
        <f t="shared" si="162"/>
        <v/>
      </c>
      <c r="B5228" s="18" t="str">
        <f t="shared" si="163"/>
        <v/>
      </c>
    </row>
    <row r="5229" spans="1:2" x14ac:dyDescent="0.25">
      <c r="A5229" s="15" t="str">
        <f t="shared" si="162"/>
        <v/>
      </c>
      <c r="B5229" s="18" t="str">
        <f t="shared" si="163"/>
        <v/>
      </c>
    </row>
    <row r="5230" spans="1:2" x14ac:dyDescent="0.25">
      <c r="A5230" s="15" t="str">
        <f t="shared" si="162"/>
        <v/>
      </c>
      <c r="B5230" s="18" t="str">
        <f t="shared" si="163"/>
        <v/>
      </c>
    </row>
    <row r="5231" spans="1:2" x14ac:dyDescent="0.25">
      <c r="A5231" s="15" t="str">
        <f t="shared" si="162"/>
        <v/>
      </c>
      <c r="B5231" s="18" t="str">
        <f t="shared" si="163"/>
        <v/>
      </c>
    </row>
    <row r="5232" spans="1:2" x14ac:dyDescent="0.25">
      <c r="A5232" s="15" t="str">
        <f t="shared" si="162"/>
        <v/>
      </c>
      <c r="B5232" s="18" t="str">
        <f t="shared" si="163"/>
        <v/>
      </c>
    </row>
    <row r="5233" spans="1:2" x14ac:dyDescent="0.25">
      <c r="A5233" s="15" t="str">
        <f t="shared" si="162"/>
        <v/>
      </c>
      <c r="B5233" s="18" t="str">
        <f t="shared" si="163"/>
        <v/>
      </c>
    </row>
    <row r="5234" spans="1:2" x14ac:dyDescent="0.25">
      <c r="A5234" s="15" t="str">
        <f t="shared" si="162"/>
        <v/>
      </c>
      <c r="B5234" s="18" t="str">
        <f t="shared" si="163"/>
        <v/>
      </c>
    </row>
    <row r="5235" spans="1:2" x14ac:dyDescent="0.25">
      <c r="A5235" s="15" t="str">
        <f t="shared" si="162"/>
        <v/>
      </c>
      <c r="B5235" s="18" t="str">
        <f t="shared" si="163"/>
        <v/>
      </c>
    </row>
    <row r="5236" spans="1:2" x14ac:dyDescent="0.25">
      <c r="A5236" s="15" t="str">
        <f t="shared" si="162"/>
        <v/>
      </c>
      <c r="B5236" s="18" t="str">
        <f t="shared" si="163"/>
        <v/>
      </c>
    </row>
    <row r="5237" spans="1:2" x14ac:dyDescent="0.25">
      <c r="A5237" s="15" t="str">
        <f t="shared" si="162"/>
        <v/>
      </c>
      <c r="B5237" s="18" t="str">
        <f t="shared" si="163"/>
        <v/>
      </c>
    </row>
    <row r="5238" spans="1:2" x14ac:dyDescent="0.25">
      <c r="A5238" s="15" t="str">
        <f t="shared" si="162"/>
        <v/>
      </c>
      <c r="B5238" s="18" t="str">
        <f t="shared" si="163"/>
        <v/>
      </c>
    </row>
    <row r="5239" spans="1:2" x14ac:dyDescent="0.25">
      <c r="A5239" s="15" t="str">
        <f t="shared" si="162"/>
        <v/>
      </c>
      <c r="B5239" s="18" t="str">
        <f t="shared" si="163"/>
        <v/>
      </c>
    </row>
    <row r="5240" spans="1:2" x14ac:dyDescent="0.25">
      <c r="A5240" s="15" t="str">
        <f t="shared" si="162"/>
        <v/>
      </c>
      <c r="B5240" s="18" t="str">
        <f t="shared" si="163"/>
        <v/>
      </c>
    </row>
    <row r="5241" spans="1:2" x14ac:dyDescent="0.25">
      <c r="A5241" s="15" t="str">
        <f t="shared" si="162"/>
        <v/>
      </c>
      <c r="B5241" s="18" t="str">
        <f t="shared" si="163"/>
        <v/>
      </c>
    </row>
    <row r="5242" spans="1:2" x14ac:dyDescent="0.25">
      <c r="A5242" s="15" t="str">
        <f t="shared" si="162"/>
        <v/>
      </c>
      <c r="B5242" s="18" t="str">
        <f t="shared" si="163"/>
        <v/>
      </c>
    </row>
    <row r="5243" spans="1:2" x14ac:dyDescent="0.25">
      <c r="A5243" s="15" t="str">
        <f t="shared" si="162"/>
        <v/>
      </c>
      <c r="B5243" s="18" t="str">
        <f t="shared" si="163"/>
        <v/>
      </c>
    </row>
    <row r="5244" spans="1:2" x14ac:dyDescent="0.25">
      <c r="A5244" s="15" t="str">
        <f t="shared" si="162"/>
        <v/>
      </c>
      <c r="B5244" s="18" t="str">
        <f t="shared" si="163"/>
        <v/>
      </c>
    </row>
    <row r="5245" spans="1:2" x14ac:dyDescent="0.25">
      <c r="A5245" s="15" t="str">
        <f t="shared" si="162"/>
        <v/>
      </c>
      <c r="B5245" s="18" t="str">
        <f t="shared" si="163"/>
        <v/>
      </c>
    </row>
    <row r="5246" spans="1:2" x14ac:dyDescent="0.25">
      <c r="A5246" s="15" t="str">
        <f t="shared" si="162"/>
        <v/>
      </c>
      <c r="B5246" s="18" t="str">
        <f t="shared" si="163"/>
        <v/>
      </c>
    </row>
    <row r="5247" spans="1:2" x14ac:dyDescent="0.25">
      <c r="A5247" s="15" t="str">
        <f t="shared" si="162"/>
        <v/>
      </c>
      <c r="B5247" s="18" t="str">
        <f t="shared" si="163"/>
        <v/>
      </c>
    </row>
    <row r="5248" spans="1:2" x14ac:dyDescent="0.25">
      <c r="A5248" s="15" t="str">
        <f t="shared" si="162"/>
        <v/>
      </c>
      <c r="B5248" s="18" t="str">
        <f t="shared" si="163"/>
        <v/>
      </c>
    </row>
    <row r="5249" spans="1:2" x14ac:dyDescent="0.25">
      <c r="A5249" s="15" t="str">
        <f t="shared" si="162"/>
        <v/>
      </c>
      <c r="B5249" s="18" t="str">
        <f t="shared" si="163"/>
        <v/>
      </c>
    </row>
    <row r="5250" spans="1:2" x14ac:dyDescent="0.25">
      <c r="A5250" s="15" t="str">
        <f t="shared" ref="A5250:A5313" si="164">B5250&amp;C5250</f>
        <v/>
      </c>
      <c r="B5250" s="18" t="str">
        <f t="shared" si="163"/>
        <v/>
      </c>
    </row>
    <row r="5251" spans="1:2" x14ac:dyDescent="0.25">
      <c r="A5251" s="15" t="str">
        <f t="shared" si="164"/>
        <v/>
      </c>
      <c r="B5251" s="18" t="str">
        <f t="shared" ref="B5251:B5314" si="165">IF(C5251="","",B5250)</f>
        <v/>
      </c>
    </row>
    <row r="5252" spans="1:2" x14ac:dyDescent="0.25">
      <c r="A5252" s="15" t="str">
        <f t="shared" si="164"/>
        <v/>
      </c>
      <c r="B5252" s="18" t="str">
        <f t="shared" si="165"/>
        <v/>
      </c>
    </row>
    <row r="5253" spans="1:2" x14ac:dyDescent="0.25">
      <c r="A5253" s="15" t="str">
        <f t="shared" si="164"/>
        <v/>
      </c>
      <c r="B5253" s="18" t="str">
        <f t="shared" si="165"/>
        <v/>
      </c>
    </row>
    <row r="5254" spans="1:2" x14ac:dyDescent="0.25">
      <c r="A5254" s="15" t="str">
        <f t="shared" si="164"/>
        <v/>
      </c>
      <c r="B5254" s="18" t="str">
        <f t="shared" si="165"/>
        <v/>
      </c>
    </row>
    <row r="5255" spans="1:2" x14ac:dyDescent="0.25">
      <c r="A5255" s="15" t="str">
        <f t="shared" si="164"/>
        <v/>
      </c>
      <c r="B5255" s="18" t="str">
        <f t="shared" si="165"/>
        <v/>
      </c>
    </row>
    <row r="5256" spans="1:2" x14ac:dyDescent="0.25">
      <c r="A5256" s="15" t="str">
        <f t="shared" si="164"/>
        <v/>
      </c>
      <c r="B5256" s="18" t="str">
        <f t="shared" si="165"/>
        <v/>
      </c>
    </row>
    <row r="5257" spans="1:2" x14ac:dyDescent="0.25">
      <c r="A5257" s="15" t="str">
        <f t="shared" si="164"/>
        <v/>
      </c>
      <c r="B5257" s="18" t="str">
        <f t="shared" si="165"/>
        <v/>
      </c>
    </row>
    <row r="5258" spans="1:2" x14ac:dyDescent="0.25">
      <c r="A5258" s="15" t="str">
        <f t="shared" si="164"/>
        <v/>
      </c>
      <c r="B5258" s="18" t="str">
        <f t="shared" si="165"/>
        <v/>
      </c>
    </row>
    <row r="5259" spans="1:2" x14ac:dyDescent="0.25">
      <c r="A5259" s="15" t="str">
        <f t="shared" si="164"/>
        <v/>
      </c>
      <c r="B5259" s="18" t="str">
        <f t="shared" si="165"/>
        <v/>
      </c>
    </row>
    <row r="5260" spans="1:2" x14ac:dyDescent="0.25">
      <c r="A5260" s="15" t="str">
        <f t="shared" si="164"/>
        <v/>
      </c>
      <c r="B5260" s="18" t="str">
        <f t="shared" si="165"/>
        <v/>
      </c>
    </row>
    <row r="5261" spans="1:2" x14ac:dyDescent="0.25">
      <c r="A5261" s="15" t="str">
        <f t="shared" si="164"/>
        <v/>
      </c>
      <c r="B5261" s="18" t="str">
        <f t="shared" si="165"/>
        <v/>
      </c>
    </row>
    <row r="5262" spans="1:2" x14ac:dyDescent="0.25">
      <c r="A5262" s="15" t="str">
        <f t="shared" si="164"/>
        <v/>
      </c>
      <c r="B5262" s="18" t="str">
        <f t="shared" si="165"/>
        <v/>
      </c>
    </row>
    <row r="5263" spans="1:2" x14ac:dyDescent="0.25">
      <c r="A5263" s="15" t="str">
        <f t="shared" si="164"/>
        <v/>
      </c>
      <c r="B5263" s="18" t="str">
        <f t="shared" si="165"/>
        <v/>
      </c>
    </row>
    <row r="5264" spans="1:2" x14ac:dyDescent="0.25">
      <c r="A5264" s="15" t="str">
        <f t="shared" si="164"/>
        <v/>
      </c>
      <c r="B5264" s="18" t="str">
        <f t="shared" si="165"/>
        <v/>
      </c>
    </row>
    <row r="5265" spans="1:2" x14ac:dyDescent="0.25">
      <c r="A5265" s="15" t="str">
        <f t="shared" si="164"/>
        <v/>
      </c>
      <c r="B5265" s="18" t="str">
        <f t="shared" si="165"/>
        <v/>
      </c>
    </row>
    <row r="5266" spans="1:2" x14ac:dyDescent="0.25">
      <c r="A5266" s="15" t="str">
        <f t="shared" si="164"/>
        <v/>
      </c>
      <c r="B5266" s="18" t="str">
        <f t="shared" si="165"/>
        <v/>
      </c>
    </row>
    <row r="5267" spans="1:2" x14ac:dyDescent="0.25">
      <c r="A5267" s="15" t="str">
        <f t="shared" si="164"/>
        <v/>
      </c>
      <c r="B5267" s="18" t="str">
        <f t="shared" si="165"/>
        <v/>
      </c>
    </row>
    <row r="5268" spans="1:2" x14ac:dyDescent="0.25">
      <c r="A5268" s="15" t="str">
        <f t="shared" si="164"/>
        <v/>
      </c>
      <c r="B5268" s="18" t="str">
        <f t="shared" si="165"/>
        <v/>
      </c>
    </row>
    <row r="5269" spans="1:2" x14ac:dyDescent="0.25">
      <c r="A5269" s="15" t="str">
        <f t="shared" si="164"/>
        <v/>
      </c>
      <c r="B5269" s="18" t="str">
        <f t="shared" si="165"/>
        <v/>
      </c>
    </row>
    <row r="5270" spans="1:2" x14ac:dyDescent="0.25">
      <c r="A5270" s="15" t="str">
        <f t="shared" si="164"/>
        <v/>
      </c>
      <c r="B5270" s="18" t="str">
        <f t="shared" si="165"/>
        <v/>
      </c>
    </row>
    <row r="5271" spans="1:2" x14ac:dyDescent="0.25">
      <c r="A5271" s="15" t="str">
        <f t="shared" si="164"/>
        <v/>
      </c>
      <c r="B5271" s="18" t="str">
        <f t="shared" si="165"/>
        <v/>
      </c>
    </row>
    <row r="5272" spans="1:2" x14ac:dyDescent="0.25">
      <c r="A5272" s="15" t="str">
        <f t="shared" si="164"/>
        <v/>
      </c>
      <c r="B5272" s="18" t="str">
        <f t="shared" si="165"/>
        <v/>
      </c>
    </row>
    <row r="5273" spans="1:2" x14ac:dyDescent="0.25">
      <c r="A5273" s="15" t="str">
        <f t="shared" si="164"/>
        <v/>
      </c>
      <c r="B5273" s="18" t="str">
        <f t="shared" si="165"/>
        <v/>
      </c>
    </row>
    <row r="5274" spans="1:2" x14ac:dyDescent="0.25">
      <c r="A5274" s="15" t="str">
        <f t="shared" si="164"/>
        <v/>
      </c>
      <c r="B5274" s="18" t="str">
        <f t="shared" si="165"/>
        <v/>
      </c>
    </row>
    <row r="5275" spans="1:2" x14ac:dyDescent="0.25">
      <c r="A5275" s="15" t="str">
        <f t="shared" si="164"/>
        <v/>
      </c>
      <c r="B5275" s="18" t="str">
        <f t="shared" si="165"/>
        <v/>
      </c>
    </row>
    <row r="5276" spans="1:2" x14ac:dyDescent="0.25">
      <c r="A5276" s="15" t="str">
        <f t="shared" si="164"/>
        <v/>
      </c>
      <c r="B5276" s="18" t="str">
        <f t="shared" si="165"/>
        <v/>
      </c>
    </row>
    <row r="5277" spans="1:2" x14ac:dyDescent="0.25">
      <c r="A5277" s="15" t="str">
        <f t="shared" si="164"/>
        <v/>
      </c>
      <c r="B5277" s="18" t="str">
        <f t="shared" si="165"/>
        <v/>
      </c>
    </row>
    <row r="5278" spans="1:2" x14ac:dyDescent="0.25">
      <c r="A5278" s="15" t="str">
        <f t="shared" si="164"/>
        <v/>
      </c>
      <c r="B5278" s="18" t="str">
        <f t="shared" si="165"/>
        <v/>
      </c>
    </row>
    <row r="5279" spans="1:2" x14ac:dyDescent="0.25">
      <c r="A5279" s="15" t="str">
        <f t="shared" si="164"/>
        <v/>
      </c>
      <c r="B5279" s="18" t="str">
        <f t="shared" si="165"/>
        <v/>
      </c>
    </row>
    <row r="5280" spans="1:2" x14ac:dyDescent="0.25">
      <c r="A5280" s="15" t="str">
        <f t="shared" si="164"/>
        <v/>
      </c>
      <c r="B5280" s="18" t="str">
        <f t="shared" si="165"/>
        <v/>
      </c>
    </row>
    <row r="5281" spans="1:2" x14ac:dyDescent="0.25">
      <c r="A5281" s="15" t="str">
        <f t="shared" si="164"/>
        <v/>
      </c>
      <c r="B5281" s="18" t="str">
        <f t="shared" si="165"/>
        <v/>
      </c>
    </row>
    <row r="5282" spans="1:2" x14ac:dyDescent="0.25">
      <c r="A5282" s="15" t="str">
        <f t="shared" si="164"/>
        <v/>
      </c>
      <c r="B5282" s="18" t="str">
        <f t="shared" si="165"/>
        <v/>
      </c>
    </row>
    <row r="5283" spans="1:2" x14ac:dyDescent="0.25">
      <c r="A5283" s="15" t="str">
        <f t="shared" si="164"/>
        <v/>
      </c>
      <c r="B5283" s="18" t="str">
        <f t="shared" si="165"/>
        <v/>
      </c>
    </row>
    <row r="5284" spans="1:2" x14ac:dyDescent="0.25">
      <c r="A5284" s="15" t="str">
        <f t="shared" si="164"/>
        <v/>
      </c>
      <c r="B5284" s="18" t="str">
        <f t="shared" si="165"/>
        <v/>
      </c>
    </row>
    <row r="5285" spans="1:2" x14ac:dyDescent="0.25">
      <c r="A5285" s="15" t="str">
        <f t="shared" si="164"/>
        <v/>
      </c>
      <c r="B5285" s="18" t="str">
        <f t="shared" si="165"/>
        <v/>
      </c>
    </row>
    <row r="5286" spans="1:2" x14ac:dyDescent="0.25">
      <c r="A5286" s="15" t="str">
        <f t="shared" si="164"/>
        <v/>
      </c>
      <c r="B5286" s="18" t="str">
        <f t="shared" si="165"/>
        <v/>
      </c>
    </row>
    <row r="5287" spans="1:2" x14ac:dyDescent="0.25">
      <c r="A5287" s="15" t="str">
        <f t="shared" si="164"/>
        <v/>
      </c>
      <c r="B5287" s="18" t="str">
        <f t="shared" si="165"/>
        <v/>
      </c>
    </row>
    <row r="5288" spans="1:2" x14ac:dyDescent="0.25">
      <c r="A5288" s="15" t="str">
        <f t="shared" si="164"/>
        <v/>
      </c>
      <c r="B5288" s="18" t="str">
        <f t="shared" si="165"/>
        <v/>
      </c>
    </row>
    <row r="5289" spans="1:2" x14ac:dyDescent="0.25">
      <c r="A5289" s="15" t="str">
        <f t="shared" si="164"/>
        <v/>
      </c>
      <c r="B5289" s="18" t="str">
        <f t="shared" si="165"/>
        <v/>
      </c>
    </row>
    <row r="5290" spans="1:2" x14ac:dyDescent="0.25">
      <c r="A5290" s="15" t="str">
        <f t="shared" si="164"/>
        <v/>
      </c>
      <c r="B5290" s="18" t="str">
        <f t="shared" si="165"/>
        <v/>
      </c>
    </row>
    <row r="5291" spans="1:2" x14ac:dyDescent="0.25">
      <c r="A5291" s="15" t="str">
        <f t="shared" si="164"/>
        <v/>
      </c>
      <c r="B5291" s="18" t="str">
        <f t="shared" si="165"/>
        <v/>
      </c>
    </row>
    <row r="5292" spans="1:2" x14ac:dyDescent="0.25">
      <c r="A5292" s="15" t="str">
        <f t="shared" si="164"/>
        <v/>
      </c>
      <c r="B5292" s="18" t="str">
        <f t="shared" si="165"/>
        <v/>
      </c>
    </row>
    <row r="5293" spans="1:2" x14ac:dyDescent="0.25">
      <c r="A5293" s="15" t="str">
        <f t="shared" si="164"/>
        <v/>
      </c>
      <c r="B5293" s="18" t="str">
        <f t="shared" si="165"/>
        <v/>
      </c>
    </row>
    <row r="5294" spans="1:2" x14ac:dyDescent="0.25">
      <c r="A5294" s="15" t="str">
        <f t="shared" si="164"/>
        <v/>
      </c>
      <c r="B5294" s="18" t="str">
        <f t="shared" si="165"/>
        <v/>
      </c>
    </row>
    <row r="5295" spans="1:2" x14ac:dyDescent="0.25">
      <c r="A5295" s="15" t="str">
        <f t="shared" si="164"/>
        <v/>
      </c>
      <c r="B5295" s="18" t="str">
        <f t="shared" si="165"/>
        <v/>
      </c>
    </row>
    <row r="5296" spans="1:2" x14ac:dyDescent="0.25">
      <c r="A5296" s="15" t="str">
        <f t="shared" si="164"/>
        <v/>
      </c>
      <c r="B5296" s="18" t="str">
        <f t="shared" si="165"/>
        <v/>
      </c>
    </row>
    <row r="5297" spans="1:2" x14ac:dyDescent="0.25">
      <c r="A5297" s="15" t="str">
        <f t="shared" si="164"/>
        <v/>
      </c>
      <c r="B5297" s="18" t="str">
        <f t="shared" si="165"/>
        <v/>
      </c>
    </row>
    <row r="5298" spans="1:2" x14ac:dyDescent="0.25">
      <c r="A5298" s="15" t="str">
        <f t="shared" si="164"/>
        <v/>
      </c>
      <c r="B5298" s="18" t="str">
        <f t="shared" si="165"/>
        <v/>
      </c>
    </row>
    <row r="5299" spans="1:2" x14ac:dyDescent="0.25">
      <c r="A5299" s="15" t="str">
        <f t="shared" si="164"/>
        <v/>
      </c>
      <c r="B5299" s="18" t="str">
        <f t="shared" si="165"/>
        <v/>
      </c>
    </row>
    <row r="5300" spans="1:2" x14ac:dyDescent="0.25">
      <c r="A5300" s="15" t="str">
        <f t="shared" si="164"/>
        <v/>
      </c>
      <c r="B5300" s="18" t="str">
        <f t="shared" si="165"/>
        <v/>
      </c>
    </row>
    <row r="5301" spans="1:2" x14ac:dyDescent="0.25">
      <c r="A5301" s="15" t="str">
        <f t="shared" si="164"/>
        <v/>
      </c>
      <c r="B5301" s="18" t="str">
        <f t="shared" si="165"/>
        <v/>
      </c>
    </row>
    <row r="5302" spans="1:2" x14ac:dyDescent="0.25">
      <c r="A5302" s="15" t="str">
        <f t="shared" si="164"/>
        <v/>
      </c>
      <c r="B5302" s="18" t="str">
        <f t="shared" si="165"/>
        <v/>
      </c>
    </row>
    <row r="5303" spans="1:2" x14ac:dyDescent="0.25">
      <c r="A5303" s="15" t="str">
        <f t="shared" si="164"/>
        <v/>
      </c>
      <c r="B5303" s="18" t="str">
        <f t="shared" si="165"/>
        <v/>
      </c>
    </row>
    <row r="5304" spans="1:2" x14ac:dyDescent="0.25">
      <c r="A5304" s="15" t="str">
        <f t="shared" si="164"/>
        <v/>
      </c>
      <c r="B5304" s="18" t="str">
        <f t="shared" si="165"/>
        <v/>
      </c>
    </row>
    <row r="5305" spans="1:2" x14ac:dyDescent="0.25">
      <c r="A5305" s="15" t="str">
        <f t="shared" si="164"/>
        <v/>
      </c>
      <c r="B5305" s="18" t="str">
        <f t="shared" si="165"/>
        <v/>
      </c>
    </row>
    <row r="5306" spans="1:2" x14ac:dyDescent="0.25">
      <c r="A5306" s="15" t="str">
        <f t="shared" si="164"/>
        <v/>
      </c>
      <c r="B5306" s="18" t="str">
        <f t="shared" si="165"/>
        <v/>
      </c>
    </row>
    <row r="5307" spans="1:2" x14ac:dyDescent="0.25">
      <c r="A5307" s="15" t="str">
        <f t="shared" si="164"/>
        <v/>
      </c>
      <c r="B5307" s="18" t="str">
        <f t="shared" si="165"/>
        <v/>
      </c>
    </row>
    <row r="5308" spans="1:2" x14ac:dyDescent="0.25">
      <c r="A5308" s="15" t="str">
        <f t="shared" si="164"/>
        <v/>
      </c>
      <c r="B5308" s="18" t="str">
        <f t="shared" si="165"/>
        <v/>
      </c>
    </row>
    <row r="5309" spans="1:2" x14ac:dyDescent="0.25">
      <c r="A5309" s="15" t="str">
        <f t="shared" si="164"/>
        <v/>
      </c>
      <c r="B5309" s="18" t="str">
        <f t="shared" si="165"/>
        <v/>
      </c>
    </row>
    <row r="5310" spans="1:2" x14ac:dyDescent="0.25">
      <c r="A5310" s="15" t="str">
        <f t="shared" si="164"/>
        <v/>
      </c>
      <c r="B5310" s="18" t="str">
        <f t="shared" si="165"/>
        <v/>
      </c>
    </row>
    <row r="5311" spans="1:2" x14ac:dyDescent="0.25">
      <c r="A5311" s="15" t="str">
        <f t="shared" si="164"/>
        <v/>
      </c>
      <c r="B5311" s="18" t="str">
        <f t="shared" si="165"/>
        <v/>
      </c>
    </row>
    <row r="5312" spans="1:2" x14ac:dyDescent="0.25">
      <c r="A5312" s="15" t="str">
        <f t="shared" si="164"/>
        <v/>
      </c>
      <c r="B5312" s="18" t="str">
        <f t="shared" si="165"/>
        <v/>
      </c>
    </row>
    <row r="5313" spans="1:2" x14ac:dyDescent="0.25">
      <c r="A5313" s="15" t="str">
        <f t="shared" si="164"/>
        <v/>
      </c>
      <c r="B5313" s="18" t="str">
        <f t="shared" si="165"/>
        <v/>
      </c>
    </row>
    <row r="5314" spans="1:2" x14ac:dyDescent="0.25">
      <c r="A5314" s="15" t="str">
        <f t="shared" ref="A5314:A5377" si="166">B5314&amp;C5314</f>
        <v/>
      </c>
      <c r="B5314" s="18" t="str">
        <f t="shared" si="165"/>
        <v/>
      </c>
    </row>
    <row r="5315" spans="1:2" x14ac:dyDescent="0.25">
      <c r="A5315" s="15" t="str">
        <f t="shared" si="166"/>
        <v/>
      </c>
      <c r="B5315" s="18" t="str">
        <f t="shared" ref="B5315:B5378" si="167">IF(C5315="","",B5314)</f>
        <v/>
      </c>
    </row>
    <row r="5316" spans="1:2" x14ac:dyDescent="0.25">
      <c r="A5316" s="15" t="str">
        <f t="shared" si="166"/>
        <v/>
      </c>
      <c r="B5316" s="18" t="str">
        <f t="shared" si="167"/>
        <v/>
      </c>
    </row>
    <row r="5317" spans="1:2" x14ac:dyDescent="0.25">
      <c r="A5317" s="15" t="str">
        <f t="shared" si="166"/>
        <v/>
      </c>
      <c r="B5317" s="18" t="str">
        <f t="shared" si="167"/>
        <v/>
      </c>
    </row>
    <row r="5318" spans="1:2" x14ac:dyDescent="0.25">
      <c r="A5318" s="15" t="str">
        <f t="shared" si="166"/>
        <v/>
      </c>
      <c r="B5318" s="18" t="str">
        <f t="shared" si="167"/>
        <v/>
      </c>
    </row>
    <row r="5319" spans="1:2" x14ac:dyDescent="0.25">
      <c r="A5319" s="15" t="str">
        <f t="shared" si="166"/>
        <v/>
      </c>
      <c r="B5319" s="18" t="str">
        <f t="shared" si="167"/>
        <v/>
      </c>
    </row>
    <row r="5320" spans="1:2" x14ac:dyDescent="0.25">
      <c r="A5320" s="15" t="str">
        <f t="shared" si="166"/>
        <v/>
      </c>
      <c r="B5320" s="18" t="str">
        <f t="shared" si="167"/>
        <v/>
      </c>
    </row>
    <row r="5321" spans="1:2" x14ac:dyDescent="0.25">
      <c r="A5321" s="15" t="str">
        <f t="shared" si="166"/>
        <v/>
      </c>
      <c r="B5321" s="18" t="str">
        <f t="shared" si="167"/>
        <v/>
      </c>
    </row>
    <row r="5322" spans="1:2" x14ac:dyDescent="0.25">
      <c r="A5322" s="15" t="str">
        <f t="shared" si="166"/>
        <v/>
      </c>
      <c r="B5322" s="18" t="str">
        <f t="shared" si="167"/>
        <v/>
      </c>
    </row>
    <row r="5323" spans="1:2" x14ac:dyDescent="0.25">
      <c r="A5323" s="15" t="str">
        <f t="shared" si="166"/>
        <v/>
      </c>
      <c r="B5323" s="18" t="str">
        <f t="shared" si="167"/>
        <v/>
      </c>
    </row>
    <row r="5324" spans="1:2" x14ac:dyDescent="0.25">
      <c r="A5324" s="15" t="str">
        <f t="shared" si="166"/>
        <v/>
      </c>
      <c r="B5324" s="18" t="str">
        <f t="shared" si="167"/>
        <v/>
      </c>
    </row>
    <row r="5325" spans="1:2" x14ac:dyDescent="0.25">
      <c r="A5325" s="15" t="str">
        <f t="shared" si="166"/>
        <v/>
      </c>
      <c r="B5325" s="18" t="str">
        <f t="shared" si="167"/>
        <v/>
      </c>
    </row>
    <row r="5326" spans="1:2" x14ac:dyDescent="0.25">
      <c r="A5326" s="15" t="str">
        <f t="shared" si="166"/>
        <v/>
      </c>
      <c r="B5326" s="18" t="str">
        <f t="shared" si="167"/>
        <v/>
      </c>
    </row>
    <row r="5327" spans="1:2" x14ac:dyDescent="0.25">
      <c r="A5327" s="15" t="str">
        <f t="shared" si="166"/>
        <v/>
      </c>
      <c r="B5327" s="18" t="str">
        <f t="shared" si="167"/>
        <v/>
      </c>
    </row>
    <row r="5328" spans="1:2" x14ac:dyDescent="0.25">
      <c r="A5328" s="15" t="str">
        <f t="shared" si="166"/>
        <v/>
      </c>
      <c r="B5328" s="18" t="str">
        <f t="shared" si="167"/>
        <v/>
      </c>
    </row>
    <row r="5329" spans="1:2" x14ac:dyDescent="0.25">
      <c r="A5329" s="15" t="str">
        <f t="shared" si="166"/>
        <v/>
      </c>
      <c r="B5329" s="18" t="str">
        <f t="shared" si="167"/>
        <v/>
      </c>
    </row>
    <row r="5330" spans="1:2" x14ac:dyDescent="0.25">
      <c r="A5330" s="15" t="str">
        <f t="shared" si="166"/>
        <v/>
      </c>
      <c r="B5330" s="18" t="str">
        <f t="shared" si="167"/>
        <v/>
      </c>
    </row>
    <row r="5331" spans="1:2" x14ac:dyDescent="0.25">
      <c r="A5331" s="15" t="str">
        <f t="shared" si="166"/>
        <v/>
      </c>
      <c r="B5331" s="18" t="str">
        <f t="shared" si="167"/>
        <v/>
      </c>
    </row>
    <row r="5332" spans="1:2" x14ac:dyDescent="0.25">
      <c r="A5332" s="15" t="str">
        <f t="shared" si="166"/>
        <v/>
      </c>
      <c r="B5332" s="18" t="str">
        <f t="shared" si="167"/>
        <v/>
      </c>
    </row>
    <row r="5333" spans="1:2" x14ac:dyDescent="0.25">
      <c r="A5333" s="15" t="str">
        <f t="shared" si="166"/>
        <v/>
      </c>
      <c r="B5333" s="18" t="str">
        <f t="shared" si="167"/>
        <v/>
      </c>
    </row>
    <row r="5334" spans="1:2" x14ac:dyDescent="0.25">
      <c r="A5334" s="15" t="str">
        <f t="shared" si="166"/>
        <v/>
      </c>
      <c r="B5334" s="18" t="str">
        <f t="shared" si="167"/>
        <v/>
      </c>
    </row>
    <row r="5335" spans="1:2" x14ac:dyDescent="0.25">
      <c r="A5335" s="15" t="str">
        <f t="shared" si="166"/>
        <v/>
      </c>
      <c r="B5335" s="18" t="str">
        <f t="shared" si="167"/>
        <v/>
      </c>
    </row>
    <row r="5336" spans="1:2" x14ac:dyDescent="0.25">
      <c r="A5336" s="15" t="str">
        <f t="shared" si="166"/>
        <v/>
      </c>
      <c r="B5336" s="18" t="str">
        <f t="shared" si="167"/>
        <v/>
      </c>
    </row>
    <row r="5337" spans="1:2" x14ac:dyDescent="0.25">
      <c r="A5337" s="15" t="str">
        <f t="shared" si="166"/>
        <v/>
      </c>
      <c r="B5337" s="18" t="str">
        <f t="shared" si="167"/>
        <v/>
      </c>
    </row>
    <row r="5338" spans="1:2" x14ac:dyDescent="0.25">
      <c r="A5338" s="15" t="str">
        <f t="shared" si="166"/>
        <v/>
      </c>
      <c r="B5338" s="18" t="str">
        <f t="shared" si="167"/>
        <v/>
      </c>
    </row>
    <row r="5339" spans="1:2" x14ac:dyDescent="0.25">
      <c r="A5339" s="15" t="str">
        <f t="shared" si="166"/>
        <v/>
      </c>
      <c r="B5339" s="18" t="str">
        <f t="shared" si="167"/>
        <v/>
      </c>
    </row>
    <row r="5340" spans="1:2" x14ac:dyDescent="0.25">
      <c r="A5340" s="15" t="str">
        <f t="shared" si="166"/>
        <v/>
      </c>
      <c r="B5340" s="18" t="str">
        <f t="shared" si="167"/>
        <v/>
      </c>
    </row>
    <row r="5341" spans="1:2" x14ac:dyDescent="0.25">
      <c r="A5341" s="15" t="str">
        <f t="shared" si="166"/>
        <v/>
      </c>
      <c r="B5341" s="18" t="str">
        <f t="shared" si="167"/>
        <v/>
      </c>
    </row>
    <row r="5342" spans="1:2" x14ac:dyDescent="0.25">
      <c r="A5342" s="15" t="str">
        <f t="shared" si="166"/>
        <v/>
      </c>
      <c r="B5342" s="18" t="str">
        <f t="shared" si="167"/>
        <v/>
      </c>
    </row>
    <row r="5343" spans="1:2" x14ac:dyDescent="0.25">
      <c r="A5343" s="15" t="str">
        <f t="shared" si="166"/>
        <v/>
      </c>
      <c r="B5343" s="18" t="str">
        <f t="shared" si="167"/>
        <v/>
      </c>
    </row>
    <row r="5344" spans="1:2" x14ac:dyDescent="0.25">
      <c r="A5344" s="15" t="str">
        <f t="shared" si="166"/>
        <v/>
      </c>
      <c r="B5344" s="18" t="str">
        <f t="shared" si="167"/>
        <v/>
      </c>
    </row>
    <row r="5345" spans="1:2" x14ac:dyDescent="0.25">
      <c r="A5345" s="15" t="str">
        <f t="shared" si="166"/>
        <v/>
      </c>
      <c r="B5345" s="18" t="str">
        <f t="shared" si="167"/>
        <v/>
      </c>
    </row>
    <row r="5346" spans="1:2" x14ac:dyDescent="0.25">
      <c r="A5346" s="15" t="str">
        <f t="shared" si="166"/>
        <v/>
      </c>
      <c r="B5346" s="18" t="str">
        <f t="shared" si="167"/>
        <v/>
      </c>
    </row>
    <row r="5347" spans="1:2" x14ac:dyDescent="0.25">
      <c r="A5347" s="15" t="str">
        <f t="shared" si="166"/>
        <v/>
      </c>
      <c r="B5347" s="18" t="str">
        <f t="shared" si="167"/>
        <v/>
      </c>
    </row>
    <row r="5348" spans="1:2" x14ac:dyDescent="0.25">
      <c r="A5348" s="15" t="str">
        <f t="shared" si="166"/>
        <v/>
      </c>
      <c r="B5348" s="18" t="str">
        <f t="shared" si="167"/>
        <v/>
      </c>
    </row>
    <row r="5349" spans="1:2" x14ac:dyDescent="0.25">
      <c r="A5349" s="15" t="str">
        <f t="shared" si="166"/>
        <v/>
      </c>
      <c r="B5349" s="18" t="str">
        <f t="shared" si="167"/>
        <v/>
      </c>
    </row>
    <row r="5350" spans="1:2" x14ac:dyDescent="0.25">
      <c r="A5350" s="15" t="str">
        <f t="shared" si="166"/>
        <v/>
      </c>
      <c r="B5350" s="18" t="str">
        <f t="shared" si="167"/>
        <v/>
      </c>
    </row>
    <row r="5351" spans="1:2" x14ac:dyDescent="0.25">
      <c r="A5351" s="15" t="str">
        <f t="shared" si="166"/>
        <v/>
      </c>
      <c r="B5351" s="18" t="str">
        <f t="shared" si="167"/>
        <v/>
      </c>
    </row>
    <row r="5352" spans="1:2" x14ac:dyDescent="0.25">
      <c r="A5352" s="15" t="str">
        <f t="shared" si="166"/>
        <v/>
      </c>
      <c r="B5352" s="18" t="str">
        <f t="shared" si="167"/>
        <v/>
      </c>
    </row>
    <row r="5353" spans="1:2" x14ac:dyDescent="0.25">
      <c r="A5353" s="15" t="str">
        <f t="shared" si="166"/>
        <v/>
      </c>
      <c r="B5353" s="18" t="str">
        <f t="shared" si="167"/>
        <v/>
      </c>
    </row>
    <row r="5354" spans="1:2" x14ac:dyDescent="0.25">
      <c r="A5354" s="15" t="str">
        <f t="shared" si="166"/>
        <v/>
      </c>
      <c r="B5354" s="18" t="str">
        <f t="shared" si="167"/>
        <v/>
      </c>
    </row>
    <row r="5355" spans="1:2" x14ac:dyDescent="0.25">
      <c r="A5355" s="15" t="str">
        <f t="shared" si="166"/>
        <v/>
      </c>
      <c r="B5355" s="18" t="str">
        <f t="shared" si="167"/>
        <v/>
      </c>
    </row>
    <row r="5356" spans="1:2" x14ac:dyDescent="0.25">
      <c r="A5356" s="15" t="str">
        <f t="shared" si="166"/>
        <v/>
      </c>
      <c r="B5356" s="18" t="str">
        <f t="shared" si="167"/>
        <v/>
      </c>
    </row>
    <row r="5357" spans="1:2" x14ac:dyDescent="0.25">
      <c r="A5357" s="15" t="str">
        <f t="shared" si="166"/>
        <v/>
      </c>
      <c r="B5357" s="18" t="str">
        <f t="shared" si="167"/>
        <v/>
      </c>
    </row>
    <row r="5358" spans="1:2" x14ac:dyDescent="0.25">
      <c r="A5358" s="15" t="str">
        <f t="shared" si="166"/>
        <v/>
      </c>
      <c r="B5358" s="18" t="str">
        <f t="shared" si="167"/>
        <v/>
      </c>
    </row>
    <row r="5359" spans="1:2" x14ac:dyDescent="0.25">
      <c r="A5359" s="15" t="str">
        <f t="shared" si="166"/>
        <v/>
      </c>
      <c r="B5359" s="18" t="str">
        <f t="shared" si="167"/>
        <v/>
      </c>
    </row>
    <row r="5360" spans="1:2" x14ac:dyDescent="0.25">
      <c r="A5360" s="15" t="str">
        <f t="shared" si="166"/>
        <v/>
      </c>
      <c r="B5360" s="18" t="str">
        <f t="shared" si="167"/>
        <v/>
      </c>
    </row>
    <row r="5361" spans="1:2" x14ac:dyDescent="0.25">
      <c r="A5361" s="15" t="str">
        <f t="shared" si="166"/>
        <v/>
      </c>
      <c r="B5361" s="18" t="str">
        <f t="shared" si="167"/>
        <v/>
      </c>
    </row>
    <row r="5362" spans="1:2" x14ac:dyDescent="0.25">
      <c r="A5362" s="15" t="str">
        <f t="shared" si="166"/>
        <v/>
      </c>
      <c r="B5362" s="18" t="str">
        <f t="shared" si="167"/>
        <v/>
      </c>
    </row>
    <row r="5363" spans="1:2" x14ac:dyDescent="0.25">
      <c r="A5363" s="15" t="str">
        <f t="shared" si="166"/>
        <v/>
      </c>
      <c r="B5363" s="18" t="str">
        <f t="shared" si="167"/>
        <v/>
      </c>
    </row>
    <row r="5364" spans="1:2" x14ac:dyDescent="0.25">
      <c r="A5364" s="15" t="str">
        <f t="shared" si="166"/>
        <v/>
      </c>
      <c r="B5364" s="18" t="str">
        <f t="shared" si="167"/>
        <v/>
      </c>
    </row>
    <row r="5365" spans="1:2" x14ac:dyDescent="0.25">
      <c r="A5365" s="15" t="str">
        <f t="shared" si="166"/>
        <v/>
      </c>
      <c r="B5365" s="18" t="str">
        <f t="shared" si="167"/>
        <v/>
      </c>
    </row>
    <row r="5366" spans="1:2" x14ac:dyDescent="0.25">
      <c r="A5366" s="15" t="str">
        <f t="shared" si="166"/>
        <v/>
      </c>
      <c r="B5366" s="18" t="str">
        <f t="shared" si="167"/>
        <v/>
      </c>
    </row>
    <row r="5367" spans="1:2" x14ac:dyDescent="0.25">
      <c r="A5367" s="15" t="str">
        <f t="shared" si="166"/>
        <v/>
      </c>
      <c r="B5367" s="18" t="str">
        <f t="shared" si="167"/>
        <v/>
      </c>
    </row>
    <row r="5368" spans="1:2" x14ac:dyDescent="0.25">
      <c r="A5368" s="15" t="str">
        <f t="shared" si="166"/>
        <v/>
      </c>
      <c r="B5368" s="18" t="str">
        <f t="shared" si="167"/>
        <v/>
      </c>
    </row>
    <row r="5369" spans="1:2" x14ac:dyDescent="0.25">
      <c r="A5369" s="15" t="str">
        <f t="shared" si="166"/>
        <v/>
      </c>
      <c r="B5369" s="18" t="str">
        <f t="shared" si="167"/>
        <v/>
      </c>
    </row>
    <row r="5370" spans="1:2" x14ac:dyDescent="0.25">
      <c r="A5370" s="15" t="str">
        <f t="shared" si="166"/>
        <v/>
      </c>
      <c r="B5370" s="18" t="str">
        <f t="shared" si="167"/>
        <v/>
      </c>
    </row>
    <row r="5371" spans="1:2" x14ac:dyDescent="0.25">
      <c r="A5371" s="15" t="str">
        <f t="shared" si="166"/>
        <v/>
      </c>
      <c r="B5371" s="18" t="str">
        <f t="shared" si="167"/>
        <v/>
      </c>
    </row>
    <row r="5372" spans="1:2" x14ac:dyDescent="0.25">
      <c r="A5372" s="15" t="str">
        <f t="shared" si="166"/>
        <v/>
      </c>
      <c r="B5372" s="18" t="str">
        <f t="shared" si="167"/>
        <v/>
      </c>
    </row>
    <row r="5373" spans="1:2" x14ac:dyDescent="0.25">
      <c r="A5373" s="15" t="str">
        <f t="shared" si="166"/>
        <v/>
      </c>
      <c r="B5373" s="18" t="str">
        <f t="shared" si="167"/>
        <v/>
      </c>
    </row>
    <row r="5374" spans="1:2" x14ac:dyDescent="0.25">
      <c r="A5374" s="15" t="str">
        <f t="shared" si="166"/>
        <v/>
      </c>
      <c r="B5374" s="18" t="str">
        <f t="shared" si="167"/>
        <v/>
      </c>
    </row>
    <row r="5375" spans="1:2" x14ac:dyDescent="0.25">
      <c r="A5375" s="15" t="str">
        <f t="shared" si="166"/>
        <v/>
      </c>
      <c r="B5375" s="18" t="str">
        <f t="shared" si="167"/>
        <v/>
      </c>
    </row>
    <row r="5376" spans="1:2" x14ac:dyDescent="0.25">
      <c r="A5376" s="15" t="str">
        <f t="shared" si="166"/>
        <v/>
      </c>
      <c r="B5376" s="18" t="str">
        <f t="shared" si="167"/>
        <v/>
      </c>
    </row>
    <row r="5377" spans="1:2" x14ac:dyDescent="0.25">
      <c r="A5377" s="15" t="str">
        <f t="shared" si="166"/>
        <v/>
      </c>
      <c r="B5377" s="18" t="str">
        <f t="shared" si="167"/>
        <v/>
      </c>
    </row>
    <row r="5378" spans="1:2" x14ac:dyDescent="0.25">
      <c r="A5378" s="15" t="str">
        <f t="shared" ref="A5378:A5441" si="168">B5378&amp;C5378</f>
        <v/>
      </c>
      <c r="B5378" s="18" t="str">
        <f t="shared" si="167"/>
        <v/>
      </c>
    </row>
    <row r="5379" spans="1:2" x14ac:dyDescent="0.25">
      <c r="A5379" s="15" t="str">
        <f t="shared" si="168"/>
        <v/>
      </c>
      <c r="B5379" s="18" t="str">
        <f t="shared" ref="B5379:B5442" si="169">IF(C5379="","",B5378)</f>
        <v/>
      </c>
    </row>
    <row r="5380" spans="1:2" x14ac:dyDescent="0.25">
      <c r="A5380" s="15" t="str">
        <f t="shared" si="168"/>
        <v/>
      </c>
      <c r="B5380" s="18" t="str">
        <f t="shared" si="169"/>
        <v/>
      </c>
    </row>
    <row r="5381" spans="1:2" x14ac:dyDescent="0.25">
      <c r="A5381" s="15" t="str">
        <f t="shared" si="168"/>
        <v/>
      </c>
      <c r="B5381" s="18" t="str">
        <f t="shared" si="169"/>
        <v/>
      </c>
    </row>
    <row r="5382" spans="1:2" x14ac:dyDescent="0.25">
      <c r="A5382" s="15" t="str">
        <f t="shared" si="168"/>
        <v/>
      </c>
      <c r="B5382" s="18" t="str">
        <f t="shared" si="169"/>
        <v/>
      </c>
    </row>
    <row r="5383" spans="1:2" x14ac:dyDescent="0.25">
      <c r="A5383" s="15" t="str">
        <f t="shared" si="168"/>
        <v/>
      </c>
      <c r="B5383" s="18" t="str">
        <f t="shared" si="169"/>
        <v/>
      </c>
    </row>
    <row r="5384" spans="1:2" x14ac:dyDescent="0.25">
      <c r="A5384" s="15" t="str">
        <f t="shared" si="168"/>
        <v/>
      </c>
      <c r="B5384" s="18" t="str">
        <f t="shared" si="169"/>
        <v/>
      </c>
    </row>
    <row r="5385" spans="1:2" x14ac:dyDescent="0.25">
      <c r="A5385" s="15" t="str">
        <f t="shared" si="168"/>
        <v/>
      </c>
      <c r="B5385" s="18" t="str">
        <f t="shared" si="169"/>
        <v/>
      </c>
    </row>
    <row r="5386" spans="1:2" x14ac:dyDescent="0.25">
      <c r="A5386" s="15" t="str">
        <f t="shared" si="168"/>
        <v/>
      </c>
      <c r="B5386" s="18" t="str">
        <f t="shared" si="169"/>
        <v/>
      </c>
    </row>
    <row r="5387" spans="1:2" x14ac:dyDescent="0.25">
      <c r="A5387" s="15" t="str">
        <f t="shared" si="168"/>
        <v/>
      </c>
      <c r="B5387" s="18" t="str">
        <f t="shared" si="169"/>
        <v/>
      </c>
    </row>
    <row r="5388" spans="1:2" x14ac:dyDescent="0.25">
      <c r="A5388" s="15" t="str">
        <f t="shared" si="168"/>
        <v/>
      </c>
      <c r="B5388" s="18" t="str">
        <f t="shared" si="169"/>
        <v/>
      </c>
    </row>
    <row r="5389" spans="1:2" x14ac:dyDescent="0.25">
      <c r="A5389" s="15" t="str">
        <f t="shared" si="168"/>
        <v/>
      </c>
      <c r="B5389" s="18" t="str">
        <f t="shared" si="169"/>
        <v/>
      </c>
    </row>
    <row r="5390" spans="1:2" x14ac:dyDescent="0.25">
      <c r="A5390" s="15" t="str">
        <f t="shared" si="168"/>
        <v/>
      </c>
      <c r="B5390" s="18" t="str">
        <f t="shared" si="169"/>
        <v/>
      </c>
    </row>
    <row r="5391" spans="1:2" x14ac:dyDescent="0.25">
      <c r="A5391" s="15" t="str">
        <f t="shared" si="168"/>
        <v/>
      </c>
      <c r="B5391" s="18" t="str">
        <f t="shared" si="169"/>
        <v/>
      </c>
    </row>
    <row r="5392" spans="1:2" x14ac:dyDescent="0.25">
      <c r="A5392" s="15" t="str">
        <f t="shared" si="168"/>
        <v/>
      </c>
      <c r="B5392" s="18" t="str">
        <f t="shared" si="169"/>
        <v/>
      </c>
    </row>
    <row r="5393" spans="1:2" x14ac:dyDescent="0.25">
      <c r="A5393" s="15" t="str">
        <f t="shared" si="168"/>
        <v/>
      </c>
      <c r="B5393" s="18" t="str">
        <f t="shared" si="169"/>
        <v/>
      </c>
    </row>
    <row r="5394" spans="1:2" x14ac:dyDescent="0.25">
      <c r="A5394" s="15" t="str">
        <f t="shared" si="168"/>
        <v/>
      </c>
      <c r="B5394" s="18" t="str">
        <f t="shared" si="169"/>
        <v/>
      </c>
    </row>
    <row r="5395" spans="1:2" x14ac:dyDescent="0.25">
      <c r="A5395" s="15" t="str">
        <f t="shared" si="168"/>
        <v/>
      </c>
      <c r="B5395" s="18" t="str">
        <f t="shared" si="169"/>
        <v/>
      </c>
    </row>
    <row r="5396" spans="1:2" x14ac:dyDescent="0.25">
      <c r="A5396" s="15" t="str">
        <f t="shared" si="168"/>
        <v/>
      </c>
      <c r="B5396" s="18" t="str">
        <f t="shared" si="169"/>
        <v/>
      </c>
    </row>
    <row r="5397" spans="1:2" x14ac:dyDescent="0.25">
      <c r="A5397" s="15" t="str">
        <f t="shared" si="168"/>
        <v/>
      </c>
      <c r="B5397" s="18" t="str">
        <f t="shared" si="169"/>
        <v/>
      </c>
    </row>
    <row r="5398" spans="1:2" x14ac:dyDescent="0.25">
      <c r="A5398" s="15" t="str">
        <f t="shared" si="168"/>
        <v/>
      </c>
      <c r="B5398" s="18" t="str">
        <f t="shared" si="169"/>
        <v/>
      </c>
    </row>
    <row r="5399" spans="1:2" x14ac:dyDescent="0.25">
      <c r="A5399" s="15" t="str">
        <f t="shared" si="168"/>
        <v/>
      </c>
      <c r="B5399" s="18" t="str">
        <f t="shared" si="169"/>
        <v/>
      </c>
    </row>
    <row r="5400" spans="1:2" x14ac:dyDescent="0.25">
      <c r="A5400" s="15" t="str">
        <f t="shared" si="168"/>
        <v/>
      </c>
      <c r="B5400" s="18" t="str">
        <f t="shared" si="169"/>
        <v/>
      </c>
    </row>
    <row r="5401" spans="1:2" x14ac:dyDescent="0.25">
      <c r="A5401" s="15" t="str">
        <f t="shared" si="168"/>
        <v/>
      </c>
      <c r="B5401" s="18" t="str">
        <f t="shared" si="169"/>
        <v/>
      </c>
    </row>
    <row r="5402" spans="1:2" x14ac:dyDescent="0.25">
      <c r="A5402" s="15" t="str">
        <f t="shared" si="168"/>
        <v/>
      </c>
      <c r="B5402" s="18" t="str">
        <f t="shared" si="169"/>
        <v/>
      </c>
    </row>
    <row r="5403" spans="1:2" x14ac:dyDescent="0.25">
      <c r="A5403" s="15" t="str">
        <f t="shared" si="168"/>
        <v/>
      </c>
      <c r="B5403" s="18" t="str">
        <f t="shared" si="169"/>
        <v/>
      </c>
    </row>
    <row r="5404" spans="1:2" x14ac:dyDescent="0.25">
      <c r="A5404" s="15" t="str">
        <f t="shared" si="168"/>
        <v/>
      </c>
      <c r="B5404" s="18" t="str">
        <f t="shared" si="169"/>
        <v/>
      </c>
    </row>
    <row r="5405" spans="1:2" x14ac:dyDescent="0.25">
      <c r="A5405" s="15" t="str">
        <f t="shared" si="168"/>
        <v/>
      </c>
      <c r="B5405" s="18" t="str">
        <f t="shared" si="169"/>
        <v/>
      </c>
    </row>
    <row r="5406" spans="1:2" x14ac:dyDescent="0.25">
      <c r="A5406" s="15" t="str">
        <f t="shared" si="168"/>
        <v/>
      </c>
      <c r="B5406" s="18" t="str">
        <f t="shared" si="169"/>
        <v/>
      </c>
    </row>
    <row r="5407" spans="1:2" x14ac:dyDescent="0.25">
      <c r="A5407" s="15" t="str">
        <f t="shared" si="168"/>
        <v/>
      </c>
      <c r="B5407" s="18" t="str">
        <f t="shared" si="169"/>
        <v/>
      </c>
    </row>
    <row r="5408" spans="1:2" x14ac:dyDescent="0.25">
      <c r="A5408" s="15" t="str">
        <f t="shared" si="168"/>
        <v/>
      </c>
      <c r="B5408" s="18" t="str">
        <f t="shared" si="169"/>
        <v/>
      </c>
    </row>
    <row r="5409" spans="1:2" x14ac:dyDescent="0.25">
      <c r="A5409" s="15" t="str">
        <f t="shared" si="168"/>
        <v/>
      </c>
      <c r="B5409" s="18" t="str">
        <f t="shared" si="169"/>
        <v/>
      </c>
    </row>
    <row r="5410" spans="1:2" x14ac:dyDescent="0.25">
      <c r="A5410" s="15" t="str">
        <f t="shared" si="168"/>
        <v/>
      </c>
      <c r="B5410" s="18" t="str">
        <f t="shared" si="169"/>
        <v/>
      </c>
    </row>
    <row r="5411" spans="1:2" x14ac:dyDescent="0.25">
      <c r="A5411" s="15" t="str">
        <f t="shared" si="168"/>
        <v/>
      </c>
      <c r="B5411" s="18" t="str">
        <f t="shared" si="169"/>
        <v/>
      </c>
    </row>
    <row r="5412" spans="1:2" x14ac:dyDescent="0.25">
      <c r="A5412" s="15" t="str">
        <f t="shared" si="168"/>
        <v/>
      </c>
      <c r="B5412" s="18" t="str">
        <f t="shared" si="169"/>
        <v/>
      </c>
    </row>
    <row r="5413" spans="1:2" x14ac:dyDescent="0.25">
      <c r="A5413" s="15" t="str">
        <f t="shared" si="168"/>
        <v/>
      </c>
      <c r="B5413" s="18" t="str">
        <f t="shared" si="169"/>
        <v/>
      </c>
    </row>
    <row r="5414" spans="1:2" x14ac:dyDescent="0.25">
      <c r="A5414" s="15" t="str">
        <f t="shared" si="168"/>
        <v/>
      </c>
      <c r="B5414" s="18" t="str">
        <f t="shared" si="169"/>
        <v/>
      </c>
    </row>
    <row r="5415" spans="1:2" x14ac:dyDescent="0.25">
      <c r="A5415" s="15" t="str">
        <f t="shared" si="168"/>
        <v/>
      </c>
      <c r="B5415" s="18" t="str">
        <f t="shared" si="169"/>
        <v/>
      </c>
    </row>
    <row r="5416" spans="1:2" x14ac:dyDescent="0.25">
      <c r="A5416" s="15" t="str">
        <f t="shared" si="168"/>
        <v/>
      </c>
      <c r="B5416" s="18" t="str">
        <f t="shared" si="169"/>
        <v/>
      </c>
    </row>
    <row r="5417" spans="1:2" x14ac:dyDescent="0.25">
      <c r="A5417" s="15" t="str">
        <f t="shared" si="168"/>
        <v/>
      </c>
      <c r="B5417" s="18" t="str">
        <f t="shared" si="169"/>
        <v/>
      </c>
    </row>
    <row r="5418" spans="1:2" x14ac:dyDescent="0.25">
      <c r="A5418" s="15" t="str">
        <f t="shared" si="168"/>
        <v/>
      </c>
      <c r="B5418" s="18" t="str">
        <f t="shared" si="169"/>
        <v/>
      </c>
    </row>
    <row r="5419" spans="1:2" x14ac:dyDescent="0.25">
      <c r="A5419" s="15" t="str">
        <f t="shared" si="168"/>
        <v/>
      </c>
      <c r="B5419" s="18" t="str">
        <f t="shared" si="169"/>
        <v/>
      </c>
    </row>
    <row r="5420" spans="1:2" x14ac:dyDescent="0.25">
      <c r="A5420" s="15" t="str">
        <f t="shared" si="168"/>
        <v/>
      </c>
      <c r="B5420" s="18" t="str">
        <f t="shared" si="169"/>
        <v/>
      </c>
    </row>
    <row r="5421" spans="1:2" x14ac:dyDescent="0.25">
      <c r="A5421" s="15" t="str">
        <f t="shared" si="168"/>
        <v/>
      </c>
      <c r="B5421" s="18" t="str">
        <f t="shared" si="169"/>
        <v/>
      </c>
    </row>
    <row r="5422" spans="1:2" x14ac:dyDescent="0.25">
      <c r="A5422" s="15" t="str">
        <f t="shared" si="168"/>
        <v/>
      </c>
      <c r="B5422" s="18" t="str">
        <f t="shared" si="169"/>
        <v/>
      </c>
    </row>
    <row r="5423" spans="1:2" x14ac:dyDescent="0.25">
      <c r="A5423" s="15" t="str">
        <f t="shared" si="168"/>
        <v/>
      </c>
      <c r="B5423" s="18" t="str">
        <f t="shared" si="169"/>
        <v/>
      </c>
    </row>
    <row r="5424" spans="1:2" x14ac:dyDescent="0.25">
      <c r="A5424" s="15" t="str">
        <f t="shared" si="168"/>
        <v/>
      </c>
      <c r="B5424" s="18" t="str">
        <f t="shared" si="169"/>
        <v/>
      </c>
    </row>
    <row r="5425" spans="1:2" x14ac:dyDescent="0.25">
      <c r="A5425" s="15" t="str">
        <f t="shared" si="168"/>
        <v/>
      </c>
      <c r="B5425" s="18" t="str">
        <f t="shared" si="169"/>
        <v/>
      </c>
    </row>
    <row r="5426" spans="1:2" x14ac:dyDescent="0.25">
      <c r="A5426" s="15" t="str">
        <f t="shared" si="168"/>
        <v/>
      </c>
      <c r="B5426" s="18" t="str">
        <f t="shared" si="169"/>
        <v/>
      </c>
    </row>
    <row r="5427" spans="1:2" x14ac:dyDescent="0.25">
      <c r="A5427" s="15" t="str">
        <f t="shared" si="168"/>
        <v/>
      </c>
      <c r="B5427" s="18" t="str">
        <f t="shared" si="169"/>
        <v/>
      </c>
    </row>
    <row r="5428" spans="1:2" x14ac:dyDescent="0.25">
      <c r="A5428" s="15" t="str">
        <f t="shared" si="168"/>
        <v/>
      </c>
      <c r="B5428" s="18" t="str">
        <f t="shared" si="169"/>
        <v/>
      </c>
    </row>
    <row r="5429" spans="1:2" x14ac:dyDescent="0.25">
      <c r="A5429" s="15" t="str">
        <f t="shared" si="168"/>
        <v/>
      </c>
      <c r="B5429" s="18" t="str">
        <f t="shared" si="169"/>
        <v/>
      </c>
    </row>
    <row r="5430" spans="1:2" x14ac:dyDescent="0.25">
      <c r="A5430" s="15" t="str">
        <f t="shared" si="168"/>
        <v/>
      </c>
      <c r="B5430" s="18" t="str">
        <f t="shared" si="169"/>
        <v/>
      </c>
    </row>
    <row r="5431" spans="1:2" x14ac:dyDescent="0.25">
      <c r="A5431" s="15" t="str">
        <f t="shared" si="168"/>
        <v/>
      </c>
      <c r="B5431" s="18" t="str">
        <f t="shared" si="169"/>
        <v/>
      </c>
    </row>
    <row r="5432" spans="1:2" x14ac:dyDescent="0.25">
      <c r="A5432" s="15" t="str">
        <f t="shared" si="168"/>
        <v/>
      </c>
      <c r="B5432" s="18" t="str">
        <f t="shared" si="169"/>
        <v/>
      </c>
    </row>
    <row r="5433" spans="1:2" x14ac:dyDescent="0.25">
      <c r="A5433" s="15" t="str">
        <f t="shared" si="168"/>
        <v/>
      </c>
      <c r="B5433" s="18" t="str">
        <f t="shared" si="169"/>
        <v/>
      </c>
    </row>
    <row r="5434" spans="1:2" x14ac:dyDescent="0.25">
      <c r="A5434" s="15" t="str">
        <f t="shared" si="168"/>
        <v/>
      </c>
      <c r="B5434" s="18" t="str">
        <f t="shared" si="169"/>
        <v/>
      </c>
    </row>
    <row r="5435" spans="1:2" x14ac:dyDescent="0.25">
      <c r="A5435" s="15" t="str">
        <f t="shared" si="168"/>
        <v/>
      </c>
      <c r="B5435" s="18" t="str">
        <f t="shared" si="169"/>
        <v/>
      </c>
    </row>
    <row r="5436" spans="1:2" x14ac:dyDescent="0.25">
      <c r="A5436" s="15" t="str">
        <f t="shared" si="168"/>
        <v/>
      </c>
      <c r="B5436" s="18" t="str">
        <f t="shared" si="169"/>
        <v/>
      </c>
    </row>
    <row r="5437" spans="1:2" x14ac:dyDescent="0.25">
      <c r="A5437" s="15" t="str">
        <f t="shared" si="168"/>
        <v/>
      </c>
      <c r="B5437" s="18" t="str">
        <f t="shared" si="169"/>
        <v/>
      </c>
    </row>
    <row r="5438" spans="1:2" x14ac:dyDescent="0.25">
      <c r="A5438" s="15" t="str">
        <f t="shared" si="168"/>
        <v/>
      </c>
      <c r="B5438" s="18" t="str">
        <f t="shared" si="169"/>
        <v/>
      </c>
    </row>
    <row r="5439" spans="1:2" x14ac:dyDescent="0.25">
      <c r="A5439" s="15" t="str">
        <f t="shared" si="168"/>
        <v/>
      </c>
      <c r="B5439" s="18" t="str">
        <f t="shared" si="169"/>
        <v/>
      </c>
    </row>
    <row r="5440" spans="1:2" x14ac:dyDescent="0.25">
      <c r="A5440" s="15" t="str">
        <f t="shared" si="168"/>
        <v/>
      </c>
      <c r="B5440" s="18" t="str">
        <f t="shared" si="169"/>
        <v/>
      </c>
    </row>
    <row r="5441" spans="1:2" x14ac:dyDescent="0.25">
      <c r="A5441" s="15" t="str">
        <f t="shared" si="168"/>
        <v/>
      </c>
      <c r="B5441" s="18" t="str">
        <f t="shared" si="169"/>
        <v/>
      </c>
    </row>
    <row r="5442" spans="1:2" x14ac:dyDescent="0.25">
      <c r="A5442" s="15" t="str">
        <f t="shared" ref="A5442:A5505" si="170">B5442&amp;C5442</f>
        <v/>
      </c>
      <c r="B5442" s="18" t="str">
        <f t="shared" si="169"/>
        <v/>
      </c>
    </row>
    <row r="5443" spans="1:2" x14ac:dyDescent="0.25">
      <c r="A5443" s="15" t="str">
        <f t="shared" si="170"/>
        <v/>
      </c>
      <c r="B5443" s="18" t="str">
        <f t="shared" ref="B5443:B5506" si="171">IF(C5443="","",B5442)</f>
        <v/>
      </c>
    </row>
    <row r="5444" spans="1:2" x14ac:dyDescent="0.25">
      <c r="A5444" s="15" t="str">
        <f t="shared" si="170"/>
        <v/>
      </c>
      <c r="B5444" s="18" t="str">
        <f t="shared" si="171"/>
        <v/>
      </c>
    </row>
    <row r="5445" spans="1:2" x14ac:dyDescent="0.25">
      <c r="A5445" s="15" t="str">
        <f t="shared" si="170"/>
        <v/>
      </c>
      <c r="B5445" s="18" t="str">
        <f t="shared" si="171"/>
        <v/>
      </c>
    </row>
    <row r="5446" spans="1:2" x14ac:dyDescent="0.25">
      <c r="A5446" s="15" t="str">
        <f t="shared" si="170"/>
        <v/>
      </c>
      <c r="B5446" s="18" t="str">
        <f t="shared" si="171"/>
        <v/>
      </c>
    </row>
    <row r="5447" spans="1:2" x14ac:dyDescent="0.25">
      <c r="A5447" s="15" t="str">
        <f t="shared" si="170"/>
        <v/>
      </c>
      <c r="B5447" s="18" t="str">
        <f t="shared" si="171"/>
        <v/>
      </c>
    </row>
    <row r="5448" spans="1:2" x14ac:dyDescent="0.25">
      <c r="A5448" s="15" t="str">
        <f t="shared" si="170"/>
        <v/>
      </c>
      <c r="B5448" s="18" t="str">
        <f t="shared" si="171"/>
        <v/>
      </c>
    </row>
    <row r="5449" spans="1:2" x14ac:dyDescent="0.25">
      <c r="A5449" s="15" t="str">
        <f t="shared" si="170"/>
        <v/>
      </c>
      <c r="B5449" s="18" t="str">
        <f t="shared" si="171"/>
        <v/>
      </c>
    </row>
    <row r="5450" spans="1:2" x14ac:dyDescent="0.25">
      <c r="A5450" s="15" t="str">
        <f t="shared" si="170"/>
        <v/>
      </c>
      <c r="B5450" s="18" t="str">
        <f t="shared" si="171"/>
        <v/>
      </c>
    </row>
    <row r="5451" spans="1:2" x14ac:dyDescent="0.25">
      <c r="A5451" s="15" t="str">
        <f t="shared" si="170"/>
        <v/>
      </c>
      <c r="B5451" s="18" t="str">
        <f t="shared" si="171"/>
        <v/>
      </c>
    </row>
    <row r="5452" spans="1:2" x14ac:dyDescent="0.25">
      <c r="A5452" s="15" t="str">
        <f t="shared" si="170"/>
        <v/>
      </c>
      <c r="B5452" s="18" t="str">
        <f t="shared" si="171"/>
        <v/>
      </c>
    </row>
    <row r="5453" spans="1:2" x14ac:dyDescent="0.25">
      <c r="A5453" s="15" t="str">
        <f t="shared" si="170"/>
        <v/>
      </c>
      <c r="B5453" s="18" t="str">
        <f t="shared" si="171"/>
        <v/>
      </c>
    </row>
    <row r="5454" spans="1:2" x14ac:dyDescent="0.25">
      <c r="A5454" s="15" t="str">
        <f t="shared" si="170"/>
        <v/>
      </c>
      <c r="B5454" s="18" t="str">
        <f t="shared" si="171"/>
        <v/>
      </c>
    </row>
    <row r="5455" spans="1:2" x14ac:dyDescent="0.25">
      <c r="A5455" s="15" t="str">
        <f t="shared" si="170"/>
        <v/>
      </c>
      <c r="B5455" s="18" t="str">
        <f t="shared" si="171"/>
        <v/>
      </c>
    </row>
    <row r="5456" spans="1:2" x14ac:dyDescent="0.25">
      <c r="A5456" s="15" t="str">
        <f t="shared" si="170"/>
        <v/>
      </c>
      <c r="B5456" s="18" t="str">
        <f t="shared" si="171"/>
        <v/>
      </c>
    </row>
    <row r="5457" spans="1:2" x14ac:dyDescent="0.25">
      <c r="A5457" s="15" t="str">
        <f t="shared" si="170"/>
        <v/>
      </c>
      <c r="B5457" s="18" t="str">
        <f t="shared" si="171"/>
        <v/>
      </c>
    </row>
    <row r="5458" spans="1:2" x14ac:dyDescent="0.25">
      <c r="A5458" s="15" t="str">
        <f t="shared" si="170"/>
        <v/>
      </c>
      <c r="B5458" s="18" t="str">
        <f t="shared" si="171"/>
        <v/>
      </c>
    </row>
    <row r="5459" spans="1:2" x14ac:dyDescent="0.25">
      <c r="A5459" s="15" t="str">
        <f t="shared" si="170"/>
        <v/>
      </c>
      <c r="B5459" s="18" t="str">
        <f t="shared" si="171"/>
        <v/>
      </c>
    </row>
    <row r="5460" spans="1:2" x14ac:dyDescent="0.25">
      <c r="A5460" s="15" t="str">
        <f t="shared" si="170"/>
        <v/>
      </c>
      <c r="B5460" s="18" t="str">
        <f t="shared" si="171"/>
        <v/>
      </c>
    </row>
    <row r="5461" spans="1:2" x14ac:dyDescent="0.25">
      <c r="A5461" s="15" t="str">
        <f t="shared" si="170"/>
        <v/>
      </c>
      <c r="B5461" s="18" t="str">
        <f t="shared" si="171"/>
        <v/>
      </c>
    </row>
    <row r="5462" spans="1:2" x14ac:dyDescent="0.25">
      <c r="A5462" s="15" t="str">
        <f t="shared" si="170"/>
        <v/>
      </c>
      <c r="B5462" s="18" t="str">
        <f t="shared" si="171"/>
        <v/>
      </c>
    </row>
    <row r="5463" spans="1:2" x14ac:dyDescent="0.25">
      <c r="A5463" s="15" t="str">
        <f t="shared" si="170"/>
        <v/>
      </c>
      <c r="B5463" s="18" t="str">
        <f t="shared" si="171"/>
        <v/>
      </c>
    </row>
    <row r="5464" spans="1:2" x14ac:dyDescent="0.25">
      <c r="A5464" s="15" t="str">
        <f t="shared" si="170"/>
        <v/>
      </c>
      <c r="B5464" s="18" t="str">
        <f t="shared" si="171"/>
        <v/>
      </c>
    </row>
    <row r="5465" spans="1:2" x14ac:dyDescent="0.25">
      <c r="A5465" s="15" t="str">
        <f t="shared" si="170"/>
        <v/>
      </c>
      <c r="B5465" s="18" t="str">
        <f t="shared" si="171"/>
        <v/>
      </c>
    </row>
    <row r="5466" spans="1:2" x14ac:dyDescent="0.25">
      <c r="A5466" s="15" t="str">
        <f t="shared" si="170"/>
        <v/>
      </c>
      <c r="B5466" s="18" t="str">
        <f t="shared" si="171"/>
        <v/>
      </c>
    </row>
    <row r="5467" spans="1:2" x14ac:dyDescent="0.25">
      <c r="A5467" s="15" t="str">
        <f t="shared" si="170"/>
        <v/>
      </c>
      <c r="B5467" s="18" t="str">
        <f t="shared" si="171"/>
        <v/>
      </c>
    </row>
    <row r="5468" spans="1:2" x14ac:dyDescent="0.25">
      <c r="A5468" s="15" t="str">
        <f t="shared" si="170"/>
        <v/>
      </c>
      <c r="B5468" s="18" t="str">
        <f t="shared" si="171"/>
        <v/>
      </c>
    </row>
    <row r="5469" spans="1:2" x14ac:dyDescent="0.25">
      <c r="A5469" s="15" t="str">
        <f t="shared" si="170"/>
        <v/>
      </c>
      <c r="B5469" s="18" t="str">
        <f t="shared" si="171"/>
        <v/>
      </c>
    </row>
    <row r="5470" spans="1:2" x14ac:dyDescent="0.25">
      <c r="A5470" s="15" t="str">
        <f t="shared" si="170"/>
        <v/>
      </c>
      <c r="B5470" s="18" t="str">
        <f t="shared" si="171"/>
        <v/>
      </c>
    </row>
    <row r="5471" spans="1:2" x14ac:dyDescent="0.25">
      <c r="A5471" s="15" t="str">
        <f t="shared" si="170"/>
        <v/>
      </c>
      <c r="B5471" s="18" t="str">
        <f t="shared" si="171"/>
        <v/>
      </c>
    </row>
    <row r="5472" spans="1:2" x14ac:dyDescent="0.25">
      <c r="A5472" s="15" t="str">
        <f t="shared" si="170"/>
        <v/>
      </c>
      <c r="B5472" s="18" t="str">
        <f t="shared" si="171"/>
        <v/>
      </c>
    </row>
    <row r="5473" spans="1:2" x14ac:dyDescent="0.25">
      <c r="A5473" s="15" t="str">
        <f t="shared" si="170"/>
        <v/>
      </c>
      <c r="B5473" s="18" t="str">
        <f t="shared" si="171"/>
        <v/>
      </c>
    </row>
    <row r="5474" spans="1:2" x14ac:dyDescent="0.25">
      <c r="A5474" s="15" t="str">
        <f t="shared" si="170"/>
        <v/>
      </c>
      <c r="B5474" s="18" t="str">
        <f t="shared" si="171"/>
        <v/>
      </c>
    </row>
    <row r="5475" spans="1:2" x14ac:dyDescent="0.25">
      <c r="A5475" s="15" t="str">
        <f t="shared" si="170"/>
        <v/>
      </c>
      <c r="B5475" s="18" t="str">
        <f t="shared" si="171"/>
        <v/>
      </c>
    </row>
    <row r="5476" spans="1:2" x14ac:dyDescent="0.25">
      <c r="A5476" s="15" t="str">
        <f t="shared" si="170"/>
        <v/>
      </c>
      <c r="B5476" s="18" t="str">
        <f t="shared" si="171"/>
        <v/>
      </c>
    </row>
    <row r="5477" spans="1:2" x14ac:dyDescent="0.25">
      <c r="A5477" s="15" t="str">
        <f t="shared" si="170"/>
        <v/>
      </c>
      <c r="B5477" s="18" t="str">
        <f t="shared" si="171"/>
        <v/>
      </c>
    </row>
    <row r="5478" spans="1:2" x14ac:dyDescent="0.25">
      <c r="A5478" s="15" t="str">
        <f t="shared" si="170"/>
        <v/>
      </c>
      <c r="B5478" s="18" t="str">
        <f t="shared" si="171"/>
        <v/>
      </c>
    </row>
    <row r="5479" spans="1:2" x14ac:dyDescent="0.25">
      <c r="A5479" s="15" t="str">
        <f t="shared" si="170"/>
        <v/>
      </c>
      <c r="B5479" s="18" t="str">
        <f t="shared" si="171"/>
        <v/>
      </c>
    </row>
    <row r="5480" spans="1:2" x14ac:dyDescent="0.25">
      <c r="A5480" s="15" t="str">
        <f t="shared" si="170"/>
        <v/>
      </c>
      <c r="B5480" s="18" t="str">
        <f t="shared" si="171"/>
        <v/>
      </c>
    </row>
    <row r="5481" spans="1:2" x14ac:dyDescent="0.25">
      <c r="A5481" s="15" t="str">
        <f t="shared" si="170"/>
        <v/>
      </c>
      <c r="B5481" s="18" t="str">
        <f t="shared" si="171"/>
        <v/>
      </c>
    </row>
    <row r="5482" spans="1:2" x14ac:dyDescent="0.25">
      <c r="A5482" s="15" t="str">
        <f t="shared" si="170"/>
        <v/>
      </c>
      <c r="B5482" s="18" t="str">
        <f t="shared" si="171"/>
        <v/>
      </c>
    </row>
    <row r="5483" spans="1:2" x14ac:dyDescent="0.25">
      <c r="A5483" s="15" t="str">
        <f t="shared" si="170"/>
        <v/>
      </c>
      <c r="B5483" s="18" t="str">
        <f t="shared" si="171"/>
        <v/>
      </c>
    </row>
    <row r="5484" spans="1:2" x14ac:dyDescent="0.25">
      <c r="A5484" s="15" t="str">
        <f t="shared" si="170"/>
        <v/>
      </c>
      <c r="B5484" s="18" t="str">
        <f t="shared" si="171"/>
        <v/>
      </c>
    </row>
    <row r="5485" spans="1:2" x14ac:dyDescent="0.25">
      <c r="A5485" s="15" t="str">
        <f t="shared" si="170"/>
        <v/>
      </c>
      <c r="B5485" s="18" t="str">
        <f t="shared" si="171"/>
        <v/>
      </c>
    </row>
    <row r="5486" spans="1:2" x14ac:dyDescent="0.25">
      <c r="A5486" s="15" t="str">
        <f t="shared" si="170"/>
        <v/>
      </c>
      <c r="B5486" s="18" t="str">
        <f t="shared" si="171"/>
        <v/>
      </c>
    </row>
    <row r="5487" spans="1:2" x14ac:dyDescent="0.25">
      <c r="A5487" s="15" t="str">
        <f t="shared" si="170"/>
        <v/>
      </c>
      <c r="B5487" s="18" t="str">
        <f t="shared" si="171"/>
        <v/>
      </c>
    </row>
    <row r="5488" spans="1:2" x14ac:dyDescent="0.25">
      <c r="A5488" s="15" t="str">
        <f t="shared" si="170"/>
        <v/>
      </c>
      <c r="B5488" s="18" t="str">
        <f t="shared" si="171"/>
        <v/>
      </c>
    </row>
    <row r="5489" spans="1:2" x14ac:dyDescent="0.25">
      <c r="A5489" s="15" t="str">
        <f t="shared" si="170"/>
        <v/>
      </c>
      <c r="B5489" s="18" t="str">
        <f t="shared" si="171"/>
        <v/>
      </c>
    </row>
    <row r="5490" spans="1:2" x14ac:dyDescent="0.25">
      <c r="A5490" s="15" t="str">
        <f t="shared" si="170"/>
        <v/>
      </c>
      <c r="B5490" s="18" t="str">
        <f t="shared" si="171"/>
        <v/>
      </c>
    </row>
    <row r="5491" spans="1:2" x14ac:dyDescent="0.25">
      <c r="A5491" s="15" t="str">
        <f t="shared" si="170"/>
        <v/>
      </c>
      <c r="B5491" s="18" t="str">
        <f t="shared" si="171"/>
        <v/>
      </c>
    </row>
    <row r="5492" spans="1:2" x14ac:dyDescent="0.25">
      <c r="A5492" s="15" t="str">
        <f t="shared" si="170"/>
        <v/>
      </c>
      <c r="B5492" s="18" t="str">
        <f t="shared" si="171"/>
        <v/>
      </c>
    </row>
    <row r="5493" spans="1:2" x14ac:dyDescent="0.25">
      <c r="A5493" s="15" t="str">
        <f t="shared" si="170"/>
        <v/>
      </c>
      <c r="B5493" s="18" t="str">
        <f t="shared" si="171"/>
        <v/>
      </c>
    </row>
    <row r="5494" spans="1:2" x14ac:dyDescent="0.25">
      <c r="A5494" s="15" t="str">
        <f t="shared" si="170"/>
        <v/>
      </c>
      <c r="B5494" s="18" t="str">
        <f t="shared" si="171"/>
        <v/>
      </c>
    </row>
    <row r="5495" spans="1:2" x14ac:dyDescent="0.25">
      <c r="A5495" s="15" t="str">
        <f t="shared" si="170"/>
        <v/>
      </c>
      <c r="B5495" s="18" t="str">
        <f t="shared" si="171"/>
        <v/>
      </c>
    </row>
    <row r="5496" spans="1:2" x14ac:dyDescent="0.25">
      <c r="A5496" s="15" t="str">
        <f t="shared" si="170"/>
        <v/>
      </c>
      <c r="B5496" s="18" t="str">
        <f t="shared" si="171"/>
        <v/>
      </c>
    </row>
    <row r="5497" spans="1:2" x14ac:dyDescent="0.25">
      <c r="A5497" s="15" t="str">
        <f t="shared" si="170"/>
        <v/>
      </c>
      <c r="B5497" s="18" t="str">
        <f t="shared" si="171"/>
        <v/>
      </c>
    </row>
    <row r="5498" spans="1:2" x14ac:dyDescent="0.25">
      <c r="A5498" s="15" t="str">
        <f t="shared" si="170"/>
        <v/>
      </c>
      <c r="B5498" s="18" t="str">
        <f t="shared" si="171"/>
        <v/>
      </c>
    </row>
    <row r="5499" spans="1:2" x14ac:dyDescent="0.25">
      <c r="A5499" s="15" t="str">
        <f t="shared" si="170"/>
        <v/>
      </c>
      <c r="B5499" s="18" t="str">
        <f t="shared" si="171"/>
        <v/>
      </c>
    </row>
    <row r="5500" spans="1:2" x14ac:dyDescent="0.25">
      <c r="A5500" s="15" t="str">
        <f t="shared" si="170"/>
        <v/>
      </c>
      <c r="B5500" s="18" t="str">
        <f t="shared" si="171"/>
        <v/>
      </c>
    </row>
    <row r="5501" spans="1:2" x14ac:dyDescent="0.25">
      <c r="A5501" s="15" t="str">
        <f t="shared" si="170"/>
        <v/>
      </c>
      <c r="B5501" s="18" t="str">
        <f t="shared" si="171"/>
        <v/>
      </c>
    </row>
    <row r="5502" spans="1:2" x14ac:dyDescent="0.25">
      <c r="A5502" s="15" t="str">
        <f t="shared" si="170"/>
        <v/>
      </c>
      <c r="B5502" s="18" t="str">
        <f t="shared" si="171"/>
        <v/>
      </c>
    </row>
    <row r="5503" spans="1:2" x14ac:dyDescent="0.25">
      <c r="A5503" s="15" t="str">
        <f t="shared" si="170"/>
        <v/>
      </c>
      <c r="B5503" s="18" t="str">
        <f t="shared" si="171"/>
        <v/>
      </c>
    </row>
    <row r="5504" spans="1:2" x14ac:dyDescent="0.25">
      <c r="A5504" s="15" t="str">
        <f t="shared" si="170"/>
        <v/>
      </c>
      <c r="B5504" s="18" t="str">
        <f t="shared" si="171"/>
        <v/>
      </c>
    </row>
    <row r="5505" spans="1:2" x14ac:dyDescent="0.25">
      <c r="A5505" s="15" t="str">
        <f t="shared" si="170"/>
        <v/>
      </c>
      <c r="B5505" s="18" t="str">
        <f t="shared" si="171"/>
        <v/>
      </c>
    </row>
    <row r="5506" spans="1:2" x14ac:dyDescent="0.25">
      <c r="A5506" s="15" t="str">
        <f t="shared" ref="A5506:A5569" si="172">B5506&amp;C5506</f>
        <v/>
      </c>
      <c r="B5506" s="18" t="str">
        <f t="shared" si="171"/>
        <v/>
      </c>
    </row>
    <row r="5507" spans="1:2" x14ac:dyDescent="0.25">
      <c r="A5507" s="15" t="str">
        <f t="shared" si="172"/>
        <v/>
      </c>
      <c r="B5507" s="18" t="str">
        <f t="shared" ref="B5507:B5570" si="173">IF(C5507="","",B5506)</f>
        <v/>
      </c>
    </row>
    <row r="5508" spans="1:2" x14ac:dyDescent="0.25">
      <c r="A5508" s="15" t="str">
        <f t="shared" si="172"/>
        <v/>
      </c>
      <c r="B5508" s="18" t="str">
        <f t="shared" si="173"/>
        <v/>
      </c>
    </row>
    <row r="5509" spans="1:2" x14ac:dyDescent="0.25">
      <c r="A5509" s="15" t="str">
        <f t="shared" si="172"/>
        <v/>
      </c>
      <c r="B5509" s="18" t="str">
        <f t="shared" si="173"/>
        <v/>
      </c>
    </row>
    <row r="5510" spans="1:2" x14ac:dyDescent="0.25">
      <c r="A5510" s="15" t="str">
        <f t="shared" si="172"/>
        <v/>
      </c>
      <c r="B5510" s="18" t="str">
        <f t="shared" si="173"/>
        <v/>
      </c>
    </row>
    <row r="5511" spans="1:2" x14ac:dyDescent="0.25">
      <c r="A5511" s="15" t="str">
        <f t="shared" si="172"/>
        <v/>
      </c>
      <c r="B5511" s="18" t="str">
        <f t="shared" si="173"/>
        <v/>
      </c>
    </row>
    <row r="5512" spans="1:2" x14ac:dyDescent="0.25">
      <c r="A5512" s="15" t="str">
        <f t="shared" si="172"/>
        <v/>
      </c>
      <c r="B5512" s="18" t="str">
        <f t="shared" si="173"/>
        <v/>
      </c>
    </row>
    <row r="5513" spans="1:2" x14ac:dyDescent="0.25">
      <c r="A5513" s="15" t="str">
        <f t="shared" si="172"/>
        <v/>
      </c>
      <c r="B5513" s="18" t="str">
        <f t="shared" si="173"/>
        <v/>
      </c>
    </row>
    <row r="5514" spans="1:2" x14ac:dyDescent="0.25">
      <c r="A5514" s="15" t="str">
        <f t="shared" si="172"/>
        <v/>
      </c>
      <c r="B5514" s="18" t="str">
        <f t="shared" si="173"/>
        <v/>
      </c>
    </row>
    <row r="5515" spans="1:2" x14ac:dyDescent="0.25">
      <c r="A5515" s="15" t="str">
        <f t="shared" si="172"/>
        <v/>
      </c>
      <c r="B5515" s="18" t="str">
        <f t="shared" si="173"/>
        <v/>
      </c>
    </row>
    <row r="5516" spans="1:2" x14ac:dyDescent="0.25">
      <c r="A5516" s="15" t="str">
        <f t="shared" si="172"/>
        <v/>
      </c>
      <c r="B5516" s="18" t="str">
        <f t="shared" si="173"/>
        <v/>
      </c>
    </row>
    <row r="5517" spans="1:2" x14ac:dyDescent="0.25">
      <c r="A5517" s="15" t="str">
        <f t="shared" si="172"/>
        <v/>
      </c>
      <c r="B5517" s="18" t="str">
        <f t="shared" si="173"/>
        <v/>
      </c>
    </row>
    <row r="5518" spans="1:2" x14ac:dyDescent="0.25">
      <c r="A5518" s="15" t="str">
        <f t="shared" si="172"/>
        <v/>
      </c>
      <c r="B5518" s="18" t="str">
        <f t="shared" si="173"/>
        <v/>
      </c>
    </row>
    <row r="5519" spans="1:2" x14ac:dyDescent="0.25">
      <c r="A5519" s="15" t="str">
        <f t="shared" si="172"/>
        <v/>
      </c>
      <c r="B5519" s="18" t="str">
        <f t="shared" si="173"/>
        <v/>
      </c>
    </row>
    <row r="5520" spans="1:2" x14ac:dyDescent="0.25">
      <c r="A5520" s="15" t="str">
        <f t="shared" si="172"/>
        <v/>
      </c>
      <c r="B5520" s="18" t="str">
        <f t="shared" si="173"/>
        <v/>
      </c>
    </row>
    <row r="5521" spans="1:2" x14ac:dyDescent="0.25">
      <c r="A5521" s="15" t="str">
        <f t="shared" si="172"/>
        <v/>
      </c>
      <c r="B5521" s="18" t="str">
        <f t="shared" si="173"/>
        <v/>
      </c>
    </row>
    <row r="5522" spans="1:2" x14ac:dyDescent="0.25">
      <c r="A5522" s="15" t="str">
        <f t="shared" si="172"/>
        <v/>
      </c>
      <c r="B5522" s="18" t="str">
        <f t="shared" si="173"/>
        <v/>
      </c>
    </row>
    <row r="5523" spans="1:2" x14ac:dyDescent="0.25">
      <c r="A5523" s="15" t="str">
        <f t="shared" si="172"/>
        <v/>
      </c>
      <c r="B5523" s="18" t="str">
        <f t="shared" si="173"/>
        <v/>
      </c>
    </row>
    <row r="5524" spans="1:2" x14ac:dyDescent="0.25">
      <c r="A5524" s="15" t="str">
        <f t="shared" si="172"/>
        <v/>
      </c>
      <c r="B5524" s="18" t="str">
        <f t="shared" si="173"/>
        <v/>
      </c>
    </row>
    <row r="5525" spans="1:2" x14ac:dyDescent="0.25">
      <c r="A5525" s="15" t="str">
        <f t="shared" si="172"/>
        <v/>
      </c>
      <c r="B5525" s="18" t="str">
        <f t="shared" si="173"/>
        <v/>
      </c>
    </row>
    <row r="5526" spans="1:2" x14ac:dyDescent="0.25">
      <c r="A5526" s="15" t="str">
        <f t="shared" si="172"/>
        <v/>
      </c>
      <c r="B5526" s="18" t="str">
        <f t="shared" si="173"/>
        <v/>
      </c>
    </row>
    <row r="5527" spans="1:2" x14ac:dyDescent="0.25">
      <c r="A5527" s="15" t="str">
        <f t="shared" si="172"/>
        <v/>
      </c>
      <c r="B5527" s="18" t="str">
        <f t="shared" si="173"/>
        <v/>
      </c>
    </row>
    <row r="5528" spans="1:2" x14ac:dyDescent="0.25">
      <c r="A5528" s="15" t="str">
        <f t="shared" si="172"/>
        <v/>
      </c>
      <c r="B5528" s="18" t="str">
        <f t="shared" si="173"/>
        <v/>
      </c>
    </row>
    <row r="5529" spans="1:2" x14ac:dyDescent="0.25">
      <c r="A5529" s="15" t="str">
        <f t="shared" si="172"/>
        <v/>
      </c>
      <c r="B5529" s="18" t="str">
        <f t="shared" si="173"/>
        <v/>
      </c>
    </row>
    <row r="5530" spans="1:2" x14ac:dyDescent="0.25">
      <c r="A5530" s="15" t="str">
        <f t="shared" si="172"/>
        <v/>
      </c>
      <c r="B5530" s="18" t="str">
        <f t="shared" si="173"/>
        <v/>
      </c>
    </row>
    <row r="5531" spans="1:2" x14ac:dyDescent="0.25">
      <c r="A5531" s="15" t="str">
        <f t="shared" si="172"/>
        <v/>
      </c>
      <c r="B5531" s="18" t="str">
        <f t="shared" si="173"/>
        <v/>
      </c>
    </row>
    <row r="5532" spans="1:2" x14ac:dyDescent="0.25">
      <c r="A5532" s="15" t="str">
        <f t="shared" si="172"/>
        <v/>
      </c>
      <c r="B5532" s="18" t="str">
        <f t="shared" si="173"/>
        <v/>
      </c>
    </row>
    <row r="5533" spans="1:2" x14ac:dyDescent="0.25">
      <c r="A5533" s="15" t="str">
        <f t="shared" si="172"/>
        <v/>
      </c>
      <c r="B5533" s="18" t="str">
        <f t="shared" si="173"/>
        <v/>
      </c>
    </row>
    <row r="5534" spans="1:2" x14ac:dyDescent="0.25">
      <c r="A5534" s="15" t="str">
        <f t="shared" si="172"/>
        <v/>
      </c>
      <c r="B5534" s="18" t="str">
        <f t="shared" si="173"/>
        <v/>
      </c>
    </row>
    <row r="5535" spans="1:2" x14ac:dyDescent="0.25">
      <c r="A5535" s="15" t="str">
        <f t="shared" si="172"/>
        <v/>
      </c>
      <c r="B5535" s="18" t="str">
        <f t="shared" si="173"/>
        <v/>
      </c>
    </row>
    <row r="5536" spans="1:2" x14ac:dyDescent="0.25">
      <c r="A5536" s="15" t="str">
        <f t="shared" si="172"/>
        <v/>
      </c>
      <c r="B5536" s="18" t="str">
        <f t="shared" si="173"/>
        <v/>
      </c>
    </row>
    <row r="5537" spans="1:2" x14ac:dyDescent="0.25">
      <c r="A5537" s="15" t="str">
        <f t="shared" si="172"/>
        <v/>
      </c>
      <c r="B5537" s="18" t="str">
        <f t="shared" si="173"/>
        <v/>
      </c>
    </row>
    <row r="5538" spans="1:2" x14ac:dyDescent="0.25">
      <c r="A5538" s="15" t="str">
        <f t="shared" si="172"/>
        <v/>
      </c>
      <c r="B5538" s="18" t="str">
        <f t="shared" si="173"/>
        <v/>
      </c>
    </row>
    <row r="5539" spans="1:2" x14ac:dyDescent="0.25">
      <c r="A5539" s="15" t="str">
        <f t="shared" si="172"/>
        <v/>
      </c>
      <c r="B5539" s="18" t="str">
        <f t="shared" si="173"/>
        <v/>
      </c>
    </row>
    <row r="5540" spans="1:2" x14ac:dyDescent="0.25">
      <c r="A5540" s="15" t="str">
        <f t="shared" si="172"/>
        <v/>
      </c>
      <c r="B5540" s="18" t="str">
        <f t="shared" si="173"/>
        <v/>
      </c>
    </row>
    <row r="5541" spans="1:2" x14ac:dyDescent="0.25">
      <c r="A5541" s="15" t="str">
        <f t="shared" si="172"/>
        <v/>
      </c>
      <c r="B5541" s="18" t="str">
        <f t="shared" si="173"/>
        <v/>
      </c>
    </row>
    <row r="5542" spans="1:2" x14ac:dyDescent="0.25">
      <c r="A5542" s="15" t="str">
        <f t="shared" si="172"/>
        <v/>
      </c>
      <c r="B5542" s="18" t="str">
        <f t="shared" si="173"/>
        <v/>
      </c>
    </row>
    <row r="5543" spans="1:2" x14ac:dyDescent="0.25">
      <c r="A5543" s="15" t="str">
        <f t="shared" si="172"/>
        <v/>
      </c>
      <c r="B5543" s="18" t="str">
        <f t="shared" si="173"/>
        <v/>
      </c>
    </row>
    <row r="5544" spans="1:2" x14ac:dyDescent="0.25">
      <c r="A5544" s="15" t="str">
        <f t="shared" si="172"/>
        <v/>
      </c>
      <c r="B5544" s="18" t="str">
        <f t="shared" si="173"/>
        <v/>
      </c>
    </row>
    <row r="5545" spans="1:2" x14ac:dyDescent="0.25">
      <c r="A5545" s="15" t="str">
        <f t="shared" si="172"/>
        <v/>
      </c>
      <c r="B5545" s="18" t="str">
        <f t="shared" si="173"/>
        <v/>
      </c>
    </row>
    <row r="5546" spans="1:2" x14ac:dyDescent="0.25">
      <c r="A5546" s="15" t="str">
        <f t="shared" si="172"/>
        <v/>
      </c>
      <c r="B5546" s="18" t="str">
        <f t="shared" si="173"/>
        <v/>
      </c>
    </row>
    <row r="5547" spans="1:2" x14ac:dyDescent="0.25">
      <c r="A5547" s="15" t="str">
        <f t="shared" si="172"/>
        <v/>
      </c>
      <c r="B5547" s="18" t="str">
        <f t="shared" si="173"/>
        <v/>
      </c>
    </row>
    <row r="5548" spans="1:2" x14ac:dyDescent="0.25">
      <c r="A5548" s="15" t="str">
        <f t="shared" si="172"/>
        <v/>
      </c>
      <c r="B5548" s="18" t="str">
        <f t="shared" si="173"/>
        <v/>
      </c>
    </row>
    <row r="5549" spans="1:2" x14ac:dyDescent="0.25">
      <c r="A5549" s="15" t="str">
        <f t="shared" si="172"/>
        <v/>
      </c>
      <c r="B5549" s="18" t="str">
        <f t="shared" si="173"/>
        <v/>
      </c>
    </row>
    <row r="5550" spans="1:2" x14ac:dyDescent="0.25">
      <c r="A5550" s="15" t="str">
        <f t="shared" si="172"/>
        <v/>
      </c>
      <c r="B5550" s="18" t="str">
        <f t="shared" si="173"/>
        <v/>
      </c>
    </row>
    <row r="5551" spans="1:2" x14ac:dyDescent="0.25">
      <c r="A5551" s="15" t="str">
        <f t="shared" si="172"/>
        <v/>
      </c>
      <c r="B5551" s="18" t="str">
        <f t="shared" si="173"/>
        <v/>
      </c>
    </row>
    <row r="5552" spans="1:2" x14ac:dyDescent="0.25">
      <c r="A5552" s="15" t="str">
        <f t="shared" si="172"/>
        <v/>
      </c>
      <c r="B5552" s="18" t="str">
        <f t="shared" si="173"/>
        <v/>
      </c>
    </row>
    <row r="5553" spans="1:2" x14ac:dyDescent="0.25">
      <c r="A5553" s="15" t="str">
        <f t="shared" si="172"/>
        <v/>
      </c>
      <c r="B5553" s="18" t="str">
        <f t="shared" si="173"/>
        <v/>
      </c>
    </row>
    <row r="5554" spans="1:2" x14ac:dyDescent="0.25">
      <c r="A5554" s="15" t="str">
        <f t="shared" si="172"/>
        <v/>
      </c>
      <c r="B5554" s="18" t="str">
        <f t="shared" si="173"/>
        <v/>
      </c>
    </row>
    <row r="5555" spans="1:2" x14ac:dyDescent="0.25">
      <c r="A5555" s="15" t="str">
        <f t="shared" si="172"/>
        <v/>
      </c>
      <c r="B5555" s="18" t="str">
        <f t="shared" si="173"/>
        <v/>
      </c>
    </row>
    <row r="5556" spans="1:2" x14ac:dyDescent="0.25">
      <c r="A5556" s="15" t="str">
        <f t="shared" si="172"/>
        <v/>
      </c>
      <c r="B5556" s="18" t="str">
        <f t="shared" si="173"/>
        <v/>
      </c>
    </row>
    <row r="5557" spans="1:2" x14ac:dyDescent="0.25">
      <c r="A5557" s="15" t="str">
        <f t="shared" si="172"/>
        <v/>
      </c>
      <c r="B5557" s="18" t="str">
        <f t="shared" si="173"/>
        <v/>
      </c>
    </row>
    <row r="5558" spans="1:2" x14ac:dyDescent="0.25">
      <c r="A5558" s="15" t="str">
        <f t="shared" si="172"/>
        <v/>
      </c>
      <c r="B5558" s="18" t="str">
        <f t="shared" si="173"/>
        <v/>
      </c>
    </row>
    <row r="5559" spans="1:2" x14ac:dyDescent="0.25">
      <c r="A5559" s="15" t="str">
        <f t="shared" si="172"/>
        <v/>
      </c>
      <c r="B5559" s="18" t="str">
        <f t="shared" si="173"/>
        <v/>
      </c>
    </row>
    <row r="5560" spans="1:2" x14ac:dyDescent="0.25">
      <c r="A5560" s="15" t="str">
        <f t="shared" si="172"/>
        <v/>
      </c>
      <c r="B5560" s="18" t="str">
        <f t="shared" si="173"/>
        <v/>
      </c>
    </row>
    <row r="5561" spans="1:2" x14ac:dyDescent="0.25">
      <c r="A5561" s="15" t="str">
        <f t="shared" si="172"/>
        <v/>
      </c>
      <c r="B5561" s="18" t="str">
        <f t="shared" si="173"/>
        <v/>
      </c>
    </row>
    <row r="5562" spans="1:2" x14ac:dyDescent="0.25">
      <c r="A5562" s="15" t="str">
        <f t="shared" si="172"/>
        <v/>
      </c>
      <c r="B5562" s="18" t="str">
        <f t="shared" si="173"/>
        <v/>
      </c>
    </row>
    <row r="5563" spans="1:2" x14ac:dyDescent="0.25">
      <c r="A5563" s="15" t="str">
        <f t="shared" si="172"/>
        <v/>
      </c>
      <c r="B5563" s="18" t="str">
        <f t="shared" si="173"/>
        <v/>
      </c>
    </row>
    <row r="5564" spans="1:2" x14ac:dyDescent="0.25">
      <c r="A5564" s="15" t="str">
        <f t="shared" si="172"/>
        <v/>
      </c>
      <c r="B5564" s="18" t="str">
        <f t="shared" si="173"/>
        <v/>
      </c>
    </row>
    <row r="5565" spans="1:2" x14ac:dyDescent="0.25">
      <c r="A5565" s="15" t="str">
        <f t="shared" si="172"/>
        <v/>
      </c>
      <c r="B5565" s="18" t="str">
        <f t="shared" si="173"/>
        <v/>
      </c>
    </row>
    <row r="5566" spans="1:2" x14ac:dyDescent="0.25">
      <c r="A5566" s="15" t="str">
        <f t="shared" si="172"/>
        <v/>
      </c>
      <c r="B5566" s="18" t="str">
        <f t="shared" si="173"/>
        <v/>
      </c>
    </row>
    <row r="5567" spans="1:2" x14ac:dyDescent="0.25">
      <c r="A5567" s="15" t="str">
        <f t="shared" si="172"/>
        <v/>
      </c>
      <c r="B5567" s="18" t="str">
        <f t="shared" si="173"/>
        <v/>
      </c>
    </row>
    <row r="5568" spans="1:2" x14ac:dyDescent="0.25">
      <c r="A5568" s="15" t="str">
        <f t="shared" si="172"/>
        <v/>
      </c>
      <c r="B5568" s="18" t="str">
        <f t="shared" si="173"/>
        <v/>
      </c>
    </row>
    <row r="5569" spans="1:2" x14ac:dyDescent="0.25">
      <c r="A5569" s="15" t="str">
        <f t="shared" si="172"/>
        <v/>
      </c>
      <c r="B5569" s="18" t="str">
        <f t="shared" si="173"/>
        <v/>
      </c>
    </row>
    <row r="5570" spans="1:2" x14ac:dyDescent="0.25">
      <c r="A5570" s="15" t="str">
        <f t="shared" ref="A5570:A5633" si="174">B5570&amp;C5570</f>
        <v/>
      </c>
      <c r="B5570" s="18" t="str">
        <f t="shared" si="173"/>
        <v/>
      </c>
    </row>
    <row r="5571" spans="1:2" x14ac:dyDescent="0.25">
      <c r="A5571" s="15" t="str">
        <f t="shared" si="174"/>
        <v/>
      </c>
      <c r="B5571" s="18" t="str">
        <f t="shared" ref="B5571:B5634" si="175">IF(C5571="","",B5570)</f>
        <v/>
      </c>
    </row>
    <row r="5572" spans="1:2" x14ac:dyDescent="0.25">
      <c r="A5572" s="15" t="str">
        <f t="shared" si="174"/>
        <v/>
      </c>
      <c r="B5572" s="18" t="str">
        <f t="shared" si="175"/>
        <v/>
      </c>
    </row>
    <row r="5573" spans="1:2" x14ac:dyDescent="0.25">
      <c r="A5573" s="15" t="str">
        <f t="shared" si="174"/>
        <v/>
      </c>
      <c r="B5573" s="18" t="str">
        <f t="shared" si="175"/>
        <v/>
      </c>
    </row>
    <row r="5574" spans="1:2" x14ac:dyDescent="0.25">
      <c r="A5574" s="15" t="str">
        <f t="shared" si="174"/>
        <v/>
      </c>
      <c r="B5574" s="18" t="str">
        <f t="shared" si="175"/>
        <v/>
      </c>
    </row>
    <row r="5575" spans="1:2" x14ac:dyDescent="0.25">
      <c r="A5575" s="15" t="str">
        <f t="shared" si="174"/>
        <v/>
      </c>
      <c r="B5575" s="18" t="str">
        <f t="shared" si="175"/>
        <v/>
      </c>
    </row>
    <row r="5576" spans="1:2" x14ac:dyDescent="0.25">
      <c r="A5576" s="15" t="str">
        <f t="shared" si="174"/>
        <v/>
      </c>
      <c r="B5576" s="18" t="str">
        <f t="shared" si="175"/>
        <v/>
      </c>
    </row>
    <row r="5577" spans="1:2" x14ac:dyDescent="0.25">
      <c r="A5577" s="15" t="str">
        <f t="shared" si="174"/>
        <v/>
      </c>
      <c r="B5577" s="18" t="str">
        <f t="shared" si="175"/>
        <v/>
      </c>
    </row>
    <row r="5578" spans="1:2" x14ac:dyDescent="0.25">
      <c r="A5578" s="15" t="str">
        <f t="shared" si="174"/>
        <v/>
      </c>
      <c r="B5578" s="18" t="str">
        <f t="shared" si="175"/>
        <v/>
      </c>
    </row>
    <row r="5579" spans="1:2" x14ac:dyDescent="0.25">
      <c r="A5579" s="15" t="str">
        <f t="shared" si="174"/>
        <v/>
      </c>
      <c r="B5579" s="18" t="str">
        <f t="shared" si="175"/>
        <v/>
      </c>
    </row>
    <row r="5580" spans="1:2" x14ac:dyDescent="0.25">
      <c r="A5580" s="15" t="str">
        <f t="shared" si="174"/>
        <v/>
      </c>
      <c r="B5580" s="18" t="str">
        <f t="shared" si="175"/>
        <v/>
      </c>
    </row>
    <row r="5581" spans="1:2" x14ac:dyDescent="0.25">
      <c r="A5581" s="15" t="str">
        <f t="shared" si="174"/>
        <v/>
      </c>
      <c r="B5581" s="18" t="str">
        <f t="shared" si="175"/>
        <v/>
      </c>
    </row>
    <row r="5582" spans="1:2" x14ac:dyDescent="0.25">
      <c r="A5582" s="15" t="str">
        <f t="shared" si="174"/>
        <v/>
      </c>
      <c r="B5582" s="18" t="str">
        <f t="shared" si="175"/>
        <v/>
      </c>
    </row>
    <row r="5583" spans="1:2" x14ac:dyDescent="0.25">
      <c r="A5583" s="15" t="str">
        <f t="shared" si="174"/>
        <v/>
      </c>
      <c r="B5583" s="18" t="str">
        <f t="shared" si="175"/>
        <v/>
      </c>
    </row>
    <row r="5584" spans="1:2" x14ac:dyDescent="0.25">
      <c r="A5584" s="15" t="str">
        <f t="shared" si="174"/>
        <v/>
      </c>
      <c r="B5584" s="18" t="str">
        <f t="shared" si="175"/>
        <v/>
      </c>
    </row>
    <row r="5585" spans="1:2" x14ac:dyDescent="0.25">
      <c r="A5585" s="15" t="str">
        <f t="shared" si="174"/>
        <v/>
      </c>
      <c r="B5585" s="18" t="str">
        <f t="shared" si="175"/>
        <v/>
      </c>
    </row>
    <row r="5586" spans="1:2" x14ac:dyDescent="0.25">
      <c r="A5586" s="15" t="str">
        <f t="shared" si="174"/>
        <v/>
      </c>
      <c r="B5586" s="18" t="str">
        <f t="shared" si="175"/>
        <v/>
      </c>
    </row>
    <row r="5587" spans="1:2" x14ac:dyDescent="0.25">
      <c r="A5587" s="15" t="str">
        <f t="shared" si="174"/>
        <v/>
      </c>
      <c r="B5587" s="18" t="str">
        <f t="shared" si="175"/>
        <v/>
      </c>
    </row>
    <row r="5588" spans="1:2" x14ac:dyDescent="0.25">
      <c r="A5588" s="15" t="str">
        <f t="shared" si="174"/>
        <v/>
      </c>
      <c r="B5588" s="18" t="str">
        <f t="shared" si="175"/>
        <v/>
      </c>
    </row>
    <row r="5589" spans="1:2" x14ac:dyDescent="0.25">
      <c r="A5589" s="15" t="str">
        <f t="shared" si="174"/>
        <v/>
      </c>
      <c r="B5589" s="18" t="str">
        <f t="shared" si="175"/>
        <v/>
      </c>
    </row>
    <row r="5590" spans="1:2" x14ac:dyDescent="0.25">
      <c r="A5590" s="15" t="str">
        <f t="shared" si="174"/>
        <v/>
      </c>
      <c r="B5590" s="18" t="str">
        <f t="shared" si="175"/>
        <v/>
      </c>
    </row>
    <row r="5591" spans="1:2" x14ac:dyDescent="0.25">
      <c r="A5591" s="15" t="str">
        <f t="shared" si="174"/>
        <v/>
      </c>
      <c r="B5591" s="18" t="str">
        <f t="shared" si="175"/>
        <v/>
      </c>
    </row>
    <row r="5592" spans="1:2" x14ac:dyDescent="0.25">
      <c r="A5592" s="15" t="str">
        <f t="shared" si="174"/>
        <v/>
      </c>
      <c r="B5592" s="18" t="str">
        <f t="shared" si="175"/>
        <v/>
      </c>
    </row>
    <row r="5593" spans="1:2" x14ac:dyDescent="0.25">
      <c r="A5593" s="15" t="str">
        <f t="shared" si="174"/>
        <v/>
      </c>
      <c r="B5593" s="18" t="str">
        <f t="shared" si="175"/>
        <v/>
      </c>
    </row>
    <row r="5594" spans="1:2" x14ac:dyDescent="0.25">
      <c r="A5594" s="15" t="str">
        <f t="shared" si="174"/>
        <v/>
      </c>
      <c r="B5594" s="18" t="str">
        <f t="shared" si="175"/>
        <v/>
      </c>
    </row>
    <row r="5595" spans="1:2" x14ac:dyDescent="0.25">
      <c r="A5595" s="15" t="str">
        <f t="shared" si="174"/>
        <v/>
      </c>
      <c r="B5595" s="18" t="str">
        <f t="shared" si="175"/>
        <v/>
      </c>
    </row>
    <row r="5596" spans="1:2" x14ac:dyDescent="0.25">
      <c r="A5596" s="15" t="str">
        <f t="shared" si="174"/>
        <v/>
      </c>
      <c r="B5596" s="18" t="str">
        <f t="shared" si="175"/>
        <v/>
      </c>
    </row>
    <row r="5597" spans="1:2" x14ac:dyDescent="0.25">
      <c r="A5597" s="15" t="str">
        <f t="shared" si="174"/>
        <v/>
      </c>
      <c r="B5597" s="18" t="str">
        <f t="shared" si="175"/>
        <v/>
      </c>
    </row>
    <row r="5598" spans="1:2" x14ac:dyDescent="0.25">
      <c r="A5598" s="15" t="str">
        <f t="shared" si="174"/>
        <v/>
      </c>
      <c r="B5598" s="18" t="str">
        <f t="shared" si="175"/>
        <v/>
      </c>
    </row>
    <row r="5599" spans="1:2" x14ac:dyDescent="0.25">
      <c r="A5599" s="15" t="str">
        <f t="shared" si="174"/>
        <v/>
      </c>
      <c r="B5599" s="18" t="str">
        <f t="shared" si="175"/>
        <v/>
      </c>
    </row>
    <row r="5600" spans="1:2" x14ac:dyDescent="0.25">
      <c r="A5600" s="15" t="str">
        <f t="shared" si="174"/>
        <v/>
      </c>
      <c r="B5600" s="18" t="str">
        <f t="shared" si="175"/>
        <v/>
      </c>
    </row>
    <row r="5601" spans="1:2" x14ac:dyDescent="0.25">
      <c r="A5601" s="15" t="str">
        <f t="shared" si="174"/>
        <v/>
      </c>
      <c r="B5601" s="18" t="str">
        <f t="shared" si="175"/>
        <v/>
      </c>
    </row>
    <row r="5602" spans="1:2" x14ac:dyDescent="0.25">
      <c r="A5602" s="15" t="str">
        <f t="shared" si="174"/>
        <v/>
      </c>
      <c r="B5602" s="18" t="str">
        <f t="shared" si="175"/>
        <v/>
      </c>
    </row>
    <row r="5603" spans="1:2" x14ac:dyDescent="0.25">
      <c r="A5603" s="15" t="str">
        <f t="shared" si="174"/>
        <v/>
      </c>
      <c r="B5603" s="18" t="str">
        <f t="shared" si="175"/>
        <v/>
      </c>
    </row>
    <row r="5604" spans="1:2" x14ac:dyDescent="0.25">
      <c r="A5604" s="15" t="str">
        <f t="shared" si="174"/>
        <v/>
      </c>
      <c r="B5604" s="18" t="str">
        <f t="shared" si="175"/>
        <v/>
      </c>
    </row>
    <row r="5605" spans="1:2" x14ac:dyDescent="0.25">
      <c r="A5605" s="15" t="str">
        <f t="shared" si="174"/>
        <v/>
      </c>
      <c r="B5605" s="18" t="str">
        <f t="shared" si="175"/>
        <v/>
      </c>
    </row>
    <row r="5606" spans="1:2" x14ac:dyDescent="0.25">
      <c r="A5606" s="15" t="str">
        <f t="shared" si="174"/>
        <v/>
      </c>
      <c r="B5606" s="18" t="str">
        <f t="shared" si="175"/>
        <v/>
      </c>
    </row>
    <row r="5607" spans="1:2" x14ac:dyDescent="0.25">
      <c r="A5607" s="15" t="str">
        <f t="shared" si="174"/>
        <v/>
      </c>
      <c r="B5607" s="18" t="str">
        <f t="shared" si="175"/>
        <v/>
      </c>
    </row>
    <row r="5608" spans="1:2" x14ac:dyDescent="0.25">
      <c r="A5608" s="15" t="str">
        <f t="shared" si="174"/>
        <v/>
      </c>
      <c r="B5608" s="18" t="str">
        <f t="shared" si="175"/>
        <v/>
      </c>
    </row>
    <row r="5609" spans="1:2" x14ac:dyDescent="0.25">
      <c r="A5609" s="15" t="str">
        <f t="shared" si="174"/>
        <v/>
      </c>
      <c r="B5609" s="18" t="str">
        <f t="shared" si="175"/>
        <v/>
      </c>
    </row>
    <row r="5610" spans="1:2" x14ac:dyDescent="0.25">
      <c r="A5610" s="15" t="str">
        <f t="shared" si="174"/>
        <v/>
      </c>
      <c r="B5610" s="18" t="str">
        <f t="shared" si="175"/>
        <v/>
      </c>
    </row>
    <row r="5611" spans="1:2" x14ac:dyDescent="0.25">
      <c r="A5611" s="15" t="str">
        <f t="shared" si="174"/>
        <v/>
      </c>
      <c r="B5611" s="18" t="str">
        <f t="shared" si="175"/>
        <v/>
      </c>
    </row>
    <row r="5612" spans="1:2" x14ac:dyDescent="0.25">
      <c r="A5612" s="15" t="str">
        <f t="shared" si="174"/>
        <v/>
      </c>
      <c r="B5612" s="18" t="str">
        <f t="shared" si="175"/>
        <v/>
      </c>
    </row>
    <row r="5613" spans="1:2" x14ac:dyDescent="0.25">
      <c r="A5613" s="15" t="str">
        <f t="shared" si="174"/>
        <v/>
      </c>
      <c r="B5613" s="18" t="str">
        <f t="shared" si="175"/>
        <v/>
      </c>
    </row>
    <row r="5614" spans="1:2" x14ac:dyDescent="0.25">
      <c r="A5614" s="15" t="str">
        <f t="shared" si="174"/>
        <v/>
      </c>
      <c r="B5614" s="18" t="str">
        <f t="shared" si="175"/>
        <v/>
      </c>
    </row>
    <row r="5615" spans="1:2" x14ac:dyDescent="0.25">
      <c r="A5615" s="15" t="str">
        <f t="shared" si="174"/>
        <v/>
      </c>
      <c r="B5615" s="18" t="str">
        <f t="shared" si="175"/>
        <v/>
      </c>
    </row>
    <row r="5616" spans="1:2" x14ac:dyDescent="0.25">
      <c r="A5616" s="15" t="str">
        <f t="shared" si="174"/>
        <v/>
      </c>
      <c r="B5616" s="18" t="str">
        <f t="shared" si="175"/>
        <v/>
      </c>
    </row>
    <row r="5617" spans="1:2" x14ac:dyDescent="0.25">
      <c r="A5617" s="15" t="str">
        <f t="shared" si="174"/>
        <v/>
      </c>
      <c r="B5617" s="18" t="str">
        <f t="shared" si="175"/>
        <v/>
      </c>
    </row>
    <row r="5618" spans="1:2" x14ac:dyDescent="0.25">
      <c r="A5618" s="15" t="str">
        <f t="shared" si="174"/>
        <v/>
      </c>
      <c r="B5618" s="18" t="str">
        <f t="shared" si="175"/>
        <v/>
      </c>
    </row>
    <row r="5619" spans="1:2" x14ac:dyDescent="0.25">
      <c r="A5619" s="15" t="str">
        <f t="shared" si="174"/>
        <v/>
      </c>
      <c r="B5619" s="18" t="str">
        <f t="shared" si="175"/>
        <v/>
      </c>
    </row>
    <row r="5620" spans="1:2" x14ac:dyDescent="0.25">
      <c r="A5620" s="15" t="str">
        <f t="shared" si="174"/>
        <v/>
      </c>
      <c r="B5620" s="18" t="str">
        <f t="shared" si="175"/>
        <v/>
      </c>
    </row>
    <row r="5621" spans="1:2" x14ac:dyDescent="0.25">
      <c r="A5621" s="15" t="str">
        <f t="shared" si="174"/>
        <v/>
      </c>
      <c r="B5621" s="18" t="str">
        <f t="shared" si="175"/>
        <v/>
      </c>
    </row>
    <row r="5622" spans="1:2" x14ac:dyDescent="0.25">
      <c r="A5622" s="15" t="str">
        <f t="shared" si="174"/>
        <v/>
      </c>
      <c r="B5622" s="18" t="str">
        <f t="shared" si="175"/>
        <v/>
      </c>
    </row>
    <row r="5623" spans="1:2" x14ac:dyDescent="0.25">
      <c r="A5623" s="15" t="str">
        <f t="shared" si="174"/>
        <v/>
      </c>
      <c r="B5623" s="18" t="str">
        <f t="shared" si="175"/>
        <v/>
      </c>
    </row>
    <row r="5624" spans="1:2" x14ac:dyDescent="0.25">
      <c r="A5624" s="15" t="str">
        <f t="shared" si="174"/>
        <v/>
      </c>
      <c r="B5624" s="18" t="str">
        <f t="shared" si="175"/>
        <v/>
      </c>
    </row>
    <row r="5625" spans="1:2" x14ac:dyDescent="0.25">
      <c r="A5625" s="15" t="str">
        <f t="shared" si="174"/>
        <v/>
      </c>
      <c r="B5625" s="18" t="str">
        <f t="shared" si="175"/>
        <v/>
      </c>
    </row>
    <row r="5626" spans="1:2" x14ac:dyDescent="0.25">
      <c r="A5626" s="15" t="str">
        <f t="shared" si="174"/>
        <v/>
      </c>
      <c r="B5626" s="18" t="str">
        <f t="shared" si="175"/>
        <v/>
      </c>
    </row>
    <row r="5627" spans="1:2" x14ac:dyDescent="0.25">
      <c r="A5627" s="15" t="str">
        <f t="shared" si="174"/>
        <v/>
      </c>
      <c r="B5627" s="18" t="str">
        <f t="shared" si="175"/>
        <v/>
      </c>
    </row>
    <row r="5628" spans="1:2" x14ac:dyDescent="0.25">
      <c r="A5628" s="15" t="str">
        <f t="shared" si="174"/>
        <v/>
      </c>
      <c r="B5628" s="18" t="str">
        <f t="shared" si="175"/>
        <v/>
      </c>
    </row>
    <row r="5629" spans="1:2" x14ac:dyDescent="0.25">
      <c r="A5629" s="15" t="str">
        <f t="shared" si="174"/>
        <v/>
      </c>
      <c r="B5629" s="18" t="str">
        <f t="shared" si="175"/>
        <v/>
      </c>
    </row>
    <row r="5630" spans="1:2" x14ac:dyDescent="0.25">
      <c r="A5630" s="15" t="str">
        <f t="shared" si="174"/>
        <v/>
      </c>
      <c r="B5630" s="18" t="str">
        <f t="shared" si="175"/>
        <v/>
      </c>
    </row>
    <row r="5631" spans="1:2" x14ac:dyDescent="0.25">
      <c r="A5631" s="15" t="str">
        <f t="shared" si="174"/>
        <v/>
      </c>
      <c r="B5631" s="18" t="str">
        <f t="shared" si="175"/>
        <v/>
      </c>
    </row>
    <row r="5632" spans="1:2" x14ac:dyDescent="0.25">
      <c r="A5632" s="15" t="str">
        <f t="shared" si="174"/>
        <v/>
      </c>
      <c r="B5632" s="18" t="str">
        <f t="shared" si="175"/>
        <v/>
      </c>
    </row>
    <row r="5633" spans="1:2" x14ac:dyDescent="0.25">
      <c r="A5633" s="15" t="str">
        <f t="shared" si="174"/>
        <v/>
      </c>
      <c r="B5633" s="18" t="str">
        <f t="shared" si="175"/>
        <v/>
      </c>
    </row>
    <row r="5634" spans="1:2" x14ac:dyDescent="0.25">
      <c r="A5634" s="15" t="str">
        <f t="shared" ref="A5634:A5697" si="176">B5634&amp;C5634</f>
        <v/>
      </c>
      <c r="B5634" s="18" t="str">
        <f t="shared" si="175"/>
        <v/>
      </c>
    </row>
    <row r="5635" spans="1:2" x14ac:dyDescent="0.25">
      <c r="A5635" s="15" t="str">
        <f t="shared" si="176"/>
        <v/>
      </c>
      <c r="B5635" s="18" t="str">
        <f t="shared" ref="B5635:B5698" si="177">IF(C5635="","",B5634)</f>
        <v/>
      </c>
    </row>
    <row r="5636" spans="1:2" x14ac:dyDescent="0.25">
      <c r="A5636" s="15" t="str">
        <f t="shared" si="176"/>
        <v/>
      </c>
      <c r="B5636" s="18" t="str">
        <f t="shared" si="177"/>
        <v/>
      </c>
    </row>
    <row r="5637" spans="1:2" x14ac:dyDescent="0.25">
      <c r="A5637" s="15" t="str">
        <f t="shared" si="176"/>
        <v/>
      </c>
      <c r="B5637" s="18" t="str">
        <f t="shared" si="177"/>
        <v/>
      </c>
    </row>
    <row r="5638" spans="1:2" x14ac:dyDescent="0.25">
      <c r="A5638" s="15" t="str">
        <f t="shared" si="176"/>
        <v/>
      </c>
      <c r="B5638" s="18" t="str">
        <f t="shared" si="177"/>
        <v/>
      </c>
    </row>
    <row r="5639" spans="1:2" x14ac:dyDescent="0.25">
      <c r="A5639" s="15" t="str">
        <f t="shared" si="176"/>
        <v/>
      </c>
      <c r="B5639" s="18" t="str">
        <f t="shared" si="177"/>
        <v/>
      </c>
    </row>
    <row r="5640" spans="1:2" x14ac:dyDescent="0.25">
      <c r="A5640" s="15" t="str">
        <f t="shared" si="176"/>
        <v/>
      </c>
      <c r="B5640" s="18" t="str">
        <f t="shared" si="177"/>
        <v/>
      </c>
    </row>
    <row r="5641" spans="1:2" x14ac:dyDescent="0.25">
      <c r="A5641" s="15" t="str">
        <f t="shared" si="176"/>
        <v/>
      </c>
      <c r="B5641" s="18" t="str">
        <f t="shared" si="177"/>
        <v/>
      </c>
    </row>
    <row r="5642" spans="1:2" x14ac:dyDescent="0.25">
      <c r="A5642" s="15" t="str">
        <f t="shared" si="176"/>
        <v/>
      </c>
      <c r="B5642" s="18" t="str">
        <f t="shared" si="177"/>
        <v/>
      </c>
    </row>
    <row r="5643" spans="1:2" x14ac:dyDescent="0.25">
      <c r="A5643" s="15" t="str">
        <f t="shared" si="176"/>
        <v/>
      </c>
      <c r="B5643" s="18" t="str">
        <f t="shared" si="177"/>
        <v/>
      </c>
    </row>
    <row r="5644" spans="1:2" x14ac:dyDescent="0.25">
      <c r="A5644" s="15" t="str">
        <f t="shared" si="176"/>
        <v/>
      </c>
      <c r="B5644" s="18" t="str">
        <f t="shared" si="177"/>
        <v/>
      </c>
    </row>
    <row r="5645" spans="1:2" x14ac:dyDescent="0.25">
      <c r="A5645" s="15" t="str">
        <f t="shared" si="176"/>
        <v/>
      </c>
      <c r="B5645" s="18" t="str">
        <f t="shared" si="177"/>
        <v/>
      </c>
    </row>
    <row r="5646" spans="1:2" x14ac:dyDescent="0.25">
      <c r="A5646" s="15" t="str">
        <f t="shared" si="176"/>
        <v/>
      </c>
      <c r="B5646" s="18" t="str">
        <f t="shared" si="177"/>
        <v/>
      </c>
    </row>
    <row r="5647" spans="1:2" x14ac:dyDescent="0.25">
      <c r="A5647" s="15" t="str">
        <f t="shared" si="176"/>
        <v/>
      </c>
      <c r="B5647" s="18" t="str">
        <f t="shared" si="177"/>
        <v/>
      </c>
    </row>
    <row r="5648" spans="1:2" x14ac:dyDescent="0.25">
      <c r="A5648" s="15" t="str">
        <f t="shared" si="176"/>
        <v/>
      </c>
      <c r="B5648" s="18" t="str">
        <f t="shared" si="177"/>
        <v/>
      </c>
    </row>
    <row r="5649" spans="1:2" x14ac:dyDescent="0.25">
      <c r="A5649" s="15" t="str">
        <f t="shared" si="176"/>
        <v/>
      </c>
      <c r="B5649" s="18" t="str">
        <f t="shared" si="177"/>
        <v/>
      </c>
    </row>
    <row r="5650" spans="1:2" x14ac:dyDescent="0.25">
      <c r="A5650" s="15" t="str">
        <f t="shared" si="176"/>
        <v/>
      </c>
      <c r="B5650" s="18" t="str">
        <f t="shared" si="177"/>
        <v/>
      </c>
    </row>
    <row r="5651" spans="1:2" x14ac:dyDescent="0.25">
      <c r="A5651" s="15" t="str">
        <f t="shared" si="176"/>
        <v/>
      </c>
      <c r="B5651" s="18" t="str">
        <f t="shared" si="177"/>
        <v/>
      </c>
    </row>
    <row r="5652" spans="1:2" x14ac:dyDescent="0.25">
      <c r="A5652" s="15" t="str">
        <f t="shared" si="176"/>
        <v/>
      </c>
      <c r="B5652" s="18" t="str">
        <f t="shared" si="177"/>
        <v/>
      </c>
    </row>
    <row r="5653" spans="1:2" x14ac:dyDescent="0.25">
      <c r="A5653" s="15" t="str">
        <f t="shared" si="176"/>
        <v/>
      </c>
      <c r="B5653" s="18" t="str">
        <f t="shared" si="177"/>
        <v/>
      </c>
    </row>
    <row r="5654" spans="1:2" x14ac:dyDescent="0.25">
      <c r="A5654" s="15" t="str">
        <f t="shared" si="176"/>
        <v/>
      </c>
      <c r="B5654" s="18" t="str">
        <f t="shared" si="177"/>
        <v/>
      </c>
    </row>
    <row r="5655" spans="1:2" x14ac:dyDescent="0.25">
      <c r="A5655" s="15" t="str">
        <f t="shared" si="176"/>
        <v/>
      </c>
      <c r="B5655" s="18" t="str">
        <f t="shared" si="177"/>
        <v/>
      </c>
    </row>
    <row r="5656" spans="1:2" x14ac:dyDescent="0.25">
      <c r="A5656" s="15" t="str">
        <f t="shared" si="176"/>
        <v/>
      </c>
      <c r="B5656" s="18" t="str">
        <f t="shared" si="177"/>
        <v/>
      </c>
    </row>
    <row r="5657" spans="1:2" x14ac:dyDescent="0.25">
      <c r="A5657" s="15" t="str">
        <f t="shared" si="176"/>
        <v/>
      </c>
      <c r="B5657" s="18" t="str">
        <f t="shared" si="177"/>
        <v/>
      </c>
    </row>
    <row r="5658" spans="1:2" x14ac:dyDescent="0.25">
      <c r="A5658" s="15" t="str">
        <f t="shared" si="176"/>
        <v/>
      </c>
      <c r="B5658" s="18" t="str">
        <f t="shared" si="177"/>
        <v/>
      </c>
    </row>
    <row r="5659" spans="1:2" x14ac:dyDescent="0.25">
      <c r="A5659" s="15" t="str">
        <f t="shared" si="176"/>
        <v/>
      </c>
      <c r="B5659" s="18" t="str">
        <f t="shared" si="177"/>
        <v/>
      </c>
    </row>
    <row r="5660" spans="1:2" x14ac:dyDescent="0.25">
      <c r="A5660" s="15" t="str">
        <f t="shared" si="176"/>
        <v/>
      </c>
      <c r="B5660" s="18" t="str">
        <f t="shared" si="177"/>
        <v/>
      </c>
    </row>
    <row r="5661" spans="1:2" x14ac:dyDescent="0.25">
      <c r="A5661" s="15" t="str">
        <f t="shared" si="176"/>
        <v/>
      </c>
      <c r="B5661" s="18" t="str">
        <f t="shared" si="177"/>
        <v/>
      </c>
    </row>
    <row r="5662" spans="1:2" x14ac:dyDescent="0.25">
      <c r="A5662" s="15" t="str">
        <f t="shared" si="176"/>
        <v/>
      </c>
      <c r="B5662" s="18" t="str">
        <f t="shared" si="177"/>
        <v/>
      </c>
    </row>
    <row r="5663" spans="1:2" x14ac:dyDescent="0.25">
      <c r="A5663" s="15" t="str">
        <f t="shared" si="176"/>
        <v/>
      </c>
      <c r="B5663" s="18" t="str">
        <f t="shared" si="177"/>
        <v/>
      </c>
    </row>
    <row r="5664" spans="1:2" x14ac:dyDescent="0.25">
      <c r="A5664" s="15" t="str">
        <f t="shared" si="176"/>
        <v/>
      </c>
      <c r="B5664" s="18" t="str">
        <f t="shared" si="177"/>
        <v/>
      </c>
    </row>
    <row r="5665" spans="1:2" x14ac:dyDescent="0.25">
      <c r="A5665" s="15" t="str">
        <f t="shared" si="176"/>
        <v/>
      </c>
      <c r="B5665" s="18" t="str">
        <f t="shared" si="177"/>
        <v/>
      </c>
    </row>
    <row r="5666" spans="1:2" x14ac:dyDescent="0.25">
      <c r="A5666" s="15" t="str">
        <f t="shared" si="176"/>
        <v/>
      </c>
      <c r="B5666" s="18" t="str">
        <f t="shared" si="177"/>
        <v/>
      </c>
    </row>
    <row r="5667" spans="1:2" x14ac:dyDescent="0.25">
      <c r="A5667" s="15" t="str">
        <f t="shared" si="176"/>
        <v/>
      </c>
      <c r="B5667" s="18" t="str">
        <f t="shared" si="177"/>
        <v/>
      </c>
    </row>
    <row r="5668" spans="1:2" x14ac:dyDescent="0.25">
      <c r="A5668" s="15" t="str">
        <f t="shared" si="176"/>
        <v/>
      </c>
      <c r="B5668" s="18" t="str">
        <f t="shared" si="177"/>
        <v/>
      </c>
    </row>
    <row r="5669" spans="1:2" x14ac:dyDescent="0.25">
      <c r="A5669" s="15" t="str">
        <f t="shared" si="176"/>
        <v/>
      </c>
      <c r="B5669" s="18" t="str">
        <f t="shared" si="177"/>
        <v/>
      </c>
    </row>
    <row r="5670" spans="1:2" x14ac:dyDescent="0.25">
      <c r="A5670" s="15" t="str">
        <f t="shared" si="176"/>
        <v/>
      </c>
      <c r="B5670" s="18" t="str">
        <f t="shared" si="177"/>
        <v/>
      </c>
    </row>
    <row r="5671" spans="1:2" x14ac:dyDescent="0.25">
      <c r="A5671" s="15" t="str">
        <f t="shared" si="176"/>
        <v/>
      </c>
      <c r="B5671" s="18" t="str">
        <f t="shared" si="177"/>
        <v/>
      </c>
    </row>
    <row r="5672" spans="1:2" x14ac:dyDescent="0.25">
      <c r="A5672" s="15" t="str">
        <f t="shared" si="176"/>
        <v/>
      </c>
      <c r="B5672" s="18" t="str">
        <f t="shared" si="177"/>
        <v/>
      </c>
    </row>
    <row r="5673" spans="1:2" x14ac:dyDescent="0.25">
      <c r="A5673" s="15" t="str">
        <f t="shared" si="176"/>
        <v/>
      </c>
      <c r="B5673" s="18" t="str">
        <f t="shared" si="177"/>
        <v/>
      </c>
    </row>
    <row r="5674" spans="1:2" x14ac:dyDescent="0.25">
      <c r="A5674" s="15" t="str">
        <f t="shared" si="176"/>
        <v/>
      </c>
      <c r="B5674" s="18" t="str">
        <f t="shared" si="177"/>
        <v/>
      </c>
    </row>
    <row r="5675" spans="1:2" x14ac:dyDescent="0.25">
      <c r="A5675" s="15" t="str">
        <f t="shared" si="176"/>
        <v/>
      </c>
      <c r="B5675" s="18" t="str">
        <f t="shared" si="177"/>
        <v/>
      </c>
    </row>
    <row r="5676" spans="1:2" x14ac:dyDescent="0.25">
      <c r="A5676" s="15" t="str">
        <f t="shared" si="176"/>
        <v/>
      </c>
      <c r="B5676" s="18" t="str">
        <f t="shared" si="177"/>
        <v/>
      </c>
    </row>
    <row r="5677" spans="1:2" x14ac:dyDescent="0.25">
      <c r="A5677" s="15" t="str">
        <f t="shared" si="176"/>
        <v/>
      </c>
      <c r="B5677" s="18" t="str">
        <f t="shared" si="177"/>
        <v/>
      </c>
    </row>
    <row r="5678" spans="1:2" x14ac:dyDescent="0.25">
      <c r="A5678" s="15" t="str">
        <f t="shared" si="176"/>
        <v/>
      </c>
      <c r="B5678" s="18" t="str">
        <f t="shared" si="177"/>
        <v/>
      </c>
    </row>
    <row r="5679" spans="1:2" x14ac:dyDescent="0.25">
      <c r="A5679" s="15" t="str">
        <f t="shared" si="176"/>
        <v/>
      </c>
      <c r="B5679" s="18" t="str">
        <f t="shared" si="177"/>
        <v/>
      </c>
    </row>
    <row r="5680" spans="1:2" x14ac:dyDescent="0.25">
      <c r="A5680" s="15" t="str">
        <f t="shared" si="176"/>
        <v/>
      </c>
      <c r="B5680" s="18" t="str">
        <f t="shared" si="177"/>
        <v/>
      </c>
    </row>
    <row r="5681" spans="1:2" x14ac:dyDescent="0.25">
      <c r="A5681" s="15" t="str">
        <f t="shared" si="176"/>
        <v/>
      </c>
      <c r="B5681" s="18" t="str">
        <f t="shared" si="177"/>
        <v/>
      </c>
    </row>
    <row r="5682" spans="1:2" x14ac:dyDescent="0.25">
      <c r="A5682" s="15" t="str">
        <f t="shared" si="176"/>
        <v/>
      </c>
      <c r="B5682" s="18" t="str">
        <f t="shared" si="177"/>
        <v/>
      </c>
    </row>
    <row r="5683" spans="1:2" x14ac:dyDescent="0.25">
      <c r="A5683" s="15" t="str">
        <f t="shared" si="176"/>
        <v/>
      </c>
      <c r="B5683" s="18" t="str">
        <f t="shared" si="177"/>
        <v/>
      </c>
    </row>
    <row r="5684" spans="1:2" x14ac:dyDescent="0.25">
      <c r="A5684" s="15" t="str">
        <f t="shared" si="176"/>
        <v/>
      </c>
      <c r="B5684" s="18" t="str">
        <f t="shared" si="177"/>
        <v/>
      </c>
    </row>
    <row r="5685" spans="1:2" x14ac:dyDescent="0.25">
      <c r="A5685" s="15" t="str">
        <f t="shared" si="176"/>
        <v/>
      </c>
      <c r="B5685" s="18" t="str">
        <f t="shared" si="177"/>
        <v/>
      </c>
    </row>
    <row r="5686" spans="1:2" x14ac:dyDescent="0.25">
      <c r="A5686" s="15" t="str">
        <f t="shared" si="176"/>
        <v/>
      </c>
      <c r="B5686" s="18" t="str">
        <f t="shared" si="177"/>
        <v/>
      </c>
    </row>
    <row r="5687" spans="1:2" x14ac:dyDescent="0.25">
      <c r="A5687" s="15" t="str">
        <f t="shared" si="176"/>
        <v/>
      </c>
      <c r="B5687" s="18" t="str">
        <f t="shared" si="177"/>
        <v/>
      </c>
    </row>
    <row r="5688" spans="1:2" x14ac:dyDescent="0.25">
      <c r="A5688" s="15" t="str">
        <f t="shared" si="176"/>
        <v/>
      </c>
      <c r="B5688" s="18" t="str">
        <f t="shared" si="177"/>
        <v/>
      </c>
    </row>
    <row r="5689" spans="1:2" x14ac:dyDescent="0.25">
      <c r="A5689" s="15" t="str">
        <f t="shared" si="176"/>
        <v/>
      </c>
      <c r="B5689" s="18" t="str">
        <f t="shared" si="177"/>
        <v/>
      </c>
    </row>
    <row r="5690" spans="1:2" x14ac:dyDescent="0.25">
      <c r="A5690" s="15" t="str">
        <f t="shared" si="176"/>
        <v/>
      </c>
      <c r="B5690" s="18" t="str">
        <f t="shared" si="177"/>
        <v/>
      </c>
    </row>
    <row r="5691" spans="1:2" x14ac:dyDescent="0.25">
      <c r="A5691" s="15" t="str">
        <f t="shared" si="176"/>
        <v/>
      </c>
      <c r="B5691" s="18" t="str">
        <f t="shared" si="177"/>
        <v/>
      </c>
    </row>
    <row r="5692" spans="1:2" x14ac:dyDescent="0.25">
      <c r="A5692" s="15" t="str">
        <f t="shared" si="176"/>
        <v/>
      </c>
      <c r="B5692" s="18" t="str">
        <f t="shared" si="177"/>
        <v/>
      </c>
    </row>
    <row r="5693" spans="1:2" x14ac:dyDescent="0.25">
      <c r="A5693" s="15" t="str">
        <f t="shared" si="176"/>
        <v/>
      </c>
      <c r="B5693" s="18" t="str">
        <f t="shared" si="177"/>
        <v/>
      </c>
    </row>
    <row r="5694" spans="1:2" x14ac:dyDescent="0.25">
      <c r="A5694" s="15" t="str">
        <f t="shared" si="176"/>
        <v/>
      </c>
      <c r="B5694" s="18" t="str">
        <f t="shared" si="177"/>
        <v/>
      </c>
    </row>
    <row r="5695" spans="1:2" x14ac:dyDescent="0.25">
      <c r="A5695" s="15" t="str">
        <f t="shared" si="176"/>
        <v/>
      </c>
      <c r="B5695" s="18" t="str">
        <f t="shared" si="177"/>
        <v/>
      </c>
    </row>
    <row r="5696" spans="1:2" x14ac:dyDescent="0.25">
      <c r="A5696" s="15" t="str">
        <f t="shared" si="176"/>
        <v/>
      </c>
      <c r="B5696" s="18" t="str">
        <f t="shared" si="177"/>
        <v/>
      </c>
    </row>
    <row r="5697" spans="1:2" x14ac:dyDescent="0.25">
      <c r="A5697" s="15" t="str">
        <f t="shared" si="176"/>
        <v/>
      </c>
      <c r="B5697" s="18" t="str">
        <f t="shared" si="177"/>
        <v/>
      </c>
    </row>
    <row r="5698" spans="1:2" x14ac:dyDescent="0.25">
      <c r="A5698" s="15" t="str">
        <f t="shared" ref="A5698:A5761" si="178">B5698&amp;C5698</f>
        <v/>
      </c>
      <c r="B5698" s="18" t="str">
        <f t="shared" si="177"/>
        <v/>
      </c>
    </row>
    <row r="5699" spans="1:2" x14ac:dyDescent="0.25">
      <c r="A5699" s="15" t="str">
        <f t="shared" si="178"/>
        <v/>
      </c>
      <c r="B5699" s="18" t="str">
        <f t="shared" ref="B5699:B5762" si="179">IF(C5699="","",B5698)</f>
        <v/>
      </c>
    </row>
    <row r="5700" spans="1:2" x14ac:dyDescent="0.25">
      <c r="A5700" s="15" t="str">
        <f t="shared" si="178"/>
        <v/>
      </c>
      <c r="B5700" s="18" t="str">
        <f t="shared" si="179"/>
        <v/>
      </c>
    </row>
    <row r="5701" spans="1:2" x14ac:dyDescent="0.25">
      <c r="A5701" s="15" t="str">
        <f t="shared" si="178"/>
        <v/>
      </c>
      <c r="B5701" s="18" t="str">
        <f t="shared" si="179"/>
        <v/>
      </c>
    </row>
    <row r="5702" spans="1:2" x14ac:dyDescent="0.25">
      <c r="A5702" s="15" t="str">
        <f t="shared" si="178"/>
        <v/>
      </c>
      <c r="B5702" s="18" t="str">
        <f t="shared" si="179"/>
        <v/>
      </c>
    </row>
    <row r="5703" spans="1:2" x14ac:dyDescent="0.25">
      <c r="A5703" s="15" t="str">
        <f t="shared" si="178"/>
        <v/>
      </c>
      <c r="B5703" s="18" t="str">
        <f t="shared" si="179"/>
        <v/>
      </c>
    </row>
    <row r="5704" spans="1:2" x14ac:dyDescent="0.25">
      <c r="A5704" s="15" t="str">
        <f t="shared" si="178"/>
        <v/>
      </c>
      <c r="B5704" s="18" t="str">
        <f t="shared" si="179"/>
        <v/>
      </c>
    </row>
    <row r="5705" spans="1:2" x14ac:dyDescent="0.25">
      <c r="A5705" s="15" t="str">
        <f t="shared" si="178"/>
        <v/>
      </c>
      <c r="B5705" s="18" t="str">
        <f t="shared" si="179"/>
        <v/>
      </c>
    </row>
    <row r="5706" spans="1:2" x14ac:dyDescent="0.25">
      <c r="A5706" s="15" t="str">
        <f t="shared" si="178"/>
        <v/>
      </c>
      <c r="B5706" s="18" t="str">
        <f t="shared" si="179"/>
        <v/>
      </c>
    </row>
    <row r="5707" spans="1:2" x14ac:dyDescent="0.25">
      <c r="A5707" s="15" t="str">
        <f t="shared" si="178"/>
        <v/>
      </c>
      <c r="B5707" s="18" t="str">
        <f t="shared" si="179"/>
        <v/>
      </c>
    </row>
    <row r="5708" spans="1:2" x14ac:dyDescent="0.25">
      <c r="A5708" s="15" t="str">
        <f t="shared" si="178"/>
        <v/>
      </c>
      <c r="B5708" s="18" t="str">
        <f t="shared" si="179"/>
        <v/>
      </c>
    </row>
    <row r="5709" spans="1:2" x14ac:dyDescent="0.25">
      <c r="A5709" s="15" t="str">
        <f t="shared" si="178"/>
        <v/>
      </c>
      <c r="B5709" s="18" t="str">
        <f t="shared" si="179"/>
        <v/>
      </c>
    </row>
    <row r="5710" spans="1:2" x14ac:dyDescent="0.25">
      <c r="A5710" s="15" t="str">
        <f t="shared" si="178"/>
        <v/>
      </c>
      <c r="B5710" s="18" t="str">
        <f t="shared" si="179"/>
        <v/>
      </c>
    </row>
    <row r="5711" spans="1:2" x14ac:dyDescent="0.25">
      <c r="A5711" s="15" t="str">
        <f t="shared" si="178"/>
        <v/>
      </c>
      <c r="B5711" s="18" t="str">
        <f t="shared" si="179"/>
        <v/>
      </c>
    </row>
    <row r="5712" spans="1:2" x14ac:dyDescent="0.25">
      <c r="A5712" s="15" t="str">
        <f t="shared" si="178"/>
        <v/>
      </c>
      <c r="B5712" s="18" t="str">
        <f t="shared" si="179"/>
        <v/>
      </c>
    </row>
    <row r="5713" spans="1:2" x14ac:dyDescent="0.25">
      <c r="A5713" s="15" t="str">
        <f t="shared" si="178"/>
        <v/>
      </c>
      <c r="B5713" s="18" t="str">
        <f t="shared" si="179"/>
        <v/>
      </c>
    </row>
    <row r="5714" spans="1:2" x14ac:dyDescent="0.25">
      <c r="A5714" s="15" t="str">
        <f t="shared" si="178"/>
        <v/>
      </c>
      <c r="B5714" s="18" t="str">
        <f t="shared" si="179"/>
        <v/>
      </c>
    </row>
    <row r="5715" spans="1:2" x14ac:dyDescent="0.25">
      <c r="A5715" s="15" t="str">
        <f t="shared" si="178"/>
        <v/>
      </c>
      <c r="B5715" s="18" t="str">
        <f t="shared" si="179"/>
        <v/>
      </c>
    </row>
    <row r="5716" spans="1:2" x14ac:dyDescent="0.25">
      <c r="A5716" s="15" t="str">
        <f t="shared" si="178"/>
        <v/>
      </c>
      <c r="B5716" s="18" t="str">
        <f t="shared" si="179"/>
        <v/>
      </c>
    </row>
    <row r="5717" spans="1:2" x14ac:dyDescent="0.25">
      <c r="A5717" s="15" t="str">
        <f t="shared" si="178"/>
        <v/>
      </c>
      <c r="B5717" s="18" t="str">
        <f t="shared" si="179"/>
        <v/>
      </c>
    </row>
    <row r="5718" spans="1:2" x14ac:dyDescent="0.25">
      <c r="A5718" s="15" t="str">
        <f t="shared" si="178"/>
        <v/>
      </c>
      <c r="B5718" s="18" t="str">
        <f t="shared" si="179"/>
        <v/>
      </c>
    </row>
    <row r="5719" spans="1:2" x14ac:dyDescent="0.25">
      <c r="A5719" s="15" t="str">
        <f t="shared" si="178"/>
        <v/>
      </c>
      <c r="B5719" s="18" t="str">
        <f t="shared" si="179"/>
        <v/>
      </c>
    </row>
    <row r="5720" spans="1:2" x14ac:dyDescent="0.25">
      <c r="A5720" s="15" t="str">
        <f t="shared" si="178"/>
        <v/>
      </c>
      <c r="B5720" s="18" t="str">
        <f t="shared" si="179"/>
        <v/>
      </c>
    </row>
    <row r="5721" spans="1:2" x14ac:dyDescent="0.25">
      <c r="A5721" s="15" t="str">
        <f t="shared" si="178"/>
        <v/>
      </c>
      <c r="B5721" s="18" t="str">
        <f t="shared" si="179"/>
        <v/>
      </c>
    </row>
    <row r="5722" spans="1:2" x14ac:dyDescent="0.25">
      <c r="A5722" s="15" t="str">
        <f t="shared" si="178"/>
        <v/>
      </c>
      <c r="B5722" s="18" t="str">
        <f t="shared" si="179"/>
        <v/>
      </c>
    </row>
    <row r="5723" spans="1:2" x14ac:dyDescent="0.25">
      <c r="A5723" s="15" t="str">
        <f t="shared" si="178"/>
        <v/>
      </c>
      <c r="B5723" s="18" t="str">
        <f t="shared" si="179"/>
        <v/>
      </c>
    </row>
    <row r="5724" spans="1:2" x14ac:dyDescent="0.25">
      <c r="A5724" s="15" t="str">
        <f t="shared" si="178"/>
        <v/>
      </c>
      <c r="B5724" s="18" t="str">
        <f t="shared" si="179"/>
        <v/>
      </c>
    </row>
    <row r="5725" spans="1:2" x14ac:dyDescent="0.25">
      <c r="A5725" s="15" t="str">
        <f t="shared" si="178"/>
        <v/>
      </c>
      <c r="B5725" s="18" t="str">
        <f t="shared" si="179"/>
        <v/>
      </c>
    </row>
    <row r="5726" spans="1:2" x14ac:dyDescent="0.25">
      <c r="A5726" s="15" t="str">
        <f t="shared" si="178"/>
        <v/>
      </c>
      <c r="B5726" s="18" t="str">
        <f t="shared" si="179"/>
        <v/>
      </c>
    </row>
    <row r="5727" spans="1:2" x14ac:dyDescent="0.25">
      <c r="A5727" s="15" t="str">
        <f t="shared" si="178"/>
        <v/>
      </c>
      <c r="B5727" s="18" t="str">
        <f t="shared" si="179"/>
        <v/>
      </c>
    </row>
    <row r="5728" spans="1:2" x14ac:dyDescent="0.25">
      <c r="A5728" s="15" t="str">
        <f t="shared" si="178"/>
        <v/>
      </c>
      <c r="B5728" s="18" t="str">
        <f t="shared" si="179"/>
        <v/>
      </c>
    </row>
    <row r="5729" spans="1:2" x14ac:dyDescent="0.25">
      <c r="A5729" s="15" t="str">
        <f t="shared" si="178"/>
        <v/>
      </c>
      <c r="B5729" s="18" t="str">
        <f t="shared" si="179"/>
        <v/>
      </c>
    </row>
    <row r="5730" spans="1:2" x14ac:dyDescent="0.25">
      <c r="A5730" s="15" t="str">
        <f t="shared" si="178"/>
        <v/>
      </c>
      <c r="B5730" s="18" t="str">
        <f t="shared" si="179"/>
        <v/>
      </c>
    </row>
    <row r="5731" spans="1:2" x14ac:dyDescent="0.25">
      <c r="A5731" s="15" t="str">
        <f t="shared" si="178"/>
        <v/>
      </c>
      <c r="B5731" s="18" t="str">
        <f t="shared" si="179"/>
        <v/>
      </c>
    </row>
    <row r="5732" spans="1:2" x14ac:dyDescent="0.25">
      <c r="A5732" s="15" t="str">
        <f t="shared" si="178"/>
        <v/>
      </c>
      <c r="B5732" s="18" t="str">
        <f t="shared" si="179"/>
        <v/>
      </c>
    </row>
    <row r="5733" spans="1:2" x14ac:dyDescent="0.25">
      <c r="A5733" s="15" t="str">
        <f t="shared" si="178"/>
        <v/>
      </c>
      <c r="B5733" s="18" t="str">
        <f t="shared" si="179"/>
        <v/>
      </c>
    </row>
    <row r="5734" spans="1:2" x14ac:dyDescent="0.25">
      <c r="A5734" s="15" t="str">
        <f t="shared" si="178"/>
        <v/>
      </c>
      <c r="B5734" s="18" t="str">
        <f t="shared" si="179"/>
        <v/>
      </c>
    </row>
    <row r="5735" spans="1:2" x14ac:dyDescent="0.25">
      <c r="A5735" s="15" t="str">
        <f t="shared" si="178"/>
        <v/>
      </c>
      <c r="B5735" s="18" t="str">
        <f t="shared" si="179"/>
        <v/>
      </c>
    </row>
    <row r="5736" spans="1:2" x14ac:dyDescent="0.25">
      <c r="A5736" s="15" t="str">
        <f t="shared" si="178"/>
        <v/>
      </c>
      <c r="B5736" s="18" t="str">
        <f t="shared" si="179"/>
        <v/>
      </c>
    </row>
    <row r="5737" spans="1:2" x14ac:dyDescent="0.25">
      <c r="A5737" s="15" t="str">
        <f t="shared" si="178"/>
        <v/>
      </c>
      <c r="B5737" s="18" t="str">
        <f t="shared" si="179"/>
        <v/>
      </c>
    </row>
    <row r="5738" spans="1:2" x14ac:dyDescent="0.25">
      <c r="A5738" s="15" t="str">
        <f t="shared" si="178"/>
        <v/>
      </c>
      <c r="B5738" s="18" t="str">
        <f t="shared" si="179"/>
        <v/>
      </c>
    </row>
    <row r="5739" spans="1:2" x14ac:dyDescent="0.25">
      <c r="A5739" s="15" t="str">
        <f t="shared" si="178"/>
        <v/>
      </c>
      <c r="B5739" s="18" t="str">
        <f t="shared" si="179"/>
        <v/>
      </c>
    </row>
    <row r="5740" spans="1:2" x14ac:dyDescent="0.25">
      <c r="A5740" s="15" t="str">
        <f t="shared" si="178"/>
        <v/>
      </c>
      <c r="B5740" s="18" t="str">
        <f t="shared" si="179"/>
        <v/>
      </c>
    </row>
    <row r="5741" spans="1:2" x14ac:dyDescent="0.25">
      <c r="A5741" s="15" t="str">
        <f t="shared" si="178"/>
        <v/>
      </c>
      <c r="B5741" s="18" t="str">
        <f t="shared" si="179"/>
        <v/>
      </c>
    </row>
    <row r="5742" spans="1:2" x14ac:dyDescent="0.25">
      <c r="A5742" s="15" t="str">
        <f t="shared" si="178"/>
        <v/>
      </c>
      <c r="B5742" s="18" t="str">
        <f t="shared" si="179"/>
        <v/>
      </c>
    </row>
    <row r="5743" spans="1:2" x14ac:dyDescent="0.25">
      <c r="A5743" s="15" t="str">
        <f t="shared" si="178"/>
        <v/>
      </c>
      <c r="B5743" s="18" t="str">
        <f t="shared" si="179"/>
        <v/>
      </c>
    </row>
    <row r="5744" spans="1:2" x14ac:dyDescent="0.25">
      <c r="A5744" s="15" t="str">
        <f t="shared" si="178"/>
        <v/>
      </c>
      <c r="B5744" s="18" t="str">
        <f t="shared" si="179"/>
        <v/>
      </c>
    </row>
    <row r="5745" spans="1:2" x14ac:dyDescent="0.25">
      <c r="A5745" s="15" t="str">
        <f t="shared" si="178"/>
        <v/>
      </c>
      <c r="B5745" s="18" t="str">
        <f t="shared" si="179"/>
        <v/>
      </c>
    </row>
    <row r="5746" spans="1:2" x14ac:dyDescent="0.25">
      <c r="A5746" s="15" t="str">
        <f t="shared" si="178"/>
        <v/>
      </c>
      <c r="B5746" s="18" t="str">
        <f t="shared" si="179"/>
        <v/>
      </c>
    </row>
    <row r="5747" spans="1:2" x14ac:dyDescent="0.25">
      <c r="A5747" s="15" t="str">
        <f t="shared" si="178"/>
        <v/>
      </c>
      <c r="B5747" s="18" t="str">
        <f t="shared" si="179"/>
        <v/>
      </c>
    </row>
    <row r="5748" spans="1:2" x14ac:dyDescent="0.25">
      <c r="A5748" s="15" t="str">
        <f t="shared" si="178"/>
        <v/>
      </c>
      <c r="B5748" s="18" t="str">
        <f t="shared" si="179"/>
        <v/>
      </c>
    </row>
    <row r="5749" spans="1:2" x14ac:dyDescent="0.25">
      <c r="A5749" s="15" t="str">
        <f t="shared" si="178"/>
        <v/>
      </c>
      <c r="B5749" s="18" t="str">
        <f t="shared" si="179"/>
        <v/>
      </c>
    </row>
    <row r="5750" spans="1:2" x14ac:dyDescent="0.25">
      <c r="A5750" s="15" t="str">
        <f t="shared" si="178"/>
        <v/>
      </c>
      <c r="B5750" s="18" t="str">
        <f t="shared" si="179"/>
        <v/>
      </c>
    </row>
    <row r="5751" spans="1:2" x14ac:dyDescent="0.25">
      <c r="A5751" s="15" t="str">
        <f t="shared" si="178"/>
        <v/>
      </c>
      <c r="B5751" s="18" t="str">
        <f t="shared" si="179"/>
        <v/>
      </c>
    </row>
    <row r="5752" spans="1:2" x14ac:dyDescent="0.25">
      <c r="A5752" s="15" t="str">
        <f t="shared" si="178"/>
        <v/>
      </c>
      <c r="B5752" s="18" t="str">
        <f t="shared" si="179"/>
        <v/>
      </c>
    </row>
    <row r="5753" spans="1:2" x14ac:dyDescent="0.25">
      <c r="A5753" s="15" t="str">
        <f t="shared" si="178"/>
        <v/>
      </c>
      <c r="B5753" s="18" t="str">
        <f t="shared" si="179"/>
        <v/>
      </c>
    </row>
    <row r="5754" spans="1:2" x14ac:dyDescent="0.25">
      <c r="A5754" s="15" t="str">
        <f t="shared" si="178"/>
        <v/>
      </c>
      <c r="B5754" s="18" t="str">
        <f t="shared" si="179"/>
        <v/>
      </c>
    </row>
    <row r="5755" spans="1:2" x14ac:dyDescent="0.25">
      <c r="A5755" s="15" t="str">
        <f t="shared" si="178"/>
        <v/>
      </c>
      <c r="B5755" s="18" t="str">
        <f t="shared" si="179"/>
        <v/>
      </c>
    </row>
    <row r="5756" spans="1:2" x14ac:dyDescent="0.25">
      <c r="A5756" s="15" t="str">
        <f t="shared" si="178"/>
        <v/>
      </c>
      <c r="B5756" s="18" t="str">
        <f t="shared" si="179"/>
        <v/>
      </c>
    </row>
    <row r="5757" spans="1:2" x14ac:dyDescent="0.25">
      <c r="A5757" s="15" t="str">
        <f t="shared" si="178"/>
        <v/>
      </c>
      <c r="B5757" s="18" t="str">
        <f t="shared" si="179"/>
        <v/>
      </c>
    </row>
    <row r="5758" spans="1:2" x14ac:dyDescent="0.25">
      <c r="A5758" s="15" t="str">
        <f t="shared" si="178"/>
        <v/>
      </c>
      <c r="B5758" s="18" t="str">
        <f t="shared" si="179"/>
        <v/>
      </c>
    </row>
    <row r="5759" spans="1:2" x14ac:dyDescent="0.25">
      <c r="A5759" s="15" t="str">
        <f t="shared" si="178"/>
        <v/>
      </c>
      <c r="B5759" s="18" t="str">
        <f t="shared" si="179"/>
        <v/>
      </c>
    </row>
    <row r="5760" spans="1:2" x14ac:dyDescent="0.25">
      <c r="A5760" s="15" t="str">
        <f t="shared" si="178"/>
        <v/>
      </c>
      <c r="B5760" s="18" t="str">
        <f t="shared" si="179"/>
        <v/>
      </c>
    </row>
    <row r="5761" spans="1:2" x14ac:dyDescent="0.25">
      <c r="A5761" s="15" t="str">
        <f t="shared" si="178"/>
        <v/>
      </c>
      <c r="B5761" s="18" t="str">
        <f t="shared" si="179"/>
        <v/>
      </c>
    </row>
    <row r="5762" spans="1:2" x14ac:dyDescent="0.25">
      <c r="A5762" s="15" t="str">
        <f t="shared" ref="A5762:A5825" si="180">B5762&amp;C5762</f>
        <v/>
      </c>
      <c r="B5762" s="18" t="str">
        <f t="shared" si="179"/>
        <v/>
      </c>
    </row>
    <row r="5763" spans="1:2" x14ac:dyDescent="0.25">
      <c r="A5763" s="15" t="str">
        <f t="shared" si="180"/>
        <v/>
      </c>
      <c r="B5763" s="18" t="str">
        <f t="shared" ref="B5763:B5826" si="181">IF(C5763="","",B5762)</f>
        <v/>
      </c>
    </row>
    <row r="5764" spans="1:2" x14ac:dyDescent="0.25">
      <c r="A5764" s="15" t="str">
        <f t="shared" si="180"/>
        <v/>
      </c>
      <c r="B5764" s="18" t="str">
        <f t="shared" si="181"/>
        <v/>
      </c>
    </row>
    <row r="5765" spans="1:2" x14ac:dyDescent="0.25">
      <c r="A5765" s="15" t="str">
        <f t="shared" si="180"/>
        <v/>
      </c>
      <c r="B5765" s="18" t="str">
        <f t="shared" si="181"/>
        <v/>
      </c>
    </row>
    <row r="5766" spans="1:2" x14ac:dyDescent="0.25">
      <c r="A5766" s="15" t="str">
        <f t="shared" si="180"/>
        <v/>
      </c>
      <c r="B5766" s="18" t="str">
        <f t="shared" si="181"/>
        <v/>
      </c>
    </row>
    <row r="5767" spans="1:2" x14ac:dyDescent="0.25">
      <c r="A5767" s="15" t="str">
        <f t="shared" si="180"/>
        <v/>
      </c>
      <c r="B5767" s="18" t="str">
        <f t="shared" si="181"/>
        <v/>
      </c>
    </row>
    <row r="5768" spans="1:2" x14ac:dyDescent="0.25">
      <c r="A5768" s="15" t="str">
        <f t="shared" si="180"/>
        <v/>
      </c>
      <c r="B5768" s="18" t="str">
        <f t="shared" si="181"/>
        <v/>
      </c>
    </row>
    <row r="5769" spans="1:2" x14ac:dyDescent="0.25">
      <c r="A5769" s="15" t="str">
        <f t="shared" si="180"/>
        <v/>
      </c>
      <c r="B5769" s="18" t="str">
        <f t="shared" si="181"/>
        <v/>
      </c>
    </row>
    <row r="5770" spans="1:2" x14ac:dyDescent="0.25">
      <c r="A5770" s="15" t="str">
        <f t="shared" si="180"/>
        <v/>
      </c>
      <c r="B5770" s="18" t="str">
        <f t="shared" si="181"/>
        <v/>
      </c>
    </row>
    <row r="5771" spans="1:2" x14ac:dyDescent="0.25">
      <c r="A5771" s="15" t="str">
        <f t="shared" si="180"/>
        <v/>
      </c>
      <c r="B5771" s="18" t="str">
        <f t="shared" si="181"/>
        <v/>
      </c>
    </row>
    <row r="5772" spans="1:2" x14ac:dyDescent="0.25">
      <c r="A5772" s="15" t="str">
        <f t="shared" si="180"/>
        <v/>
      </c>
      <c r="B5772" s="18" t="str">
        <f t="shared" si="181"/>
        <v/>
      </c>
    </row>
    <row r="5773" spans="1:2" x14ac:dyDescent="0.25">
      <c r="A5773" s="15" t="str">
        <f t="shared" si="180"/>
        <v/>
      </c>
      <c r="B5773" s="18" t="str">
        <f t="shared" si="181"/>
        <v/>
      </c>
    </row>
    <row r="5774" spans="1:2" x14ac:dyDescent="0.25">
      <c r="A5774" s="15" t="str">
        <f t="shared" si="180"/>
        <v/>
      </c>
      <c r="B5774" s="18" t="str">
        <f t="shared" si="181"/>
        <v/>
      </c>
    </row>
    <row r="5775" spans="1:2" x14ac:dyDescent="0.25">
      <c r="A5775" s="15" t="str">
        <f t="shared" si="180"/>
        <v/>
      </c>
      <c r="B5775" s="18" t="str">
        <f t="shared" si="181"/>
        <v/>
      </c>
    </row>
    <row r="5776" spans="1:2" x14ac:dyDescent="0.25">
      <c r="A5776" s="15" t="str">
        <f t="shared" si="180"/>
        <v/>
      </c>
      <c r="B5776" s="18" t="str">
        <f t="shared" si="181"/>
        <v/>
      </c>
    </row>
    <row r="5777" spans="1:2" x14ac:dyDescent="0.25">
      <c r="A5777" s="15" t="str">
        <f t="shared" si="180"/>
        <v/>
      </c>
      <c r="B5777" s="18" t="str">
        <f t="shared" si="181"/>
        <v/>
      </c>
    </row>
    <row r="5778" spans="1:2" x14ac:dyDescent="0.25">
      <c r="A5778" s="15" t="str">
        <f t="shared" si="180"/>
        <v/>
      </c>
      <c r="B5778" s="18" t="str">
        <f t="shared" si="181"/>
        <v/>
      </c>
    </row>
    <row r="5779" spans="1:2" x14ac:dyDescent="0.25">
      <c r="A5779" s="15" t="str">
        <f t="shared" si="180"/>
        <v/>
      </c>
      <c r="B5779" s="18" t="str">
        <f t="shared" si="181"/>
        <v/>
      </c>
    </row>
    <row r="5780" spans="1:2" x14ac:dyDescent="0.25">
      <c r="A5780" s="15" t="str">
        <f t="shared" si="180"/>
        <v/>
      </c>
      <c r="B5780" s="18" t="str">
        <f t="shared" si="181"/>
        <v/>
      </c>
    </row>
    <row r="5781" spans="1:2" x14ac:dyDescent="0.25">
      <c r="A5781" s="15" t="str">
        <f t="shared" si="180"/>
        <v/>
      </c>
      <c r="B5781" s="18" t="str">
        <f t="shared" si="181"/>
        <v/>
      </c>
    </row>
    <row r="5782" spans="1:2" x14ac:dyDescent="0.25">
      <c r="A5782" s="15" t="str">
        <f t="shared" si="180"/>
        <v/>
      </c>
      <c r="B5782" s="18" t="str">
        <f t="shared" si="181"/>
        <v/>
      </c>
    </row>
    <row r="5783" spans="1:2" x14ac:dyDescent="0.25">
      <c r="A5783" s="15" t="str">
        <f t="shared" si="180"/>
        <v/>
      </c>
      <c r="B5783" s="18" t="str">
        <f t="shared" si="181"/>
        <v/>
      </c>
    </row>
    <row r="5784" spans="1:2" x14ac:dyDescent="0.25">
      <c r="A5784" s="15" t="str">
        <f t="shared" si="180"/>
        <v/>
      </c>
      <c r="B5784" s="18" t="str">
        <f t="shared" si="181"/>
        <v/>
      </c>
    </row>
    <row r="5785" spans="1:2" x14ac:dyDescent="0.25">
      <c r="A5785" s="15" t="str">
        <f t="shared" si="180"/>
        <v/>
      </c>
      <c r="B5785" s="18" t="str">
        <f t="shared" si="181"/>
        <v/>
      </c>
    </row>
    <row r="5786" spans="1:2" x14ac:dyDescent="0.25">
      <c r="A5786" s="15" t="str">
        <f t="shared" si="180"/>
        <v/>
      </c>
      <c r="B5786" s="18" t="str">
        <f t="shared" si="181"/>
        <v/>
      </c>
    </row>
    <row r="5787" spans="1:2" x14ac:dyDescent="0.25">
      <c r="A5787" s="15" t="str">
        <f t="shared" si="180"/>
        <v/>
      </c>
      <c r="B5787" s="18" t="str">
        <f t="shared" si="181"/>
        <v/>
      </c>
    </row>
    <row r="5788" spans="1:2" x14ac:dyDescent="0.25">
      <c r="A5788" s="15" t="str">
        <f t="shared" si="180"/>
        <v/>
      </c>
      <c r="B5788" s="18" t="str">
        <f t="shared" si="181"/>
        <v/>
      </c>
    </row>
    <row r="5789" spans="1:2" x14ac:dyDescent="0.25">
      <c r="A5789" s="15" t="str">
        <f t="shared" si="180"/>
        <v/>
      </c>
      <c r="B5789" s="18" t="str">
        <f t="shared" si="181"/>
        <v/>
      </c>
    </row>
    <row r="5790" spans="1:2" x14ac:dyDescent="0.25">
      <c r="A5790" s="15" t="str">
        <f t="shared" si="180"/>
        <v/>
      </c>
      <c r="B5790" s="18" t="str">
        <f t="shared" si="181"/>
        <v/>
      </c>
    </row>
    <row r="5791" spans="1:2" x14ac:dyDescent="0.25">
      <c r="A5791" s="15" t="str">
        <f t="shared" si="180"/>
        <v/>
      </c>
      <c r="B5791" s="18" t="str">
        <f t="shared" si="181"/>
        <v/>
      </c>
    </row>
    <row r="5792" spans="1:2" x14ac:dyDescent="0.25">
      <c r="A5792" s="15" t="str">
        <f t="shared" si="180"/>
        <v/>
      </c>
      <c r="B5792" s="18" t="str">
        <f t="shared" si="181"/>
        <v/>
      </c>
    </row>
    <row r="5793" spans="1:2" x14ac:dyDescent="0.25">
      <c r="A5793" s="15" t="str">
        <f t="shared" si="180"/>
        <v/>
      </c>
      <c r="B5793" s="18" t="str">
        <f t="shared" si="181"/>
        <v/>
      </c>
    </row>
    <row r="5794" spans="1:2" x14ac:dyDescent="0.25">
      <c r="A5794" s="15" t="str">
        <f t="shared" si="180"/>
        <v/>
      </c>
      <c r="B5794" s="18" t="str">
        <f t="shared" si="181"/>
        <v/>
      </c>
    </row>
    <row r="5795" spans="1:2" x14ac:dyDescent="0.25">
      <c r="A5795" s="15" t="str">
        <f t="shared" si="180"/>
        <v/>
      </c>
      <c r="B5795" s="18" t="str">
        <f t="shared" si="181"/>
        <v/>
      </c>
    </row>
    <row r="5796" spans="1:2" x14ac:dyDescent="0.25">
      <c r="A5796" s="15" t="str">
        <f t="shared" si="180"/>
        <v/>
      </c>
      <c r="B5796" s="18" t="str">
        <f t="shared" si="181"/>
        <v/>
      </c>
    </row>
    <row r="5797" spans="1:2" x14ac:dyDescent="0.25">
      <c r="A5797" s="15" t="str">
        <f t="shared" si="180"/>
        <v/>
      </c>
      <c r="B5797" s="18" t="str">
        <f t="shared" si="181"/>
        <v/>
      </c>
    </row>
    <row r="5798" spans="1:2" x14ac:dyDescent="0.25">
      <c r="A5798" s="15" t="str">
        <f t="shared" si="180"/>
        <v/>
      </c>
      <c r="B5798" s="18" t="str">
        <f t="shared" si="181"/>
        <v/>
      </c>
    </row>
    <row r="5799" spans="1:2" x14ac:dyDescent="0.25">
      <c r="A5799" s="15" t="str">
        <f t="shared" si="180"/>
        <v/>
      </c>
      <c r="B5799" s="18" t="str">
        <f t="shared" si="181"/>
        <v/>
      </c>
    </row>
    <row r="5800" spans="1:2" x14ac:dyDescent="0.25">
      <c r="A5800" s="15" t="str">
        <f t="shared" si="180"/>
        <v/>
      </c>
      <c r="B5800" s="18" t="str">
        <f t="shared" si="181"/>
        <v/>
      </c>
    </row>
    <row r="5801" spans="1:2" x14ac:dyDescent="0.25">
      <c r="A5801" s="15" t="str">
        <f t="shared" si="180"/>
        <v/>
      </c>
      <c r="B5801" s="18" t="str">
        <f t="shared" si="181"/>
        <v/>
      </c>
    </row>
    <row r="5802" spans="1:2" x14ac:dyDescent="0.25">
      <c r="A5802" s="15" t="str">
        <f t="shared" si="180"/>
        <v/>
      </c>
      <c r="B5802" s="18" t="str">
        <f t="shared" si="181"/>
        <v/>
      </c>
    </row>
    <row r="5803" spans="1:2" x14ac:dyDescent="0.25">
      <c r="A5803" s="15" t="str">
        <f t="shared" si="180"/>
        <v/>
      </c>
      <c r="B5803" s="18" t="str">
        <f t="shared" si="181"/>
        <v/>
      </c>
    </row>
    <row r="5804" spans="1:2" x14ac:dyDescent="0.25">
      <c r="A5804" s="15" t="str">
        <f t="shared" si="180"/>
        <v/>
      </c>
      <c r="B5804" s="18" t="str">
        <f t="shared" si="181"/>
        <v/>
      </c>
    </row>
    <row r="5805" spans="1:2" x14ac:dyDescent="0.25">
      <c r="A5805" s="15" t="str">
        <f t="shared" si="180"/>
        <v/>
      </c>
      <c r="B5805" s="18" t="str">
        <f t="shared" si="181"/>
        <v/>
      </c>
    </row>
    <row r="5806" spans="1:2" x14ac:dyDescent="0.25">
      <c r="A5806" s="15" t="str">
        <f t="shared" si="180"/>
        <v/>
      </c>
      <c r="B5806" s="18" t="str">
        <f t="shared" si="181"/>
        <v/>
      </c>
    </row>
    <row r="5807" spans="1:2" x14ac:dyDescent="0.25">
      <c r="A5807" s="15" t="str">
        <f t="shared" si="180"/>
        <v/>
      </c>
      <c r="B5807" s="18" t="str">
        <f t="shared" si="181"/>
        <v/>
      </c>
    </row>
    <row r="5808" spans="1:2" x14ac:dyDescent="0.25">
      <c r="A5808" s="15" t="str">
        <f t="shared" si="180"/>
        <v/>
      </c>
      <c r="B5808" s="18" t="str">
        <f t="shared" si="181"/>
        <v/>
      </c>
    </row>
    <row r="5809" spans="1:2" x14ac:dyDescent="0.25">
      <c r="A5809" s="15" t="str">
        <f t="shared" si="180"/>
        <v/>
      </c>
      <c r="B5809" s="18" t="str">
        <f t="shared" si="181"/>
        <v/>
      </c>
    </row>
    <row r="5810" spans="1:2" x14ac:dyDescent="0.25">
      <c r="A5810" s="15" t="str">
        <f t="shared" si="180"/>
        <v/>
      </c>
      <c r="B5810" s="18" t="str">
        <f t="shared" si="181"/>
        <v/>
      </c>
    </row>
    <row r="5811" spans="1:2" x14ac:dyDescent="0.25">
      <c r="A5811" s="15" t="str">
        <f t="shared" si="180"/>
        <v/>
      </c>
      <c r="B5811" s="18" t="str">
        <f t="shared" si="181"/>
        <v/>
      </c>
    </row>
    <row r="5812" spans="1:2" x14ac:dyDescent="0.25">
      <c r="A5812" s="15" t="str">
        <f t="shared" si="180"/>
        <v/>
      </c>
      <c r="B5812" s="18" t="str">
        <f t="shared" si="181"/>
        <v/>
      </c>
    </row>
    <row r="5813" spans="1:2" x14ac:dyDescent="0.25">
      <c r="A5813" s="15" t="str">
        <f t="shared" si="180"/>
        <v/>
      </c>
      <c r="B5813" s="18" t="str">
        <f t="shared" si="181"/>
        <v/>
      </c>
    </row>
    <row r="5814" spans="1:2" x14ac:dyDescent="0.25">
      <c r="A5814" s="15" t="str">
        <f t="shared" si="180"/>
        <v/>
      </c>
      <c r="B5814" s="18" t="str">
        <f t="shared" si="181"/>
        <v/>
      </c>
    </row>
    <row r="5815" spans="1:2" x14ac:dyDescent="0.25">
      <c r="A5815" s="15" t="str">
        <f t="shared" si="180"/>
        <v/>
      </c>
      <c r="B5815" s="18" t="str">
        <f t="shared" si="181"/>
        <v/>
      </c>
    </row>
    <row r="5816" spans="1:2" x14ac:dyDescent="0.25">
      <c r="A5816" s="15" t="str">
        <f t="shared" si="180"/>
        <v/>
      </c>
      <c r="B5816" s="18" t="str">
        <f t="shared" si="181"/>
        <v/>
      </c>
    </row>
    <row r="5817" spans="1:2" x14ac:dyDescent="0.25">
      <c r="A5817" s="15" t="str">
        <f t="shared" si="180"/>
        <v/>
      </c>
      <c r="B5817" s="18" t="str">
        <f t="shared" si="181"/>
        <v/>
      </c>
    </row>
    <row r="5818" spans="1:2" x14ac:dyDescent="0.25">
      <c r="A5818" s="15" t="str">
        <f t="shared" si="180"/>
        <v/>
      </c>
      <c r="B5818" s="18" t="str">
        <f t="shared" si="181"/>
        <v/>
      </c>
    </row>
    <row r="5819" spans="1:2" x14ac:dyDescent="0.25">
      <c r="A5819" s="15" t="str">
        <f t="shared" si="180"/>
        <v/>
      </c>
      <c r="B5819" s="18" t="str">
        <f t="shared" si="181"/>
        <v/>
      </c>
    </row>
    <row r="5820" spans="1:2" x14ac:dyDescent="0.25">
      <c r="A5820" s="15" t="str">
        <f t="shared" si="180"/>
        <v/>
      </c>
      <c r="B5820" s="18" t="str">
        <f t="shared" si="181"/>
        <v/>
      </c>
    </row>
    <row r="5821" spans="1:2" x14ac:dyDescent="0.25">
      <c r="A5821" s="15" t="str">
        <f t="shared" si="180"/>
        <v/>
      </c>
      <c r="B5821" s="18" t="str">
        <f t="shared" si="181"/>
        <v/>
      </c>
    </row>
    <row r="5822" spans="1:2" x14ac:dyDescent="0.25">
      <c r="A5822" s="15" t="str">
        <f t="shared" si="180"/>
        <v/>
      </c>
      <c r="B5822" s="18" t="str">
        <f t="shared" si="181"/>
        <v/>
      </c>
    </row>
    <row r="5823" spans="1:2" x14ac:dyDescent="0.25">
      <c r="A5823" s="15" t="str">
        <f t="shared" si="180"/>
        <v/>
      </c>
      <c r="B5823" s="18" t="str">
        <f t="shared" si="181"/>
        <v/>
      </c>
    </row>
    <row r="5824" spans="1:2" x14ac:dyDescent="0.25">
      <c r="A5824" s="15" t="str">
        <f t="shared" si="180"/>
        <v/>
      </c>
      <c r="B5824" s="18" t="str">
        <f t="shared" si="181"/>
        <v/>
      </c>
    </row>
    <row r="5825" spans="1:2" x14ac:dyDescent="0.25">
      <c r="A5825" s="15" t="str">
        <f t="shared" si="180"/>
        <v/>
      </c>
      <c r="B5825" s="18" t="str">
        <f t="shared" si="181"/>
        <v/>
      </c>
    </row>
    <row r="5826" spans="1:2" x14ac:dyDescent="0.25">
      <c r="A5826" s="15" t="str">
        <f t="shared" ref="A5826:A5889" si="182">B5826&amp;C5826</f>
        <v/>
      </c>
      <c r="B5826" s="18" t="str">
        <f t="shared" si="181"/>
        <v/>
      </c>
    </row>
    <row r="5827" spans="1:2" x14ac:dyDescent="0.25">
      <c r="A5827" s="15" t="str">
        <f t="shared" si="182"/>
        <v/>
      </c>
      <c r="B5827" s="18" t="str">
        <f t="shared" ref="B5827:B5890" si="183">IF(C5827="","",B5826)</f>
        <v/>
      </c>
    </row>
    <row r="5828" spans="1:2" x14ac:dyDescent="0.25">
      <c r="A5828" s="15" t="str">
        <f t="shared" si="182"/>
        <v/>
      </c>
      <c r="B5828" s="18" t="str">
        <f t="shared" si="183"/>
        <v/>
      </c>
    </row>
    <row r="5829" spans="1:2" x14ac:dyDescent="0.25">
      <c r="A5829" s="15" t="str">
        <f t="shared" si="182"/>
        <v/>
      </c>
      <c r="B5829" s="18" t="str">
        <f t="shared" si="183"/>
        <v/>
      </c>
    </row>
    <row r="5830" spans="1:2" x14ac:dyDescent="0.25">
      <c r="A5830" s="15" t="str">
        <f t="shared" si="182"/>
        <v/>
      </c>
      <c r="B5830" s="18" t="str">
        <f t="shared" si="183"/>
        <v/>
      </c>
    </row>
    <row r="5831" spans="1:2" x14ac:dyDescent="0.25">
      <c r="A5831" s="15" t="str">
        <f t="shared" si="182"/>
        <v/>
      </c>
      <c r="B5831" s="18" t="str">
        <f t="shared" si="183"/>
        <v/>
      </c>
    </row>
    <row r="5832" spans="1:2" x14ac:dyDescent="0.25">
      <c r="A5832" s="15" t="str">
        <f t="shared" si="182"/>
        <v/>
      </c>
      <c r="B5832" s="18" t="str">
        <f t="shared" si="183"/>
        <v/>
      </c>
    </row>
    <row r="5833" spans="1:2" x14ac:dyDescent="0.25">
      <c r="A5833" s="15" t="str">
        <f t="shared" si="182"/>
        <v/>
      </c>
      <c r="B5833" s="18" t="str">
        <f t="shared" si="183"/>
        <v/>
      </c>
    </row>
    <row r="5834" spans="1:2" x14ac:dyDescent="0.25">
      <c r="A5834" s="15" t="str">
        <f t="shared" si="182"/>
        <v/>
      </c>
      <c r="B5834" s="18" t="str">
        <f t="shared" si="183"/>
        <v/>
      </c>
    </row>
    <row r="5835" spans="1:2" x14ac:dyDescent="0.25">
      <c r="A5835" s="15" t="str">
        <f t="shared" si="182"/>
        <v/>
      </c>
      <c r="B5835" s="18" t="str">
        <f t="shared" si="183"/>
        <v/>
      </c>
    </row>
    <row r="5836" spans="1:2" x14ac:dyDescent="0.25">
      <c r="A5836" s="15" t="str">
        <f t="shared" si="182"/>
        <v/>
      </c>
      <c r="B5836" s="18" t="str">
        <f t="shared" si="183"/>
        <v/>
      </c>
    </row>
    <row r="5837" spans="1:2" x14ac:dyDescent="0.25">
      <c r="A5837" s="15" t="str">
        <f t="shared" si="182"/>
        <v/>
      </c>
      <c r="B5837" s="18" t="str">
        <f t="shared" si="183"/>
        <v/>
      </c>
    </row>
    <row r="5838" spans="1:2" x14ac:dyDescent="0.25">
      <c r="A5838" s="15" t="str">
        <f t="shared" si="182"/>
        <v/>
      </c>
      <c r="B5838" s="18" t="str">
        <f t="shared" si="183"/>
        <v/>
      </c>
    </row>
    <row r="5839" spans="1:2" x14ac:dyDescent="0.25">
      <c r="A5839" s="15" t="str">
        <f t="shared" si="182"/>
        <v/>
      </c>
      <c r="B5839" s="18" t="str">
        <f t="shared" si="183"/>
        <v/>
      </c>
    </row>
    <row r="5840" spans="1:2" x14ac:dyDescent="0.25">
      <c r="A5840" s="15" t="str">
        <f t="shared" si="182"/>
        <v/>
      </c>
      <c r="B5840" s="18" t="str">
        <f t="shared" si="183"/>
        <v/>
      </c>
    </row>
    <row r="5841" spans="1:2" x14ac:dyDescent="0.25">
      <c r="A5841" s="15" t="str">
        <f t="shared" si="182"/>
        <v/>
      </c>
      <c r="B5841" s="18" t="str">
        <f t="shared" si="183"/>
        <v/>
      </c>
    </row>
    <row r="5842" spans="1:2" x14ac:dyDescent="0.25">
      <c r="A5842" s="15" t="str">
        <f t="shared" si="182"/>
        <v/>
      </c>
      <c r="B5842" s="18" t="str">
        <f t="shared" si="183"/>
        <v/>
      </c>
    </row>
    <row r="5843" spans="1:2" x14ac:dyDescent="0.25">
      <c r="A5843" s="15" t="str">
        <f t="shared" si="182"/>
        <v/>
      </c>
      <c r="B5843" s="18" t="str">
        <f t="shared" si="183"/>
        <v/>
      </c>
    </row>
    <row r="5844" spans="1:2" x14ac:dyDescent="0.25">
      <c r="A5844" s="15" t="str">
        <f t="shared" si="182"/>
        <v/>
      </c>
      <c r="B5844" s="18" t="str">
        <f t="shared" si="183"/>
        <v/>
      </c>
    </row>
    <row r="5845" spans="1:2" x14ac:dyDescent="0.25">
      <c r="A5845" s="15" t="str">
        <f t="shared" si="182"/>
        <v/>
      </c>
      <c r="B5845" s="18" t="str">
        <f t="shared" si="183"/>
        <v/>
      </c>
    </row>
    <row r="5846" spans="1:2" x14ac:dyDescent="0.25">
      <c r="A5846" s="15" t="str">
        <f t="shared" si="182"/>
        <v/>
      </c>
      <c r="B5846" s="18" t="str">
        <f t="shared" si="183"/>
        <v/>
      </c>
    </row>
    <row r="5847" spans="1:2" x14ac:dyDescent="0.25">
      <c r="A5847" s="15" t="str">
        <f t="shared" si="182"/>
        <v/>
      </c>
      <c r="B5847" s="18" t="str">
        <f t="shared" si="183"/>
        <v/>
      </c>
    </row>
    <row r="5848" spans="1:2" x14ac:dyDescent="0.25">
      <c r="A5848" s="15" t="str">
        <f t="shared" si="182"/>
        <v/>
      </c>
      <c r="B5848" s="18" t="str">
        <f t="shared" si="183"/>
        <v/>
      </c>
    </row>
    <row r="5849" spans="1:2" x14ac:dyDescent="0.25">
      <c r="A5849" s="15" t="str">
        <f t="shared" si="182"/>
        <v/>
      </c>
      <c r="B5849" s="18" t="str">
        <f t="shared" si="183"/>
        <v/>
      </c>
    </row>
    <row r="5850" spans="1:2" x14ac:dyDescent="0.25">
      <c r="A5850" s="15" t="str">
        <f t="shared" si="182"/>
        <v/>
      </c>
      <c r="B5850" s="18" t="str">
        <f t="shared" si="183"/>
        <v/>
      </c>
    </row>
    <row r="5851" spans="1:2" x14ac:dyDescent="0.25">
      <c r="A5851" s="15" t="str">
        <f t="shared" si="182"/>
        <v/>
      </c>
      <c r="B5851" s="18" t="str">
        <f t="shared" si="183"/>
        <v/>
      </c>
    </row>
    <row r="5852" spans="1:2" x14ac:dyDescent="0.25">
      <c r="A5852" s="15" t="str">
        <f t="shared" si="182"/>
        <v/>
      </c>
      <c r="B5852" s="18" t="str">
        <f t="shared" si="183"/>
        <v/>
      </c>
    </row>
    <row r="5853" spans="1:2" x14ac:dyDescent="0.25">
      <c r="A5853" s="15" t="str">
        <f t="shared" si="182"/>
        <v/>
      </c>
      <c r="B5853" s="18" t="str">
        <f t="shared" si="183"/>
        <v/>
      </c>
    </row>
    <row r="5854" spans="1:2" x14ac:dyDescent="0.25">
      <c r="A5854" s="15" t="str">
        <f t="shared" si="182"/>
        <v/>
      </c>
      <c r="B5854" s="18" t="str">
        <f t="shared" si="183"/>
        <v/>
      </c>
    </row>
    <row r="5855" spans="1:2" x14ac:dyDescent="0.25">
      <c r="A5855" s="15" t="str">
        <f t="shared" si="182"/>
        <v/>
      </c>
      <c r="B5855" s="18" t="str">
        <f t="shared" si="183"/>
        <v/>
      </c>
    </row>
    <row r="5856" spans="1:2" x14ac:dyDescent="0.25">
      <c r="A5856" s="15" t="str">
        <f t="shared" si="182"/>
        <v/>
      </c>
      <c r="B5856" s="18" t="str">
        <f t="shared" si="183"/>
        <v/>
      </c>
    </row>
    <row r="5857" spans="1:2" x14ac:dyDescent="0.25">
      <c r="A5857" s="15" t="str">
        <f t="shared" si="182"/>
        <v/>
      </c>
      <c r="B5857" s="18" t="str">
        <f t="shared" si="183"/>
        <v/>
      </c>
    </row>
    <row r="5858" spans="1:2" x14ac:dyDescent="0.25">
      <c r="A5858" s="15" t="str">
        <f t="shared" si="182"/>
        <v/>
      </c>
      <c r="B5858" s="18" t="str">
        <f t="shared" si="183"/>
        <v/>
      </c>
    </row>
    <row r="5859" spans="1:2" x14ac:dyDescent="0.25">
      <c r="A5859" s="15" t="str">
        <f t="shared" si="182"/>
        <v/>
      </c>
      <c r="B5859" s="18" t="str">
        <f t="shared" si="183"/>
        <v/>
      </c>
    </row>
    <row r="5860" spans="1:2" x14ac:dyDescent="0.25">
      <c r="A5860" s="15" t="str">
        <f t="shared" si="182"/>
        <v/>
      </c>
      <c r="B5860" s="18" t="str">
        <f t="shared" si="183"/>
        <v/>
      </c>
    </row>
    <row r="5861" spans="1:2" x14ac:dyDescent="0.25">
      <c r="A5861" s="15" t="str">
        <f t="shared" si="182"/>
        <v/>
      </c>
      <c r="B5861" s="18" t="str">
        <f t="shared" si="183"/>
        <v/>
      </c>
    </row>
    <row r="5862" spans="1:2" x14ac:dyDescent="0.25">
      <c r="A5862" s="15" t="str">
        <f t="shared" si="182"/>
        <v/>
      </c>
      <c r="B5862" s="18" t="str">
        <f t="shared" si="183"/>
        <v/>
      </c>
    </row>
    <row r="5863" spans="1:2" x14ac:dyDescent="0.25">
      <c r="A5863" s="15" t="str">
        <f t="shared" si="182"/>
        <v/>
      </c>
      <c r="B5863" s="18" t="str">
        <f t="shared" si="183"/>
        <v/>
      </c>
    </row>
    <row r="5864" spans="1:2" x14ac:dyDescent="0.25">
      <c r="A5864" s="15" t="str">
        <f t="shared" si="182"/>
        <v/>
      </c>
      <c r="B5864" s="18" t="str">
        <f t="shared" si="183"/>
        <v/>
      </c>
    </row>
    <row r="5865" spans="1:2" x14ac:dyDescent="0.25">
      <c r="A5865" s="15" t="str">
        <f t="shared" si="182"/>
        <v/>
      </c>
      <c r="B5865" s="18" t="str">
        <f t="shared" si="183"/>
        <v/>
      </c>
    </row>
    <row r="5866" spans="1:2" x14ac:dyDescent="0.25">
      <c r="A5866" s="15" t="str">
        <f t="shared" si="182"/>
        <v/>
      </c>
      <c r="B5866" s="18" t="str">
        <f t="shared" si="183"/>
        <v/>
      </c>
    </row>
    <row r="5867" spans="1:2" x14ac:dyDescent="0.25">
      <c r="A5867" s="15" t="str">
        <f t="shared" si="182"/>
        <v/>
      </c>
      <c r="B5867" s="18" t="str">
        <f t="shared" si="183"/>
        <v/>
      </c>
    </row>
    <row r="5868" spans="1:2" x14ac:dyDescent="0.25">
      <c r="A5868" s="15" t="str">
        <f t="shared" si="182"/>
        <v/>
      </c>
      <c r="B5868" s="18" t="str">
        <f t="shared" si="183"/>
        <v/>
      </c>
    </row>
    <row r="5869" spans="1:2" x14ac:dyDescent="0.25">
      <c r="A5869" s="15" t="str">
        <f t="shared" si="182"/>
        <v/>
      </c>
      <c r="B5869" s="18" t="str">
        <f t="shared" si="183"/>
        <v/>
      </c>
    </row>
    <row r="5870" spans="1:2" x14ac:dyDescent="0.25">
      <c r="A5870" s="15" t="str">
        <f t="shared" si="182"/>
        <v/>
      </c>
      <c r="B5870" s="18" t="str">
        <f t="shared" si="183"/>
        <v/>
      </c>
    </row>
    <row r="5871" spans="1:2" x14ac:dyDescent="0.25">
      <c r="A5871" s="15" t="str">
        <f t="shared" si="182"/>
        <v/>
      </c>
      <c r="B5871" s="18" t="str">
        <f t="shared" si="183"/>
        <v/>
      </c>
    </row>
    <row r="5872" spans="1:2" x14ac:dyDescent="0.25">
      <c r="A5872" s="15" t="str">
        <f t="shared" si="182"/>
        <v/>
      </c>
      <c r="B5872" s="18" t="str">
        <f t="shared" si="183"/>
        <v/>
      </c>
    </row>
    <row r="5873" spans="1:2" x14ac:dyDescent="0.25">
      <c r="A5873" s="15" t="str">
        <f t="shared" si="182"/>
        <v/>
      </c>
      <c r="B5873" s="18" t="str">
        <f t="shared" si="183"/>
        <v/>
      </c>
    </row>
    <row r="5874" spans="1:2" x14ac:dyDescent="0.25">
      <c r="A5874" s="15" t="str">
        <f t="shared" si="182"/>
        <v/>
      </c>
      <c r="B5874" s="18" t="str">
        <f t="shared" si="183"/>
        <v/>
      </c>
    </row>
    <row r="5875" spans="1:2" x14ac:dyDescent="0.25">
      <c r="A5875" s="15" t="str">
        <f t="shared" si="182"/>
        <v/>
      </c>
      <c r="B5875" s="18" t="str">
        <f t="shared" si="183"/>
        <v/>
      </c>
    </row>
    <row r="5876" spans="1:2" x14ac:dyDescent="0.25">
      <c r="A5876" s="15" t="str">
        <f t="shared" si="182"/>
        <v/>
      </c>
      <c r="B5876" s="18" t="str">
        <f t="shared" si="183"/>
        <v/>
      </c>
    </row>
    <row r="5877" spans="1:2" x14ac:dyDescent="0.25">
      <c r="A5877" s="15" t="str">
        <f t="shared" si="182"/>
        <v/>
      </c>
      <c r="B5877" s="18" t="str">
        <f t="shared" si="183"/>
        <v/>
      </c>
    </row>
    <row r="5878" spans="1:2" x14ac:dyDescent="0.25">
      <c r="A5878" s="15" t="str">
        <f t="shared" si="182"/>
        <v/>
      </c>
      <c r="B5878" s="18" t="str">
        <f t="shared" si="183"/>
        <v/>
      </c>
    </row>
    <row r="5879" spans="1:2" x14ac:dyDescent="0.25">
      <c r="A5879" s="15" t="str">
        <f t="shared" si="182"/>
        <v/>
      </c>
      <c r="B5879" s="18" t="str">
        <f t="shared" si="183"/>
        <v/>
      </c>
    </row>
    <row r="5880" spans="1:2" x14ac:dyDescent="0.25">
      <c r="A5880" s="15" t="str">
        <f t="shared" si="182"/>
        <v/>
      </c>
      <c r="B5880" s="18" t="str">
        <f t="shared" si="183"/>
        <v/>
      </c>
    </row>
    <row r="5881" spans="1:2" x14ac:dyDescent="0.25">
      <c r="A5881" s="15" t="str">
        <f t="shared" si="182"/>
        <v/>
      </c>
      <c r="B5881" s="18" t="str">
        <f t="shared" si="183"/>
        <v/>
      </c>
    </row>
    <row r="5882" spans="1:2" x14ac:dyDescent="0.25">
      <c r="A5882" s="15" t="str">
        <f t="shared" si="182"/>
        <v/>
      </c>
      <c r="B5882" s="18" t="str">
        <f t="shared" si="183"/>
        <v/>
      </c>
    </row>
    <row r="5883" spans="1:2" x14ac:dyDescent="0.25">
      <c r="A5883" s="15" t="str">
        <f t="shared" si="182"/>
        <v/>
      </c>
      <c r="B5883" s="18" t="str">
        <f t="shared" si="183"/>
        <v/>
      </c>
    </row>
    <row r="5884" spans="1:2" x14ac:dyDescent="0.25">
      <c r="A5884" s="15" t="str">
        <f t="shared" si="182"/>
        <v/>
      </c>
      <c r="B5884" s="18" t="str">
        <f t="shared" si="183"/>
        <v/>
      </c>
    </row>
    <row r="5885" spans="1:2" x14ac:dyDescent="0.25">
      <c r="A5885" s="15" t="str">
        <f t="shared" si="182"/>
        <v/>
      </c>
      <c r="B5885" s="18" t="str">
        <f t="shared" si="183"/>
        <v/>
      </c>
    </row>
    <row r="5886" spans="1:2" x14ac:dyDescent="0.25">
      <c r="A5886" s="15" t="str">
        <f t="shared" si="182"/>
        <v/>
      </c>
      <c r="B5886" s="18" t="str">
        <f t="shared" si="183"/>
        <v/>
      </c>
    </row>
    <row r="5887" spans="1:2" x14ac:dyDescent="0.25">
      <c r="A5887" s="15" t="str">
        <f t="shared" si="182"/>
        <v/>
      </c>
      <c r="B5887" s="18" t="str">
        <f t="shared" si="183"/>
        <v/>
      </c>
    </row>
    <row r="5888" spans="1:2" x14ac:dyDescent="0.25">
      <c r="A5888" s="15" t="str">
        <f t="shared" si="182"/>
        <v/>
      </c>
      <c r="B5888" s="18" t="str">
        <f t="shared" si="183"/>
        <v/>
      </c>
    </row>
    <row r="5889" spans="1:2" x14ac:dyDescent="0.25">
      <c r="A5889" s="15" t="str">
        <f t="shared" si="182"/>
        <v/>
      </c>
      <c r="B5889" s="18" t="str">
        <f t="shared" si="183"/>
        <v/>
      </c>
    </row>
    <row r="5890" spans="1:2" x14ac:dyDescent="0.25">
      <c r="A5890" s="15" t="str">
        <f t="shared" ref="A5890:A5953" si="184">B5890&amp;C5890</f>
        <v/>
      </c>
      <c r="B5890" s="18" t="str">
        <f t="shared" si="183"/>
        <v/>
      </c>
    </row>
    <row r="5891" spans="1:2" x14ac:dyDescent="0.25">
      <c r="A5891" s="15" t="str">
        <f t="shared" si="184"/>
        <v/>
      </c>
      <c r="B5891" s="18" t="str">
        <f t="shared" ref="B5891:B5954" si="185">IF(C5891="","",B5890)</f>
        <v/>
      </c>
    </row>
    <row r="5892" spans="1:2" x14ac:dyDescent="0.25">
      <c r="A5892" s="15" t="str">
        <f t="shared" si="184"/>
        <v/>
      </c>
      <c r="B5892" s="18" t="str">
        <f t="shared" si="185"/>
        <v/>
      </c>
    </row>
    <row r="5893" spans="1:2" x14ac:dyDescent="0.25">
      <c r="A5893" s="15" t="str">
        <f t="shared" si="184"/>
        <v/>
      </c>
      <c r="B5893" s="18" t="str">
        <f t="shared" si="185"/>
        <v/>
      </c>
    </row>
    <row r="5894" spans="1:2" x14ac:dyDescent="0.25">
      <c r="A5894" s="15" t="str">
        <f t="shared" si="184"/>
        <v/>
      </c>
      <c r="B5894" s="18" t="str">
        <f t="shared" si="185"/>
        <v/>
      </c>
    </row>
    <row r="5895" spans="1:2" x14ac:dyDescent="0.25">
      <c r="A5895" s="15" t="str">
        <f t="shared" si="184"/>
        <v/>
      </c>
      <c r="B5895" s="18" t="str">
        <f t="shared" si="185"/>
        <v/>
      </c>
    </row>
    <row r="5896" spans="1:2" x14ac:dyDescent="0.25">
      <c r="A5896" s="15" t="str">
        <f t="shared" si="184"/>
        <v/>
      </c>
      <c r="B5896" s="18" t="str">
        <f t="shared" si="185"/>
        <v/>
      </c>
    </row>
    <row r="5897" spans="1:2" x14ac:dyDescent="0.25">
      <c r="A5897" s="15" t="str">
        <f t="shared" si="184"/>
        <v/>
      </c>
      <c r="B5897" s="18" t="str">
        <f t="shared" si="185"/>
        <v/>
      </c>
    </row>
    <row r="5898" spans="1:2" x14ac:dyDescent="0.25">
      <c r="A5898" s="15" t="str">
        <f t="shared" si="184"/>
        <v/>
      </c>
      <c r="B5898" s="18" t="str">
        <f t="shared" si="185"/>
        <v/>
      </c>
    </row>
    <row r="5899" spans="1:2" x14ac:dyDescent="0.25">
      <c r="A5899" s="15" t="str">
        <f t="shared" si="184"/>
        <v/>
      </c>
      <c r="B5899" s="18" t="str">
        <f t="shared" si="185"/>
        <v/>
      </c>
    </row>
    <row r="5900" spans="1:2" x14ac:dyDescent="0.25">
      <c r="A5900" s="15" t="str">
        <f t="shared" si="184"/>
        <v/>
      </c>
      <c r="B5900" s="18" t="str">
        <f t="shared" si="185"/>
        <v/>
      </c>
    </row>
    <row r="5901" spans="1:2" x14ac:dyDescent="0.25">
      <c r="A5901" s="15" t="str">
        <f t="shared" si="184"/>
        <v/>
      </c>
      <c r="B5901" s="18" t="str">
        <f t="shared" si="185"/>
        <v/>
      </c>
    </row>
    <row r="5902" spans="1:2" x14ac:dyDescent="0.25">
      <c r="A5902" s="15" t="str">
        <f t="shared" si="184"/>
        <v/>
      </c>
      <c r="B5902" s="18" t="str">
        <f t="shared" si="185"/>
        <v/>
      </c>
    </row>
    <row r="5903" spans="1:2" x14ac:dyDescent="0.25">
      <c r="A5903" s="15" t="str">
        <f t="shared" si="184"/>
        <v/>
      </c>
      <c r="B5903" s="18" t="str">
        <f t="shared" si="185"/>
        <v/>
      </c>
    </row>
    <row r="5904" spans="1:2" x14ac:dyDescent="0.25">
      <c r="A5904" s="15" t="str">
        <f t="shared" si="184"/>
        <v/>
      </c>
      <c r="B5904" s="18" t="str">
        <f t="shared" si="185"/>
        <v/>
      </c>
    </row>
    <row r="5905" spans="1:2" x14ac:dyDescent="0.25">
      <c r="A5905" s="15" t="str">
        <f t="shared" si="184"/>
        <v/>
      </c>
      <c r="B5905" s="18" t="str">
        <f t="shared" si="185"/>
        <v/>
      </c>
    </row>
    <row r="5906" spans="1:2" x14ac:dyDescent="0.25">
      <c r="A5906" s="15" t="str">
        <f t="shared" si="184"/>
        <v/>
      </c>
      <c r="B5906" s="18" t="str">
        <f t="shared" si="185"/>
        <v/>
      </c>
    </row>
    <row r="5907" spans="1:2" x14ac:dyDescent="0.25">
      <c r="A5907" s="15" t="str">
        <f t="shared" si="184"/>
        <v/>
      </c>
      <c r="B5907" s="18" t="str">
        <f t="shared" si="185"/>
        <v/>
      </c>
    </row>
    <row r="5908" spans="1:2" x14ac:dyDescent="0.25">
      <c r="A5908" s="15" t="str">
        <f t="shared" si="184"/>
        <v/>
      </c>
      <c r="B5908" s="18" t="str">
        <f t="shared" si="185"/>
        <v/>
      </c>
    </row>
    <row r="5909" spans="1:2" x14ac:dyDescent="0.25">
      <c r="A5909" s="15" t="str">
        <f t="shared" si="184"/>
        <v/>
      </c>
      <c r="B5909" s="18" t="str">
        <f t="shared" si="185"/>
        <v/>
      </c>
    </row>
    <row r="5910" spans="1:2" x14ac:dyDescent="0.25">
      <c r="A5910" s="15" t="str">
        <f t="shared" si="184"/>
        <v/>
      </c>
      <c r="B5910" s="18" t="str">
        <f t="shared" si="185"/>
        <v/>
      </c>
    </row>
    <row r="5911" spans="1:2" x14ac:dyDescent="0.25">
      <c r="A5911" s="15" t="str">
        <f t="shared" si="184"/>
        <v/>
      </c>
      <c r="B5911" s="18" t="str">
        <f t="shared" si="185"/>
        <v/>
      </c>
    </row>
    <row r="5912" spans="1:2" x14ac:dyDescent="0.25">
      <c r="A5912" s="15" t="str">
        <f t="shared" si="184"/>
        <v/>
      </c>
      <c r="B5912" s="18" t="str">
        <f t="shared" si="185"/>
        <v/>
      </c>
    </row>
    <row r="5913" spans="1:2" x14ac:dyDescent="0.25">
      <c r="A5913" s="15" t="str">
        <f t="shared" si="184"/>
        <v/>
      </c>
      <c r="B5913" s="18" t="str">
        <f t="shared" si="185"/>
        <v/>
      </c>
    </row>
    <row r="5914" spans="1:2" x14ac:dyDescent="0.25">
      <c r="A5914" s="15" t="str">
        <f t="shared" si="184"/>
        <v/>
      </c>
      <c r="B5914" s="18" t="str">
        <f t="shared" si="185"/>
        <v/>
      </c>
    </row>
    <row r="5915" spans="1:2" x14ac:dyDescent="0.25">
      <c r="A5915" s="15" t="str">
        <f t="shared" si="184"/>
        <v/>
      </c>
      <c r="B5915" s="18" t="str">
        <f t="shared" si="185"/>
        <v/>
      </c>
    </row>
    <row r="5916" spans="1:2" x14ac:dyDescent="0.25">
      <c r="A5916" s="15" t="str">
        <f t="shared" si="184"/>
        <v/>
      </c>
      <c r="B5916" s="18" t="str">
        <f t="shared" si="185"/>
        <v/>
      </c>
    </row>
    <row r="5917" spans="1:2" x14ac:dyDescent="0.25">
      <c r="A5917" s="15" t="str">
        <f t="shared" si="184"/>
        <v/>
      </c>
      <c r="B5917" s="18" t="str">
        <f t="shared" si="185"/>
        <v/>
      </c>
    </row>
    <row r="5918" spans="1:2" x14ac:dyDescent="0.25">
      <c r="A5918" s="15" t="str">
        <f t="shared" si="184"/>
        <v/>
      </c>
      <c r="B5918" s="18" t="str">
        <f t="shared" si="185"/>
        <v/>
      </c>
    </row>
    <row r="5919" spans="1:2" x14ac:dyDescent="0.25">
      <c r="A5919" s="15" t="str">
        <f t="shared" si="184"/>
        <v/>
      </c>
      <c r="B5919" s="18" t="str">
        <f t="shared" si="185"/>
        <v/>
      </c>
    </row>
    <row r="5920" spans="1:2" x14ac:dyDescent="0.25">
      <c r="A5920" s="15" t="str">
        <f t="shared" si="184"/>
        <v/>
      </c>
      <c r="B5920" s="18" t="str">
        <f t="shared" si="185"/>
        <v/>
      </c>
    </row>
    <row r="5921" spans="1:2" x14ac:dyDescent="0.25">
      <c r="A5921" s="15" t="str">
        <f t="shared" si="184"/>
        <v/>
      </c>
      <c r="B5921" s="18" t="str">
        <f t="shared" si="185"/>
        <v/>
      </c>
    </row>
    <row r="5922" spans="1:2" x14ac:dyDescent="0.25">
      <c r="A5922" s="15" t="str">
        <f t="shared" si="184"/>
        <v/>
      </c>
      <c r="B5922" s="18" t="str">
        <f t="shared" si="185"/>
        <v/>
      </c>
    </row>
    <row r="5923" spans="1:2" x14ac:dyDescent="0.25">
      <c r="A5923" s="15" t="str">
        <f t="shared" si="184"/>
        <v/>
      </c>
      <c r="B5923" s="18" t="str">
        <f t="shared" si="185"/>
        <v/>
      </c>
    </row>
    <row r="5924" spans="1:2" x14ac:dyDescent="0.25">
      <c r="A5924" s="15" t="str">
        <f t="shared" si="184"/>
        <v/>
      </c>
      <c r="B5924" s="18" t="str">
        <f t="shared" si="185"/>
        <v/>
      </c>
    </row>
    <row r="5925" spans="1:2" x14ac:dyDescent="0.25">
      <c r="A5925" s="15" t="str">
        <f t="shared" si="184"/>
        <v/>
      </c>
      <c r="B5925" s="18" t="str">
        <f t="shared" si="185"/>
        <v/>
      </c>
    </row>
    <row r="5926" spans="1:2" x14ac:dyDescent="0.25">
      <c r="A5926" s="15" t="str">
        <f t="shared" si="184"/>
        <v/>
      </c>
      <c r="B5926" s="18" t="str">
        <f t="shared" si="185"/>
        <v/>
      </c>
    </row>
    <row r="5927" spans="1:2" x14ac:dyDescent="0.25">
      <c r="A5927" s="15" t="str">
        <f t="shared" si="184"/>
        <v/>
      </c>
      <c r="B5927" s="18" t="str">
        <f t="shared" si="185"/>
        <v/>
      </c>
    </row>
    <row r="5928" spans="1:2" x14ac:dyDescent="0.25">
      <c r="A5928" s="15" t="str">
        <f t="shared" si="184"/>
        <v/>
      </c>
      <c r="B5928" s="18" t="str">
        <f t="shared" si="185"/>
        <v/>
      </c>
    </row>
    <row r="5929" spans="1:2" x14ac:dyDescent="0.25">
      <c r="A5929" s="15" t="str">
        <f t="shared" si="184"/>
        <v/>
      </c>
      <c r="B5929" s="18" t="str">
        <f t="shared" si="185"/>
        <v/>
      </c>
    </row>
    <row r="5930" spans="1:2" x14ac:dyDescent="0.25">
      <c r="A5930" s="15" t="str">
        <f t="shared" si="184"/>
        <v/>
      </c>
      <c r="B5930" s="18" t="str">
        <f t="shared" si="185"/>
        <v/>
      </c>
    </row>
    <row r="5931" spans="1:2" x14ac:dyDescent="0.25">
      <c r="A5931" s="15" t="str">
        <f t="shared" si="184"/>
        <v/>
      </c>
      <c r="B5931" s="18" t="str">
        <f t="shared" si="185"/>
        <v/>
      </c>
    </row>
    <row r="5932" spans="1:2" x14ac:dyDescent="0.25">
      <c r="A5932" s="15" t="str">
        <f t="shared" si="184"/>
        <v/>
      </c>
      <c r="B5932" s="18" t="str">
        <f t="shared" si="185"/>
        <v/>
      </c>
    </row>
    <row r="5933" spans="1:2" x14ac:dyDescent="0.25">
      <c r="A5933" s="15" t="str">
        <f t="shared" si="184"/>
        <v/>
      </c>
      <c r="B5933" s="18" t="str">
        <f t="shared" si="185"/>
        <v/>
      </c>
    </row>
    <row r="5934" spans="1:2" x14ac:dyDescent="0.25">
      <c r="A5934" s="15" t="str">
        <f t="shared" si="184"/>
        <v/>
      </c>
      <c r="B5934" s="18" t="str">
        <f t="shared" si="185"/>
        <v/>
      </c>
    </row>
    <row r="5935" spans="1:2" x14ac:dyDescent="0.25">
      <c r="A5935" s="15" t="str">
        <f t="shared" si="184"/>
        <v/>
      </c>
      <c r="B5935" s="18" t="str">
        <f t="shared" si="185"/>
        <v/>
      </c>
    </row>
    <row r="5936" spans="1:2" x14ac:dyDescent="0.25">
      <c r="A5936" s="15" t="str">
        <f t="shared" si="184"/>
        <v/>
      </c>
      <c r="B5936" s="18" t="str">
        <f t="shared" si="185"/>
        <v/>
      </c>
    </row>
    <row r="5937" spans="1:2" x14ac:dyDescent="0.25">
      <c r="A5937" s="15" t="str">
        <f t="shared" si="184"/>
        <v/>
      </c>
      <c r="B5937" s="18" t="str">
        <f t="shared" si="185"/>
        <v/>
      </c>
    </row>
    <row r="5938" spans="1:2" x14ac:dyDescent="0.25">
      <c r="A5938" s="15" t="str">
        <f t="shared" si="184"/>
        <v/>
      </c>
      <c r="B5938" s="18" t="str">
        <f t="shared" si="185"/>
        <v/>
      </c>
    </row>
    <row r="5939" spans="1:2" x14ac:dyDescent="0.25">
      <c r="A5939" s="15" t="str">
        <f t="shared" si="184"/>
        <v/>
      </c>
      <c r="B5939" s="18" t="str">
        <f t="shared" si="185"/>
        <v/>
      </c>
    </row>
    <row r="5940" spans="1:2" x14ac:dyDescent="0.25">
      <c r="A5940" s="15" t="str">
        <f t="shared" si="184"/>
        <v/>
      </c>
      <c r="B5940" s="18" t="str">
        <f t="shared" si="185"/>
        <v/>
      </c>
    </row>
    <row r="5941" spans="1:2" x14ac:dyDescent="0.25">
      <c r="A5941" s="15" t="str">
        <f t="shared" si="184"/>
        <v/>
      </c>
      <c r="B5941" s="18" t="str">
        <f t="shared" si="185"/>
        <v/>
      </c>
    </row>
    <row r="5942" spans="1:2" x14ac:dyDescent="0.25">
      <c r="A5942" s="15" t="str">
        <f t="shared" si="184"/>
        <v/>
      </c>
      <c r="B5942" s="18" t="str">
        <f t="shared" si="185"/>
        <v/>
      </c>
    </row>
    <row r="5943" spans="1:2" x14ac:dyDescent="0.25">
      <c r="A5943" s="15" t="str">
        <f t="shared" si="184"/>
        <v/>
      </c>
      <c r="B5943" s="18" t="str">
        <f t="shared" si="185"/>
        <v/>
      </c>
    </row>
    <row r="5944" spans="1:2" x14ac:dyDescent="0.25">
      <c r="A5944" s="15" t="str">
        <f t="shared" si="184"/>
        <v/>
      </c>
      <c r="B5944" s="18" t="str">
        <f t="shared" si="185"/>
        <v/>
      </c>
    </row>
    <row r="5945" spans="1:2" x14ac:dyDescent="0.25">
      <c r="A5945" s="15" t="str">
        <f t="shared" si="184"/>
        <v/>
      </c>
      <c r="B5945" s="18" t="str">
        <f t="shared" si="185"/>
        <v/>
      </c>
    </row>
    <row r="5946" spans="1:2" x14ac:dyDescent="0.25">
      <c r="A5946" s="15" t="str">
        <f t="shared" si="184"/>
        <v/>
      </c>
      <c r="B5946" s="18" t="str">
        <f t="shared" si="185"/>
        <v/>
      </c>
    </row>
    <row r="5947" spans="1:2" x14ac:dyDescent="0.25">
      <c r="A5947" s="15" t="str">
        <f t="shared" si="184"/>
        <v/>
      </c>
      <c r="B5947" s="18" t="str">
        <f t="shared" si="185"/>
        <v/>
      </c>
    </row>
    <row r="5948" spans="1:2" x14ac:dyDescent="0.25">
      <c r="A5948" s="15" t="str">
        <f t="shared" si="184"/>
        <v/>
      </c>
      <c r="B5948" s="18" t="str">
        <f t="shared" si="185"/>
        <v/>
      </c>
    </row>
    <row r="5949" spans="1:2" x14ac:dyDescent="0.25">
      <c r="A5949" s="15" t="str">
        <f t="shared" si="184"/>
        <v/>
      </c>
      <c r="B5949" s="18" t="str">
        <f t="shared" si="185"/>
        <v/>
      </c>
    </row>
    <row r="5950" spans="1:2" x14ac:dyDescent="0.25">
      <c r="A5950" s="15" t="str">
        <f t="shared" si="184"/>
        <v/>
      </c>
      <c r="B5950" s="18" t="str">
        <f t="shared" si="185"/>
        <v/>
      </c>
    </row>
    <row r="5951" spans="1:2" x14ac:dyDescent="0.25">
      <c r="A5951" s="15" t="str">
        <f t="shared" si="184"/>
        <v/>
      </c>
      <c r="B5951" s="18" t="str">
        <f t="shared" si="185"/>
        <v/>
      </c>
    </row>
    <row r="5952" spans="1:2" x14ac:dyDescent="0.25">
      <c r="A5952" s="15" t="str">
        <f t="shared" si="184"/>
        <v/>
      </c>
      <c r="B5952" s="18" t="str">
        <f t="shared" si="185"/>
        <v/>
      </c>
    </row>
    <row r="5953" spans="1:2" x14ac:dyDescent="0.25">
      <c r="A5953" s="15" t="str">
        <f t="shared" si="184"/>
        <v/>
      </c>
      <c r="B5953" s="18" t="str">
        <f t="shared" si="185"/>
        <v/>
      </c>
    </row>
    <row r="5954" spans="1:2" x14ac:dyDescent="0.25">
      <c r="A5954" s="15" t="str">
        <f t="shared" ref="A5954:A6017" si="186">B5954&amp;C5954</f>
        <v/>
      </c>
      <c r="B5954" s="18" t="str">
        <f t="shared" si="185"/>
        <v/>
      </c>
    </row>
    <row r="5955" spans="1:2" x14ac:dyDescent="0.25">
      <c r="A5955" s="15" t="str">
        <f t="shared" si="186"/>
        <v/>
      </c>
      <c r="B5955" s="18" t="str">
        <f t="shared" ref="B5955:B6018" si="187">IF(C5955="","",B5954)</f>
        <v/>
      </c>
    </row>
    <row r="5956" spans="1:2" x14ac:dyDescent="0.25">
      <c r="A5956" s="15" t="str">
        <f t="shared" si="186"/>
        <v/>
      </c>
      <c r="B5956" s="18" t="str">
        <f t="shared" si="187"/>
        <v/>
      </c>
    </row>
    <row r="5957" spans="1:2" x14ac:dyDescent="0.25">
      <c r="A5957" s="15" t="str">
        <f t="shared" si="186"/>
        <v/>
      </c>
      <c r="B5957" s="18" t="str">
        <f t="shared" si="187"/>
        <v/>
      </c>
    </row>
    <row r="5958" spans="1:2" x14ac:dyDescent="0.25">
      <c r="A5958" s="15" t="str">
        <f t="shared" si="186"/>
        <v/>
      </c>
      <c r="B5958" s="18" t="str">
        <f t="shared" si="187"/>
        <v/>
      </c>
    </row>
    <row r="5959" spans="1:2" x14ac:dyDescent="0.25">
      <c r="A5959" s="15" t="str">
        <f t="shared" si="186"/>
        <v/>
      </c>
      <c r="B5959" s="18" t="str">
        <f t="shared" si="187"/>
        <v/>
      </c>
    </row>
    <row r="5960" spans="1:2" x14ac:dyDescent="0.25">
      <c r="A5960" s="15" t="str">
        <f t="shared" si="186"/>
        <v/>
      </c>
      <c r="B5960" s="18" t="str">
        <f t="shared" si="187"/>
        <v/>
      </c>
    </row>
    <row r="5961" spans="1:2" x14ac:dyDescent="0.25">
      <c r="A5961" s="15" t="str">
        <f t="shared" si="186"/>
        <v/>
      </c>
      <c r="B5961" s="18" t="str">
        <f t="shared" si="187"/>
        <v/>
      </c>
    </row>
    <row r="5962" spans="1:2" x14ac:dyDescent="0.25">
      <c r="A5962" s="15" t="str">
        <f t="shared" si="186"/>
        <v/>
      </c>
      <c r="B5962" s="18" t="str">
        <f t="shared" si="187"/>
        <v/>
      </c>
    </row>
    <row r="5963" spans="1:2" x14ac:dyDescent="0.25">
      <c r="A5963" s="15" t="str">
        <f t="shared" si="186"/>
        <v/>
      </c>
      <c r="B5963" s="18" t="str">
        <f t="shared" si="187"/>
        <v/>
      </c>
    </row>
    <row r="5964" spans="1:2" x14ac:dyDescent="0.25">
      <c r="A5964" s="15" t="str">
        <f t="shared" si="186"/>
        <v/>
      </c>
      <c r="B5964" s="18" t="str">
        <f t="shared" si="187"/>
        <v/>
      </c>
    </row>
    <row r="5965" spans="1:2" x14ac:dyDescent="0.25">
      <c r="A5965" s="15" t="str">
        <f t="shared" si="186"/>
        <v/>
      </c>
      <c r="B5965" s="18" t="str">
        <f t="shared" si="187"/>
        <v/>
      </c>
    </row>
    <row r="5966" spans="1:2" x14ac:dyDescent="0.25">
      <c r="A5966" s="15" t="str">
        <f t="shared" si="186"/>
        <v/>
      </c>
      <c r="B5966" s="18" t="str">
        <f t="shared" si="187"/>
        <v/>
      </c>
    </row>
    <row r="5967" spans="1:2" x14ac:dyDescent="0.25">
      <c r="A5967" s="15" t="str">
        <f t="shared" si="186"/>
        <v/>
      </c>
      <c r="B5967" s="18" t="str">
        <f t="shared" si="187"/>
        <v/>
      </c>
    </row>
    <row r="5968" spans="1:2" x14ac:dyDescent="0.25">
      <c r="A5968" s="15" t="str">
        <f t="shared" si="186"/>
        <v/>
      </c>
      <c r="B5968" s="18" t="str">
        <f t="shared" si="187"/>
        <v/>
      </c>
    </row>
    <row r="5969" spans="1:2" x14ac:dyDescent="0.25">
      <c r="A5969" s="15" t="str">
        <f t="shared" si="186"/>
        <v/>
      </c>
      <c r="B5969" s="18" t="str">
        <f t="shared" si="187"/>
        <v/>
      </c>
    </row>
    <row r="5970" spans="1:2" x14ac:dyDescent="0.25">
      <c r="A5970" s="15" t="str">
        <f t="shared" si="186"/>
        <v/>
      </c>
      <c r="B5970" s="18" t="str">
        <f t="shared" si="187"/>
        <v/>
      </c>
    </row>
    <row r="5971" spans="1:2" x14ac:dyDescent="0.25">
      <c r="A5971" s="15" t="str">
        <f t="shared" si="186"/>
        <v/>
      </c>
      <c r="B5971" s="18" t="str">
        <f t="shared" si="187"/>
        <v/>
      </c>
    </row>
    <row r="5972" spans="1:2" x14ac:dyDescent="0.25">
      <c r="A5972" s="15" t="str">
        <f t="shared" si="186"/>
        <v/>
      </c>
      <c r="B5972" s="18" t="str">
        <f t="shared" si="187"/>
        <v/>
      </c>
    </row>
    <row r="5973" spans="1:2" x14ac:dyDescent="0.25">
      <c r="A5973" s="15" t="str">
        <f t="shared" si="186"/>
        <v/>
      </c>
      <c r="B5973" s="18" t="str">
        <f t="shared" si="187"/>
        <v/>
      </c>
    </row>
    <row r="5974" spans="1:2" x14ac:dyDescent="0.25">
      <c r="A5974" s="15" t="str">
        <f t="shared" si="186"/>
        <v/>
      </c>
      <c r="B5974" s="18" t="str">
        <f t="shared" si="187"/>
        <v/>
      </c>
    </row>
    <row r="5975" spans="1:2" x14ac:dyDescent="0.25">
      <c r="A5975" s="15" t="str">
        <f t="shared" si="186"/>
        <v/>
      </c>
      <c r="B5975" s="18" t="str">
        <f t="shared" si="187"/>
        <v/>
      </c>
    </row>
    <row r="5976" spans="1:2" x14ac:dyDescent="0.25">
      <c r="A5976" s="15" t="str">
        <f t="shared" si="186"/>
        <v/>
      </c>
      <c r="B5976" s="18" t="str">
        <f t="shared" si="187"/>
        <v/>
      </c>
    </row>
    <row r="5977" spans="1:2" x14ac:dyDescent="0.25">
      <c r="A5977" s="15" t="str">
        <f t="shared" si="186"/>
        <v/>
      </c>
      <c r="B5977" s="18" t="str">
        <f t="shared" si="187"/>
        <v/>
      </c>
    </row>
    <row r="5978" spans="1:2" x14ac:dyDescent="0.25">
      <c r="A5978" s="15" t="str">
        <f t="shared" si="186"/>
        <v/>
      </c>
      <c r="B5978" s="18" t="str">
        <f t="shared" si="187"/>
        <v/>
      </c>
    </row>
    <row r="5979" spans="1:2" x14ac:dyDescent="0.25">
      <c r="A5979" s="15" t="str">
        <f t="shared" si="186"/>
        <v/>
      </c>
      <c r="B5979" s="18" t="str">
        <f t="shared" si="187"/>
        <v/>
      </c>
    </row>
    <row r="5980" spans="1:2" x14ac:dyDescent="0.25">
      <c r="A5980" s="15" t="str">
        <f t="shared" si="186"/>
        <v/>
      </c>
      <c r="B5980" s="18" t="str">
        <f t="shared" si="187"/>
        <v/>
      </c>
    </row>
    <row r="5981" spans="1:2" x14ac:dyDescent="0.25">
      <c r="A5981" s="15" t="str">
        <f t="shared" si="186"/>
        <v/>
      </c>
      <c r="B5981" s="18" t="str">
        <f t="shared" si="187"/>
        <v/>
      </c>
    </row>
    <row r="5982" spans="1:2" x14ac:dyDescent="0.25">
      <c r="A5982" s="15" t="str">
        <f t="shared" si="186"/>
        <v/>
      </c>
      <c r="B5982" s="18" t="str">
        <f t="shared" si="187"/>
        <v/>
      </c>
    </row>
    <row r="5983" spans="1:2" x14ac:dyDescent="0.25">
      <c r="A5983" s="15" t="str">
        <f t="shared" si="186"/>
        <v/>
      </c>
      <c r="B5983" s="18" t="str">
        <f t="shared" si="187"/>
        <v/>
      </c>
    </row>
    <row r="5984" spans="1:2" x14ac:dyDescent="0.25">
      <c r="A5984" s="15" t="str">
        <f t="shared" si="186"/>
        <v/>
      </c>
      <c r="B5984" s="18" t="str">
        <f t="shared" si="187"/>
        <v/>
      </c>
    </row>
    <row r="5985" spans="1:2" x14ac:dyDescent="0.25">
      <c r="A5985" s="15" t="str">
        <f t="shared" si="186"/>
        <v/>
      </c>
      <c r="B5985" s="18" t="str">
        <f t="shared" si="187"/>
        <v/>
      </c>
    </row>
    <row r="5986" spans="1:2" x14ac:dyDescent="0.25">
      <c r="A5986" s="15" t="str">
        <f t="shared" si="186"/>
        <v/>
      </c>
      <c r="B5986" s="18" t="str">
        <f t="shared" si="187"/>
        <v/>
      </c>
    </row>
    <row r="5987" spans="1:2" x14ac:dyDescent="0.25">
      <c r="A5987" s="15" t="str">
        <f t="shared" si="186"/>
        <v/>
      </c>
      <c r="B5987" s="18" t="str">
        <f t="shared" si="187"/>
        <v/>
      </c>
    </row>
    <row r="5988" spans="1:2" x14ac:dyDescent="0.25">
      <c r="A5988" s="15" t="str">
        <f t="shared" si="186"/>
        <v/>
      </c>
      <c r="B5988" s="18" t="str">
        <f t="shared" si="187"/>
        <v/>
      </c>
    </row>
    <row r="5989" spans="1:2" x14ac:dyDescent="0.25">
      <c r="A5989" s="15" t="str">
        <f t="shared" si="186"/>
        <v/>
      </c>
      <c r="B5989" s="18" t="str">
        <f t="shared" si="187"/>
        <v/>
      </c>
    </row>
    <row r="5990" spans="1:2" x14ac:dyDescent="0.25">
      <c r="A5990" s="15" t="str">
        <f t="shared" si="186"/>
        <v/>
      </c>
      <c r="B5990" s="18" t="str">
        <f t="shared" si="187"/>
        <v/>
      </c>
    </row>
    <row r="5991" spans="1:2" x14ac:dyDescent="0.25">
      <c r="A5991" s="15" t="str">
        <f t="shared" si="186"/>
        <v/>
      </c>
      <c r="B5991" s="18" t="str">
        <f t="shared" si="187"/>
        <v/>
      </c>
    </row>
    <row r="5992" spans="1:2" x14ac:dyDescent="0.25">
      <c r="A5992" s="15" t="str">
        <f t="shared" si="186"/>
        <v/>
      </c>
      <c r="B5992" s="18" t="str">
        <f t="shared" si="187"/>
        <v/>
      </c>
    </row>
    <row r="5993" spans="1:2" x14ac:dyDescent="0.25">
      <c r="A5993" s="15" t="str">
        <f t="shared" si="186"/>
        <v/>
      </c>
      <c r="B5993" s="18" t="str">
        <f t="shared" si="187"/>
        <v/>
      </c>
    </row>
    <row r="5994" spans="1:2" x14ac:dyDescent="0.25">
      <c r="A5994" s="15" t="str">
        <f t="shared" si="186"/>
        <v/>
      </c>
      <c r="B5994" s="18" t="str">
        <f t="shared" si="187"/>
        <v/>
      </c>
    </row>
    <row r="5995" spans="1:2" x14ac:dyDescent="0.25">
      <c r="A5995" s="15" t="str">
        <f t="shared" si="186"/>
        <v/>
      </c>
      <c r="B5995" s="18" t="str">
        <f t="shared" si="187"/>
        <v/>
      </c>
    </row>
    <row r="5996" spans="1:2" x14ac:dyDescent="0.25">
      <c r="A5996" s="15" t="str">
        <f t="shared" si="186"/>
        <v/>
      </c>
      <c r="B5996" s="18" t="str">
        <f t="shared" si="187"/>
        <v/>
      </c>
    </row>
    <row r="5997" spans="1:2" x14ac:dyDescent="0.25">
      <c r="A5997" s="15" t="str">
        <f t="shared" si="186"/>
        <v/>
      </c>
      <c r="B5997" s="18" t="str">
        <f t="shared" si="187"/>
        <v/>
      </c>
    </row>
    <row r="5998" spans="1:2" x14ac:dyDescent="0.25">
      <c r="A5998" s="15" t="str">
        <f t="shared" si="186"/>
        <v/>
      </c>
      <c r="B5998" s="18" t="str">
        <f t="shared" si="187"/>
        <v/>
      </c>
    </row>
    <row r="5999" spans="1:2" x14ac:dyDescent="0.25">
      <c r="A5999" s="15" t="str">
        <f t="shared" si="186"/>
        <v/>
      </c>
      <c r="B5999" s="18" t="str">
        <f t="shared" si="187"/>
        <v/>
      </c>
    </row>
    <row r="6000" spans="1:2" x14ac:dyDescent="0.25">
      <c r="A6000" s="15" t="str">
        <f t="shared" si="186"/>
        <v/>
      </c>
      <c r="B6000" s="18" t="str">
        <f t="shared" si="187"/>
        <v/>
      </c>
    </row>
    <row r="6001" spans="1:2" x14ac:dyDescent="0.25">
      <c r="A6001" s="15" t="str">
        <f t="shared" si="186"/>
        <v/>
      </c>
      <c r="B6001" s="18" t="str">
        <f t="shared" si="187"/>
        <v/>
      </c>
    </row>
    <row r="6002" spans="1:2" x14ac:dyDescent="0.25">
      <c r="A6002" s="15" t="str">
        <f t="shared" si="186"/>
        <v/>
      </c>
      <c r="B6002" s="18" t="str">
        <f t="shared" si="187"/>
        <v/>
      </c>
    </row>
    <row r="6003" spans="1:2" x14ac:dyDescent="0.25">
      <c r="A6003" s="15" t="str">
        <f t="shared" si="186"/>
        <v/>
      </c>
      <c r="B6003" s="18" t="str">
        <f t="shared" si="187"/>
        <v/>
      </c>
    </row>
    <row r="6004" spans="1:2" x14ac:dyDescent="0.25">
      <c r="A6004" s="15" t="str">
        <f t="shared" si="186"/>
        <v/>
      </c>
      <c r="B6004" s="18" t="str">
        <f t="shared" si="187"/>
        <v/>
      </c>
    </row>
    <row r="6005" spans="1:2" x14ac:dyDescent="0.25">
      <c r="A6005" s="15" t="str">
        <f t="shared" si="186"/>
        <v/>
      </c>
      <c r="B6005" s="18" t="str">
        <f t="shared" si="187"/>
        <v/>
      </c>
    </row>
    <row r="6006" spans="1:2" x14ac:dyDescent="0.25">
      <c r="A6006" s="15" t="str">
        <f t="shared" si="186"/>
        <v/>
      </c>
      <c r="B6006" s="18" t="str">
        <f t="shared" si="187"/>
        <v/>
      </c>
    </row>
    <row r="6007" spans="1:2" x14ac:dyDescent="0.25">
      <c r="A6007" s="15" t="str">
        <f t="shared" si="186"/>
        <v/>
      </c>
      <c r="B6007" s="18" t="str">
        <f t="shared" si="187"/>
        <v/>
      </c>
    </row>
    <row r="6008" spans="1:2" x14ac:dyDescent="0.25">
      <c r="A6008" s="15" t="str">
        <f t="shared" si="186"/>
        <v/>
      </c>
      <c r="B6008" s="18" t="str">
        <f t="shared" si="187"/>
        <v/>
      </c>
    </row>
    <row r="6009" spans="1:2" x14ac:dyDescent="0.25">
      <c r="A6009" s="15" t="str">
        <f t="shared" si="186"/>
        <v/>
      </c>
      <c r="B6009" s="18" t="str">
        <f t="shared" si="187"/>
        <v/>
      </c>
    </row>
    <row r="6010" spans="1:2" x14ac:dyDescent="0.25">
      <c r="A6010" s="15" t="str">
        <f t="shared" si="186"/>
        <v/>
      </c>
      <c r="B6010" s="18" t="str">
        <f t="shared" si="187"/>
        <v/>
      </c>
    </row>
    <row r="6011" spans="1:2" x14ac:dyDescent="0.25">
      <c r="A6011" s="15" t="str">
        <f t="shared" si="186"/>
        <v/>
      </c>
      <c r="B6011" s="18" t="str">
        <f t="shared" si="187"/>
        <v/>
      </c>
    </row>
    <row r="6012" spans="1:2" x14ac:dyDescent="0.25">
      <c r="A6012" s="15" t="str">
        <f t="shared" si="186"/>
        <v/>
      </c>
      <c r="B6012" s="18" t="str">
        <f t="shared" si="187"/>
        <v/>
      </c>
    </row>
    <row r="6013" spans="1:2" x14ac:dyDescent="0.25">
      <c r="A6013" s="15" t="str">
        <f t="shared" si="186"/>
        <v/>
      </c>
      <c r="B6013" s="18" t="str">
        <f t="shared" si="187"/>
        <v/>
      </c>
    </row>
    <row r="6014" spans="1:2" x14ac:dyDescent="0.25">
      <c r="A6014" s="15" t="str">
        <f t="shared" si="186"/>
        <v/>
      </c>
      <c r="B6014" s="18" t="str">
        <f t="shared" si="187"/>
        <v/>
      </c>
    </row>
    <row r="6015" spans="1:2" x14ac:dyDescent="0.25">
      <c r="A6015" s="15" t="str">
        <f t="shared" si="186"/>
        <v/>
      </c>
      <c r="B6015" s="18" t="str">
        <f t="shared" si="187"/>
        <v/>
      </c>
    </row>
    <row r="6016" spans="1:2" x14ac:dyDescent="0.25">
      <c r="A6016" s="15" t="str">
        <f t="shared" si="186"/>
        <v/>
      </c>
      <c r="B6016" s="18" t="str">
        <f t="shared" si="187"/>
        <v/>
      </c>
    </row>
    <row r="6017" spans="1:2" x14ac:dyDescent="0.25">
      <c r="A6017" s="15" t="str">
        <f t="shared" si="186"/>
        <v/>
      </c>
      <c r="B6017" s="18" t="str">
        <f t="shared" si="187"/>
        <v/>
      </c>
    </row>
    <row r="6018" spans="1:2" x14ac:dyDescent="0.25">
      <c r="A6018" s="15" t="str">
        <f t="shared" ref="A6018:A6081" si="188">B6018&amp;C6018</f>
        <v/>
      </c>
      <c r="B6018" s="18" t="str">
        <f t="shared" si="187"/>
        <v/>
      </c>
    </row>
    <row r="6019" spans="1:2" x14ac:dyDescent="0.25">
      <c r="A6019" s="15" t="str">
        <f t="shared" si="188"/>
        <v/>
      </c>
      <c r="B6019" s="18" t="str">
        <f t="shared" ref="B6019:B6082" si="189">IF(C6019="","",B6018)</f>
        <v/>
      </c>
    </row>
    <row r="6020" spans="1:2" x14ac:dyDescent="0.25">
      <c r="A6020" s="15" t="str">
        <f t="shared" si="188"/>
        <v/>
      </c>
      <c r="B6020" s="18" t="str">
        <f t="shared" si="189"/>
        <v/>
      </c>
    </row>
    <row r="6021" spans="1:2" x14ac:dyDescent="0.25">
      <c r="A6021" s="15" t="str">
        <f t="shared" si="188"/>
        <v/>
      </c>
      <c r="B6021" s="18" t="str">
        <f t="shared" si="189"/>
        <v/>
      </c>
    </row>
    <row r="6022" spans="1:2" x14ac:dyDescent="0.25">
      <c r="A6022" s="15" t="str">
        <f t="shared" si="188"/>
        <v/>
      </c>
      <c r="B6022" s="18" t="str">
        <f t="shared" si="189"/>
        <v/>
      </c>
    </row>
    <row r="6023" spans="1:2" x14ac:dyDescent="0.25">
      <c r="A6023" s="15" t="str">
        <f t="shared" si="188"/>
        <v/>
      </c>
      <c r="B6023" s="18" t="str">
        <f t="shared" si="189"/>
        <v/>
      </c>
    </row>
    <row r="6024" spans="1:2" x14ac:dyDescent="0.25">
      <c r="A6024" s="15" t="str">
        <f t="shared" si="188"/>
        <v/>
      </c>
      <c r="B6024" s="18" t="str">
        <f t="shared" si="189"/>
        <v/>
      </c>
    </row>
    <row r="6025" spans="1:2" x14ac:dyDescent="0.25">
      <c r="A6025" s="15" t="str">
        <f t="shared" si="188"/>
        <v/>
      </c>
      <c r="B6025" s="18" t="str">
        <f t="shared" si="189"/>
        <v/>
      </c>
    </row>
    <row r="6026" spans="1:2" x14ac:dyDescent="0.25">
      <c r="A6026" s="15" t="str">
        <f t="shared" si="188"/>
        <v/>
      </c>
      <c r="B6026" s="18" t="str">
        <f t="shared" si="189"/>
        <v/>
      </c>
    </row>
    <row r="6027" spans="1:2" x14ac:dyDescent="0.25">
      <c r="A6027" s="15" t="str">
        <f t="shared" si="188"/>
        <v/>
      </c>
      <c r="B6027" s="18" t="str">
        <f t="shared" si="189"/>
        <v/>
      </c>
    </row>
    <row r="6028" spans="1:2" x14ac:dyDescent="0.25">
      <c r="A6028" s="15" t="str">
        <f t="shared" si="188"/>
        <v/>
      </c>
      <c r="B6028" s="18" t="str">
        <f t="shared" si="189"/>
        <v/>
      </c>
    </row>
    <row r="6029" spans="1:2" x14ac:dyDescent="0.25">
      <c r="A6029" s="15" t="str">
        <f t="shared" si="188"/>
        <v/>
      </c>
      <c r="B6029" s="18" t="str">
        <f t="shared" si="189"/>
        <v/>
      </c>
    </row>
    <row r="6030" spans="1:2" x14ac:dyDescent="0.25">
      <c r="A6030" s="15" t="str">
        <f t="shared" si="188"/>
        <v/>
      </c>
      <c r="B6030" s="18" t="str">
        <f t="shared" si="189"/>
        <v/>
      </c>
    </row>
    <row r="6031" spans="1:2" x14ac:dyDescent="0.25">
      <c r="A6031" s="15" t="str">
        <f t="shared" si="188"/>
        <v/>
      </c>
      <c r="B6031" s="18" t="str">
        <f t="shared" si="189"/>
        <v/>
      </c>
    </row>
    <row r="6032" spans="1:2" x14ac:dyDescent="0.25">
      <c r="A6032" s="15" t="str">
        <f t="shared" si="188"/>
        <v/>
      </c>
      <c r="B6032" s="18" t="str">
        <f t="shared" si="189"/>
        <v/>
      </c>
    </row>
    <row r="6033" spans="1:2" x14ac:dyDescent="0.25">
      <c r="A6033" s="15" t="str">
        <f t="shared" si="188"/>
        <v/>
      </c>
      <c r="B6033" s="18" t="str">
        <f t="shared" si="189"/>
        <v/>
      </c>
    </row>
    <row r="6034" spans="1:2" x14ac:dyDescent="0.25">
      <c r="A6034" s="15" t="str">
        <f t="shared" si="188"/>
        <v/>
      </c>
      <c r="B6034" s="18" t="str">
        <f t="shared" si="189"/>
        <v/>
      </c>
    </row>
    <row r="6035" spans="1:2" x14ac:dyDescent="0.25">
      <c r="A6035" s="15" t="str">
        <f t="shared" si="188"/>
        <v/>
      </c>
      <c r="B6035" s="18" t="str">
        <f t="shared" si="189"/>
        <v/>
      </c>
    </row>
    <row r="6036" spans="1:2" x14ac:dyDescent="0.25">
      <c r="A6036" s="15" t="str">
        <f t="shared" si="188"/>
        <v/>
      </c>
      <c r="B6036" s="18" t="str">
        <f t="shared" si="189"/>
        <v/>
      </c>
    </row>
    <row r="6037" spans="1:2" x14ac:dyDescent="0.25">
      <c r="A6037" s="15" t="str">
        <f t="shared" si="188"/>
        <v/>
      </c>
      <c r="B6037" s="18" t="str">
        <f t="shared" si="189"/>
        <v/>
      </c>
    </row>
    <row r="6038" spans="1:2" x14ac:dyDescent="0.25">
      <c r="A6038" s="15" t="str">
        <f t="shared" si="188"/>
        <v/>
      </c>
      <c r="B6038" s="18" t="str">
        <f t="shared" si="189"/>
        <v/>
      </c>
    </row>
    <row r="6039" spans="1:2" x14ac:dyDescent="0.25">
      <c r="A6039" s="15" t="str">
        <f t="shared" si="188"/>
        <v/>
      </c>
      <c r="B6039" s="18" t="str">
        <f t="shared" si="189"/>
        <v/>
      </c>
    </row>
    <row r="6040" spans="1:2" x14ac:dyDescent="0.25">
      <c r="A6040" s="15" t="str">
        <f t="shared" si="188"/>
        <v/>
      </c>
      <c r="B6040" s="18" t="str">
        <f t="shared" si="189"/>
        <v/>
      </c>
    </row>
    <row r="6041" spans="1:2" x14ac:dyDescent="0.25">
      <c r="A6041" s="15" t="str">
        <f t="shared" si="188"/>
        <v/>
      </c>
      <c r="B6041" s="18" t="str">
        <f t="shared" si="189"/>
        <v/>
      </c>
    </row>
    <row r="6042" spans="1:2" x14ac:dyDescent="0.25">
      <c r="A6042" s="15" t="str">
        <f t="shared" si="188"/>
        <v/>
      </c>
      <c r="B6042" s="18" t="str">
        <f t="shared" si="189"/>
        <v/>
      </c>
    </row>
    <row r="6043" spans="1:2" x14ac:dyDescent="0.25">
      <c r="A6043" s="15" t="str">
        <f t="shared" si="188"/>
        <v/>
      </c>
      <c r="B6043" s="18" t="str">
        <f t="shared" si="189"/>
        <v/>
      </c>
    </row>
    <row r="6044" spans="1:2" x14ac:dyDescent="0.25">
      <c r="A6044" s="15" t="str">
        <f t="shared" si="188"/>
        <v/>
      </c>
      <c r="B6044" s="18" t="str">
        <f t="shared" si="189"/>
        <v/>
      </c>
    </row>
    <row r="6045" spans="1:2" x14ac:dyDescent="0.25">
      <c r="A6045" s="15" t="str">
        <f t="shared" si="188"/>
        <v/>
      </c>
      <c r="B6045" s="18" t="str">
        <f t="shared" si="189"/>
        <v/>
      </c>
    </row>
    <row r="6046" spans="1:2" x14ac:dyDescent="0.25">
      <c r="A6046" s="15" t="str">
        <f t="shared" si="188"/>
        <v/>
      </c>
      <c r="B6046" s="18" t="str">
        <f t="shared" si="189"/>
        <v/>
      </c>
    </row>
    <row r="6047" spans="1:2" x14ac:dyDescent="0.25">
      <c r="A6047" s="15" t="str">
        <f t="shared" si="188"/>
        <v/>
      </c>
      <c r="B6047" s="18" t="str">
        <f t="shared" si="189"/>
        <v/>
      </c>
    </row>
    <row r="6048" spans="1:2" x14ac:dyDescent="0.25">
      <c r="A6048" s="15" t="str">
        <f t="shared" si="188"/>
        <v/>
      </c>
      <c r="B6048" s="18" t="str">
        <f t="shared" si="189"/>
        <v/>
      </c>
    </row>
    <row r="6049" spans="1:2" x14ac:dyDescent="0.25">
      <c r="A6049" s="15" t="str">
        <f t="shared" si="188"/>
        <v/>
      </c>
      <c r="B6049" s="18" t="str">
        <f t="shared" si="189"/>
        <v/>
      </c>
    </row>
    <row r="6050" spans="1:2" x14ac:dyDescent="0.25">
      <c r="A6050" s="15" t="str">
        <f t="shared" si="188"/>
        <v/>
      </c>
      <c r="B6050" s="18" t="str">
        <f t="shared" si="189"/>
        <v/>
      </c>
    </row>
    <row r="6051" spans="1:2" x14ac:dyDescent="0.25">
      <c r="A6051" s="15" t="str">
        <f t="shared" si="188"/>
        <v/>
      </c>
      <c r="B6051" s="18" t="str">
        <f t="shared" si="189"/>
        <v/>
      </c>
    </row>
    <row r="6052" spans="1:2" x14ac:dyDescent="0.25">
      <c r="A6052" s="15" t="str">
        <f t="shared" si="188"/>
        <v/>
      </c>
      <c r="B6052" s="18" t="str">
        <f t="shared" si="189"/>
        <v/>
      </c>
    </row>
    <row r="6053" spans="1:2" x14ac:dyDescent="0.25">
      <c r="A6053" s="15" t="str">
        <f t="shared" si="188"/>
        <v/>
      </c>
      <c r="B6053" s="18" t="str">
        <f t="shared" si="189"/>
        <v/>
      </c>
    </row>
    <row r="6054" spans="1:2" x14ac:dyDescent="0.25">
      <c r="A6054" s="15" t="str">
        <f t="shared" si="188"/>
        <v/>
      </c>
      <c r="B6054" s="18" t="str">
        <f t="shared" si="189"/>
        <v/>
      </c>
    </row>
    <row r="6055" spans="1:2" x14ac:dyDescent="0.25">
      <c r="A6055" s="15" t="str">
        <f t="shared" si="188"/>
        <v/>
      </c>
      <c r="B6055" s="18" t="str">
        <f t="shared" si="189"/>
        <v/>
      </c>
    </row>
    <row r="6056" spans="1:2" x14ac:dyDescent="0.25">
      <c r="A6056" s="15" t="str">
        <f t="shared" si="188"/>
        <v/>
      </c>
      <c r="B6056" s="18" t="str">
        <f t="shared" si="189"/>
        <v/>
      </c>
    </row>
    <row r="6057" spans="1:2" x14ac:dyDescent="0.25">
      <c r="A6057" s="15" t="str">
        <f t="shared" si="188"/>
        <v/>
      </c>
      <c r="B6057" s="18" t="str">
        <f t="shared" si="189"/>
        <v/>
      </c>
    </row>
    <row r="6058" spans="1:2" x14ac:dyDescent="0.25">
      <c r="A6058" s="15" t="str">
        <f t="shared" si="188"/>
        <v/>
      </c>
      <c r="B6058" s="18" t="str">
        <f t="shared" si="189"/>
        <v/>
      </c>
    </row>
    <row r="6059" spans="1:2" x14ac:dyDescent="0.25">
      <c r="A6059" s="15" t="str">
        <f t="shared" si="188"/>
        <v/>
      </c>
      <c r="B6059" s="18" t="str">
        <f t="shared" si="189"/>
        <v/>
      </c>
    </row>
    <row r="6060" spans="1:2" x14ac:dyDescent="0.25">
      <c r="A6060" s="15" t="str">
        <f t="shared" si="188"/>
        <v/>
      </c>
      <c r="B6060" s="18" t="str">
        <f t="shared" si="189"/>
        <v/>
      </c>
    </row>
    <row r="6061" spans="1:2" x14ac:dyDescent="0.25">
      <c r="A6061" s="15" t="str">
        <f t="shared" si="188"/>
        <v/>
      </c>
      <c r="B6061" s="18" t="str">
        <f t="shared" si="189"/>
        <v/>
      </c>
    </row>
    <row r="6062" spans="1:2" x14ac:dyDescent="0.25">
      <c r="A6062" s="15" t="str">
        <f t="shared" si="188"/>
        <v/>
      </c>
      <c r="B6062" s="18" t="str">
        <f t="shared" si="189"/>
        <v/>
      </c>
    </row>
    <row r="6063" spans="1:2" x14ac:dyDescent="0.25">
      <c r="A6063" s="15" t="str">
        <f t="shared" si="188"/>
        <v/>
      </c>
      <c r="B6063" s="18" t="str">
        <f t="shared" si="189"/>
        <v/>
      </c>
    </row>
    <row r="6064" spans="1:2" x14ac:dyDescent="0.25">
      <c r="A6064" s="15" t="str">
        <f t="shared" si="188"/>
        <v/>
      </c>
      <c r="B6064" s="18" t="str">
        <f t="shared" si="189"/>
        <v/>
      </c>
    </row>
    <row r="6065" spans="1:2" x14ac:dyDescent="0.25">
      <c r="A6065" s="15" t="str">
        <f t="shared" si="188"/>
        <v/>
      </c>
      <c r="B6065" s="18" t="str">
        <f t="shared" si="189"/>
        <v/>
      </c>
    </row>
    <row r="6066" spans="1:2" x14ac:dyDescent="0.25">
      <c r="A6066" s="15" t="str">
        <f t="shared" si="188"/>
        <v/>
      </c>
      <c r="B6066" s="18" t="str">
        <f t="shared" si="189"/>
        <v/>
      </c>
    </row>
    <row r="6067" spans="1:2" x14ac:dyDescent="0.25">
      <c r="A6067" s="15" t="str">
        <f t="shared" si="188"/>
        <v/>
      </c>
      <c r="B6067" s="18" t="str">
        <f t="shared" si="189"/>
        <v/>
      </c>
    </row>
    <row r="6068" spans="1:2" x14ac:dyDescent="0.25">
      <c r="A6068" s="15" t="str">
        <f t="shared" si="188"/>
        <v/>
      </c>
      <c r="B6068" s="18" t="str">
        <f t="shared" si="189"/>
        <v/>
      </c>
    </row>
    <row r="6069" spans="1:2" x14ac:dyDescent="0.25">
      <c r="A6069" s="15" t="str">
        <f t="shared" si="188"/>
        <v/>
      </c>
      <c r="B6069" s="18" t="str">
        <f t="shared" si="189"/>
        <v/>
      </c>
    </row>
    <row r="6070" spans="1:2" x14ac:dyDescent="0.25">
      <c r="A6070" s="15" t="str">
        <f t="shared" si="188"/>
        <v/>
      </c>
      <c r="B6070" s="18" t="str">
        <f t="shared" si="189"/>
        <v/>
      </c>
    </row>
    <row r="6071" spans="1:2" x14ac:dyDescent="0.25">
      <c r="A6071" s="15" t="str">
        <f t="shared" si="188"/>
        <v/>
      </c>
      <c r="B6071" s="18" t="str">
        <f t="shared" si="189"/>
        <v/>
      </c>
    </row>
    <row r="6072" spans="1:2" x14ac:dyDescent="0.25">
      <c r="A6072" s="15" t="str">
        <f t="shared" si="188"/>
        <v/>
      </c>
      <c r="B6072" s="18" t="str">
        <f t="shared" si="189"/>
        <v/>
      </c>
    </row>
    <row r="6073" spans="1:2" x14ac:dyDescent="0.25">
      <c r="A6073" s="15" t="str">
        <f t="shared" si="188"/>
        <v/>
      </c>
      <c r="B6073" s="18" t="str">
        <f t="shared" si="189"/>
        <v/>
      </c>
    </row>
    <row r="6074" spans="1:2" x14ac:dyDescent="0.25">
      <c r="A6074" s="15" t="str">
        <f t="shared" si="188"/>
        <v/>
      </c>
      <c r="B6074" s="18" t="str">
        <f t="shared" si="189"/>
        <v/>
      </c>
    </row>
    <row r="6075" spans="1:2" x14ac:dyDescent="0.25">
      <c r="A6075" s="15" t="str">
        <f t="shared" si="188"/>
        <v/>
      </c>
      <c r="B6075" s="18" t="str">
        <f t="shared" si="189"/>
        <v/>
      </c>
    </row>
    <row r="6076" spans="1:2" x14ac:dyDescent="0.25">
      <c r="A6076" s="15" t="str">
        <f t="shared" si="188"/>
        <v/>
      </c>
      <c r="B6076" s="18" t="str">
        <f t="shared" si="189"/>
        <v/>
      </c>
    </row>
    <row r="6077" spans="1:2" x14ac:dyDescent="0.25">
      <c r="A6077" s="15" t="str">
        <f t="shared" si="188"/>
        <v/>
      </c>
      <c r="B6077" s="18" t="str">
        <f t="shared" si="189"/>
        <v/>
      </c>
    </row>
    <row r="6078" spans="1:2" x14ac:dyDescent="0.25">
      <c r="A6078" s="15" t="str">
        <f t="shared" si="188"/>
        <v/>
      </c>
      <c r="B6078" s="18" t="str">
        <f t="shared" si="189"/>
        <v/>
      </c>
    </row>
    <row r="6079" spans="1:2" x14ac:dyDescent="0.25">
      <c r="A6079" s="15" t="str">
        <f t="shared" si="188"/>
        <v/>
      </c>
      <c r="B6079" s="18" t="str">
        <f t="shared" si="189"/>
        <v/>
      </c>
    </row>
    <row r="6080" spans="1:2" x14ac:dyDescent="0.25">
      <c r="A6080" s="15" t="str">
        <f t="shared" si="188"/>
        <v/>
      </c>
      <c r="B6080" s="18" t="str">
        <f t="shared" si="189"/>
        <v/>
      </c>
    </row>
    <row r="6081" spans="1:2" x14ac:dyDescent="0.25">
      <c r="A6081" s="15" t="str">
        <f t="shared" si="188"/>
        <v/>
      </c>
      <c r="B6081" s="18" t="str">
        <f t="shared" si="189"/>
        <v/>
      </c>
    </row>
    <row r="6082" spans="1:2" x14ac:dyDescent="0.25">
      <c r="A6082" s="15" t="str">
        <f t="shared" ref="A6082:A6145" si="190">B6082&amp;C6082</f>
        <v/>
      </c>
      <c r="B6082" s="18" t="str">
        <f t="shared" si="189"/>
        <v/>
      </c>
    </row>
    <row r="6083" spans="1:2" x14ac:dyDescent="0.25">
      <c r="A6083" s="15" t="str">
        <f t="shared" si="190"/>
        <v/>
      </c>
      <c r="B6083" s="18" t="str">
        <f t="shared" ref="B6083:B6146" si="191">IF(C6083="","",B6082)</f>
        <v/>
      </c>
    </row>
    <row r="6084" spans="1:2" x14ac:dyDescent="0.25">
      <c r="A6084" s="15" t="str">
        <f t="shared" si="190"/>
        <v/>
      </c>
      <c r="B6084" s="18" t="str">
        <f t="shared" si="191"/>
        <v/>
      </c>
    </row>
    <row r="6085" spans="1:2" x14ac:dyDescent="0.25">
      <c r="A6085" s="15" t="str">
        <f t="shared" si="190"/>
        <v/>
      </c>
      <c r="B6085" s="18" t="str">
        <f t="shared" si="191"/>
        <v/>
      </c>
    </row>
    <row r="6086" spans="1:2" x14ac:dyDescent="0.25">
      <c r="A6086" s="15" t="str">
        <f t="shared" si="190"/>
        <v/>
      </c>
      <c r="B6086" s="18" t="str">
        <f t="shared" si="191"/>
        <v/>
      </c>
    </row>
    <row r="6087" spans="1:2" x14ac:dyDescent="0.25">
      <c r="A6087" s="15" t="str">
        <f t="shared" si="190"/>
        <v/>
      </c>
      <c r="B6087" s="18" t="str">
        <f t="shared" si="191"/>
        <v/>
      </c>
    </row>
    <row r="6088" spans="1:2" x14ac:dyDescent="0.25">
      <c r="A6088" s="15" t="str">
        <f t="shared" si="190"/>
        <v/>
      </c>
      <c r="B6088" s="18" t="str">
        <f t="shared" si="191"/>
        <v/>
      </c>
    </row>
    <row r="6089" spans="1:2" x14ac:dyDescent="0.25">
      <c r="A6089" s="15" t="str">
        <f t="shared" si="190"/>
        <v/>
      </c>
      <c r="B6089" s="18" t="str">
        <f t="shared" si="191"/>
        <v/>
      </c>
    </row>
    <row r="6090" spans="1:2" x14ac:dyDescent="0.25">
      <c r="A6090" s="15" t="str">
        <f t="shared" si="190"/>
        <v/>
      </c>
      <c r="B6090" s="18" t="str">
        <f t="shared" si="191"/>
        <v/>
      </c>
    </row>
    <row r="6091" spans="1:2" x14ac:dyDescent="0.25">
      <c r="A6091" s="15" t="str">
        <f t="shared" si="190"/>
        <v/>
      </c>
      <c r="B6091" s="18" t="str">
        <f t="shared" si="191"/>
        <v/>
      </c>
    </row>
    <row r="6092" spans="1:2" x14ac:dyDescent="0.25">
      <c r="A6092" s="15" t="str">
        <f t="shared" si="190"/>
        <v/>
      </c>
      <c r="B6092" s="18" t="str">
        <f t="shared" si="191"/>
        <v/>
      </c>
    </row>
    <row r="6093" spans="1:2" x14ac:dyDescent="0.25">
      <c r="A6093" s="15" t="str">
        <f t="shared" si="190"/>
        <v/>
      </c>
      <c r="B6093" s="18" t="str">
        <f t="shared" si="191"/>
        <v/>
      </c>
    </row>
    <row r="6094" spans="1:2" x14ac:dyDescent="0.25">
      <c r="A6094" s="15" t="str">
        <f t="shared" si="190"/>
        <v/>
      </c>
      <c r="B6094" s="18" t="str">
        <f t="shared" si="191"/>
        <v/>
      </c>
    </row>
    <row r="6095" spans="1:2" x14ac:dyDescent="0.25">
      <c r="A6095" s="15" t="str">
        <f t="shared" si="190"/>
        <v/>
      </c>
      <c r="B6095" s="18" t="str">
        <f t="shared" si="191"/>
        <v/>
      </c>
    </row>
    <row r="6096" spans="1:2" x14ac:dyDescent="0.25">
      <c r="A6096" s="15" t="str">
        <f t="shared" si="190"/>
        <v/>
      </c>
      <c r="B6096" s="18" t="str">
        <f t="shared" si="191"/>
        <v/>
      </c>
    </row>
    <row r="6097" spans="1:2" x14ac:dyDescent="0.25">
      <c r="A6097" s="15" t="str">
        <f t="shared" si="190"/>
        <v/>
      </c>
      <c r="B6097" s="18" t="str">
        <f t="shared" si="191"/>
        <v/>
      </c>
    </row>
    <row r="6098" spans="1:2" x14ac:dyDescent="0.25">
      <c r="A6098" s="15" t="str">
        <f t="shared" si="190"/>
        <v/>
      </c>
      <c r="B6098" s="18" t="str">
        <f t="shared" si="191"/>
        <v/>
      </c>
    </row>
    <row r="6099" spans="1:2" x14ac:dyDescent="0.25">
      <c r="A6099" s="15" t="str">
        <f t="shared" si="190"/>
        <v/>
      </c>
      <c r="B6099" s="18" t="str">
        <f t="shared" si="191"/>
        <v/>
      </c>
    </row>
    <row r="6100" spans="1:2" x14ac:dyDescent="0.25">
      <c r="A6100" s="15" t="str">
        <f t="shared" si="190"/>
        <v/>
      </c>
      <c r="B6100" s="18" t="str">
        <f t="shared" si="191"/>
        <v/>
      </c>
    </row>
    <row r="6101" spans="1:2" x14ac:dyDescent="0.25">
      <c r="A6101" s="15" t="str">
        <f t="shared" si="190"/>
        <v/>
      </c>
      <c r="B6101" s="18" t="str">
        <f t="shared" si="191"/>
        <v/>
      </c>
    </row>
    <row r="6102" spans="1:2" x14ac:dyDescent="0.25">
      <c r="A6102" s="15" t="str">
        <f t="shared" si="190"/>
        <v/>
      </c>
      <c r="B6102" s="18" t="str">
        <f t="shared" si="191"/>
        <v/>
      </c>
    </row>
    <row r="6103" spans="1:2" x14ac:dyDescent="0.25">
      <c r="A6103" s="15" t="str">
        <f t="shared" si="190"/>
        <v/>
      </c>
      <c r="B6103" s="18" t="str">
        <f t="shared" si="191"/>
        <v/>
      </c>
    </row>
    <row r="6104" spans="1:2" x14ac:dyDescent="0.25">
      <c r="A6104" s="15" t="str">
        <f t="shared" si="190"/>
        <v/>
      </c>
      <c r="B6104" s="18" t="str">
        <f t="shared" si="191"/>
        <v/>
      </c>
    </row>
    <row r="6105" spans="1:2" x14ac:dyDescent="0.25">
      <c r="A6105" s="15" t="str">
        <f t="shared" si="190"/>
        <v/>
      </c>
      <c r="B6105" s="18" t="str">
        <f t="shared" si="191"/>
        <v/>
      </c>
    </row>
    <row r="6106" spans="1:2" x14ac:dyDescent="0.25">
      <c r="A6106" s="15" t="str">
        <f t="shared" si="190"/>
        <v/>
      </c>
      <c r="B6106" s="18" t="str">
        <f t="shared" si="191"/>
        <v/>
      </c>
    </row>
    <row r="6107" spans="1:2" x14ac:dyDescent="0.25">
      <c r="A6107" s="15" t="str">
        <f t="shared" si="190"/>
        <v/>
      </c>
      <c r="B6107" s="18" t="str">
        <f t="shared" si="191"/>
        <v/>
      </c>
    </row>
    <row r="6108" spans="1:2" x14ac:dyDescent="0.25">
      <c r="A6108" s="15" t="str">
        <f t="shared" si="190"/>
        <v/>
      </c>
      <c r="B6108" s="18" t="str">
        <f t="shared" si="191"/>
        <v/>
      </c>
    </row>
    <row r="6109" spans="1:2" x14ac:dyDescent="0.25">
      <c r="A6109" s="15" t="str">
        <f t="shared" si="190"/>
        <v/>
      </c>
      <c r="B6109" s="18" t="str">
        <f t="shared" si="191"/>
        <v/>
      </c>
    </row>
    <row r="6110" spans="1:2" x14ac:dyDescent="0.25">
      <c r="A6110" s="15" t="str">
        <f t="shared" si="190"/>
        <v/>
      </c>
      <c r="B6110" s="18" t="str">
        <f t="shared" si="191"/>
        <v/>
      </c>
    </row>
    <row r="6111" spans="1:2" x14ac:dyDescent="0.25">
      <c r="A6111" s="15" t="str">
        <f t="shared" si="190"/>
        <v/>
      </c>
      <c r="B6111" s="18" t="str">
        <f t="shared" si="191"/>
        <v/>
      </c>
    </row>
    <row r="6112" spans="1:2" x14ac:dyDescent="0.25">
      <c r="A6112" s="15" t="str">
        <f t="shared" si="190"/>
        <v/>
      </c>
      <c r="B6112" s="18" t="str">
        <f t="shared" si="191"/>
        <v/>
      </c>
    </row>
    <row r="6113" spans="1:2" x14ac:dyDescent="0.25">
      <c r="A6113" s="15" t="str">
        <f t="shared" si="190"/>
        <v/>
      </c>
      <c r="B6113" s="18" t="str">
        <f t="shared" si="191"/>
        <v/>
      </c>
    </row>
    <row r="6114" spans="1:2" x14ac:dyDescent="0.25">
      <c r="A6114" s="15" t="str">
        <f t="shared" si="190"/>
        <v/>
      </c>
      <c r="B6114" s="18" t="str">
        <f t="shared" si="191"/>
        <v/>
      </c>
    </row>
    <row r="6115" spans="1:2" x14ac:dyDescent="0.25">
      <c r="A6115" s="15" t="str">
        <f t="shared" si="190"/>
        <v/>
      </c>
      <c r="B6115" s="18" t="str">
        <f t="shared" si="191"/>
        <v/>
      </c>
    </row>
    <row r="6116" spans="1:2" x14ac:dyDescent="0.25">
      <c r="A6116" s="15" t="str">
        <f t="shared" si="190"/>
        <v/>
      </c>
      <c r="B6116" s="18" t="str">
        <f t="shared" si="191"/>
        <v/>
      </c>
    </row>
    <row r="6117" spans="1:2" x14ac:dyDescent="0.25">
      <c r="A6117" s="15" t="str">
        <f t="shared" si="190"/>
        <v/>
      </c>
      <c r="B6117" s="18" t="str">
        <f t="shared" si="191"/>
        <v/>
      </c>
    </row>
    <row r="6118" spans="1:2" x14ac:dyDescent="0.25">
      <c r="A6118" s="15" t="str">
        <f t="shared" si="190"/>
        <v/>
      </c>
      <c r="B6118" s="18" t="str">
        <f t="shared" si="191"/>
        <v/>
      </c>
    </row>
    <row r="6119" spans="1:2" x14ac:dyDescent="0.25">
      <c r="A6119" s="15" t="str">
        <f t="shared" si="190"/>
        <v/>
      </c>
      <c r="B6119" s="18" t="str">
        <f t="shared" si="191"/>
        <v/>
      </c>
    </row>
    <row r="6120" spans="1:2" x14ac:dyDescent="0.25">
      <c r="A6120" s="15" t="str">
        <f t="shared" si="190"/>
        <v/>
      </c>
      <c r="B6120" s="18" t="str">
        <f t="shared" si="191"/>
        <v/>
      </c>
    </row>
    <row r="6121" spans="1:2" x14ac:dyDescent="0.25">
      <c r="A6121" s="15" t="str">
        <f t="shared" si="190"/>
        <v/>
      </c>
      <c r="B6121" s="18" t="str">
        <f t="shared" si="191"/>
        <v/>
      </c>
    </row>
    <row r="6122" spans="1:2" x14ac:dyDescent="0.25">
      <c r="A6122" s="15" t="str">
        <f t="shared" si="190"/>
        <v/>
      </c>
      <c r="B6122" s="18" t="str">
        <f t="shared" si="191"/>
        <v/>
      </c>
    </row>
    <row r="6123" spans="1:2" x14ac:dyDescent="0.25">
      <c r="A6123" s="15" t="str">
        <f t="shared" si="190"/>
        <v/>
      </c>
      <c r="B6123" s="18" t="str">
        <f t="shared" si="191"/>
        <v/>
      </c>
    </row>
    <row r="6124" spans="1:2" x14ac:dyDescent="0.25">
      <c r="A6124" s="15" t="str">
        <f t="shared" si="190"/>
        <v/>
      </c>
      <c r="B6124" s="18" t="str">
        <f t="shared" si="191"/>
        <v/>
      </c>
    </row>
    <row r="6125" spans="1:2" x14ac:dyDescent="0.25">
      <c r="A6125" s="15" t="str">
        <f t="shared" si="190"/>
        <v/>
      </c>
      <c r="B6125" s="18" t="str">
        <f t="shared" si="191"/>
        <v/>
      </c>
    </row>
    <row r="6126" spans="1:2" x14ac:dyDescent="0.25">
      <c r="A6126" s="15" t="str">
        <f t="shared" si="190"/>
        <v/>
      </c>
      <c r="B6126" s="18" t="str">
        <f t="shared" si="191"/>
        <v/>
      </c>
    </row>
    <row r="6127" spans="1:2" x14ac:dyDescent="0.25">
      <c r="A6127" s="15" t="str">
        <f t="shared" si="190"/>
        <v/>
      </c>
      <c r="B6127" s="18" t="str">
        <f t="shared" si="191"/>
        <v/>
      </c>
    </row>
    <row r="6128" spans="1:2" x14ac:dyDescent="0.25">
      <c r="A6128" s="15" t="str">
        <f t="shared" si="190"/>
        <v/>
      </c>
      <c r="B6128" s="18" t="str">
        <f t="shared" si="191"/>
        <v/>
      </c>
    </row>
    <row r="6129" spans="1:2" x14ac:dyDescent="0.25">
      <c r="A6129" s="15" t="str">
        <f t="shared" si="190"/>
        <v/>
      </c>
      <c r="B6129" s="18" t="str">
        <f t="shared" si="191"/>
        <v/>
      </c>
    </row>
    <row r="6130" spans="1:2" x14ac:dyDescent="0.25">
      <c r="A6130" s="15" t="str">
        <f t="shared" si="190"/>
        <v/>
      </c>
      <c r="B6130" s="18" t="str">
        <f t="shared" si="191"/>
        <v/>
      </c>
    </row>
    <row r="6131" spans="1:2" x14ac:dyDescent="0.25">
      <c r="A6131" s="15" t="str">
        <f t="shared" si="190"/>
        <v/>
      </c>
      <c r="B6131" s="18" t="str">
        <f t="shared" si="191"/>
        <v/>
      </c>
    </row>
    <row r="6132" spans="1:2" x14ac:dyDescent="0.25">
      <c r="A6132" s="15" t="str">
        <f t="shared" si="190"/>
        <v/>
      </c>
      <c r="B6132" s="18" t="str">
        <f t="shared" si="191"/>
        <v/>
      </c>
    </row>
    <row r="6133" spans="1:2" x14ac:dyDescent="0.25">
      <c r="A6133" s="15" t="str">
        <f t="shared" si="190"/>
        <v/>
      </c>
      <c r="B6133" s="18" t="str">
        <f t="shared" si="191"/>
        <v/>
      </c>
    </row>
    <row r="6134" spans="1:2" x14ac:dyDescent="0.25">
      <c r="A6134" s="15" t="str">
        <f t="shared" si="190"/>
        <v/>
      </c>
      <c r="B6134" s="18" t="str">
        <f t="shared" si="191"/>
        <v/>
      </c>
    </row>
    <row r="6135" spans="1:2" x14ac:dyDescent="0.25">
      <c r="A6135" s="15" t="str">
        <f t="shared" si="190"/>
        <v/>
      </c>
      <c r="B6135" s="18" t="str">
        <f t="shared" si="191"/>
        <v/>
      </c>
    </row>
    <row r="6136" spans="1:2" x14ac:dyDescent="0.25">
      <c r="A6136" s="15" t="str">
        <f t="shared" si="190"/>
        <v/>
      </c>
      <c r="B6136" s="18" t="str">
        <f t="shared" si="191"/>
        <v/>
      </c>
    </row>
    <row r="6137" spans="1:2" x14ac:dyDescent="0.25">
      <c r="A6137" s="15" t="str">
        <f t="shared" si="190"/>
        <v/>
      </c>
      <c r="B6137" s="18" t="str">
        <f t="shared" si="191"/>
        <v/>
      </c>
    </row>
    <row r="6138" spans="1:2" x14ac:dyDescent="0.25">
      <c r="A6138" s="15" t="str">
        <f t="shared" si="190"/>
        <v/>
      </c>
      <c r="B6138" s="18" t="str">
        <f t="shared" si="191"/>
        <v/>
      </c>
    </row>
    <row r="6139" spans="1:2" x14ac:dyDescent="0.25">
      <c r="A6139" s="15" t="str">
        <f t="shared" si="190"/>
        <v/>
      </c>
      <c r="B6139" s="18" t="str">
        <f t="shared" si="191"/>
        <v/>
      </c>
    </row>
    <row r="6140" spans="1:2" x14ac:dyDescent="0.25">
      <c r="A6140" s="15" t="str">
        <f t="shared" si="190"/>
        <v/>
      </c>
      <c r="B6140" s="18" t="str">
        <f t="shared" si="191"/>
        <v/>
      </c>
    </row>
    <row r="6141" spans="1:2" x14ac:dyDescent="0.25">
      <c r="A6141" s="15" t="str">
        <f t="shared" si="190"/>
        <v/>
      </c>
      <c r="B6141" s="18" t="str">
        <f t="shared" si="191"/>
        <v/>
      </c>
    </row>
    <row r="6142" spans="1:2" x14ac:dyDescent="0.25">
      <c r="A6142" s="15" t="str">
        <f t="shared" si="190"/>
        <v/>
      </c>
      <c r="B6142" s="18" t="str">
        <f t="shared" si="191"/>
        <v/>
      </c>
    </row>
    <row r="6143" spans="1:2" x14ac:dyDescent="0.25">
      <c r="A6143" s="15" t="str">
        <f t="shared" si="190"/>
        <v/>
      </c>
      <c r="B6143" s="18" t="str">
        <f t="shared" si="191"/>
        <v/>
      </c>
    </row>
    <row r="6144" spans="1:2" x14ac:dyDescent="0.25">
      <c r="A6144" s="15" t="str">
        <f t="shared" si="190"/>
        <v/>
      </c>
      <c r="B6144" s="18" t="str">
        <f t="shared" si="191"/>
        <v/>
      </c>
    </row>
    <row r="6145" spans="1:2" x14ac:dyDescent="0.25">
      <c r="A6145" s="15" t="str">
        <f t="shared" si="190"/>
        <v/>
      </c>
      <c r="B6145" s="18" t="str">
        <f t="shared" si="191"/>
        <v/>
      </c>
    </row>
    <row r="6146" spans="1:2" x14ac:dyDescent="0.25">
      <c r="A6146" s="15" t="str">
        <f t="shared" ref="A6146:A6209" si="192">B6146&amp;C6146</f>
        <v/>
      </c>
      <c r="B6146" s="18" t="str">
        <f t="shared" si="191"/>
        <v/>
      </c>
    </row>
    <row r="6147" spans="1:2" x14ac:dyDescent="0.25">
      <c r="A6147" s="15" t="str">
        <f t="shared" si="192"/>
        <v/>
      </c>
      <c r="B6147" s="18" t="str">
        <f t="shared" ref="B6147:B6210" si="193">IF(C6147="","",B6146)</f>
        <v/>
      </c>
    </row>
    <row r="6148" spans="1:2" x14ac:dyDescent="0.25">
      <c r="A6148" s="15" t="str">
        <f t="shared" si="192"/>
        <v/>
      </c>
      <c r="B6148" s="18" t="str">
        <f t="shared" si="193"/>
        <v/>
      </c>
    </row>
    <row r="6149" spans="1:2" x14ac:dyDescent="0.25">
      <c r="A6149" s="15" t="str">
        <f t="shared" si="192"/>
        <v/>
      </c>
      <c r="B6149" s="18" t="str">
        <f t="shared" si="193"/>
        <v/>
      </c>
    </row>
    <row r="6150" spans="1:2" x14ac:dyDescent="0.25">
      <c r="A6150" s="15" t="str">
        <f t="shared" si="192"/>
        <v/>
      </c>
      <c r="B6150" s="18" t="str">
        <f t="shared" si="193"/>
        <v/>
      </c>
    </row>
    <row r="6151" spans="1:2" x14ac:dyDescent="0.25">
      <c r="A6151" s="15" t="str">
        <f t="shared" si="192"/>
        <v/>
      </c>
      <c r="B6151" s="18" t="str">
        <f t="shared" si="193"/>
        <v/>
      </c>
    </row>
    <row r="6152" spans="1:2" x14ac:dyDescent="0.25">
      <c r="A6152" s="15" t="str">
        <f t="shared" si="192"/>
        <v/>
      </c>
      <c r="B6152" s="18" t="str">
        <f t="shared" si="193"/>
        <v/>
      </c>
    </row>
    <row r="6153" spans="1:2" x14ac:dyDescent="0.25">
      <c r="A6153" s="15" t="str">
        <f t="shared" si="192"/>
        <v/>
      </c>
      <c r="B6153" s="18" t="str">
        <f t="shared" si="193"/>
        <v/>
      </c>
    </row>
    <row r="6154" spans="1:2" x14ac:dyDescent="0.25">
      <c r="A6154" s="15" t="str">
        <f t="shared" si="192"/>
        <v/>
      </c>
      <c r="B6154" s="18" t="str">
        <f t="shared" si="193"/>
        <v/>
      </c>
    </row>
    <row r="6155" spans="1:2" x14ac:dyDescent="0.25">
      <c r="A6155" s="15" t="str">
        <f t="shared" si="192"/>
        <v/>
      </c>
      <c r="B6155" s="18" t="str">
        <f t="shared" si="193"/>
        <v/>
      </c>
    </row>
    <row r="6156" spans="1:2" x14ac:dyDescent="0.25">
      <c r="A6156" s="15" t="str">
        <f t="shared" si="192"/>
        <v/>
      </c>
      <c r="B6156" s="18" t="str">
        <f t="shared" si="193"/>
        <v/>
      </c>
    </row>
    <row r="6157" spans="1:2" x14ac:dyDescent="0.25">
      <c r="A6157" s="15" t="str">
        <f t="shared" si="192"/>
        <v/>
      </c>
      <c r="B6157" s="18" t="str">
        <f t="shared" si="193"/>
        <v/>
      </c>
    </row>
    <row r="6158" spans="1:2" x14ac:dyDescent="0.25">
      <c r="A6158" s="15" t="str">
        <f t="shared" si="192"/>
        <v/>
      </c>
      <c r="B6158" s="18" t="str">
        <f t="shared" si="193"/>
        <v/>
      </c>
    </row>
    <row r="6159" spans="1:2" x14ac:dyDescent="0.25">
      <c r="A6159" s="15" t="str">
        <f t="shared" si="192"/>
        <v/>
      </c>
      <c r="B6159" s="18" t="str">
        <f t="shared" si="193"/>
        <v/>
      </c>
    </row>
    <row r="6160" spans="1:2" x14ac:dyDescent="0.25">
      <c r="A6160" s="15" t="str">
        <f t="shared" si="192"/>
        <v/>
      </c>
      <c r="B6160" s="18" t="str">
        <f t="shared" si="193"/>
        <v/>
      </c>
    </row>
    <row r="6161" spans="1:2" x14ac:dyDescent="0.25">
      <c r="A6161" s="15" t="str">
        <f t="shared" si="192"/>
        <v/>
      </c>
      <c r="B6161" s="18" t="str">
        <f t="shared" si="193"/>
        <v/>
      </c>
    </row>
    <row r="6162" spans="1:2" x14ac:dyDescent="0.25">
      <c r="A6162" s="15" t="str">
        <f t="shared" si="192"/>
        <v/>
      </c>
      <c r="B6162" s="18" t="str">
        <f t="shared" si="193"/>
        <v/>
      </c>
    </row>
    <row r="6163" spans="1:2" x14ac:dyDescent="0.25">
      <c r="A6163" s="15" t="str">
        <f t="shared" si="192"/>
        <v/>
      </c>
      <c r="B6163" s="18" t="str">
        <f t="shared" si="193"/>
        <v/>
      </c>
    </row>
    <row r="6164" spans="1:2" x14ac:dyDescent="0.25">
      <c r="A6164" s="15" t="str">
        <f t="shared" si="192"/>
        <v/>
      </c>
      <c r="B6164" s="18" t="str">
        <f t="shared" si="193"/>
        <v/>
      </c>
    </row>
    <row r="6165" spans="1:2" x14ac:dyDescent="0.25">
      <c r="A6165" s="15" t="str">
        <f t="shared" si="192"/>
        <v/>
      </c>
      <c r="B6165" s="18" t="str">
        <f t="shared" si="193"/>
        <v/>
      </c>
    </row>
    <row r="6166" spans="1:2" x14ac:dyDescent="0.25">
      <c r="A6166" s="15" t="str">
        <f t="shared" si="192"/>
        <v/>
      </c>
      <c r="B6166" s="18" t="str">
        <f t="shared" si="193"/>
        <v/>
      </c>
    </row>
    <row r="6167" spans="1:2" x14ac:dyDescent="0.25">
      <c r="A6167" s="15" t="str">
        <f t="shared" si="192"/>
        <v/>
      </c>
      <c r="B6167" s="18" t="str">
        <f t="shared" si="193"/>
        <v/>
      </c>
    </row>
    <row r="6168" spans="1:2" x14ac:dyDescent="0.25">
      <c r="A6168" s="15" t="str">
        <f t="shared" si="192"/>
        <v/>
      </c>
      <c r="B6168" s="18" t="str">
        <f t="shared" si="193"/>
        <v/>
      </c>
    </row>
    <row r="6169" spans="1:2" x14ac:dyDescent="0.25">
      <c r="A6169" s="15" t="str">
        <f t="shared" si="192"/>
        <v/>
      </c>
      <c r="B6169" s="18" t="str">
        <f t="shared" si="193"/>
        <v/>
      </c>
    </row>
    <row r="6170" spans="1:2" x14ac:dyDescent="0.25">
      <c r="A6170" s="15" t="str">
        <f t="shared" si="192"/>
        <v/>
      </c>
      <c r="B6170" s="18" t="str">
        <f t="shared" si="193"/>
        <v/>
      </c>
    </row>
    <row r="6171" spans="1:2" x14ac:dyDescent="0.25">
      <c r="A6171" s="15" t="str">
        <f t="shared" si="192"/>
        <v/>
      </c>
      <c r="B6171" s="18" t="str">
        <f t="shared" si="193"/>
        <v/>
      </c>
    </row>
    <row r="6172" spans="1:2" x14ac:dyDescent="0.25">
      <c r="A6172" s="15" t="str">
        <f t="shared" si="192"/>
        <v/>
      </c>
      <c r="B6172" s="18" t="str">
        <f t="shared" si="193"/>
        <v/>
      </c>
    </row>
    <row r="6173" spans="1:2" x14ac:dyDescent="0.25">
      <c r="A6173" s="15" t="str">
        <f t="shared" si="192"/>
        <v/>
      </c>
      <c r="B6173" s="18" t="str">
        <f t="shared" si="193"/>
        <v/>
      </c>
    </row>
    <row r="6174" spans="1:2" x14ac:dyDescent="0.25">
      <c r="A6174" s="15" t="str">
        <f t="shared" si="192"/>
        <v/>
      </c>
      <c r="B6174" s="18" t="str">
        <f t="shared" si="193"/>
        <v/>
      </c>
    </row>
    <row r="6175" spans="1:2" x14ac:dyDescent="0.25">
      <c r="A6175" s="15" t="str">
        <f t="shared" si="192"/>
        <v/>
      </c>
      <c r="B6175" s="18" t="str">
        <f t="shared" si="193"/>
        <v/>
      </c>
    </row>
    <row r="6176" spans="1:2" x14ac:dyDescent="0.25">
      <c r="A6176" s="15" t="str">
        <f t="shared" si="192"/>
        <v/>
      </c>
      <c r="B6176" s="18" t="str">
        <f t="shared" si="193"/>
        <v/>
      </c>
    </row>
    <row r="6177" spans="1:2" x14ac:dyDescent="0.25">
      <c r="A6177" s="15" t="str">
        <f t="shared" si="192"/>
        <v/>
      </c>
      <c r="B6177" s="18" t="str">
        <f t="shared" si="193"/>
        <v/>
      </c>
    </row>
    <row r="6178" spans="1:2" x14ac:dyDescent="0.25">
      <c r="A6178" s="15" t="str">
        <f t="shared" si="192"/>
        <v/>
      </c>
      <c r="B6178" s="18" t="str">
        <f t="shared" si="193"/>
        <v/>
      </c>
    </row>
    <row r="6179" spans="1:2" x14ac:dyDescent="0.25">
      <c r="A6179" s="15" t="str">
        <f t="shared" si="192"/>
        <v/>
      </c>
      <c r="B6179" s="18" t="str">
        <f t="shared" si="193"/>
        <v/>
      </c>
    </row>
    <row r="6180" spans="1:2" x14ac:dyDescent="0.25">
      <c r="A6180" s="15" t="str">
        <f t="shared" si="192"/>
        <v/>
      </c>
      <c r="B6180" s="18" t="str">
        <f t="shared" si="193"/>
        <v/>
      </c>
    </row>
    <row r="6181" spans="1:2" x14ac:dyDescent="0.25">
      <c r="A6181" s="15" t="str">
        <f t="shared" si="192"/>
        <v/>
      </c>
      <c r="B6181" s="18" t="str">
        <f t="shared" si="193"/>
        <v/>
      </c>
    </row>
    <row r="6182" spans="1:2" x14ac:dyDescent="0.25">
      <c r="A6182" s="15" t="str">
        <f t="shared" si="192"/>
        <v/>
      </c>
      <c r="B6182" s="18" t="str">
        <f t="shared" si="193"/>
        <v/>
      </c>
    </row>
    <row r="6183" spans="1:2" x14ac:dyDescent="0.25">
      <c r="A6183" s="15" t="str">
        <f t="shared" si="192"/>
        <v/>
      </c>
      <c r="B6183" s="18" t="str">
        <f t="shared" si="193"/>
        <v/>
      </c>
    </row>
    <row r="6184" spans="1:2" x14ac:dyDescent="0.25">
      <c r="A6184" s="15" t="str">
        <f t="shared" si="192"/>
        <v/>
      </c>
      <c r="B6184" s="18" t="str">
        <f t="shared" si="193"/>
        <v/>
      </c>
    </row>
    <row r="6185" spans="1:2" x14ac:dyDescent="0.25">
      <c r="A6185" s="15" t="str">
        <f t="shared" si="192"/>
        <v/>
      </c>
      <c r="B6185" s="18" t="str">
        <f t="shared" si="193"/>
        <v/>
      </c>
    </row>
    <row r="6186" spans="1:2" x14ac:dyDescent="0.25">
      <c r="A6186" s="15" t="str">
        <f t="shared" si="192"/>
        <v/>
      </c>
      <c r="B6186" s="18" t="str">
        <f t="shared" si="193"/>
        <v/>
      </c>
    </row>
    <row r="6187" spans="1:2" x14ac:dyDescent="0.25">
      <c r="A6187" s="15" t="str">
        <f t="shared" si="192"/>
        <v/>
      </c>
      <c r="B6187" s="18" t="str">
        <f t="shared" si="193"/>
        <v/>
      </c>
    </row>
    <row r="6188" spans="1:2" x14ac:dyDescent="0.25">
      <c r="A6188" s="15" t="str">
        <f t="shared" si="192"/>
        <v/>
      </c>
      <c r="B6188" s="18" t="str">
        <f t="shared" si="193"/>
        <v/>
      </c>
    </row>
    <row r="6189" spans="1:2" x14ac:dyDescent="0.25">
      <c r="A6189" s="15" t="str">
        <f t="shared" si="192"/>
        <v/>
      </c>
      <c r="B6189" s="18" t="str">
        <f t="shared" si="193"/>
        <v/>
      </c>
    </row>
    <row r="6190" spans="1:2" x14ac:dyDescent="0.25">
      <c r="A6190" s="15" t="str">
        <f t="shared" si="192"/>
        <v/>
      </c>
      <c r="B6190" s="18" t="str">
        <f t="shared" si="193"/>
        <v/>
      </c>
    </row>
    <row r="6191" spans="1:2" x14ac:dyDescent="0.25">
      <c r="A6191" s="15" t="str">
        <f t="shared" si="192"/>
        <v/>
      </c>
      <c r="B6191" s="18" t="str">
        <f t="shared" si="193"/>
        <v/>
      </c>
    </row>
    <row r="6192" spans="1:2" x14ac:dyDescent="0.25">
      <c r="A6192" s="15" t="str">
        <f t="shared" si="192"/>
        <v/>
      </c>
      <c r="B6192" s="18" t="str">
        <f t="shared" si="193"/>
        <v/>
      </c>
    </row>
    <row r="6193" spans="1:2" x14ac:dyDescent="0.25">
      <c r="A6193" s="15" t="str">
        <f t="shared" si="192"/>
        <v/>
      </c>
      <c r="B6193" s="18" t="str">
        <f t="shared" si="193"/>
        <v/>
      </c>
    </row>
    <row r="6194" spans="1:2" x14ac:dyDescent="0.25">
      <c r="A6194" s="15" t="str">
        <f t="shared" si="192"/>
        <v/>
      </c>
      <c r="B6194" s="18" t="str">
        <f t="shared" si="193"/>
        <v/>
      </c>
    </row>
    <row r="6195" spans="1:2" x14ac:dyDescent="0.25">
      <c r="A6195" s="15" t="str">
        <f t="shared" si="192"/>
        <v/>
      </c>
      <c r="B6195" s="18" t="str">
        <f t="shared" si="193"/>
        <v/>
      </c>
    </row>
    <row r="6196" spans="1:2" x14ac:dyDescent="0.25">
      <c r="A6196" s="15" t="str">
        <f t="shared" si="192"/>
        <v/>
      </c>
      <c r="B6196" s="18" t="str">
        <f t="shared" si="193"/>
        <v/>
      </c>
    </row>
    <row r="6197" spans="1:2" x14ac:dyDescent="0.25">
      <c r="A6197" s="15" t="str">
        <f t="shared" si="192"/>
        <v/>
      </c>
      <c r="B6197" s="18" t="str">
        <f t="shared" si="193"/>
        <v/>
      </c>
    </row>
    <row r="6198" spans="1:2" x14ac:dyDescent="0.25">
      <c r="A6198" s="15" t="str">
        <f t="shared" si="192"/>
        <v/>
      </c>
      <c r="B6198" s="18" t="str">
        <f t="shared" si="193"/>
        <v/>
      </c>
    </row>
    <row r="6199" spans="1:2" x14ac:dyDescent="0.25">
      <c r="A6199" s="15" t="str">
        <f t="shared" si="192"/>
        <v/>
      </c>
      <c r="B6199" s="18" t="str">
        <f t="shared" si="193"/>
        <v/>
      </c>
    </row>
    <row r="6200" spans="1:2" x14ac:dyDescent="0.25">
      <c r="A6200" s="15" t="str">
        <f t="shared" si="192"/>
        <v/>
      </c>
      <c r="B6200" s="18" t="str">
        <f t="shared" si="193"/>
        <v/>
      </c>
    </row>
    <row r="6201" spans="1:2" x14ac:dyDescent="0.25">
      <c r="A6201" s="15" t="str">
        <f t="shared" si="192"/>
        <v/>
      </c>
      <c r="B6201" s="18" t="str">
        <f t="shared" si="193"/>
        <v/>
      </c>
    </row>
    <row r="6202" spans="1:2" x14ac:dyDescent="0.25">
      <c r="A6202" s="15" t="str">
        <f t="shared" si="192"/>
        <v/>
      </c>
      <c r="B6202" s="18" t="str">
        <f t="shared" si="193"/>
        <v/>
      </c>
    </row>
    <row r="6203" spans="1:2" x14ac:dyDescent="0.25">
      <c r="A6203" s="15" t="str">
        <f t="shared" si="192"/>
        <v/>
      </c>
      <c r="B6203" s="18" t="str">
        <f t="shared" si="193"/>
        <v/>
      </c>
    </row>
    <row r="6204" spans="1:2" x14ac:dyDescent="0.25">
      <c r="A6204" s="15" t="str">
        <f t="shared" si="192"/>
        <v/>
      </c>
      <c r="B6204" s="18" t="str">
        <f t="shared" si="193"/>
        <v/>
      </c>
    </row>
    <row r="6205" spans="1:2" x14ac:dyDescent="0.25">
      <c r="A6205" s="15" t="str">
        <f t="shared" si="192"/>
        <v/>
      </c>
      <c r="B6205" s="18" t="str">
        <f t="shared" si="193"/>
        <v/>
      </c>
    </row>
    <row r="6206" spans="1:2" x14ac:dyDescent="0.25">
      <c r="A6206" s="15" t="str">
        <f t="shared" si="192"/>
        <v/>
      </c>
      <c r="B6206" s="18" t="str">
        <f t="shared" si="193"/>
        <v/>
      </c>
    </row>
    <row r="6207" spans="1:2" x14ac:dyDescent="0.25">
      <c r="A6207" s="15" t="str">
        <f t="shared" si="192"/>
        <v/>
      </c>
      <c r="B6207" s="18" t="str">
        <f t="shared" si="193"/>
        <v/>
      </c>
    </row>
    <row r="6208" spans="1:2" x14ac:dyDescent="0.25">
      <c r="A6208" s="15" t="str">
        <f t="shared" si="192"/>
        <v/>
      </c>
      <c r="B6208" s="18" t="str">
        <f t="shared" si="193"/>
        <v/>
      </c>
    </row>
    <row r="6209" spans="1:2" x14ac:dyDescent="0.25">
      <c r="A6209" s="15" t="str">
        <f t="shared" si="192"/>
        <v/>
      </c>
      <c r="B6209" s="18" t="str">
        <f t="shared" si="193"/>
        <v/>
      </c>
    </row>
    <row r="6210" spans="1:2" x14ac:dyDescent="0.25">
      <c r="A6210" s="15" t="str">
        <f t="shared" ref="A6210:A6273" si="194">B6210&amp;C6210</f>
        <v/>
      </c>
      <c r="B6210" s="18" t="str">
        <f t="shared" si="193"/>
        <v/>
      </c>
    </row>
    <row r="6211" spans="1:2" x14ac:dyDescent="0.25">
      <c r="A6211" s="15" t="str">
        <f t="shared" si="194"/>
        <v/>
      </c>
      <c r="B6211" s="18" t="str">
        <f t="shared" ref="B6211:B6274" si="195">IF(C6211="","",B6210)</f>
        <v/>
      </c>
    </row>
    <row r="6212" spans="1:2" x14ac:dyDescent="0.25">
      <c r="A6212" s="15" t="str">
        <f t="shared" si="194"/>
        <v/>
      </c>
      <c r="B6212" s="18" t="str">
        <f t="shared" si="195"/>
        <v/>
      </c>
    </row>
    <row r="6213" spans="1:2" x14ac:dyDescent="0.25">
      <c r="A6213" s="15" t="str">
        <f t="shared" si="194"/>
        <v/>
      </c>
      <c r="B6213" s="18" t="str">
        <f t="shared" si="195"/>
        <v/>
      </c>
    </row>
    <row r="6214" spans="1:2" x14ac:dyDescent="0.25">
      <c r="A6214" s="15" t="str">
        <f t="shared" si="194"/>
        <v/>
      </c>
      <c r="B6214" s="18" t="str">
        <f t="shared" si="195"/>
        <v/>
      </c>
    </row>
    <row r="6215" spans="1:2" x14ac:dyDescent="0.25">
      <c r="A6215" s="15" t="str">
        <f t="shared" si="194"/>
        <v/>
      </c>
      <c r="B6215" s="18" t="str">
        <f t="shared" si="195"/>
        <v/>
      </c>
    </row>
    <row r="6216" spans="1:2" x14ac:dyDescent="0.25">
      <c r="A6216" s="15" t="str">
        <f t="shared" si="194"/>
        <v/>
      </c>
      <c r="B6216" s="18" t="str">
        <f t="shared" si="195"/>
        <v/>
      </c>
    </row>
    <row r="6217" spans="1:2" x14ac:dyDescent="0.25">
      <c r="A6217" s="15" t="str">
        <f t="shared" si="194"/>
        <v/>
      </c>
      <c r="B6217" s="18" t="str">
        <f t="shared" si="195"/>
        <v/>
      </c>
    </row>
    <row r="6218" spans="1:2" x14ac:dyDescent="0.25">
      <c r="A6218" s="15" t="str">
        <f t="shared" si="194"/>
        <v/>
      </c>
      <c r="B6218" s="18" t="str">
        <f t="shared" si="195"/>
        <v/>
      </c>
    </row>
    <row r="6219" spans="1:2" x14ac:dyDescent="0.25">
      <c r="A6219" s="15" t="str">
        <f t="shared" si="194"/>
        <v/>
      </c>
      <c r="B6219" s="18" t="str">
        <f t="shared" si="195"/>
        <v/>
      </c>
    </row>
    <row r="6220" spans="1:2" x14ac:dyDescent="0.25">
      <c r="A6220" s="15" t="str">
        <f t="shared" si="194"/>
        <v/>
      </c>
      <c r="B6220" s="18" t="str">
        <f t="shared" si="195"/>
        <v/>
      </c>
    </row>
    <row r="6221" spans="1:2" x14ac:dyDescent="0.25">
      <c r="A6221" s="15" t="str">
        <f t="shared" si="194"/>
        <v/>
      </c>
      <c r="B6221" s="18" t="str">
        <f t="shared" si="195"/>
        <v/>
      </c>
    </row>
    <row r="6222" spans="1:2" x14ac:dyDescent="0.25">
      <c r="A6222" s="15" t="str">
        <f t="shared" si="194"/>
        <v/>
      </c>
      <c r="B6222" s="18" t="str">
        <f t="shared" si="195"/>
        <v/>
      </c>
    </row>
    <row r="6223" spans="1:2" x14ac:dyDescent="0.25">
      <c r="A6223" s="15" t="str">
        <f t="shared" si="194"/>
        <v/>
      </c>
      <c r="B6223" s="18" t="str">
        <f t="shared" si="195"/>
        <v/>
      </c>
    </row>
    <row r="6224" spans="1:2" x14ac:dyDescent="0.25">
      <c r="A6224" s="15" t="str">
        <f t="shared" si="194"/>
        <v/>
      </c>
      <c r="B6224" s="18" t="str">
        <f t="shared" si="195"/>
        <v/>
      </c>
    </row>
    <row r="6225" spans="1:2" x14ac:dyDescent="0.25">
      <c r="A6225" s="15" t="str">
        <f t="shared" si="194"/>
        <v/>
      </c>
      <c r="B6225" s="18" t="str">
        <f t="shared" si="195"/>
        <v/>
      </c>
    </row>
    <row r="6226" spans="1:2" x14ac:dyDescent="0.25">
      <c r="A6226" s="15" t="str">
        <f t="shared" si="194"/>
        <v/>
      </c>
      <c r="B6226" s="18" t="str">
        <f t="shared" si="195"/>
        <v/>
      </c>
    </row>
    <row r="6227" spans="1:2" x14ac:dyDescent="0.25">
      <c r="A6227" s="15" t="str">
        <f t="shared" si="194"/>
        <v/>
      </c>
      <c r="B6227" s="18" t="str">
        <f t="shared" si="195"/>
        <v/>
      </c>
    </row>
    <row r="6228" spans="1:2" x14ac:dyDescent="0.25">
      <c r="A6228" s="15" t="str">
        <f t="shared" si="194"/>
        <v/>
      </c>
      <c r="B6228" s="18" t="str">
        <f t="shared" si="195"/>
        <v/>
      </c>
    </row>
    <row r="6229" spans="1:2" x14ac:dyDescent="0.25">
      <c r="A6229" s="15" t="str">
        <f t="shared" si="194"/>
        <v/>
      </c>
      <c r="B6229" s="18" t="str">
        <f t="shared" si="195"/>
        <v/>
      </c>
    </row>
    <row r="6230" spans="1:2" x14ac:dyDescent="0.25">
      <c r="A6230" s="15" t="str">
        <f t="shared" si="194"/>
        <v/>
      </c>
      <c r="B6230" s="18" t="str">
        <f t="shared" si="195"/>
        <v/>
      </c>
    </row>
    <row r="6231" spans="1:2" x14ac:dyDescent="0.25">
      <c r="A6231" s="15" t="str">
        <f t="shared" si="194"/>
        <v/>
      </c>
      <c r="B6231" s="18" t="str">
        <f t="shared" si="195"/>
        <v/>
      </c>
    </row>
    <row r="6232" spans="1:2" x14ac:dyDescent="0.25">
      <c r="A6232" s="15" t="str">
        <f t="shared" si="194"/>
        <v/>
      </c>
      <c r="B6232" s="18" t="str">
        <f t="shared" si="195"/>
        <v/>
      </c>
    </row>
    <row r="6233" spans="1:2" x14ac:dyDescent="0.25">
      <c r="A6233" s="15" t="str">
        <f t="shared" si="194"/>
        <v/>
      </c>
      <c r="B6233" s="18" t="str">
        <f t="shared" si="195"/>
        <v/>
      </c>
    </row>
    <row r="6234" spans="1:2" x14ac:dyDescent="0.25">
      <c r="A6234" s="15" t="str">
        <f t="shared" si="194"/>
        <v/>
      </c>
      <c r="B6234" s="18" t="str">
        <f t="shared" si="195"/>
        <v/>
      </c>
    </row>
    <row r="6235" spans="1:2" x14ac:dyDescent="0.25">
      <c r="A6235" s="15" t="str">
        <f t="shared" si="194"/>
        <v/>
      </c>
      <c r="B6235" s="18" t="str">
        <f t="shared" si="195"/>
        <v/>
      </c>
    </row>
    <row r="6236" spans="1:2" x14ac:dyDescent="0.25">
      <c r="A6236" s="15" t="str">
        <f t="shared" si="194"/>
        <v/>
      </c>
      <c r="B6236" s="18" t="str">
        <f t="shared" si="195"/>
        <v/>
      </c>
    </row>
    <row r="6237" spans="1:2" x14ac:dyDescent="0.25">
      <c r="A6237" s="15" t="str">
        <f t="shared" si="194"/>
        <v/>
      </c>
      <c r="B6237" s="18" t="str">
        <f t="shared" si="195"/>
        <v/>
      </c>
    </row>
    <row r="6238" spans="1:2" x14ac:dyDescent="0.25">
      <c r="A6238" s="15" t="str">
        <f t="shared" si="194"/>
        <v/>
      </c>
      <c r="B6238" s="18" t="str">
        <f t="shared" si="195"/>
        <v/>
      </c>
    </row>
    <row r="6239" spans="1:2" x14ac:dyDescent="0.25">
      <c r="A6239" s="15" t="str">
        <f t="shared" si="194"/>
        <v/>
      </c>
      <c r="B6239" s="18" t="str">
        <f t="shared" si="195"/>
        <v/>
      </c>
    </row>
    <row r="6240" spans="1:2" x14ac:dyDescent="0.25">
      <c r="A6240" s="15" t="str">
        <f t="shared" si="194"/>
        <v/>
      </c>
      <c r="B6240" s="18" t="str">
        <f t="shared" si="195"/>
        <v/>
      </c>
    </row>
    <row r="6241" spans="1:2" x14ac:dyDescent="0.25">
      <c r="A6241" s="15" t="str">
        <f t="shared" si="194"/>
        <v/>
      </c>
      <c r="B6241" s="18" t="str">
        <f t="shared" si="195"/>
        <v/>
      </c>
    </row>
    <row r="6242" spans="1:2" x14ac:dyDescent="0.25">
      <c r="A6242" s="15" t="str">
        <f t="shared" si="194"/>
        <v/>
      </c>
      <c r="B6242" s="18" t="str">
        <f t="shared" si="195"/>
        <v/>
      </c>
    </row>
    <row r="6243" spans="1:2" x14ac:dyDescent="0.25">
      <c r="A6243" s="15" t="str">
        <f t="shared" si="194"/>
        <v/>
      </c>
      <c r="B6243" s="18" t="str">
        <f t="shared" si="195"/>
        <v/>
      </c>
    </row>
    <row r="6244" spans="1:2" x14ac:dyDescent="0.25">
      <c r="A6244" s="15" t="str">
        <f t="shared" si="194"/>
        <v/>
      </c>
      <c r="B6244" s="18" t="str">
        <f t="shared" si="195"/>
        <v/>
      </c>
    </row>
    <row r="6245" spans="1:2" x14ac:dyDescent="0.25">
      <c r="A6245" s="15" t="str">
        <f t="shared" si="194"/>
        <v/>
      </c>
      <c r="B6245" s="18" t="str">
        <f t="shared" si="195"/>
        <v/>
      </c>
    </row>
    <row r="6246" spans="1:2" x14ac:dyDescent="0.25">
      <c r="A6246" s="15" t="str">
        <f t="shared" si="194"/>
        <v/>
      </c>
      <c r="B6246" s="18" t="str">
        <f t="shared" si="195"/>
        <v/>
      </c>
    </row>
    <row r="6247" spans="1:2" x14ac:dyDescent="0.25">
      <c r="A6247" s="15" t="str">
        <f t="shared" si="194"/>
        <v/>
      </c>
      <c r="B6247" s="18" t="str">
        <f t="shared" si="195"/>
        <v/>
      </c>
    </row>
    <row r="6248" spans="1:2" x14ac:dyDescent="0.25">
      <c r="A6248" s="15" t="str">
        <f t="shared" si="194"/>
        <v/>
      </c>
      <c r="B6248" s="18" t="str">
        <f t="shared" si="195"/>
        <v/>
      </c>
    </row>
    <row r="6249" spans="1:2" x14ac:dyDescent="0.25">
      <c r="A6249" s="15" t="str">
        <f t="shared" si="194"/>
        <v/>
      </c>
      <c r="B6249" s="18" t="str">
        <f t="shared" si="195"/>
        <v/>
      </c>
    </row>
    <row r="6250" spans="1:2" x14ac:dyDescent="0.25">
      <c r="A6250" s="15" t="str">
        <f t="shared" si="194"/>
        <v/>
      </c>
      <c r="B6250" s="18" t="str">
        <f t="shared" si="195"/>
        <v/>
      </c>
    </row>
    <row r="6251" spans="1:2" x14ac:dyDescent="0.25">
      <c r="A6251" s="15" t="str">
        <f t="shared" si="194"/>
        <v/>
      </c>
      <c r="B6251" s="18" t="str">
        <f t="shared" si="195"/>
        <v/>
      </c>
    </row>
    <row r="6252" spans="1:2" x14ac:dyDescent="0.25">
      <c r="A6252" s="15" t="str">
        <f t="shared" si="194"/>
        <v/>
      </c>
      <c r="B6252" s="18" t="str">
        <f t="shared" si="195"/>
        <v/>
      </c>
    </row>
    <row r="6253" spans="1:2" x14ac:dyDescent="0.25">
      <c r="A6253" s="15" t="str">
        <f t="shared" si="194"/>
        <v/>
      </c>
      <c r="B6253" s="18" t="str">
        <f t="shared" si="195"/>
        <v/>
      </c>
    </row>
    <row r="6254" spans="1:2" x14ac:dyDescent="0.25">
      <c r="A6254" s="15" t="str">
        <f t="shared" si="194"/>
        <v/>
      </c>
      <c r="B6254" s="18" t="str">
        <f t="shared" si="195"/>
        <v/>
      </c>
    </row>
    <row r="6255" spans="1:2" x14ac:dyDescent="0.25">
      <c r="A6255" s="15" t="str">
        <f t="shared" si="194"/>
        <v/>
      </c>
      <c r="B6255" s="18" t="str">
        <f t="shared" si="195"/>
        <v/>
      </c>
    </row>
    <row r="6256" spans="1:2" x14ac:dyDescent="0.25">
      <c r="A6256" s="15" t="str">
        <f t="shared" si="194"/>
        <v/>
      </c>
      <c r="B6256" s="18" t="str">
        <f t="shared" si="195"/>
        <v/>
      </c>
    </row>
    <row r="6257" spans="1:2" x14ac:dyDescent="0.25">
      <c r="A6257" s="15" t="str">
        <f t="shared" si="194"/>
        <v/>
      </c>
      <c r="B6257" s="18" t="str">
        <f t="shared" si="195"/>
        <v/>
      </c>
    </row>
    <row r="6258" spans="1:2" x14ac:dyDescent="0.25">
      <c r="A6258" s="15" t="str">
        <f t="shared" si="194"/>
        <v/>
      </c>
      <c r="B6258" s="18" t="str">
        <f t="shared" si="195"/>
        <v/>
      </c>
    </row>
    <row r="6259" spans="1:2" x14ac:dyDescent="0.25">
      <c r="A6259" s="15" t="str">
        <f t="shared" si="194"/>
        <v/>
      </c>
      <c r="B6259" s="18" t="str">
        <f t="shared" si="195"/>
        <v/>
      </c>
    </row>
    <row r="6260" spans="1:2" x14ac:dyDescent="0.25">
      <c r="A6260" s="15" t="str">
        <f t="shared" si="194"/>
        <v/>
      </c>
      <c r="B6260" s="18" t="str">
        <f t="shared" si="195"/>
        <v/>
      </c>
    </row>
    <row r="6261" spans="1:2" x14ac:dyDescent="0.25">
      <c r="A6261" s="15" t="str">
        <f t="shared" si="194"/>
        <v/>
      </c>
      <c r="B6261" s="18" t="str">
        <f t="shared" si="195"/>
        <v/>
      </c>
    </row>
    <row r="6262" spans="1:2" x14ac:dyDescent="0.25">
      <c r="A6262" s="15" t="str">
        <f t="shared" si="194"/>
        <v/>
      </c>
      <c r="B6262" s="18" t="str">
        <f t="shared" si="195"/>
        <v/>
      </c>
    </row>
    <row r="6263" spans="1:2" x14ac:dyDescent="0.25">
      <c r="A6263" s="15" t="str">
        <f t="shared" si="194"/>
        <v/>
      </c>
      <c r="B6263" s="18" t="str">
        <f t="shared" si="195"/>
        <v/>
      </c>
    </row>
    <row r="6264" spans="1:2" x14ac:dyDescent="0.25">
      <c r="A6264" s="15" t="str">
        <f t="shared" si="194"/>
        <v/>
      </c>
      <c r="B6264" s="18" t="str">
        <f t="shared" si="195"/>
        <v/>
      </c>
    </row>
    <row r="6265" spans="1:2" x14ac:dyDescent="0.25">
      <c r="A6265" s="15" t="str">
        <f t="shared" si="194"/>
        <v/>
      </c>
      <c r="B6265" s="18" t="str">
        <f t="shared" si="195"/>
        <v/>
      </c>
    </row>
    <row r="6266" spans="1:2" x14ac:dyDescent="0.25">
      <c r="A6266" s="15" t="str">
        <f t="shared" si="194"/>
        <v/>
      </c>
      <c r="B6266" s="18" t="str">
        <f t="shared" si="195"/>
        <v/>
      </c>
    </row>
    <row r="6267" spans="1:2" x14ac:dyDescent="0.25">
      <c r="A6267" s="15" t="str">
        <f t="shared" si="194"/>
        <v/>
      </c>
      <c r="B6267" s="18" t="str">
        <f t="shared" si="195"/>
        <v/>
      </c>
    </row>
    <row r="6268" spans="1:2" x14ac:dyDescent="0.25">
      <c r="A6268" s="15" t="str">
        <f t="shared" si="194"/>
        <v/>
      </c>
      <c r="B6268" s="18" t="str">
        <f t="shared" si="195"/>
        <v/>
      </c>
    </row>
    <row r="6269" spans="1:2" x14ac:dyDescent="0.25">
      <c r="A6269" s="15" t="str">
        <f t="shared" si="194"/>
        <v/>
      </c>
      <c r="B6269" s="18" t="str">
        <f t="shared" si="195"/>
        <v/>
      </c>
    </row>
    <row r="6270" spans="1:2" x14ac:dyDescent="0.25">
      <c r="A6270" s="15" t="str">
        <f t="shared" si="194"/>
        <v/>
      </c>
      <c r="B6270" s="18" t="str">
        <f t="shared" si="195"/>
        <v/>
      </c>
    </row>
    <row r="6271" spans="1:2" x14ac:dyDescent="0.25">
      <c r="A6271" s="15" t="str">
        <f t="shared" si="194"/>
        <v/>
      </c>
      <c r="B6271" s="18" t="str">
        <f t="shared" si="195"/>
        <v/>
      </c>
    </row>
    <row r="6272" spans="1:2" x14ac:dyDescent="0.25">
      <c r="A6272" s="15" t="str">
        <f t="shared" si="194"/>
        <v/>
      </c>
      <c r="B6272" s="18" t="str">
        <f t="shared" si="195"/>
        <v/>
      </c>
    </row>
    <row r="6273" spans="1:2" x14ac:dyDescent="0.25">
      <c r="A6273" s="15" t="str">
        <f t="shared" si="194"/>
        <v/>
      </c>
      <c r="B6273" s="18" t="str">
        <f t="shared" si="195"/>
        <v/>
      </c>
    </row>
    <row r="6274" spans="1:2" x14ac:dyDescent="0.25">
      <c r="A6274" s="15" t="str">
        <f t="shared" ref="A6274:A6337" si="196">B6274&amp;C6274</f>
        <v/>
      </c>
      <c r="B6274" s="18" t="str">
        <f t="shared" si="195"/>
        <v/>
      </c>
    </row>
    <row r="6275" spans="1:2" x14ac:dyDescent="0.25">
      <c r="A6275" s="15" t="str">
        <f t="shared" si="196"/>
        <v/>
      </c>
      <c r="B6275" s="18" t="str">
        <f t="shared" ref="B6275:B6338" si="197">IF(C6275="","",B6274)</f>
        <v/>
      </c>
    </row>
    <row r="6276" spans="1:2" x14ac:dyDescent="0.25">
      <c r="A6276" s="15" t="str">
        <f t="shared" si="196"/>
        <v/>
      </c>
      <c r="B6276" s="18" t="str">
        <f t="shared" si="197"/>
        <v/>
      </c>
    </row>
    <row r="6277" spans="1:2" x14ac:dyDescent="0.25">
      <c r="A6277" s="15" t="str">
        <f t="shared" si="196"/>
        <v/>
      </c>
      <c r="B6277" s="18" t="str">
        <f t="shared" si="197"/>
        <v/>
      </c>
    </row>
    <row r="6278" spans="1:2" x14ac:dyDescent="0.25">
      <c r="A6278" s="15" t="str">
        <f t="shared" si="196"/>
        <v/>
      </c>
      <c r="B6278" s="18" t="str">
        <f t="shared" si="197"/>
        <v/>
      </c>
    </row>
    <row r="6279" spans="1:2" x14ac:dyDescent="0.25">
      <c r="A6279" s="15" t="str">
        <f t="shared" si="196"/>
        <v/>
      </c>
      <c r="B6279" s="18" t="str">
        <f t="shared" si="197"/>
        <v/>
      </c>
    </row>
    <row r="6280" spans="1:2" x14ac:dyDescent="0.25">
      <c r="A6280" s="15" t="str">
        <f t="shared" si="196"/>
        <v/>
      </c>
      <c r="B6280" s="18" t="str">
        <f t="shared" si="197"/>
        <v/>
      </c>
    </row>
    <row r="6281" spans="1:2" x14ac:dyDescent="0.25">
      <c r="A6281" s="15" t="str">
        <f t="shared" si="196"/>
        <v/>
      </c>
      <c r="B6281" s="18" t="str">
        <f t="shared" si="197"/>
        <v/>
      </c>
    </row>
    <row r="6282" spans="1:2" x14ac:dyDescent="0.25">
      <c r="A6282" s="15" t="str">
        <f t="shared" si="196"/>
        <v/>
      </c>
      <c r="B6282" s="18" t="str">
        <f t="shared" si="197"/>
        <v/>
      </c>
    </row>
    <row r="6283" spans="1:2" x14ac:dyDescent="0.25">
      <c r="A6283" s="15" t="str">
        <f t="shared" si="196"/>
        <v/>
      </c>
      <c r="B6283" s="18" t="str">
        <f t="shared" si="197"/>
        <v/>
      </c>
    </row>
    <row r="6284" spans="1:2" x14ac:dyDescent="0.25">
      <c r="A6284" s="15" t="str">
        <f t="shared" si="196"/>
        <v/>
      </c>
      <c r="B6284" s="18" t="str">
        <f t="shared" si="197"/>
        <v/>
      </c>
    </row>
    <row r="6285" spans="1:2" x14ac:dyDescent="0.25">
      <c r="A6285" s="15" t="str">
        <f t="shared" si="196"/>
        <v/>
      </c>
      <c r="B6285" s="18" t="str">
        <f t="shared" si="197"/>
        <v/>
      </c>
    </row>
    <row r="6286" spans="1:2" x14ac:dyDescent="0.25">
      <c r="A6286" s="15" t="str">
        <f t="shared" si="196"/>
        <v/>
      </c>
      <c r="B6286" s="18" t="str">
        <f t="shared" si="197"/>
        <v/>
      </c>
    </row>
    <row r="6287" spans="1:2" x14ac:dyDescent="0.25">
      <c r="A6287" s="15" t="str">
        <f t="shared" si="196"/>
        <v/>
      </c>
      <c r="B6287" s="18" t="str">
        <f t="shared" si="197"/>
        <v/>
      </c>
    </row>
    <row r="6288" spans="1:2" x14ac:dyDescent="0.25">
      <c r="A6288" s="15" t="str">
        <f t="shared" si="196"/>
        <v/>
      </c>
      <c r="B6288" s="18" t="str">
        <f t="shared" si="197"/>
        <v/>
      </c>
    </row>
    <row r="6289" spans="1:2" x14ac:dyDescent="0.25">
      <c r="A6289" s="15" t="str">
        <f t="shared" si="196"/>
        <v/>
      </c>
      <c r="B6289" s="18" t="str">
        <f t="shared" si="197"/>
        <v/>
      </c>
    </row>
    <row r="6290" spans="1:2" x14ac:dyDescent="0.25">
      <c r="A6290" s="15" t="str">
        <f t="shared" si="196"/>
        <v/>
      </c>
      <c r="B6290" s="18" t="str">
        <f t="shared" si="197"/>
        <v/>
      </c>
    </row>
    <row r="6291" spans="1:2" x14ac:dyDescent="0.25">
      <c r="A6291" s="15" t="str">
        <f t="shared" si="196"/>
        <v/>
      </c>
      <c r="B6291" s="18" t="str">
        <f t="shared" si="197"/>
        <v/>
      </c>
    </row>
    <row r="6292" spans="1:2" x14ac:dyDescent="0.25">
      <c r="A6292" s="15" t="str">
        <f t="shared" si="196"/>
        <v/>
      </c>
      <c r="B6292" s="18" t="str">
        <f t="shared" si="197"/>
        <v/>
      </c>
    </row>
    <row r="6293" spans="1:2" x14ac:dyDescent="0.25">
      <c r="A6293" s="15" t="str">
        <f t="shared" si="196"/>
        <v/>
      </c>
      <c r="B6293" s="18" t="str">
        <f t="shared" si="197"/>
        <v/>
      </c>
    </row>
    <row r="6294" spans="1:2" x14ac:dyDescent="0.25">
      <c r="A6294" s="15" t="str">
        <f t="shared" si="196"/>
        <v/>
      </c>
      <c r="B6294" s="18" t="str">
        <f t="shared" si="197"/>
        <v/>
      </c>
    </row>
    <row r="6295" spans="1:2" x14ac:dyDescent="0.25">
      <c r="A6295" s="15" t="str">
        <f t="shared" si="196"/>
        <v/>
      </c>
      <c r="B6295" s="18" t="str">
        <f t="shared" si="197"/>
        <v/>
      </c>
    </row>
    <row r="6296" spans="1:2" x14ac:dyDescent="0.25">
      <c r="A6296" s="15" t="str">
        <f t="shared" si="196"/>
        <v/>
      </c>
      <c r="B6296" s="18" t="str">
        <f t="shared" si="197"/>
        <v/>
      </c>
    </row>
    <row r="6297" spans="1:2" x14ac:dyDescent="0.25">
      <c r="A6297" s="15" t="str">
        <f t="shared" si="196"/>
        <v/>
      </c>
      <c r="B6297" s="18" t="str">
        <f t="shared" si="197"/>
        <v/>
      </c>
    </row>
    <row r="6298" spans="1:2" x14ac:dyDescent="0.25">
      <c r="A6298" s="15" t="str">
        <f t="shared" si="196"/>
        <v/>
      </c>
      <c r="B6298" s="18" t="str">
        <f t="shared" si="197"/>
        <v/>
      </c>
    </row>
    <row r="6299" spans="1:2" x14ac:dyDescent="0.25">
      <c r="A6299" s="15" t="str">
        <f t="shared" si="196"/>
        <v/>
      </c>
      <c r="B6299" s="18" t="str">
        <f t="shared" si="197"/>
        <v/>
      </c>
    </row>
    <row r="6300" spans="1:2" x14ac:dyDescent="0.25">
      <c r="A6300" s="15" t="str">
        <f t="shared" si="196"/>
        <v/>
      </c>
      <c r="B6300" s="18" t="str">
        <f t="shared" si="197"/>
        <v/>
      </c>
    </row>
    <row r="6301" spans="1:2" x14ac:dyDescent="0.25">
      <c r="A6301" s="15" t="str">
        <f t="shared" si="196"/>
        <v/>
      </c>
      <c r="B6301" s="18" t="str">
        <f t="shared" si="197"/>
        <v/>
      </c>
    </row>
    <row r="6302" spans="1:2" x14ac:dyDescent="0.25">
      <c r="A6302" s="15" t="str">
        <f t="shared" si="196"/>
        <v/>
      </c>
      <c r="B6302" s="18" t="str">
        <f t="shared" si="197"/>
        <v/>
      </c>
    </row>
    <row r="6303" spans="1:2" x14ac:dyDescent="0.25">
      <c r="A6303" s="15" t="str">
        <f t="shared" si="196"/>
        <v/>
      </c>
      <c r="B6303" s="18" t="str">
        <f t="shared" si="197"/>
        <v/>
      </c>
    </row>
    <row r="6304" spans="1:2" x14ac:dyDescent="0.25">
      <c r="A6304" s="15" t="str">
        <f t="shared" si="196"/>
        <v/>
      </c>
      <c r="B6304" s="18" t="str">
        <f t="shared" si="197"/>
        <v/>
      </c>
    </row>
    <row r="6305" spans="1:2" x14ac:dyDescent="0.25">
      <c r="A6305" s="15" t="str">
        <f t="shared" si="196"/>
        <v/>
      </c>
      <c r="B6305" s="18" t="str">
        <f t="shared" si="197"/>
        <v/>
      </c>
    </row>
    <row r="6306" spans="1:2" x14ac:dyDescent="0.25">
      <c r="A6306" s="15" t="str">
        <f t="shared" si="196"/>
        <v/>
      </c>
      <c r="B6306" s="18" t="str">
        <f t="shared" si="197"/>
        <v/>
      </c>
    </row>
    <row r="6307" spans="1:2" x14ac:dyDescent="0.25">
      <c r="A6307" s="15" t="str">
        <f t="shared" si="196"/>
        <v/>
      </c>
      <c r="B6307" s="18" t="str">
        <f t="shared" si="197"/>
        <v/>
      </c>
    </row>
    <row r="6308" spans="1:2" x14ac:dyDescent="0.25">
      <c r="A6308" s="15" t="str">
        <f t="shared" si="196"/>
        <v/>
      </c>
      <c r="B6308" s="18" t="str">
        <f t="shared" si="197"/>
        <v/>
      </c>
    </row>
    <row r="6309" spans="1:2" x14ac:dyDescent="0.25">
      <c r="A6309" s="15" t="str">
        <f t="shared" si="196"/>
        <v/>
      </c>
      <c r="B6309" s="18" t="str">
        <f t="shared" si="197"/>
        <v/>
      </c>
    </row>
    <row r="6310" spans="1:2" x14ac:dyDescent="0.25">
      <c r="A6310" s="15" t="str">
        <f t="shared" si="196"/>
        <v/>
      </c>
      <c r="B6310" s="18" t="str">
        <f t="shared" si="197"/>
        <v/>
      </c>
    </row>
    <row r="6311" spans="1:2" x14ac:dyDescent="0.25">
      <c r="A6311" s="15" t="str">
        <f t="shared" si="196"/>
        <v/>
      </c>
      <c r="B6311" s="18" t="str">
        <f t="shared" si="197"/>
        <v/>
      </c>
    </row>
    <row r="6312" spans="1:2" x14ac:dyDescent="0.25">
      <c r="A6312" s="15" t="str">
        <f t="shared" si="196"/>
        <v/>
      </c>
      <c r="B6312" s="18" t="str">
        <f t="shared" si="197"/>
        <v/>
      </c>
    </row>
    <row r="6313" spans="1:2" x14ac:dyDescent="0.25">
      <c r="A6313" s="15" t="str">
        <f t="shared" si="196"/>
        <v/>
      </c>
      <c r="B6313" s="18" t="str">
        <f t="shared" si="197"/>
        <v/>
      </c>
    </row>
    <row r="6314" spans="1:2" x14ac:dyDescent="0.25">
      <c r="A6314" s="15" t="str">
        <f t="shared" si="196"/>
        <v/>
      </c>
      <c r="B6314" s="18" t="str">
        <f t="shared" si="197"/>
        <v/>
      </c>
    </row>
    <row r="6315" spans="1:2" x14ac:dyDescent="0.25">
      <c r="A6315" s="15" t="str">
        <f t="shared" si="196"/>
        <v/>
      </c>
      <c r="B6315" s="18" t="str">
        <f t="shared" si="197"/>
        <v/>
      </c>
    </row>
    <row r="6316" spans="1:2" x14ac:dyDescent="0.25">
      <c r="A6316" s="15" t="str">
        <f t="shared" si="196"/>
        <v/>
      </c>
      <c r="B6316" s="18" t="str">
        <f t="shared" si="197"/>
        <v/>
      </c>
    </row>
    <row r="6317" spans="1:2" x14ac:dyDescent="0.25">
      <c r="A6317" s="15" t="str">
        <f t="shared" si="196"/>
        <v/>
      </c>
      <c r="B6317" s="18" t="str">
        <f t="shared" si="197"/>
        <v/>
      </c>
    </row>
    <row r="6318" spans="1:2" x14ac:dyDescent="0.25">
      <c r="A6318" s="15" t="str">
        <f t="shared" si="196"/>
        <v/>
      </c>
      <c r="B6318" s="18" t="str">
        <f t="shared" si="197"/>
        <v/>
      </c>
    </row>
    <row r="6319" spans="1:2" x14ac:dyDescent="0.25">
      <c r="A6319" s="15" t="str">
        <f t="shared" si="196"/>
        <v/>
      </c>
      <c r="B6319" s="18" t="str">
        <f t="shared" si="197"/>
        <v/>
      </c>
    </row>
    <row r="6320" spans="1:2" x14ac:dyDescent="0.25">
      <c r="A6320" s="15" t="str">
        <f t="shared" si="196"/>
        <v/>
      </c>
      <c r="B6320" s="18" t="str">
        <f t="shared" si="197"/>
        <v/>
      </c>
    </row>
    <row r="6321" spans="1:2" x14ac:dyDescent="0.25">
      <c r="A6321" s="15" t="str">
        <f t="shared" si="196"/>
        <v/>
      </c>
      <c r="B6321" s="18" t="str">
        <f t="shared" si="197"/>
        <v/>
      </c>
    </row>
    <row r="6322" spans="1:2" x14ac:dyDescent="0.25">
      <c r="A6322" s="15" t="str">
        <f t="shared" si="196"/>
        <v/>
      </c>
      <c r="B6322" s="18" t="str">
        <f t="shared" si="197"/>
        <v/>
      </c>
    </row>
    <row r="6323" spans="1:2" x14ac:dyDescent="0.25">
      <c r="A6323" s="15" t="str">
        <f t="shared" si="196"/>
        <v/>
      </c>
      <c r="B6323" s="18" t="str">
        <f t="shared" si="197"/>
        <v/>
      </c>
    </row>
    <row r="6324" spans="1:2" x14ac:dyDescent="0.25">
      <c r="A6324" s="15" t="str">
        <f t="shared" si="196"/>
        <v/>
      </c>
      <c r="B6324" s="18" t="str">
        <f t="shared" si="197"/>
        <v/>
      </c>
    </row>
    <row r="6325" spans="1:2" x14ac:dyDescent="0.25">
      <c r="A6325" s="15" t="str">
        <f t="shared" si="196"/>
        <v/>
      </c>
      <c r="B6325" s="18" t="str">
        <f t="shared" si="197"/>
        <v/>
      </c>
    </row>
    <row r="6326" spans="1:2" x14ac:dyDescent="0.25">
      <c r="A6326" s="15" t="str">
        <f t="shared" si="196"/>
        <v/>
      </c>
      <c r="B6326" s="18" t="str">
        <f t="shared" si="197"/>
        <v/>
      </c>
    </row>
    <row r="6327" spans="1:2" x14ac:dyDescent="0.25">
      <c r="A6327" s="15" t="str">
        <f t="shared" si="196"/>
        <v/>
      </c>
      <c r="B6327" s="18" t="str">
        <f t="shared" si="197"/>
        <v/>
      </c>
    </row>
    <row r="6328" spans="1:2" x14ac:dyDescent="0.25">
      <c r="A6328" s="15" t="str">
        <f t="shared" si="196"/>
        <v/>
      </c>
      <c r="B6328" s="18" t="str">
        <f t="shared" si="197"/>
        <v/>
      </c>
    </row>
    <row r="6329" spans="1:2" x14ac:dyDescent="0.25">
      <c r="A6329" s="15" t="str">
        <f t="shared" si="196"/>
        <v/>
      </c>
      <c r="B6329" s="18" t="str">
        <f t="shared" si="197"/>
        <v/>
      </c>
    </row>
    <row r="6330" spans="1:2" x14ac:dyDescent="0.25">
      <c r="A6330" s="15" t="str">
        <f t="shared" si="196"/>
        <v/>
      </c>
      <c r="B6330" s="18" t="str">
        <f t="shared" si="197"/>
        <v/>
      </c>
    </row>
    <row r="6331" spans="1:2" x14ac:dyDescent="0.25">
      <c r="A6331" s="15" t="str">
        <f t="shared" si="196"/>
        <v/>
      </c>
      <c r="B6331" s="18" t="str">
        <f t="shared" si="197"/>
        <v/>
      </c>
    </row>
    <row r="6332" spans="1:2" x14ac:dyDescent="0.25">
      <c r="A6332" s="15" t="str">
        <f t="shared" si="196"/>
        <v/>
      </c>
      <c r="B6332" s="18" t="str">
        <f t="shared" si="197"/>
        <v/>
      </c>
    </row>
    <row r="6333" spans="1:2" x14ac:dyDescent="0.25">
      <c r="A6333" s="15" t="str">
        <f t="shared" si="196"/>
        <v/>
      </c>
      <c r="B6333" s="18" t="str">
        <f t="shared" si="197"/>
        <v/>
      </c>
    </row>
    <row r="6334" spans="1:2" x14ac:dyDescent="0.25">
      <c r="A6334" s="15" t="str">
        <f t="shared" si="196"/>
        <v/>
      </c>
      <c r="B6334" s="18" t="str">
        <f t="shared" si="197"/>
        <v/>
      </c>
    </row>
    <row r="6335" spans="1:2" x14ac:dyDescent="0.25">
      <c r="A6335" s="15" t="str">
        <f t="shared" si="196"/>
        <v/>
      </c>
      <c r="B6335" s="18" t="str">
        <f t="shared" si="197"/>
        <v/>
      </c>
    </row>
    <row r="6336" spans="1:2" x14ac:dyDescent="0.25">
      <c r="A6336" s="15" t="str">
        <f t="shared" si="196"/>
        <v/>
      </c>
      <c r="B6336" s="18" t="str">
        <f t="shared" si="197"/>
        <v/>
      </c>
    </row>
    <row r="6337" spans="1:2" x14ac:dyDescent="0.25">
      <c r="A6337" s="15" t="str">
        <f t="shared" si="196"/>
        <v/>
      </c>
      <c r="B6337" s="18" t="str">
        <f t="shared" si="197"/>
        <v/>
      </c>
    </row>
    <row r="6338" spans="1:2" x14ac:dyDescent="0.25">
      <c r="A6338" s="15" t="str">
        <f t="shared" ref="A6338:A6401" si="198">B6338&amp;C6338</f>
        <v/>
      </c>
      <c r="B6338" s="18" t="str">
        <f t="shared" si="197"/>
        <v/>
      </c>
    </row>
    <row r="6339" spans="1:2" x14ac:dyDescent="0.25">
      <c r="A6339" s="15" t="str">
        <f t="shared" si="198"/>
        <v/>
      </c>
      <c r="B6339" s="18" t="str">
        <f t="shared" ref="B6339:B6402" si="199">IF(C6339="","",B6338)</f>
        <v/>
      </c>
    </row>
    <row r="6340" spans="1:2" x14ac:dyDescent="0.25">
      <c r="A6340" s="15" t="str">
        <f t="shared" si="198"/>
        <v/>
      </c>
      <c r="B6340" s="18" t="str">
        <f t="shared" si="199"/>
        <v/>
      </c>
    </row>
    <row r="6341" spans="1:2" x14ac:dyDescent="0.25">
      <c r="A6341" s="15" t="str">
        <f t="shared" si="198"/>
        <v/>
      </c>
      <c r="B6341" s="18" t="str">
        <f t="shared" si="199"/>
        <v/>
      </c>
    </row>
    <row r="6342" spans="1:2" x14ac:dyDescent="0.25">
      <c r="A6342" s="15" t="str">
        <f t="shared" si="198"/>
        <v/>
      </c>
      <c r="B6342" s="18" t="str">
        <f t="shared" si="199"/>
        <v/>
      </c>
    </row>
    <row r="6343" spans="1:2" x14ac:dyDescent="0.25">
      <c r="A6343" s="15" t="str">
        <f t="shared" si="198"/>
        <v/>
      </c>
      <c r="B6343" s="18" t="str">
        <f t="shared" si="199"/>
        <v/>
      </c>
    </row>
    <row r="6344" spans="1:2" x14ac:dyDescent="0.25">
      <c r="A6344" s="15" t="str">
        <f t="shared" si="198"/>
        <v/>
      </c>
      <c r="B6344" s="18" t="str">
        <f t="shared" si="199"/>
        <v/>
      </c>
    </row>
    <row r="6345" spans="1:2" x14ac:dyDescent="0.25">
      <c r="A6345" s="15" t="str">
        <f t="shared" si="198"/>
        <v/>
      </c>
      <c r="B6345" s="18" t="str">
        <f t="shared" si="199"/>
        <v/>
      </c>
    </row>
    <row r="6346" spans="1:2" x14ac:dyDescent="0.25">
      <c r="A6346" s="15" t="str">
        <f t="shared" si="198"/>
        <v/>
      </c>
      <c r="B6346" s="18" t="str">
        <f t="shared" si="199"/>
        <v/>
      </c>
    </row>
    <row r="6347" spans="1:2" x14ac:dyDescent="0.25">
      <c r="A6347" s="15" t="str">
        <f t="shared" si="198"/>
        <v/>
      </c>
      <c r="B6347" s="18" t="str">
        <f t="shared" si="199"/>
        <v/>
      </c>
    </row>
    <row r="6348" spans="1:2" x14ac:dyDescent="0.25">
      <c r="A6348" s="15" t="str">
        <f t="shared" si="198"/>
        <v/>
      </c>
      <c r="B6348" s="18" t="str">
        <f t="shared" si="199"/>
        <v/>
      </c>
    </row>
    <row r="6349" spans="1:2" x14ac:dyDescent="0.25">
      <c r="A6349" s="15" t="str">
        <f t="shared" si="198"/>
        <v/>
      </c>
      <c r="B6349" s="18" t="str">
        <f t="shared" si="199"/>
        <v/>
      </c>
    </row>
    <row r="6350" spans="1:2" x14ac:dyDescent="0.25">
      <c r="A6350" s="15" t="str">
        <f t="shared" si="198"/>
        <v/>
      </c>
      <c r="B6350" s="18" t="str">
        <f t="shared" si="199"/>
        <v/>
      </c>
    </row>
    <row r="6351" spans="1:2" x14ac:dyDescent="0.25">
      <c r="A6351" s="15" t="str">
        <f t="shared" si="198"/>
        <v/>
      </c>
      <c r="B6351" s="18" t="str">
        <f t="shared" si="199"/>
        <v/>
      </c>
    </row>
    <row r="6352" spans="1:2" x14ac:dyDescent="0.25">
      <c r="A6352" s="15" t="str">
        <f t="shared" si="198"/>
        <v/>
      </c>
      <c r="B6352" s="18" t="str">
        <f t="shared" si="199"/>
        <v/>
      </c>
    </row>
    <row r="6353" spans="1:2" x14ac:dyDescent="0.25">
      <c r="A6353" s="15" t="str">
        <f t="shared" si="198"/>
        <v/>
      </c>
      <c r="B6353" s="18" t="str">
        <f t="shared" si="199"/>
        <v/>
      </c>
    </row>
    <row r="6354" spans="1:2" x14ac:dyDescent="0.25">
      <c r="A6354" s="15" t="str">
        <f t="shared" si="198"/>
        <v/>
      </c>
      <c r="B6354" s="18" t="str">
        <f t="shared" si="199"/>
        <v/>
      </c>
    </row>
    <row r="6355" spans="1:2" x14ac:dyDescent="0.25">
      <c r="A6355" s="15" t="str">
        <f t="shared" si="198"/>
        <v/>
      </c>
      <c r="B6355" s="18" t="str">
        <f t="shared" si="199"/>
        <v/>
      </c>
    </row>
    <row r="6356" spans="1:2" x14ac:dyDescent="0.25">
      <c r="A6356" s="15" t="str">
        <f t="shared" si="198"/>
        <v/>
      </c>
      <c r="B6356" s="18" t="str">
        <f t="shared" si="199"/>
        <v/>
      </c>
    </row>
    <row r="6357" spans="1:2" x14ac:dyDescent="0.25">
      <c r="A6357" s="15" t="str">
        <f t="shared" si="198"/>
        <v/>
      </c>
      <c r="B6357" s="18" t="str">
        <f t="shared" si="199"/>
        <v/>
      </c>
    </row>
    <row r="6358" spans="1:2" x14ac:dyDescent="0.25">
      <c r="A6358" s="15" t="str">
        <f t="shared" si="198"/>
        <v/>
      </c>
      <c r="B6358" s="18" t="str">
        <f t="shared" si="199"/>
        <v/>
      </c>
    </row>
    <row r="6359" spans="1:2" x14ac:dyDescent="0.25">
      <c r="A6359" s="15" t="str">
        <f t="shared" si="198"/>
        <v/>
      </c>
      <c r="B6359" s="18" t="str">
        <f t="shared" si="199"/>
        <v/>
      </c>
    </row>
    <row r="6360" spans="1:2" x14ac:dyDescent="0.25">
      <c r="A6360" s="15" t="str">
        <f t="shared" si="198"/>
        <v/>
      </c>
      <c r="B6360" s="18" t="str">
        <f t="shared" si="199"/>
        <v/>
      </c>
    </row>
    <row r="6361" spans="1:2" x14ac:dyDescent="0.25">
      <c r="A6361" s="15" t="str">
        <f t="shared" si="198"/>
        <v/>
      </c>
      <c r="B6361" s="18" t="str">
        <f t="shared" si="199"/>
        <v/>
      </c>
    </row>
    <row r="6362" spans="1:2" x14ac:dyDescent="0.25">
      <c r="A6362" s="15" t="str">
        <f t="shared" si="198"/>
        <v/>
      </c>
      <c r="B6362" s="18" t="str">
        <f t="shared" si="199"/>
        <v/>
      </c>
    </row>
    <row r="6363" spans="1:2" x14ac:dyDescent="0.25">
      <c r="A6363" s="15" t="str">
        <f t="shared" si="198"/>
        <v/>
      </c>
      <c r="B6363" s="18" t="str">
        <f t="shared" si="199"/>
        <v/>
      </c>
    </row>
    <row r="6364" spans="1:2" x14ac:dyDescent="0.25">
      <c r="A6364" s="15" t="str">
        <f t="shared" si="198"/>
        <v/>
      </c>
      <c r="B6364" s="18" t="str">
        <f t="shared" si="199"/>
        <v/>
      </c>
    </row>
    <row r="6365" spans="1:2" x14ac:dyDescent="0.25">
      <c r="A6365" s="15" t="str">
        <f t="shared" si="198"/>
        <v/>
      </c>
      <c r="B6365" s="18" t="str">
        <f t="shared" si="199"/>
        <v/>
      </c>
    </row>
    <row r="6366" spans="1:2" x14ac:dyDescent="0.25">
      <c r="A6366" s="15" t="str">
        <f t="shared" si="198"/>
        <v/>
      </c>
      <c r="B6366" s="18" t="str">
        <f t="shared" si="199"/>
        <v/>
      </c>
    </row>
    <row r="6367" spans="1:2" x14ac:dyDescent="0.25">
      <c r="A6367" s="15" t="str">
        <f t="shared" si="198"/>
        <v/>
      </c>
      <c r="B6367" s="18" t="str">
        <f t="shared" si="199"/>
        <v/>
      </c>
    </row>
    <row r="6368" spans="1:2" x14ac:dyDescent="0.25">
      <c r="A6368" s="15" t="str">
        <f t="shared" si="198"/>
        <v/>
      </c>
      <c r="B6368" s="18" t="str">
        <f t="shared" si="199"/>
        <v/>
      </c>
    </row>
    <row r="6369" spans="1:2" x14ac:dyDescent="0.25">
      <c r="A6369" s="15" t="str">
        <f t="shared" si="198"/>
        <v/>
      </c>
      <c r="B6369" s="18" t="str">
        <f t="shared" si="199"/>
        <v/>
      </c>
    </row>
    <row r="6370" spans="1:2" x14ac:dyDescent="0.25">
      <c r="A6370" s="15" t="str">
        <f t="shared" si="198"/>
        <v/>
      </c>
      <c r="B6370" s="18" t="str">
        <f t="shared" si="199"/>
        <v/>
      </c>
    </row>
    <row r="6371" spans="1:2" x14ac:dyDescent="0.25">
      <c r="A6371" s="15" t="str">
        <f t="shared" si="198"/>
        <v/>
      </c>
      <c r="B6371" s="18" t="str">
        <f t="shared" si="199"/>
        <v/>
      </c>
    </row>
    <row r="6372" spans="1:2" x14ac:dyDescent="0.25">
      <c r="A6372" s="15" t="str">
        <f t="shared" si="198"/>
        <v/>
      </c>
      <c r="B6372" s="18" t="str">
        <f t="shared" si="199"/>
        <v/>
      </c>
    </row>
    <row r="6373" spans="1:2" x14ac:dyDescent="0.25">
      <c r="A6373" s="15" t="str">
        <f t="shared" si="198"/>
        <v/>
      </c>
      <c r="B6373" s="18" t="str">
        <f t="shared" si="199"/>
        <v/>
      </c>
    </row>
    <row r="6374" spans="1:2" x14ac:dyDescent="0.25">
      <c r="A6374" s="15" t="str">
        <f t="shared" si="198"/>
        <v/>
      </c>
      <c r="B6374" s="18" t="str">
        <f t="shared" si="199"/>
        <v/>
      </c>
    </row>
    <row r="6375" spans="1:2" x14ac:dyDescent="0.25">
      <c r="A6375" s="15" t="str">
        <f t="shared" si="198"/>
        <v/>
      </c>
      <c r="B6375" s="18" t="str">
        <f t="shared" si="199"/>
        <v/>
      </c>
    </row>
    <row r="6376" spans="1:2" x14ac:dyDescent="0.25">
      <c r="A6376" s="15" t="str">
        <f t="shared" si="198"/>
        <v/>
      </c>
      <c r="B6376" s="18" t="str">
        <f t="shared" si="199"/>
        <v/>
      </c>
    </row>
    <row r="6377" spans="1:2" x14ac:dyDescent="0.25">
      <c r="A6377" s="15" t="str">
        <f t="shared" si="198"/>
        <v/>
      </c>
      <c r="B6377" s="18" t="str">
        <f t="shared" si="199"/>
        <v/>
      </c>
    </row>
    <row r="6378" spans="1:2" x14ac:dyDescent="0.25">
      <c r="A6378" s="15" t="str">
        <f t="shared" si="198"/>
        <v/>
      </c>
      <c r="B6378" s="18" t="str">
        <f t="shared" si="199"/>
        <v/>
      </c>
    </row>
    <row r="6379" spans="1:2" x14ac:dyDescent="0.25">
      <c r="A6379" s="15" t="str">
        <f t="shared" si="198"/>
        <v/>
      </c>
      <c r="B6379" s="18" t="str">
        <f t="shared" si="199"/>
        <v/>
      </c>
    </row>
    <row r="6380" spans="1:2" x14ac:dyDescent="0.25">
      <c r="A6380" s="15" t="str">
        <f t="shared" si="198"/>
        <v/>
      </c>
      <c r="B6380" s="18" t="str">
        <f t="shared" si="199"/>
        <v/>
      </c>
    </row>
    <row r="6381" spans="1:2" x14ac:dyDescent="0.25">
      <c r="A6381" s="15" t="str">
        <f t="shared" si="198"/>
        <v/>
      </c>
      <c r="B6381" s="18" t="str">
        <f t="shared" si="199"/>
        <v/>
      </c>
    </row>
    <row r="6382" spans="1:2" x14ac:dyDescent="0.25">
      <c r="A6382" s="15" t="str">
        <f t="shared" si="198"/>
        <v/>
      </c>
      <c r="B6382" s="18" t="str">
        <f t="shared" si="199"/>
        <v/>
      </c>
    </row>
    <row r="6383" spans="1:2" x14ac:dyDescent="0.25">
      <c r="A6383" s="15" t="str">
        <f t="shared" si="198"/>
        <v/>
      </c>
      <c r="B6383" s="18" t="str">
        <f t="shared" si="199"/>
        <v/>
      </c>
    </row>
    <row r="6384" spans="1:2" x14ac:dyDescent="0.25">
      <c r="A6384" s="15" t="str">
        <f t="shared" si="198"/>
        <v/>
      </c>
      <c r="B6384" s="18" t="str">
        <f t="shared" si="199"/>
        <v/>
      </c>
    </row>
    <row r="6385" spans="1:2" x14ac:dyDescent="0.25">
      <c r="A6385" s="15" t="str">
        <f t="shared" si="198"/>
        <v/>
      </c>
      <c r="B6385" s="18" t="str">
        <f t="shared" si="199"/>
        <v/>
      </c>
    </row>
    <row r="6386" spans="1:2" x14ac:dyDescent="0.25">
      <c r="A6386" s="15" t="str">
        <f t="shared" si="198"/>
        <v/>
      </c>
      <c r="B6386" s="18" t="str">
        <f t="shared" si="199"/>
        <v/>
      </c>
    </row>
    <row r="6387" spans="1:2" x14ac:dyDescent="0.25">
      <c r="A6387" s="15" t="str">
        <f t="shared" si="198"/>
        <v/>
      </c>
      <c r="B6387" s="18" t="str">
        <f t="shared" si="199"/>
        <v/>
      </c>
    </row>
    <row r="6388" spans="1:2" x14ac:dyDescent="0.25">
      <c r="A6388" s="15" t="str">
        <f t="shared" si="198"/>
        <v/>
      </c>
      <c r="B6388" s="18" t="str">
        <f t="shared" si="199"/>
        <v/>
      </c>
    </row>
    <row r="6389" spans="1:2" x14ac:dyDescent="0.25">
      <c r="A6389" s="15" t="str">
        <f t="shared" si="198"/>
        <v/>
      </c>
      <c r="B6389" s="18" t="str">
        <f t="shared" si="199"/>
        <v/>
      </c>
    </row>
    <row r="6390" spans="1:2" x14ac:dyDescent="0.25">
      <c r="A6390" s="15" t="str">
        <f t="shared" si="198"/>
        <v/>
      </c>
      <c r="B6390" s="18" t="str">
        <f t="shared" si="199"/>
        <v/>
      </c>
    </row>
    <row r="6391" spans="1:2" x14ac:dyDescent="0.25">
      <c r="A6391" s="15" t="str">
        <f t="shared" si="198"/>
        <v/>
      </c>
      <c r="B6391" s="18" t="str">
        <f t="shared" si="199"/>
        <v/>
      </c>
    </row>
    <row r="6392" spans="1:2" x14ac:dyDescent="0.25">
      <c r="A6392" s="15" t="str">
        <f t="shared" si="198"/>
        <v/>
      </c>
      <c r="B6392" s="18" t="str">
        <f t="shared" si="199"/>
        <v/>
      </c>
    </row>
    <row r="6393" spans="1:2" x14ac:dyDescent="0.25">
      <c r="A6393" s="15" t="str">
        <f t="shared" si="198"/>
        <v/>
      </c>
      <c r="B6393" s="18" t="str">
        <f t="shared" si="199"/>
        <v/>
      </c>
    </row>
    <row r="6394" spans="1:2" x14ac:dyDescent="0.25">
      <c r="A6394" s="15" t="str">
        <f t="shared" si="198"/>
        <v/>
      </c>
      <c r="B6394" s="18" t="str">
        <f t="shared" si="199"/>
        <v/>
      </c>
    </row>
    <row r="6395" spans="1:2" x14ac:dyDescent="0.25">
      <c r="A6395" s="15" t="str">
        <f t="shared" si="198"/>
        <v/>
      </c>
      <c r="B6395" s="18" t="str">
        <f t="shared" si="199"/>
        <v/>
      </c>
    </row>
    <row r="6396" spans="1:2" x14ac:dyDescent="0.25">
      <c r="A6396" s="15" t="str">
        <f t="shared" si="198"/>
        <v/>
      </c>
      <c r="B6396" s="18" t="str">
        <f t="shared" si="199"/>
        <v/>
      </c>
    </row>
    <row r="6397" spans="1:2" x14ac:dyDescent="0.25">
      <c r="A6397" s="15" t="str">
        <f t="shared" si="198"/>
        <v/>
      </c>
      <c r="B6397" s="18" t="str">
        <f t="shared" si="199"/>
        <v/>
      </c>
    </row>
    <row r="6398" spans="1:2" x14ac:dyDescent="0.25">
      <c r="A6398" s="15" t="str">
        <f t="shared" si="198"/>
        <v/>
      </c>
      <c r="B6398" s="18" t="str">
        <f t="shared" si="199"/>
        <v/>
      </c>
    </row>
    <row r="6399" spans="1:2" x14ac:dyDescent="0.25">
      <c r="A6399" s="15" t="str">
        <f t="shared" si="198"/>
        <v/>
      </c>
      <c r="B6399" s="18" t="str">
        <f t="shared" si="199"/>
        <v/>
      </c>
    </row>
    <row r="6400" spans="1:2" x14ac:dyDescent="0.25">
      <c r="A6400" s="15" t="str">
        <f t="shared" si="198"/>
        <v/>
      </c>
      <c r="B6400" s="18" t="str">
        <f t="shared" si="199"/>
        <v/>
      </c>
    </row>
    <row r="6401" spans="1:2" x14ac:dyDescent="0.25">
      <c r="A6401" s="15" t="str">
        <f t="shared" si="198"/>
        <v/>
      </c>
      <c r="B6401" s="18" t="str">
        <f t="shared" si="199"/>
        <v/>
      </c>
    </row>
    <row r="6402" spans="1:2" x14ac:dyDescent="0.25">
      <c r="A6402" s="15" t="str">
        <f t="shared" ref="A6402:A6465" si="200">B6402&amp;C6402</f>
        <v/>
      </c>
      <c r="B6402" s="18" t="str">
        <f t="shared" si="199"/>
        <v/>
      </c>
    </row>
    <row r="6403" spans="1:2" x14ac:dyDescent="0.25">
      <c r="A6403" s="15" t="str">
        <f t="shared" si="200"/>
        <v/>
      </c>
      <c r="B6403" s="18" t="str">
        <f t="shared" ref="B6403:B6466" si="201">IF(C6403="","",B6402)</f>
        <v/>
      </c>
    </row>
    <row r="6404" spans="1:2" x14ac:dyDescent="0.25">
      <c r="A6404" s="15" t="str">
        <f t="shared" si="200"/>
        <v/>
      </c>
      <c r="B6404" s="18" t="str">
        <f t="shared" si="201"/>
        <v/>
      </c>
    </row>
    <row r="6405" spans="1:2" x14ac:dyDescent="0.25">
      <c r="A6405" s="15" t="str">
        <f t="shared" si="200"/>
        <v/>
      </c>
      <c r="B6405" s="18" t="str">
        <f t="shared" si="201"/>
        <v/>
      </c>
    </row>
    <row r="6406" spans="1:2" x14ac:dyDescent="0.25">
      <c r="A6406" s="15" t="str">
        <f t="shared" si="200"/>
        <v/>
      </c>
      <c r="B6406" s="18" t="str">
        <f t="shared" si="201"/>
        <v/>
      </c>
    </row>
    <row r="6407" spans="1:2" x14ac:dyDescent="0.25">
      <c r="A6407" s="15" t="str">
        <f t="shared" si="200"/>
        <v/>
      </c>
      <c r="B6407" s="18" t="str">
        <f t="shared" si="201"/>
        <v/>
      </c>
    </row>
    <row r="6408" spans="1:2" x14ac:dyDescent="0.25">
      <c r="A6408" s="15" t="str">
        <f t="shared" si="200"/>
        <v/>
      </c>
      <c r="B6408" s="18" t="str">
        <f t="shared" si="201"/>
        <v/>
      </c>
    </row>
    <row r="6409" spans="1:2" x14ac:dyDescent="0.25">
      <c r="A6409" s="15" t="str">
        <f t="shared" si="200"/>
        <v/>
      </c>
      <c r="B6409" s="18" t="str">
        <f t="shared" si="201"/>
        <v/>
      </c>
    </row>
    <row r="6410" spans="1:2" x14ac:dyDescent="0.25">
      <c r="A6410" s="15" t="str">
        <f t="shared" si="200"/>
        <v/>
      </c>
      <c r="B6410" s="18" t="str">
        <f t="shared" si="201"/>
        <v/>
      </c>
    </row>
    <row r="6411" spans="1:2" x14ac:dyDescent="0.25">
      <c r="A6411" s="15" t="str">
        <f t="shared" si="200"/>
        <v/>
      </c>
      <c r="B6411" s="18" t="str">
        <f t="shared" si="201"/>
        <v/>
      </c>
    </row>
    <row r="6412" spans="1:2" x14ac:dyDescent="0.25">
      <c r="A6412" s="15" t="str">
        <f t="shared" si="200"/>
        <v/>
      </c>
      <c r="B6412" s="18" t="str">
        <f t="shared" si="201"/>
        <v/>
      </c>
    </row>
    <row r="6413" spans="1:2" x14ac:dyDescent="0.25">
      <c r="A6413" s="15" t="str">
        <f t="shared" si="200"/>
        <v/>
      </c>
      <c r="B6413" s="18" t="str">
        <f t="shared" si="201"/>
        <v/>
      </c>
    </row>
    <row r="6414" spans="1:2" x14ac:dyDescent="0.25">
      <c r="A6414" s="15" t="str">
        <f t="shared" si="200"/>
        <v/>
      </c>
      <c r="B6414" s="18" t="str">
        <f t="shared" si="201"/>
        <v/>
      </c>
    </row>
    <row r="6415" spans="1:2" x14ac:dyDescent="0.25">
      <c r="A6415" s="15" t="str">
        <f t="shared" si="200"/>
        <v/>
      </c>
      <c r="B6415" s="18" t="str">
        <f t="shared" si="201"/>
        <v/>
      </c>
    </row>
    <row r="6416" spans="1:2" x14ac:dyDescent="0.25">
      <c r="A6416" s="15" t="str">
        <f t="shared" si="200"/>
        <v/>
      </c>
      <c r="B6416" s="18" t="str">
        <f t="shared" si="201"/>
        <v/>
      </c>
    </row>
    <row r="6417" spans="1:2" x14ac:dyDescent="0.25">
      <c r="A6417" s="15" t="str">
        <f t="shared" si="200"/>
        <v/>
      </c>
      <c r="B6417" s="18" t="str">
        <f t="shared" si="201"/>
        <v/>
      </c>
    </row>
    <row r="6418" spans="1:2" x14ac:dyDescent="0.25">
      <c r="A6418" s="15" t="str">
        <f t="shared" si="200"/>
        <v/>
      </c>
      <c r="B6418" s="18" t="str">
        <f t="shared" si="201"/>
        <v/>
      </c>
    </row>
    <row r="6419" spans="1:2" x14ac:dyDescent="0.25">
      <c r="A6419" s="15" t="str">
        <f t="shared" si="200"/>
        <v/>
      </c>
      <c r="B6419" s="18" t="str">
        <f t="shared" si="201"/>
        <v/>
      </c>
    </row>
    <row r="6420" spans="1:2" x14ac:dyDescent="0.25">
      <c r="A6420" s="15" t="str">
        <f t="shared" si="200"/>
        <v/>
      </c>
      <c r="B6420" s="18" t="str">
        <f t="shared" si="201"/>
        <v/>
      </c>
    </row>
    <row r="6421" spans="1:2" x14ac:dyDescent="0.25">
      <c r="A6421" s="15" t="str">
        <f t="shared" si="200"/>
        <v/>
      </c>
      <c r="B6421" s="18" t="str">
        <f t="shared" si="201"/>
        <v/>
      </c>
    </row>
    <row r="6422" spans="1:2" x14ac:dyDescent="0.25">
      <c r="A6422" s="15" t="str">
        <f t="shared" si="200"/>
        <v/>
      </c>
      <c r="B6422" s="18" t="str">
        <f t="shared" si="201"/>
        <v/>
      </c>
    </row>
    <row r="6423" spans="1:2" x14ac:dyDescent="0.25">
      <c r="A6423" s="15" t="str">
        <f t="shared" si="200"/>
        <v/>
      </c>
      <c r="B6423" s="18" t="str">
        <f t="shared" si="201"/>
        <v/>
      </c>
    </row>
    <row r="6424" spans="1:2" x14ac:dyDescent="0.25">
      <c r="A6424" s="15" t="str">
        <f t="shared" si="200"/>
        <v/>
      </c>
      <c r="B6424" s="18" t="str">
        <f t="shared" si="201"/>
        <v/>
      </c>
    </row>
    <row r="6425" spans="1:2" x14ac:dyDescent="0.25">
      <c r="A6425" s="15" t="str">
        <f t="shared" si="200"/>
        <v/>
      </c>
      <c r="B6425" s="18" t="str">
        <f t="shared" si="201"/>
        <v/>
      </c>
    </row>
    <row r="6426" spans="1:2" x14ac:dyDescent="0.25">
      <c r="A6426" s="15" t="str">
        <f t="shared" si="200"/>
        <v/>
      </c>
      <c r="B6426" s="18" t="str">
        <f t="shared" si="201"/>
        <v/>
      </c>
    </row>
    <row r="6427" spans="1:2" x14ac:dyDescent="0.25">
      <c r="A6427" s="15" t="str">
        <f t="shared" si="200"/>
        <v/>
      </c>
      <c r="B6427" s="18" t="str">
        <f t="shared" si="201"/>
        <v/>
      </c>
    </row>
    <row r="6428" spans="1:2" x14ac:dyDescent="0.25">
      <c r="A6428" s="15" t="str">
        <f t="shared" si="200"/>
        <v/>
      </c>
      <c r="B6428" s="18" t="str">
        <f t="shared" si="201"/>
        <v/>
      </c>
    </row>
    <row r="6429" spans="1:2" x14ac:dyDescent="0.25">
      <c r="A6429" s="15" t="str">
        <f t="shared" si="200"/>
        <v/>
      </c>
      <c r="B6429" s="18" t="str">
        <f t="shared" si="201"/>
        <v/>
      </c>
    </row>
    <row r="6430" spans="1:2" x14ac:dyDescent="0.25">
      <c r="A6430" s="15" t="str">
        <f t="shared" si="200"/>
        <v/>
      </c>
      <c r="B6430" s="18" t="str">
        <f t="shared" si="201"/>
        <v/>
      </c>
    </row>
    <row r="6431" spans="1:2" x14ac:dyDescent="0.25">
      <c r="A6431" s="15" t="str">
        <f t="shared" si="200"/>
        <v/>
      </c>
      <c r="B6431" s="18" t="str">
        <f t="shared" si="201"/>
        <v/>
      </c>
    </row>
    <row r="6432" spans="1:2" x14ac:dyDescent="0.25">
      <c r="A6432" s="15" t="str">
        <f t="shared" si="200"/>
        <v/>
      </c>
      <c r="B6432" s="18" t="str">
        <f t="shared" si="201"/>
        <v/>
      </c>
    </row>
    <row r="6433" spans="1:2" x14ac:dyDescent="0.25">
      <c r="A6433" s="15" t="str">
        <f t="shared" si="200"/>
        <v/>
      </c>
      <c r="B6433" s="18" t="str">
        <f t="shared" si="201"/>
        <v/>
      </c>
    </row>
    <row r="6434" spans="1:2" x14ac:dyDescent="0.25">
      <c r="A6434" s="15" t="str">
        <f t="shared" si="200"/>
        <v/>
      </c>
      <c r="B6434" s="18" t="str">
        <f t="shared" si="201"/>
        <v/>
      </c>
    </row>
    <row r="6435" spans="1:2" x14ac:dyDescent="0.25">
      <c r="A6435" s="15" t="str">
        <f t="shared" si="200"/>
        <v/>
      </c>
      <c r="B6435" s="18" t="str">
        <f t="shared" si="201"/>
        <v/>
      </c>
    </row>
    <row r="6436" spans="1:2" x14ac:dyDescent="0.25">
      <c r="A6436" s="15" t="str">
        <f t="shared" si="200"/>
        <v/>
      </c>
      <c r="B6436" s="18" t="str">
        <f t="shared" si="201"/>
        <v/>
      </c>
    </row>
    <row r="6437" spans="1:2" x14ac:dyDescent="0.25">
      <c r="A6437" s="15" t="str">
        <f t="shared" si="200"/>
        <v/>
      </c>
      <c r="B6437" s="18" t="str">
        <f t="shared" si="201"/>
        <v/>
      </c>
    </row>
    <row r="6438" spans="1:2" x14ac:dyDescent="0.25">
      <c r="A6438" s="15" t="str">
        <f t="shared" si="200"/>
        <v/>
      </c>
      <c r="B6438" s="18" t="str">
        <f t="shared" si="201"/>
        <v/>
      </c>
    </row>
    <row r="6439" spans="1:2" x14ac:dyDescent="0.25">
      <c r="A6439" s="15" t="str">
        <f t="shared" si="200"/>
        <v/>
      </c>
      <c r="B6439" s="18" t="str">
        <f t="shared" si="201"/>
        <v/>
      </c>
    </row>
    <row r="6440" spans="1:2" x14ac:dyDescent="0.25">
      <c r="A6440" s="15" t="str">
        <f t="shared" si="200"/>
        <v/>
      </c>
      <c r="B6440" s="18" t="str">
        <f t="shared" si="201"/>
        <v/>
      </c>
    </row>
    <row r="6441" spans="1:2" x14ac:dyDescent="0.25">
      <c r="A6441" s="15" t="str">
        <f t="shared" si="200"/>
        <v/>
      </c>
      <c r="B6441" s="18" t="str">
        <f t="shared" si="201"/>
        <v/>
      </c>
    </row>
    <row r="6442" spans="1:2" x14ac:dyDescent="0.25">
      <c r="A6442" s="15" t="str">
        <f t="shared" si="200"/>
        <v/>
      </c>
      <c r="B6442" s="18" t="str">
        <f t="shared" si="201"/>
        <v/>
      </c>
    </row>
    <row r="6443" spans="1:2" x14ac:dyDescent="0.25">
      <c r="A6443" s="15" t="str">
        <f t="shared" si="200"/>
        <v/>
      </c>
      <c r="B6443" s="18" t="str">
        <f t="shared" si="201"/>
        <v/>
      </c>
    </row>
    <row r="6444" spans="1:2" x14ac:dyDescent="0.25">
      <c r="A6444" s="15" t="str">
        <f t="shared" si="200"/>
        <v/>
      </c>
      <c r="B6444" s="18" t="str">
        <f t="shared" si="201"/>
        <v/>
      </c>
    </row>
    <row r="6445" spans="1:2" x14ac:dyDescent="0.25">
      <c r="A6445" s="15" t="str">
        <f t="shared" si="200"/>
        <v/>
      </c>
      <c r="B6445" s="18" t="str">
        <f t="shared" si="201"/>
        <v/>
      </c>
    </row>
    <row r="6446" spans="1:2" x14ac:dyDescent="0.25">
      <c r="A6446" s="15" t="str">
        <f t="shared" si="200"/>
        <v/>
      </c>
      <c r="B6446" s="18" t="str">
        <f t="shared" si="201"/>
        <v/>
      </c>
    </row>
    <row r="6447" spans="1:2" x14ac:dyDescent="0.25">
      <c r="A6447" s="15" t="str">
        <f t="shared" si="200"/>
        <v/>
      </c>
      <c r="B6447" s="18" t="str">
        <f t="shared" si="201"/>
        <v/>
      </c>
    </row>
    <row r="6448" spans="1:2" x14ac:dyDescent="0.25">
      <c r="A6448" s="15" t="str">
        <f t="shared" si="200"/>
        <v/>
      </c>
      <c r="B6448" s="18" t="str">
        <f t="shared" si="201"/>
        <v/>
      </c>
    </row>
    <row r="6449" spans="1:2" x14ac:dyDescent="0.25">
      <c r="A6449" s="15" t="str">
        <f t="shared" si="200"/>
        <v/>
      </c>
      <c r="B6449" s="18" t="str">
        <f t="shared" si="201"/>
        <v/>
      </c>
    </row>
    <row r="6450" spans="1:2" x14ac:dyDescent="0.25">
      <c r="A6450" s="15" t="str">
        <f t="shared" si="200"/>
        <v/>
      </c>
      <c r="B6450" s="18" t="str">
        <f t="shared" si="201"/>
        <v/>
      </c>
    </row>
    <row r="6451" spans="1:2" x14ac:dyDescent="0.25">
      <c r="A6451" s="15" t="str">
        <f t="shared" si="200"/>
        <v/>
      </c>
      <c r="B6451" s="18" t="str">
        <f t="shared" si="201"/>
        <v/>
      </c>
    </row>
    <row r="6452" spans="1:2" x14ac:dyDescent="0.25">
      <c r="A6452" s="15" t="str">
        <f t="shared" si="200"/>
        <v/>
      </c>
      <c r="B6452" s="18" t="str">
        <f t="shared" si="201"/>
        <v/>
      </c>
    </row>
    <row r="6453" spans="1:2" x14ac:dyDescent="0.25">
      <c r="A6453" s="15" t="str">
        <f t="shared" si="200"/>
        <v/>
      </c>
      <c r="B6453" s="18" t="str">
        <f t="shared" si="201"/>
        <v/>
      </c>
    </row>
    <row r="6454" spans="1:2" x14ac:dyDescent="0.25">
      <c r="A6454" s="15" t="str">
        <f t="shared" si="200"/>
        <v/>
      </c>
      <c r="B6454" s="18" t="str">
        <f t="shared" si="201"/>
        <v/>
      </c>
    </row>
    <row r="6455" spans="1:2" x14ac:dyDescent="0.25">
      <c r="A6455" s="15" t="str">
        <f t="shared" si="200"/>
        <v/>
      </c>
      <c r="B6455" s="18" t="str">
        <f t="shared" si="201"/>
        <v/>
      </c>
    </row>
    <row r="6456" spans="1:2" x14ac:dyDescent="0.25">
      <c r="A6456" s="15" t="str">
        <f t="shared" si="200"/>
        <v/>
      </c>
      <c r="B6456" s="18" t="str">
        <f t="shared" si="201"/>
        <v/>
      </c>
    </row>
    <row r="6457" spans="1:2" x14ac:dyDescent="0.25">
      <c r="A6457" s="15" t="str">
        <f t="shared" si="200"/>
        <v/>
      </c>
      <c r="B6457" s="18" t="str">
        <f t="shared" si="201"/>
        <v/>
      </c>
    </row>
    <row r="6458" spans="1:2" x14ac:dyDescent="0.25">
      <c r="A6458" s="15" t="str">
        <f t="shared" si="200"/>
        <v/>
      </c>
      <c r="B6458" s="18" t="str">
        <f t="shared" si="201"/>
        <v/>
      </c>
    </row>
    <row r="6459" spans="1:2" x14ac:dyDescent="0.25">
      <c r="A6459" s="15" t="str">
        <f t="shared" si="200"/>
        <v/>
      </c>
      <c r="B6459" s="18" t="str">
        <f t="shared" si="201"/>
        <v/>
      </c>
    </row>
    <row r="6460" spans="1:2" x14ac:dyDescent="0.25">
      <c r="A6460" s="15" t="str">
        <f t="shared" si="200"/>
        <v/>
      </c>
      <c r="B6460" s="18" t="str">
        <f t="shared" si="201"/>
        <v/>
      </c>
    </row>
    <row r="6461" spans="1:2" x14ac:dyDescent="0.25">
      <c r="A6461" s="15" t="str">
        <f t="shared" si="200"/>
        <v/>
      </c>
      <c r="B6461" s="18" t="str">
        <f t="shared" si="201"/>
        <v/>
      </c>
    </row>
    <row r="6462" spans="1:2" x14ac:dyDescent="0.25">
      <c r="A6462" s="15" t="str">
        <f t="shared" si="200"/>
        <v/>
      </c>
      <c r="B6462" s="18" t="str">
        <f t="shared" si="201"/>
        <v/>
      </c>
    </row>
    <row r="6463" spans="1:2" x14ac:dyDescent="0.25">
      <c r="A6463" s="15" t="str">
        <f t="shared" si="200"/>
        <v/>
      </c>
      <c r="B6463" s="18" t="str">
        <f t="shared" si="201"/>
        <v/>
      </c>
    </row>
    <row r="6464" spans="1:2" x14ac:dyDescent="0.25">
      <c r="A6464" s="15" t="str">
        <f t="shared" si="200"/>
        <v/>
      </c>
      <c r="B6464" s="18" t="str">
        <f t="shared" si="201"/>
        <v/>
      </c>
    </row>
    <row r="6465" spans="1:2" x14ac:dyDescent="0.25">
      <c r="A6465" s="15" t="str">
        <f t="shared" si="200"/>
        <v/>
      </c>
      <c r="B6465" s="18" t="str">
        <f t="shared" si="201"/>
        <v/>
      </c>
    </row>
    <row r="6466" spans="1:2" x14ac:dyDescent="0.25">
      <c r="A6466" s="15" t="str">
        <f t="shared" ref="A6466:A6529" si="202">B6466&amp;C6466</f>
        <v/>
      </c>
      <c r="B6466" s="18" t="str">
        <f t="shared" si="201"/>
        <v/>
      </c>
    </row>
    <row r="6467" spans="1:2" x14ac:dyDescent="0.25">
      <c r="A6467" s="15" t="str">
        <f t="shared" si="202"/>
        <v/>
      </c>
      <c r="B6467" s="18" t="str">
        <f t="shared" ref="B6467:B6530" si="203">IF(C6467="","",B6466)</f>
        <v/>
      </c>
    </row>
    <row r="6468" spans="1:2" x14ac:dyDescent="0.25">
      <c r="A6468" s="15" t="str">
        <f t="shared" si="202"/>
        <v/>
      </c>
      <c r="B6468" s="18" t="str">
        <f t="shared" si="203"/>
        <v/>
      </c>
    </row>
    <row r="6469" spans="1:2" x14ac:dyDescent="0.25">
      <c r="A6469" s="15" t="str">
        <f t="shared" si="202"/>
        <v/>
      </c>
      <c r="B6469" s="18" t="str">
        <f t="shared" si="203"/>
        <v/>
      </c>
    </row>
    <row r="6470" spans="1:2" x14ac:dyDescent="0.25">
      <c r="A6470" s="15" t="str">
        <f t="shared" si="202"/>
        <v/>
      </c>
      <c r="B6470" s="18" t="str">
        <f t="shared" si="203"/>
        <v/>
      </c>
    </row>
    <row r="6471" spans="1:2" x14ac:dyDescent="0.25">
      <c r="A6471" s="15" t="str">
        <f t="shared" si="202"/>
        <v/>
      </c>
      <c r="B6471" s="18" t="str">
        <f t="shared" si="203"/>
        <v/>
      </c>
    </row>
    <row r="6472" spans="1:2" x14ac:dyDescent="0.25">
      <c r="A6472" s="15" t="str">
        <f t="shared" si="202"/>
        <v/>
      </c>
      <c r="B6472" s="18" t="str">
        <f t="shared" si="203"/>
        <v/>
      </c>
    </row>
    <row r="6473" spans="1:2" x14ac:dyDescent="0.25">
      <c r="A6473" s="15" t="str">
        <f t="shared" si="202"/>
        <v/>
      </c>
      <c r="B6473" s="18" t="str">
        <f t="shared" si="203"/>
        <v/>
      </c>
    </row>
    <row r="6474" spans="1:2" x14ac:dyDescent="0.25">
      <c r="A6474" s="15" t="str">
        <f t="shared" si="202"/>
        <v/>
      </c>
      <c r="B6474" s="18" t="str">
        <f t="shared" si="203"/>
        <v/>
      </c>
    </row>
    <row r="6475" spans="1:2" x14ac:dyDescent="0.25">
      <c r="A6475" s="15" t="str">
        <f t="shared" si="202"/>
        <v/>
      </c>
      <c r="B6475" s="18" t="str">
        <f t="shared" si="203"/>
        <v/>
      </c>
    </row>
    <row r="6476" spans="1:2" x14ac:dyDescent="0.25">
      <c r="A6476" s="15" t="str">
        <f t="shared" si="202"/>
        <v/>
      </c>
      <c r="B6476" s="18" t="str">
        <f t="shared" si="203"/>
        <v/>
      </c>
    </row>
    <row r="6477" spans="1:2" x14ac:dyDescent="0.25">
      <c r="A6477" s="15" t="str">
        <f t="shared" si="202"/>
        <v/>
      </c>
      <c r="B6477" s="18" t="str">
        <f t="shared" si="203"/>
        <v/>
      </c>
    </row>
    <row r="6478" spans="1:2" x14ac:dyDescent="0.25">
      <c r="A6478" s="15" t="str">
        <f t="shared" si="202"/>
        <v/>
      </c>
      <c r="B6478" s="18" t="str">
        <f t="shared" si="203"/>
        <v/>
      </c>
    </row>
    <row r="6479" spans="1:2" x14ac:dyDescent="0.25">
      <c r="A6479" s="15" t="str">
        <f t="shared" si="202"/>
        <v/>
      </c>
      <c r="B6479" s="18" t="str">
        <f t="shared" si="203"/>
        <v/>
      </c>
    </row>
    <row r="6480" spans="1:2" x14ac:dyDescent="0.25">
      <c r="A6480" s="15" t="str">
        <f t="shared" si="202"/>
        <v/>
      </c>
      <c r="B6480" s="18" t="str">
        <f t="shared" si="203"/>
        <v/>
      </c>
    </row>
    <row r="6481" spans="1:2" x14ac:dyDescent="0.25">
      <c r="A6481" s="15" t="str">
        <f t="shared" si="202"/>
        <v/>
      </c>
      <c r="B6481" s="18" t="str">
        <f t="shared" si="203"/>
        <v/>
      </c>
    </row>
    <row r="6482" spans="1:2" x14ac:dyDescent="0.25">
      <c r="A6482" s="15" t="str">
        <f t="shared" si="202"/>
        <v/>
      </c>
      <c r="B6482" s="18" t="str">
        <f t="shared" si="203"/>
        <v/>
      </c>
    </row>
    <row r="6483" spans="1:2" x14ac:dyDescent="0.25">
      <c r="A6483" s="15" t="str">
        <f t="shared" si="202"/>
        <v/>
      </c>
      <c r="B6483" s="18" t="str">
        <f t="shared" si="203"/>
        <v/>
      </c>
    </row>
    <row r="6484" spans="1:2" x14ac:dyDescent="0.25">
      <c r="A6484" s="15" t="str">
        <f t="shared" si="202"/>
        <v/>
      </c>
      <c r="B6484" s="18" t="str">
        <f t="shared" si="203"/>
        <v/>
      </c>
    </row>
    <row r="6485" spans="1:2" x14ac:dyDescent="0.25">
      <c r="A6485" s="15" t="str">
        <f t="shared" si="202"/>
        <v/>
      </c>
      <c r="B6485" s="18" t="str">
        <f t="shared" si="203"/>
        <v/>
      </c>
    </row>
    <row r="6486" spans="1:2" x14ac:dyDescent="0.25">
      <c r="A6486" s="15" t="str">
        <f t="shared" si="202"/>
        <v/>
      </c>
      <c r="B6486" s="18" t="str">
        <f t="shared" si="203"/>
        <v/>
      </c>
    </row>
    <row r="6487" spans="1:2" x14ac:dyDescent="0.25">
      <c r="A6487" s="15" t="str">
        <f t="shared" si="202"/>
        <v/>
      </c>
      <c r="B6487" s="18" t="str">
        <f t="shared" si="203"/>
        <v/>
      </c>
    </row>
    <row r="6488" spans="1:2" x14ac:dyDescent="0.25">
      <c r="A6488" s="15" t="str">
        <f t="shared" si="202"/>
        <v/>
      </c>
      <c r="B6488" s="18" t="str">
        <f t="shared" si="203"/>
        <v/>
      </c>
    </row>
    <row r="6489" spans="1:2" x14ac:dyDescent="0.25">
      <c r="A6489" s="15" t="str">
        <f t="shared" si="202"/>
        <v/>
      </c>
      <c r="B6489" s="18" t="str">
        <f t="shared" si="203"/>
        <v/>
      </c>
    </row>
    <row r="6490" spans="1:2" x14ac:dyDescent="0.25">
      <c r="A6490" s="15" t="str">
        <f t="shared" si="202"/>
        <v/>
      </c>
      <c r="B6490" s="18" t="str">
        <f t="shared" si="203"/>
        <v/>
      </c>
    </row>
    <row r="6491" spans="1:2" x14ac:dyDescent="0.25">
      <c r="A6491" s="15" t="str">
        <f t="shared" si="202"/>
        <v/>
      </c>
      <c r="B6491" s="18" t="str">
        <f t="shared" si="203"/>
        <v/>
      </c>
    </row>
    <row r="6492" spans="1:2" x14ac:dyDescent="0.25">
      <c r="A6492" s="15" t="str">
        <f t="shared" si="202"/>
        <v/>
      </c>
      <c r="B6492" s="18" t="str">
        <f t="shared" si="203"/>
        <v/>
      </c>
    </row>
    <row r="6493" spans="1:2" x14ac:dyDescent="0.25">
      <c r="A6493" s="15" t="str">
        <f t="shared" si="202"/>
        <v/>
      </c>
      <c r="B6493" s="18" t="str">
        <f t="shared" si="203"/>
        <v/>
      </c>
    </row>
    <row r="6494" spans="1:2" x14ac:dyDescent="0.25">
      <c r="A6494" s="15" t="str">
        <f t="shared" si="202"/>
        <v/>
      </c>
      <c r="B6494" s="18" t="str">
        <f t="shared" si="203"/>
        <v/>
      </c>
    </row>
    <row r="6495" spans="1:2" x14ac:dyDescent="0.25">
      <c r="A6495" s="15" t="str">
        <f t="shared" si="202"/>
        <v/>
      </c>
      <c r="B6495" s="18" t="str">
        <f t="shared" si="203"/>
        <v/>
      </c>
    </row>
    <row r="6496" spans="1:2" x14ac:dyDescent="0.25">
      <c r="A6496" s="15" t="str">
        <f t="shared" si="202"/>
        <v/>
      </c>
      <c r="B6496" s="18" t="str">
        <f t="shared" si="203"/>
        <v/>
      </c>
    </row>
    <row r="6497" spans="1:2" x14ac:dyDescent="0.25">
      <c r="A6497" s="15" t="str">
        <f t="shared" si="202"/>
        <v/>
      </c>
      <c r="B6497" s="18" t="str">
        <f t="shared" si="203"/>
        <v/>
      </c>
    </row>
    <row r="6498" spans="1:2" x14ac:dyDescent="0.25">
      <c r="A6498" s="15" t="str">
        <f t="shared" si="202"/>
        <v/>
      </c>
      <c r="B6498" s="18" t="str">
        <f t="shared" si="203"/>
        <v/>
      </c>
    </row>
    <row r="6499" spans="1:2" x14ac:dyDescent="0.25">
      <c r="A6499" s="15" t="str">
        <f t="shared" si="202"/>
        <v/>
      </c>
      <c r="B6499" s="18" t="str">
        <f t="shared" si="203"/>
        <v/>
      </c>
    </row>
    <row r="6500" spans="1:2" x14ac:dyDescent="0.25">
      <c r="A6500" s="15" t="str">
        <f t="shared" si="202"/>
        <v/>
      </c>
      <c r="B6500" s="18" t="str">
        <f t="shared" si="203"/>
        <v/>
      </c>
    </row>
    <row r="6501" spans="1:2" x14ac:dyDescent="0.25">
      <c r="A6501" s="15" t="str">
        <f t="shared" si="202"/>
        <v/>
      </c>
      <c r="B6501" s="18" t="str">
        <f t="shared" si="203"/>
        <v/>
      </c>
    </row>
    <row r="6502" spans="1:2" x14ac:dyDescent="0.25">
      <c r="A6502" s="15" t="str">
        <f t="shared" si="202"/>
        <v/>
      </c>
      <c r="B6502" s="18" t="str">
        <f t="shared" si="203"/>
        <v/>
      </c>
    </row>
    <row r="6503" spans="1:2" x14ac:dyDescent="0.25">
      <c r="A6503" s="15" t="str">
        <f t="shared" si="202"/>
        <v/>
      </c>
      <c r="B6503" s="18" t="str">
        <f t="shared" si="203"/>
        <v/>
      </c>
    </row>
    <row r="6504" spans="1:2" x14ac:dyDescent="0.25">
      <c r="A6504" s="15" t="str">
        <f t="shared" si="202"/>
        <v/>
      </c>
      <c r="B6504" s="18" t="str">
        <f t="shared" si="203"/>
        <v/>
      </c>
    </row>
    <row r="6505" spans="1:2" x14ac:dyDescent="0.25">
      <c r="A6505" s="15" t="str">
        <f t="shared" si="202"/>
        <v/>
      </c>
      <c r="B6505" s="18" t="str">
        <f t="shared" si="203"/>
        <v/>
      </c>
    </row>
    <row r="6506" spans="1:2" x14ac:dyDescent="0.25">
      <c r="A6506" s="15" t="str">
        <f t="shared" si="202"/>
        <v/>
      </c>
      <c r="B6506" s="18" t="str">
        <f t="shared" si="203"/>
        <v/>
      </c>
    </row>
    <row r="6507" spans="1:2" x14ac:dyDescent="0.25">
      <c r="A6507" s="15" t="str">
        <f t="shared" si="202"/>
        <v/>
      </c>
      <c r="B6507" s="18" t="str">
        <f t="shared" si="203"/>
        <v/>
      </c>
    </row>
    <row r="6508" spans="1:2" x14ac:dyDescent="0.25">
      <c r="A6508" s="15" t="str">
        <f t="shared" si="202"/>
        <v/>
      </c>
      <c r="B6508" s="18" t="str">
        <f t="shared" si="203"/>
        <v/>
      </c>
    </row>
    <row r="6509" spans="1:2" x14ac:dyDescent="0.25">
      <c r="A6509" s="15" t="str">
        <f t="shared" si="202"/>
        <v/>
      </c>
      <c r="B6509" s="18" t="str">
        <f t="shared" si="203"/>
        <v/>
      </c>
    </row>
    <row r="6510" spans="1:2" x14ac:dyDescent="0.25">
      <c r="A6510" s="15" t="str">
        <f t="shared" si="202"/>
        <v/>
      </c>
      <c r="B6510" s="18" t="str">
        <f t="shared" si="203"/>
        <v/>
      </c>
    </row>
    <row r="6511" spans="1:2" x14ac:dyDescent="0.25">
      <c r="A6511" s="15" t="str">
        <f t="shared" si="202"/>
        <v/>
      </c>
      <c r="B6511" s="18" t="str">
        <f t="shared" si="203"/>
        <v/>
      </c>
    </row>
    <row r="6512" spans="1:2" x14ac:dyDescent="0.25">
      <c r="A6512" s="15" t="str">
        <f t="shared" si="202"/>
        <v/>
      </c>
      <c r="B6512" s="18" t="str">
        <f t="shared" si="203"/>
        <v/>
      </c>
    </row>
    <row r="6513" spans="1:2" x14ac:dyDescent="0.25">
      <c r="A6513" s="15" t="str">
        <f t="shared" si="202"/>
        <v/>
      </c>
      <c r="B6513" s="18" t="str">
        <f t="shared" si="203"/>
        <v/>
      </c>
    </row>
    <row r="6514" spans="1:2" x14ac:dyDescent="0.25">
      <c r="A6514" s="15" t="str">
        <f t="shared" si="202"/>
        <v/>
      </c>
      <c r="B6514" s="18" t="str">
        <f t="shared" si="203"/>
        <v/>
      </c>
    </row>
    <row r="6515" spans="1:2" x14ac:dyDescent="0.25">
      <c r="A6515" s="15" t="str">
        <f t="shared" si="202"/>
        <v/>
      </c>
      <c r="B6515" s="18" t="str">
        <f t="shared" si="203"/>
        <v/>
      </c>
    </row>
    <row r="6516" spans="1:2" x14ac:dyDescent="0.25">
      <c r="A6516" s="15" t="str">
        <f t="shared" si="202"/>
        <v/>
      </c>
      <c r="B6516" s="18" t="str">
        <f t="shared" si="203"/>
        <v/>
      </c>
    </row>
    <row r="6517" spans="1:2" x14ac:dyDescent="0.25">
      <c r="A6517" s="15" t="str">
        <f t="shared" si="202"/>
        <v/>
      </c>
      <c r="B6517" s="18" t="str">
        <f t="shared" si="203"/>
        <v/>
      </c>
    </row>
    <row r="6518" spans="1:2" x14ac:dyDescent="0.25">
      <c r="A6518" s="15" t="str">
        <f t="shared" si="202"/>
        <v/>
      </c>
      <c r="B6518" s="18" t="str">
        <f t="shared" si="203"/>
        <v/>
      </c>
    </row>
    <row r="6519" spans="1:2" x14ac:dyDescent="0.25">
      <c r="A6519" s="15" t="str">
        <f t="shared" si="202"/>
        <v/>
      </c>
      <c r="B6519" s="18" t="str">
        <f t="shared" si="203"/>
        <v/>
      </c>
    </row>
    <row r="6520" spans="1:2" x14ac:dyDescent="0.25">
      <c r="A6520" s="15" t="str">
        <f t="shared" si="202"/>
        <v/>
      </c>
      <c r="B6520" s="18" t="str">
        <f t="shared" si="203"/>
        <v/>
      </c>
    </row>
    <row r="6521" spans="1:2" x14ac:dyDescent="0.25">
      <c r="A6521" s="15" t="str">
        <f t="shared" si="202"/>
        <v/>
      </c>
      <c r="B6521" s="18" t="str">
        <f t="shared" si="203"/>
        <v/>
      </c>
    </row>
    <row r="6522" spans="1:2" x14ac:dyDescent="0.25">
      <c r="A6522" s="15" t="str">
        <f t="shared" si="202"/>
        <v/>
      </c>
      <c r="B6522" s="18" t="str">
        <f t="shared" si="203"/>
        <v/>
      </c>
    </row>
    <row r="6523" spans="1:2" x14ac:dyDescent="0.25">
      <c r="A6523" s="15" t="str">
        <f t="shared" si="202"/>
        <v/>
      </c>
      <c r="B6523" s="18" t="str">
        <f t="shared" si="203"/>
        <v/>
      </c>
    </row>
    <row r="6524" spans="1:2" x14ac:dyDescent="0.25">
      <c r="A6524" s="15" t="str">
        <f t="shared" si="202"/>
        <v/>
      </c>
      <c r="B6524" s="18" t="str">
        <f t="shared" si="203"/>
        <v/>
      </c>
    </row>
    <row r="6525" spans="1:2" x14ac:dyDescent="0.25">
      <c r="A6525" s="15" t="str">
        <f t="shared" si="202"/>
        <v/>
      </c>
      <c r="B6525" s="18" t="str">
        <f t="shared" si="203"/>
        <v/>
      </c>
    </row>
    <row r="6526" spans="1:2" x14ac:dyDescent="0.25">
      <c r="A6526" s="15" t="str">
        <f t="shared" si="202"/>
        <v/>
      </c>
      <c r="B6526" s="18" t="str">
        <f t="shared" si="203"/>
        <v/>
      </c>
    </row>
    <row r="6527" spans="1:2" x14ac:dyDescent="0.25">
      <c r="A6527" s="15" t="str">
        <f t="shared" si="202"/>
        <v/>
      </c>
      <c r="B6527" s="18" t="str">
        <f t="shared" si="203"/>
        <v/>
      </c>
    </row>
    <row r="6528" spans="1:2" x14ac:dyDescent="0.25">
      <c r="A6528" s="15" t="str">
        <f t="shared" si="202"/>
        <v/>
      </c>
      <c r="B6528" s="18" t="str">
        <f t="shared" si="203"/>
        <v/>
      </c>
    </row>
    <row r="6529" spans="1:2" x14ac:dyDescent="0.25">
      <c r="A6529" s="15" t="str">
        <f t="shared" si="202"/>
        <v/>
      </c>
      <c r="B6529" s="18" t="str">
        <f t="shared" si="203"/>
        <v/>
      </c>
    </row>
    <row r="6530" spans="1:2" x14ac:dyDescent="0.25">
      <c r="A6530" s="15" t="str">
        <f t="shared" ref="A6530:A6593" si="204">B6530&amp;C6530</f>
        <v/>
      </c>
      <c r="B6530" s="18" t="str">
        <f t="shared" si="203"/>
        <v/>
      </c>
    </row>
    <row r="6531" spans="1:2" x14ac:dyDescent="0.25">
      <c r="A6531" s="15" t="str">
        <f t="shared" si="204"/>
        <v/>
      </c>
      <c r="B6531" s="18" t="str">
        <f t="shared" ref="B6531:B6594" si="205">IF(C6531="","",B6530)</f>
        <v/>
      </c>
    </row>
    <row r="6532" spans="1:2" x14ac:dyDescent="0.25">
      <c r="A6532" s="15" t="str">
        <f t="shared" si="204"/>
        <v/>
      </c>
      <c r="B6532" s="18" t="str">
        <f t="shared" si="205"/>
        <v/>
      </c>
    </row>
    <row r="6533" spans="1:2" x14ac:dyDescent="0.25">
      <c r="A6533" s="15" t="str">
        <f t="shared" si="204"/>
        <v/>
      </c>
      <c r="B6533" s="18" t="str">
        <f t="shared" si="205"/>
        <v/>
      </c>
    </row>
    <row r="6534" spans="1:2" x14ac:dyDescent="0.25">
      <c r="A6534" s="15" t="str">
        <f t="shared" si="204"/>
        <v/>
      </c>
      <c r="B6534" s="18" t="str">
        <f t="shared" si="205"/>
        <v/>
      </c>
    </row>
    <row r="6535" spans="1:2" x14ac:dyDescent="0.25">
      <c r="A6535" s="15" t="str">
        <f t="shared" si="204"/>
        <v/>
      </c>
      <c r="B6535" s="18" t="str">
        <f t="shared" si="205"/>
        <v/>
      </c>
    </row>
    <row r="6536" spans="1:2" x14ac:dyDescent="0.25">
      <c r="A6536" s="15" t="str">
        <f t="shared" si="204"/>
        <v/>
      </c>
      <c r="B6536" s="18" t="str">
        <f t="shared" si="205"/>
        <v/>
      </c>
    </row>
    <row r="6537" spans="1:2" x14ac:dyDescent="0.25">
      <c r="A6537" s="15" t="str">
        <f t="shared" si="204"/>
        <v/>
      </c>
      <c r="B6537" s="18" t="str">
        <f t="shared" si="205"/>
        <v/>
      </c>
    </row>
    <row r="6538" spans="1:2" x14ac:dyDescent="0.25">
      <c r="A6538" s="15" t="str">
        <f t="shared" si="204"/>
        <v/>
      </c>
      <c r="B6538" s="18" t="str">
        <f t="shared" si="205"/>
        <v/>
      </c>
    </row>
    <row r="6539" spans="1:2" x14ac:dyDescent="0.25">
      <c r="A6539" s="15" t="str">
        <f t="shared" si="204"/>
        <v/>
      </c>
      <c r="B6539" s="18" t="str">
        <f t="shared" si="205"/>
        <v/>
      </c>
    </row>
    <row r="6540" spans="1:2" x14ac:dyDescent="0.25">
      <c r="A6540" s="15" t="str">
        <f t="shared" si="204"/>
        <v/>
      </c>
      <c r="B6540" s="18" t="str">
        <f t="shared" si="205"/>
        <v/>
      </c>
    </row>
    <row r="6541" spans="1:2" x14ac:dyDescent="0.25">
      <c r="A6541" s="15" t="str">
        <f t="shared" si="204"/>
        <v/>
      </c>
      <c r="B6541" s="18" t="str">
        <f t="shared" si="205"/>
        <v/>
      </c>
    </row>
    <row r="6542" spans="1:2" x14ac:dyDescent="0.25">
      <c r="A6542" s="15" t="str">
        <f t="shared" si="204"/>
        <v/>
      </c>
      <c r="B6542" s="18" t="str">
        <f t="shared" si="205"/>
        <v/>
      </c>
    </row>
    <row r="6543" spans="1:2" x14ac:dyDescent="0.25">
      <c r="A6543" s="15" t="str">
        <f t="shared" si="204"/>
        <v/>
      </c>
      <c r="B6543" s="18" t="str">
        <f t="shared" si="205"/>
        <v/>
      </c>
    </row>
    <row r="6544" spans="1:2" x14ac:dyDescent="0.25">
      <c r="A6544" s="15" t="str">
        <f t="shared" si="204"/>
        <v/>
      </c>
      <c r="B6544" s="18" t="str">
        <f t="shared" si="205"/>
        <v/>
      </c>
    </row>
    <row r="6545" spans="1:2" x14ac:dyDescent="0.25">
      <c r="A6545" s="15" t="str">
        <f t="shared" si="204"/>
        <v/>
      </c>
      <c r="B6545" s="18" t="str">
        <f t="shared" si="205"/>
        <v/>
      </c>
    </row>
    <row r="6546" spans="1:2" x14ac:dyDescent="0.25">
      <c r="A6546" s="15" t="str">
        <f t="shared" si="204"/>
        <v/>
      </c>
      <c r="B6546" s="18" t="str">
        <f t="shared" si="205"/>
        <v/>
      </c>
    </row>
    <row r="6547" spans="1:2" x14ac:dyDescent="0.25">
      <c r="A6547" s="15" t="str">
        <f t="shared" si="204"/>
        <v/>
      </c>
      <c r="B6547" s="18" t="str">
        <f t="shared" si="205"/>
        <v/>
      </c>
    </row>
    <row r="6548" spans="1:2" x14ac:dyDescent="0.25">
      <c r="A6548" s="15" t="str">
        <f t="shared" si="204"/>
        <v/>
      </c>
      <c r="B6548" s="18" t="str">
        <f t="shared" si="205"/>
        <v/>
      </c>
    </row>
    <row r="6549" spans="1:2" x14ac:dyDescent="0.25">
      <c r="A6549" s="15" t="str">
        <f t="shared" si="204"/>
        <v/>
      </c>
      <c r="B6549" s="18" t="str">
        <f t="shared" si="205"/>
        <v/>
      </c>
    </row>
    <row r="6550" spans="1:2" x14ac:dyDescent="0.25">
      <c r="A6550" s="15" t="str">
        <f t="shared" si="204"/>
        <v/>
      </c>
      <c r="B6550" s="18" t="str">
        <f t="shared" si="205"/>
        <v/>
      </c>
    </row>
    <row r="6551" spans="1:2" x14ac:dyDescent="0.25">
      <c r="A6551" s="15" t="str">
        <f t="shared" si="204"/>
        <v/>
      </c>
      <c r="B6551" s="18" t="str">
        <f t="shared" si="205"/>
        <v/>
      </c>
    </row>
    <row r="6552" spans="1:2" x14ac:dyDescent="0.25">
      <c r="A6552" s="15" t="str">
        <f t="shared" si="204"/>
        <v/>
      </c>
      <c r="B6552" s="18" t="str">
        <f t="shared" si="205"/>
        <v/>
      </c>
    </row>
    <row r="6553" spans="1:2" x14ac:dyDescent="0.25">
      <c r="A6553" s="15" t="str">
        <f t="shared" si="204"/>
        <v/>
      </c>
      <c r="B6553" s="18" t="str">
        <f t="shared" si="205"/>
        <v/>
      </c>
    </row>
    <row r="6554" spans="1:2" x14ac:dyDescent="0.25">
      <c r="A6554" s="15" t="str">
        <f t="shared" si="204"/>
        <v/>
      </c>
      <c r="B6554" s="18" t="str">
        <f t="shared" si="205"/>
        <v/>
      </c>
    </row>
    <row r="6555" spans="1:2" x14ac:dyDescent="0.25">
      <c r="A6555" s="15" t="str">
        <f t="shared" si="204"/>
        <v/>
      </c>
      <c r="B6555" s="18" t="str">
        <f t="shared" si="205"/>
        <v/>
      </c>
    </row>
    <row r="6556" spans="1:2" x14ac:dyDescent="0.25">
      <c r="A6556" s="15" t="str">
        <f t="shared" si="204"/>
        <v/>
      </c>
      <c r="B6556" s="18" t="str">
        <f t="shared" si="205"/>
        <v/>
      </c>
    </row>
    <row r="6557" spans="1:2" x14ac:dyDescent="0.25">
      <c r="A6557" s="15" t="str">
        <f t="shared" si="204"/>
        <v/>
      </c>
      <c r="B6557" s="18" t="str">
        <f t="shared" si="205"/>
        <v/>
      </c>
    </row>
    <row r="6558" spans="1:2" x14ac:dyDescent="0.25">
      <c r="A6558" s="15" t="str">
        <f t="shared" si="204"/>
        <v/>
      </c>
      <c r="B6558" s="18" t="str">
        <f t="shared" si="205"/>
        <v/>
      </c>
    </row>
    <row r="6559" spans="1:2" x14ac:dyDescent="0.25">
      <c r="A6559" s="15" t="str">
        <f t="shared" si="204"/>
        <v/>
      </c>
      <c r="B6559" s="18" t="str">
        <f t="shared" si="205"/>
        <v/>
      </c>
    </row>
    <row r="6560" spans="1:2" x14ac:dyDescent="0.25">
      <c r="A6560" s="15" t="str">
        <f t="shared" si="204"/>
        <v/>
      </c>
      <c r="B6560" s="18" t="str">
        <f t="shared" si="205"/>
        <v/>
      </c>
    </row>
    <row r="6561" spans="1:2" x14ac:dyDescent="0.25">
      <c r="A6561" s="15" t="str">
        <f t="shared" si="204"/>
        <v/>
      </c>
      <c r="B6561" s="18" t="str">
        <f t="shared" si="205"/>
        <v/>
      </c>
    </row>
    <row r="6562" spans="1:2" x14ac:dyDescent="0.25">
      <c r="A6562" s="15" t="str">
        <f t="shared" si="204"/>
        <v/>
      </c>
      <c r="B6562" s="18" t="str">
        <f t="shared" si="205"/>
        <v/>
      </c>
    </row>
    <row r="6563" spans="1:2" x14ac:dyDescent="0.25">
      <c r="A6563" s="15" t="str">
        <f t="shared" si="204"/>
        <v/>
      </c>
      <c r="B6563" s="18" t="str">
        <f t="shared" si="205"/>
        <v/>
      </c>
    </row>
    <row r="6564" spans="1:2" x14ac:dyDescent="0.25">
      <c r="A6564" s="15" t="str">
        <f t="shared" si="204"/>
        <v/>
      </c>
      <c r="B6564" s="18" t="str">
        <f t="shared" si="205"/>
        <v/>
      </c>
    </row>
    <row r="6565" spans="1:2" x14ac:dyDescent="0.25">
      <c r="A6565" s="15" t="str">
        <f t="shared" si="204"/>
        <v/>
      </c>
      <c r="B6565" s="18" t="str">
        <f t="shared" si="205"/>
        <v/>
      </c>
    </row>
    <row r="6566" spans="1:2" x14ac:dyDescent="0.25">
      <c r="A6566" s="15" t="str">
        <f t="shared" si="204"/>
        <v/>
      </c>
      <c r="B6566" s="18" t="str">
        <f t="shared" si="205"/>
        <v/>
      </c>
    </row>
    <row r="6567" spans="1:2" x14ac:dyDescent="0.25">
      <c r="A6567" s="15" t="str">
        <f t="shared" si="204"/>
        <v/>
      </c>
      <c r="B6567" s="18" t="str">
        <f t="shared" si="205"/>
        <v/>
      </c>
    </row>
    <row r="6568" spans="1:2" x14ac:dyDescent="0.25">
      <c r="A6568" s="15" t="str">
        <f t="shared" si="204"/>
        <v/>
      </c>
      <c r="B6568" s="18" t="str">
        <f t="shared" si="205"/>
        <v/>
      </c>
    </row>
    <row r="6569" spans="1:2" x14ac:dyDescent="0.25">
      <c r="A6569" s="15" t="str">
        <f t="shared" si="204"/>
        <v/>
      </c>
      <c r="B6569" s="18" t="str">
        <f t="shared" si="205"/>
        <v/>
      </c>
    </row>
    <row r="6570" spans="1:2" x14ac:dyDescent="0.25">
      <c r="A6570" s="15" t="str">
        <f t="shared" si="204"/>
        <v/>
      </c>
      <c r="B6570" s="18" t="str">
        <f t="shared" si="205"/>
        <v/>
      </c>
    </row>
    <row r="6571" spans="1:2" x14ac:dyDescent="0.25">
      <c r="A6571" s="15" t="str">
        <f t="shared" si="204"/>
        <v/>
      </c>
      <c r="B6571" s="18" t="str">
        <f t="shared" si="205"/>
        <v/>
      </c>
    </row>
    <row r="6572" spans="1:2" x14ac:dyDescent="0.25">
      <c r="A6572" s="15" t="str">
        <f t="shared" si="204"/>
        <v/>
      </c>
      <c r="B6572" s="18" t="str">
        <f t="shared" si="205"/>
        <v/>
      </c>
    </row>
    <row r="6573" spans="1:2" x14ac:dyDescent="0.25">
      <c r="A6573" s="15" t="str">
        <f t="shared" si="204"/>
        <v/>
      </c>
      <c r="B6573" s="18" t="str">
        <f t="shared" si="205"/>
        <v/>
      </c>
    </row>
    <row r="6574" spans="1:2" x14ac:dyDescent="0.25">
      <c r="A6574" s="15" t="str">
        <f t="shared" si="204"/>
        <v/>
      </c>
      <c r="B6574" s="18" t="str">
        <f t="shared" si="205"/>
        <v/>
      </c>
    </row>
    <row r="6575" spans="1:2" x14ac:dyDescent="0.25">
      <c r="A6575" s="15" t="str">
        <f t="shared" si="204"/>
        <v/>
      </c>
      <c r="B6575" s="18" t="str">
        <f t="shared" si="205"/>
        <v/>
      </c>
    </row>
    <row r="6576" spans="1:2" x14ac:dyDescent="0.25">
      <c r="A6576" s="15" t="str">
        <f t="shared" si="204"/>
        <v/>
      </c>
      <c r="B6576" s="18" t="str">
        <f t="shared" si="205"/>
        <v/>
      </c>
    </row>
    <row r="6577" spans="1:2" x14ac:dyDescent="0.25">
      <c r="A6577" s="15" t="str">
        <f t="shared" si="204"/>
        <v/>
      </c>
      <c r="B6577" s="18" t="str">
        <f t="shared" si="205"/>
        <v/>
      </c>
    </row>
    <row r="6578" spans="1:2" x14ac:dyDescent="0.25">
      <c r="A6578" s="15" t="str">
        <f t="shared" si="204"/>
        <v/>
      </c>
      <c r="B6578" s="18" t="str">
        <f t="shared" si="205"/>
        <v/>
      </c>
    </row>
    <row r="6579" spans="1:2" x14ac:dyDescent="0.25">
      <c r="A6579" s="15" t="str">
        <f t="shared" si="204"/>
        <v/>
      </c>
      <c r="B6579" s="18" t="str">
        <f t="shared" si="205"/>
        <v/>
      </c>
    </row>
    <row r="6580" spans="1:2" x14ac:dyDescent="0.25">
      <c r="A6580" s="15" t="str">
        <f t="shared" si="204"/>
        <v/>
      </c>
      <c r="B6580" s="18" t="str">
        <f t="shared" si="205"/>
        <v/>
      </c>
    </row>
    <row r="6581" spans="1:2" x14ac:dyDescent="0.25">
      <c r="A6581" s="15" t="str">
        <f t="shared" si="204"/>
        <v/>
      </c>
      <c r="B6581" s="18" t="str">
        <f t="shared" si="205"/>
        <v/>
      </c>
    </row>
    <row r="6582" spans="1:2" x14ac:dyDescent="0.25">
      <c r="A6582" s="15" t="str">
        <f t="shared" si="204"/>
        <v/>
      </c>
      <c r="B6582" s="18" t="str">
        <f t="shared" si="205"/>
        <v/>
      </c>
    </row>
    <row r="6583" spans="1:2" x14ac:dyDescent="0.25">
      <c r="A6583" s="15" t="str">
        <f t="shared" si="204"/>
        <v/>
      </c>
      <c r="B6583" s="18" t="str">
        <f t="shared" si="205"/>
        <v/>
      </c>
    </row>
    <row r="6584" spans="1:2" x14ac:dyDescent="0.25">
      <c r="A6584" s="15" t="str">
        <f t="shared" si="204"/>
        <v/>
      </c>
      <c r="B6584" s="18" t="str">
        <f t="shared" si="205"/>
        <v/>
      </c>
    </row>
    <row r="6585" spans="1:2" x14ac:dyDescent="0.25">
      <c r="A6585" s="15" t="str">
        <f t="shared" si="204"/>
        <v/>
      </c>
      <c r="B6585" s="18" t="str">
        <f t="shared" si="205"/>
        <v/>
      </c>
    </row>
    <row r="6586" spans="1:2" x14ac:dyDescent="0.25">
      <c r="A6586" s="15" t="str">
        <f t="shared" si="204"/>
        <v/>
      </c>
      <c r="B6586" s="18" t="str">
        <f t="shared" si="205"/>
        <v/>
      </c>
    </row>
    <row r="6587" spans="1:2" x14ac:dyDescent="0.25">
      <c r="A6587" s="15" t="str">
        <f t="shared" si="204"/>
        <v/>
      </c>
      <c r="B6587" s="18" t="str">
        <f t="shared" si="205"/>
        <v/>
      </c>
    </row>
    <row r="6588" spans="1:2" x14ac:dyDescent="0.25">
      <c r="A6588" s="15" t="str">
        <f t="shared" si="204"/>
        <v/>
      </c>
      <c r="B6588" s="18" t="str">
        <f t="shared" si="205"/>
        <v/>
      </c>
    </row>
    <row r="6589" spans="1:2" x14ac:dyDescent="0.25">
      <c r="A6589" s="15" t="str">
        <f t="shared" si="204"/>
        <v/>
      </c>
      <c r="B6589" s="18" t="str">
        <f t="shared" si="205"/>
        <v/>
      </c>
    </row>
    <row r="6590" spans="1:2" x14ac:dyDescent="0.25">
      <c r="A6590" s="15" t="str">
        <f t="shared" si="204"/>
        <v/>
      </c>
      <c r="B6590" s="18" t="str">
        <f t="shared" si="205"/>
        <v/>
      </c>
    </row>
    <row r="6591" spans="1:2" x14ac:dyDescent="0.25">
      <c r="A6591" s="15" t="str">
        <f t="shared" si="204"/>
        <v/>
      </c>
      <c r="B6591" s="18" t="str">
        <f t="shared" si="205"/>
        <v/>
      </c>
    </row>
    <row r="6592" spans="1:2" x14ac:dyDescent="0.25">
      <c r="A6592" s="15" t="str">
        <f t="shared" si="204"/>
        <v/>
      </c>
      <c r="B6592" s="18" t="str">
        <f t="shared" si="205"/>
        <v/>
      </c>
    </row>
    <row r="6593" spans="1:2" x14ac:dyDescent="0.25">
      <c r="A6593" s="15" t="str">
        <f t="shared" si="204"/>
        <v/>
      </c>
      <c r="B6593" s="18" t="str">
        <f t="shared" si="205"/>
        <v/>
      </c>
    </row>
    <row r="6594" spans="1:2" x14ac:dyDescent="0.25">
      <c r="A6594" s="15" t="str">
        <f t="shared" ref="A6594:A6657" si="206">B6594&amp;C6594</f>
        <v/>
      </c>
      <c r="B6594" s="18" t="str">
        <f t="shared" si="205"/>
        <v/>
      </c>
    </row>
    <row r="6595" spans="1:2" x14ac:dyDescent="0.25">
      <c r="A6595" s="15" t="str">
        <f t="shared" si="206"/>
        <v/>
      </c>
      <c r="B6595" s="18" t="str">
        <f t="shared" ref="B6595:B6658" si="207">IF(C6595="","",B6594)</f>
        <v/>
      </c>
    </row>
    <row r="6596" spans="1:2" x14ac:dyDescent="0.25">
      <c r="A6596" s="15" t="str">
        <f t="shared" si="206"/>
        <v/>
      </c>
      <c r="B6596" s="18" t="str">
        <f t="shared" si="207"/>
        <v/>
      </c>
    </row>
    <row r="6597" spans="1:2" x14ac:dyDescent="0.25">
      <c r="A6597" s="15" t="str">
        <f t="shared" si="206"/>
        <v/>
      </c>
      <c r="B6597" s="18" t="str">
        <f t="shared" si="207"/>
        <v/>
      </c>
    </row>
    <row r="6598" spans="1:2" x14ac:dyDescent="0.25">
      <c r="A6598" s="15" t="str">
        <f t="shared" si="206"/>
        <v/>
      </c>
      <c r="B6598" s="18" t="str">
        <f t="shared" si="207"/>
        <v/>
      </c>
    </row>
    <row r="6599" spans="1:2" x14ac:dyDescent="0.25">
      <c r="A6599" s="15" t="str">
        <f t="shared" si="206"/>
        <v/>
      </c>
      <c r="B6599" s="18" t="str">
        <f t="shared" si="207"/>
        <v/>
      </c>
    </row>
    <row r="6600" spans="1:2" x14ac:dyDescent="0.25">
      <c r="A6600" s="15" t="str">
        <f t="shared" si="206"/>
        <v/>
      </c>
      <c r="B6600" s="18" t="str">
        <f t="shared" si="207"/>
        <v/>
      </c>
    </row>
    <row r="6601" spans="1:2" x14ac:dyDescent="0.25">
      <c r="A6601" s="15" t="str">
        <f t="shared" si="206"/>
        <v/>
      </c>
      <c r="B6601" s="18" t="str">
        <f t="shared" si="207"/>
        <v/>
      </c>
    </row>
    <row r="6602" spans="1:2" x14ac:dyDescent="0.25">
      <c r="A6602" s="15" t="str">
        <f t="shared" si="206"/>
        <v/>
      </c>
      <c r="B6602" s="18" t="str">
        <f t="shared" si="207"/>
        <v/>
      </c>
    </row>
    <row r="6603" spans="1:2" x14ac:dyDescent="0.25">
      <c r="A6603" s="15" t="str">
        <f t="shared" si="206"/>
        <v/>
      </c>
      <c r="B6603" s="18" t="str">
        <f t="shared" si="207"/>
        <v/>
      </c>
    </row>
    <row r="6604" spans="1:2" x14ac:dyDescent="0.25">
      <c r="A6604" s="15" t="str">
        <f t="shared" si="206"/>
        <v/>
      </c>
      <c r="B6604" s="18" t="str">
        <f t="shared" si="207"/>
        <v/>
      </c>
    </row>
    <row r="6605" spans="1:2" x14ac:dyDescent="0.25">
      <c r="A6605" s="15" t="str">
        <f t="shared" si="206"/>
        <v/>
      </c>
      <c r="B6605" s="18" t="str">
        <f t="shared" si="207"/>
        <v/>
      </c>
    </row>
    <row r="6606" spans="1:2" x14ac:dyDescent="0.25">
      <c r="A6606" s="15" t="str">
        <f t="shared" si="206"/>
        <v/>
      </c>
      <c r="B6606" s="18" t="str">
        <f t="shared" si="207"/>
        <v/>
      </c>
    </row>
    <row r="6607" spans="1:2" x14ac:dyDescent="0.25">
      <c r="A6607" s="15" t="str">
        <f t="shared" si="206"/>
        <v/>
      </c>
      <c r="B6607" s="18" t="str">
        <f t="shared" si="207"/>
        <v/>
      </c>
    </row>
    <row r="6608" spans="1:2" x14ac:dyDescent="0.25">
      <c r="A6608" s="15" t="str">
        <f t="shared" si="206"/>
        <v/>
      </c>
      <c r="B6608" s="18" t="str">
        <f t="shared" si="207"/>
        <v/>
      </c>
    </row>
    <row r="6609" spans="1:2" x14ac:dyDescent="0.25">
      <c r="A6609" s="15" t="str">
        <f t="shared" si="206"/>
        <v/>
      </c>
      <c r="B6609" s="18" t="str">
        <f t="shared" si="207"/>
        <v/>
      </c>
    </row>
    <row r="6610" spans="1:2" x14ac:dyDescent="0.25">
      <c r="A6610" s="15" t="str">
        <f t="shared" si="206"/>
        <v/>
      </c>
      <c r="B6610" s="18" t="str">
        <f t="shared" si="207"/>
        <v/>
      </c>
    </row>
    <row r="6611" spans="1:2" x14ac:dyDescent="0.25">
      <c r="A6611" s="15" t="str">
        <f t="shared" si="206"/>
        <v/>
      </c>
      <c r="B6611" s="18" t="str">
        <f t="shared" si="207"/>
        <v/>
      </c>
    </row>
    <row r="6612" spans="1:2" x14ac:dyDescent="0.25">
      <c r="A6612" s="15" t="str">
        <f t="shared" si="206"/>
        <v/>
      </c>
      <c r="B6612" s="18" t="str">
        <f t="shared" si="207"/>
        <v/>
      </c>
    </row>
    <row r="6613" spans="1:2" x14ac:dyDescent="0.25">
      <c r="A6613" s="15" t="str">
        <f t="shared" si="206"/>
        <v/>
      </c>
      <c r="B6613" s="18" t="str">
        <f t="shared" si="207"/>
        <v/>
      </c>
    </row>
    <row r="6614" spans="1:2" x14ac:dyDescent="0.25">
      <c r="A6614" s="15" t="str">
        <f t="shared" si="206"/>
        <v/>
      </c>
      <c r="B6614" s="18" t="str">
        <f t="shared" si="207"/>
        <v/>
      </c>
    </row>
    <row r="6615" spans="1:2" x14ac:dyDescent="0.25">
      <c r="A6615" s="15" t="str">
        <f t="shared" si="206"/>
        <v/>
      </c>
      <c r="B6615" s="18" t="str">
        <f t="shared" si="207"/>
        <v/>
      </c>
    </row>
    <row r="6616" spans="1:2" x14ac:dyDescent="0.25">
      <c r="A6616" s="15" t="str">
        <f t="shared" si="206"/>
        <v/>
      </c>
      <c r="B6616" s="18" t="str">
        <f t="shared" si="207"/>
        <v/>
      </c>
    </row>
    <row r="6617" spans="1:2" x14ac:dyDescent="0.25">
      <c r="A6617" s="15" t="str">
        <f t="shared" si="206"/>
        <v/>
      </c>
      <c r="B6617" s="18" t="str">
        <f t="shared" si="207"/>
        <v/>
      </c>
    </row>
    <row r="6618" spans="1:2" x14ac:dyDescent="0.25">
      <c r="A6618" s="15" t="str">
        <f t="shared" si="206"/>
        <v/>
      </c>
      <c r="B6618" s="18" t="str">
        <f t="shared" si="207"/>
        <v/>
      </c>
    </row>
    <row r="6619" spans="1:2" x14ac:dyDescent="0.25">
      <c r="A6619" s="15" t="str">
        <f t="shared" si="206"/>
        <v/>
      </c>
      <c r="B6619" s="18" t="str">
        <f t="shared" si="207"/>
        <v/>
      </c>
    </row>
    <row r="6620" spans="1:2" x14ac:dyDescent="0.25">
      <c r="A6620" s="15" t="str">
        <f t="shared" si="206"/>
        <v/>
      </c>
      <c r="B6620" s="18" t="str">
        <f t="shared" si="207"/>
        <v/>
      </c>
    </row>
    <row r="6621" spans="1:2" x14ac:dyDescent="0.25">
      <c r="A6621" s="15" t="str">
        <f t="shared" si="206"/>
        <v/>
      </c>
      <c r="B6621" s="18" t="str">
        <f t="shared" si="207"/>
        <v/>
      </c>
    </row>
    <row r="6622" spans="1:2" x14ac:dyDescent="0.25">
      <c r="A6622" s="15" t="str">
        <f t="shared" si="206"/>
        <v/>
      </c>
      <c r="B6622" s="18" t="str">
        <f t="shared" si="207"/>
        <v/>
      </c>
    </row>
    <row r="6623" spans="1:2" x14ac:dyDescent="0.25">
      <c r="A6623" s="15" t="str">
        <f t="shared" si="206"/>
        <v/>
      </c>
      <c r="B6623" s="18" t="str">
        <f t="shared" si="207"/>
        <v/>
      </c>
    </row>
    <row r="6624" spans="1:2" x14ac:dyDescent="0.25">
      <c r="A6624" s="15" t="str">
        <f t="shared" si="206"/>
        <v/>
      </c>
      <c r="B6624" s="18" t="str">
        <f t="shared" si="207"/>
        <v/>
      </c>
    </row>
    <row r="6625" spans="1:2" x14ac:dyDescent="0.25">
      <c r="A6625" s="15" t="str">
        <f t="shared" si="206"/>
        <v/>
      </c>
      <c r="B6625" s="18" t="str">
        <f t="shared" si="207"/>
        <v/>
      </c>
    </row>
    <row r="6626" spans="1:2" x14ac:dyDescent="0.25">
      <c r="A6626" s="15" t="str">
        <f t="shared" si="206"/>
        <v/>
      </c>
      <c r="B6626" s="18" t="str">
        <f t="shared" si="207"/>
        <v/>
      </c>
    </row>
    <row r="6627" spans="1:2" x14ac:dyDescent="0.25">
      <c r="A6627" s="15" t="str">
        <f t="shared" si="206"/>
        <v/>
      </c>
      <c r="B6627" s="18" t="str">
        <f t="shared" si="207"/>
        <v/>
      </c>
    </row>
    <row r="6628" spans="1:2" x14ac:dyDescent="0.25">
      <c r="A6628" s="15" t="str">
        <f t="shared" si="206"/>
        <v/>
      </c>
      <c r="B6628" s="18" t="str">
        <f t="shared" si="207"/>
        <v/>
      </c>
    </row>
    <row r="6629" spans="1:2" x14ac:dyDescent="0.25">
      <c r="A6629" s="15" t="str">
        <f t="shared" si="206"/>
        <v/>
      </c>
      <c r="B6629" s="18" t="str">
        <f t="shared" si="207"/>
        <v/>
      </c>
    </row>
    <row r="6630" spans="1:2" x14ac:dyDescent="0.25">
      <c r="A6630" s="15" t="str">
        <f t="shared" si="206"/>
        <v/>
      </c>
      <c r="B6630" s="18" t="str">
        <f t="shared" si="207"/>
        <v/>
      </c>
    </row>
    <row r="6631" spans="1:2" x14ac:dyDescent="0.25">
      <c r="A6631" s="15" t="str">
        <f t="shared" si="206"/>
        <v/>
      </c>
      <c r="B6631" s="18" t="str">
        <f t="shared" si="207"/>
        <v/>
      </c>
    </row>
    <row r="6632" spans="1:2" x14ac:dyDescent="0.25">
      <c r="A6632" s="15" t="str">
        <f t="shared" si="206"/>
        <v/>
      </c>
      <c r="B6632" s="18" t="str">
        <f t="shared" si="207"/>
        <v/>
      </c>
    </row>
    <row r="6633" spans="1:2" x14ac:dyDescent="0.25">
      <c r="A6633" s="15" t="str">
        <f t="shared" si="206"/>
        <v/>
      </c>
      <c r="B6633" s="18" t="str">
        <f t="shared" si="207"/>
        <v/>
      </c>
    </row>
    <row r="6634" spans="1:2" x14ac:dyDescent="0.25">
      <c r="A6634" s="15" t="str">
        <f t="shared" si="206"/>
        <v/>
      </c>
      <c r="B6634" s="18" t="str">
        <f t="shared" si="207"/>
        <v/>
      </c>
    </row>
    <row r="6635" spans="1:2" x14ac:dyDescent="0.25">
      <c r="A6635" s="15" t="str">
        <f t="shared" si="206"/>
        <v/>
      </c>
      <c r="B6635" s="18" t="str">
        <f t="shared" si="207"/>
        <v/>
      </c>
    </row>
    <row r="6636" spans="1:2" x14ac:dyDescent="0.25">
      <c r="A6636" s="15" t="str">
        <f t="shared" si="206"/>
        <v/>
      </c>
      <c r="B6636" s="18" t="str">
        <f t="shared" si="207"/>
        <v/>
      </c>
    </row>
    <row r="6637" spans="1:2" x14ac:dyDescent="0.25">
      <c r="A6637" s="15" t="str">
        <f t="shared" si="206"/>
        <v/>
      </c>
      <c r="B6637" s="18" t="str">
        <f t="shared" si="207"/>
        <v/>
      </c>
    </row>
    <row r="6638" spans="1:2" x14ac:dyDescent="0.25">
      <c r="A6638" s="15" t="str">
        <f t="shared" si="206"/>
        <v/>
      </c>
      <c r="B6638" s="18" t="str">
        <f t="shared" si="207"/>
        <v/>
      </c>
    </row>
    <row r="6639" spans="1:2" x14ac:dyDescent="0.25">
      <c r="A6639" s="15" t="str">
        <f t="shared" si="206"/>
        <v/>
      </c>
      <c r="B6639" s="18" t="str">
        <f t="shared" si="207"/>
        <v/>
      </c>
    </row>
    <row r="6640" spans="1:2" x14ac:dyDescent="0.25">
      <c r="A6640" s="15" t="str">
        <f t="shared" si="206"/>
        <v/>
      </c>
      <c r="B6640" s="18" t="str">
        <f t="shared" si="207"/>
        <v/>
      </c>
    </row>
    <row r="6641" spans="1:2" x14ac:dyDescent="0.25">
      <c r="A6641" s="15" t="str">
        <f t="shared" si="206"/>
        <v/>
      </c>
      <c r="B6641" s="18" t="str">
        <f t="shared" si="207"/>
        <v/>
      </c>
    </row>
    <row r="6642" spans="1:2" x14ac:dyDescent="0.25">
      <c r="A6642" s="15" t="str">
        <f t="shared" si="206"/>
        <v/>
      </c>
      <c r="B6642" s="18" t="str">
        <f t="shared" si="207"/>
        <v/>
      </c>
    </row>
    <row r="6643" spans="1:2" x14ac:dyDescent="0.25">
      <c r="A6643" s="15" t="str">
        <f t="shared" si="206"/>
        <v/>
      </c>
      <c r="B6643" s="18" t="str">
        <f t="shared" si="207"/>
        <v/>
      </c>
    </row>
    <row r="6644" spans="1:2" x14ac:dyDescent="0.25">
      <c r="A6644" s="15" t="str">
        <f t="shared" si="206"/>
        <v/>
      </c>
      <c r="B6644" s="18" t="str">
        <f t="shared" si="207"/>
        <v/>
      </c>
    </row>
    <row r="6645" spans="1:2" x14ac:dyDescent="0.25">
      <c r="A6645" s="15" t="str">
        <f t="shared" si="206"/>
        <v/>
      </c>
      <c r="B6645" s="18" t="str">
        <f t="shared" si="207"/>
        <v/>
      </c>
    </row>
    <row r="6646" spans="1:2" x14ac:dyDescent="0.25">
      <c r="A6646" s="15" t="str">
        <f t="shared" si="206"/>
        <v/>
      </c>
      <c r="B6646" s="18" t="str">
        <f t="shared" si="207"/>
        <v/>
      </c>
    </row>
    <row r="6647" spans="1:2" x14ac:dyDescent="0.25">
      <c r="A6647" s="15" t="str">
        <f t="shared" si="206"/>
        <v/>
      </c>
      <c r="B6647" s="18" t="str">
        <f t="shared" si="207"/>
        <v/>
      </c>
    </row>
    <row r="6648" spans="1:2" x14ac:dyDescent="0.25">
      <c r="A6648" s="15" t="str">
        <f t="shared" si="206"/>
        <v/>
      </c>
      <c r="B6648" s="18" t="str">
        <f t="shared" si="207"/>
        <v/>
      </c>
    </row>
    <row r="6649" spans="1:2" x14ac:dyDescent="0.25">
      <c r="A6649" s="15" t="str">
        <f t="shared" si="206"/>
        <v/>
      </c>
      <c r="B6649" s="18" t="str">
        <f t="shared" si="207"/>
        <v/>
      </c>
    </row>
    <row r="6650" spans="1:2" x14ac:dyDescent="0.25">
      <c r="A6650" s="15" t="str">
        <f t="shared" si="206"/>
        <v/>
      </c>
      <c r="B6650" s="18" t="str">
        <f t="shared" si="207"/>
        <v/>
      </c>
    </row>
    <row r="6651" spans="1:2" x14ac:dyDescent="0.25">
      <c r="A6651" s="15" t="str">
        <f t="shared" si="206"/>
        <v/>
      </c>
      <c r="B6651" s="18" t="str">
        <f t="shared" si="207"/>
        <v/>
      </c>
    </row>
    <row r="6652" spans="1:2" x14ac:dyDescent="0.25">
      <c r="A6652" s="15" t="str">
        <f t="shared" si="206"/>
        <v/>
      </c>
      <c r="B6652" s="18" t="str">
        <f t="shared" si="207"/>
        <v/>
      </c>
    </row>
    <row r="6653" spans="1:2" x14ac:dyDescent="0.25">
      <c r="A6653" s="15" t="str">
        <f t="shared" si="206"/>
        <v/>
      </c>
      <c r="B6653" s="18" t="str">
        <f t="shared" si="207"/>
        <v/>
      </c>
    </row>
    <row r="6654" spans="1:2" x14ac:dyDescent="0.25">
      <c r="A6654" s="15" t="str">
        <f t="shared" si="206"/>
        <v/>
      </c>
      <c r="B6654" s="18" t="str">
        <f t="shared" si="207"/>
        <v/>
      </c>
    </row>
    <row r="6655" spans="1:2" x14ac:dyDescent="0.25">
      <c r="A6655" s="15" t="str">
        <f t="shared" si="206"/>
        <v/>
      </c>
      <c r="B6655" s="18" t="str">
        <f t="shared" si="207"/>
        <v/>
      </c>
    </row>
    <row r="6656" spans="1:2" x14ac:dyDescent="0.25">
      <c r="A6656" s="15" t="str">
        <f t="shared" si="206"/>
        <v/>
      </c>
      <c r="B6656" s="18" t="str">
        <f t="shared" si="207"/>
        <v/>
      </c>
    </row>
    <row r="6657" spans="1:2" x14ac:dyDescent="0.25">
      <c r="A6657" s="15" t="str">
        <f t="shared" si="206"/>
        <v/>
      </c>
      <c r="B6657" s="18" t="str">
        <f t="shared" si="207"/>
        <v/>
      </c>
    </row>
    <row r="6658" spans="1:2" x14ac:dyDescent="0.25">
      <c r="A6658" s="15" t="str">
        <f t="shared" ref="A6658:A6721" si="208">B6658&amp;C6658</f>
        <v/>
      </c>
      <c r="B6658" s="18" t="str">
        <f t="shared" si="207"/>
        <v/>
      </c>
    </row>
    <row r="6659" spans="1:2" x14ac:dyDescent="0.25">
      <c r="A6659" s="15" t="str">
        <f t="shared" si="208"/>
        <v/>
      </c>
      <c r="B6659" s="18" t="str">
        <f t="shared" ref="B6659:B6722" si="209">IF(C6659="","",B6658)</f>
        <v/>
      </c>
    </row>
    <row r="6660" spans="1:2" x14ac:dyDescent="0.25">
      <c r="A6660" s="15" t="str">
        <f t="shared" si="208"/>
        <v/>
      </c>
      <c r="B6660" s="18" t="str">
        <f t="shared" si="209"/>
        <v/>
      </c>
    </row>
    <row r="6661" spans="1:2" x14ac:dyDescent="0.25">
      <c r="A6661" s="15" t="str">
        <f t="shared" si="208"/>
        <v/>
      </c>
      <c r="B6661" s="18" t="str">
        <f t="shared" si="209"/>
        <v/>
      </c>
    </row>
    <row r="6662" spans="1:2" x14ac:dyDescent="0.25">
      <c r="A6662" s="15" t="str">
        <f t="shared" si="208"/>
        <v/>
      </c>
      <c r="B6662" s="18" t="str">
        <f t="shared" si="209"/>
        <v/>
      </c>
    </row>
    <row r="6663" spans="1:2" x14ac:dyDescent="0.25">
      <c r="A6663" s="15" t="str">
        <f t="shared" si="208"/>
        <v/>
      </c>
      <c r="B6663" s="18" t="str">
        <f t="shared" si="209"/>
        <v/>
      </c>
    </row>
    <row r="6664" spans="1:2" x14ac:dyDescent="0.25">
      <c r="A6664" s="15" t="str">
        <f t="shared" si="208"/>
        <v/>
      </c>
      <c r="B6664" s="18" t="str">
        <f t="shared" si="209"/>
        <v/>
      </c>
    </row>
    <row r="6665" spans="1:2" x14ac:dyDescent="0.25">
      <c r="A6665" s="15" t="str">
        <f t="shared" si="208"/>
        <v/>
      </c>
      <c r="B6665" s="18" t="str">
        <f t="shared" si="209"/>
        <v/>
      </c>
    </row>
    <row r="6666" spans="1:2" x14ac:dyDescent="0.25">
      <c r="A6666" s="15" t="str">
        <f t="shared" si="208"/>
        <v/>
      </c>
      <c r="B6666" s="18" t="str">
        <f t="shared" si="209"/>
        <v/>
      </c>
    </row>
    <row r="6667" spans="1:2" x14ac:dyDescent="0.25">
      <c r="A6667" s="15" t="str">
        <f t="shared" si="208"/>
        <v/>
      </c>
      <c r="B6667" s="18" t="str">
        <f t="shared" si="209"/>
        <v/>
      </c>
    </row>
    <row r="6668" spans="1:2" x14ac:dyDescent="0.25">
      <c r="A6668" s="15" t="str">
        <f t="shared" si="208"/>
        <v/>
      </c>
      <c r="B6668" s="18" t="str">
        <f t="shared" si="209"/>
        <v/>
      </c>
    </row>
    <row r="6669" spans="1:2" x14ac:dyDescent="0.25">
      <c r="A6669" s="15" t="str">
        <f t="shared" si="208"/>
        <v/>
      </c>
      <c r="B6669" s="18" t="str">
        <f t="shared" si="209"/>
        <v/>
      </c>
    </row>
    <row r="6670" spans="1:2" x14ac:dyDescent="0.25">
      <c r="A6670" s="15" t="str">
        <f t="shared" si="208"/>
        <v/>
      </c>
      <c r="B6670" s="18" t="str">
        <f t="shared" si="209"/>
        <v/>
      </c>
    </row>
    <row r="6671" spans="1:2" x14ac:dyDescent="0.25">
      <c r="A6671" s="15" t="str">
        <f t="shared" si="208"/>
        <v/>
      </c>
      <c r="B6671" s="18" t="str">
        <f t="shared" si="209"/>
        <v/>
      </c>
    </row>
    <row r="6672" spans="1:2" x14ac:dyDescent="0.25">
      <c r="A6672" s="15" t="str">
        <f t="shared" si="208"/>
        <v/>
      </c>
      <c r="B6672" s="18" t="str">
        <f t="shared" si="209"/>
        <v/>
      </c>
    </row>
    <row r="6673" spans="1:2" x14ac:dyDescent="0.25">
      <c r="A6673" s="15" t="str">
        <f t="shared" si="208"/>
        <v/>
      </c>
      <c r="B6673" s="18" t="str">
        <f t="shared" si="209"/>
        <v/>
      </c>
    </row>
    <row r="6674" spans="1:2" x14ac:dyDescent="0.25">
      <c r="A6674" s="15" t="str">
        <f t="shared" si="208"/>
        <v/>
      </c>
      <c r="B6674" s="18" t="str">
        <f t="shared" si="209"/>
        <v/>
      </c>
    </row>
    <row r="6675" spans="1:2" x14ac:dyDescent="0.25">
      <c r="A6675" s="15" t="str">
        <f t="shared" si="208"/>
        <v/>
      </c>
      <c r="B6675" s="18" t="str">
        <f t="shared" si="209"/>
        <v/>
      </c>
    </row>
    <row r="6676" spans="1:2" x14ac:dyDescent="0.25">
      <c r="A6676" s="15" t="str">
        <f t="shared" si="208"/>
        <v/>
      </c>
      <c r="B6676" s="18" t="str">
        <f t="shared" si="209"/>
        <v/>
      </c>
    </row>
    <row r="6677" spans="1:2" x14ac:dyDescent="0.25">
      <c r="A6677" s="15" t="str">
        <f t="shared" si="208"/>
        <v/>
      </c>
      <c r="B6677" s="18" t="str">
        <f t="shared" si="209"/>
        <v/>
      </c>
    </row>
    <row r="6678" spans="1:2" x14ac:dyDescent="0.25">
      <c r="A6678" s="15" t="str">
        <f t="shared" si="208"/>
        <v/>
      </c>
      <c r="B6678" s="18" t="str">
        <f t="shared" si="209"/>
        <v/>
      </c>
    </row>
    <row r="6679" spans="1:2" x14ac:dyDescent="0.25">
      <c r="A6679" s="15" t="str">
        <f t="shared" si="208"/>
        <v/>
      </c>
      <c r="B6679" s="18" t="str">
        <f t="shared" si="209"/>
        <v/>
      </c>
    </row>
    <row r="6680" spans="1:2" x14ac:dyDescent="0.25">
      <c r="A6680" s="15" t="str">
        <f t="shared" si="208"/>
        <v/>
      </c>
      <c r="B6680" s="18" t="str">
        <f t="shared" si="209"/>
        <v/>
      </c>
    </row>
    <row r="6681" spans="1:2" x14ac:dyDescent="0.25">
      <c r="A6681" s="15" t="str">
        <f t="shared" si="208"/>
        <v/>
      </c>
      <c r="B6681" s="18" t="str">
        <f t="shared" si="209"/>
        <v/>
      </c>
    </row>
    <row r="6682" spans="1:2" x14ac:dyDescent="0.25">
      <c r="A6682" s="15" t="str">
        <f t="shared" si="208"/>
        <v/>
      </c>
      <c r="B6682" s="18" t="str">
        <f t="shared" si="209"/>
        <v/>
      </c>
    </row>
    <row r="6683" spans="1:2" x14ac:dyDescent="0.25">
      <c r="A6683" s="15" t="str">
        <f t="shared" si="208"/>
        <v/>
      </c>
      <c r="B6683" s="18" t="str">
        <f t="shared" si="209"/>
        <v/>
      </c>
    </row>
    <row r="6684" spans="1:2" x14ac:dyDescent="0.25">
      <c r="A6684" s="15" t="str">
        <f t="shared" si="208"/>
        <v/>
      </c>
      <c r="B6684" s="18" t="str">
        <f t="shared" si="209"/>
        <v/>
      </c>
    </row>
    <row r="6685" spans="1:2" x14ac:dyDescent="0.25">
      <c r="A6685" s="15" t="str">
        <f t="shared" si="208"/>
        <v/>
      </c>
      <c r="B6685" s="18" t="str">
        <f t="shared" si="209"/>
        <v/>
      </c>
    </row>
    <row r="6686" spans="1:2" x14ac:dyDescent="0.25">
      <c r="A6686" s="15" t="str">
        <f t="shared" si="208"/>
        <v/>
      </c>
      <c r="B6686" s="18" t="str">
        <f t="shared" si="209"/>
        <v/>
      </c>
    </row>
    <row r="6687" spans="1:2" x14ac:dyDescent="0.25">
      <c r="A6687" s="15" t="str">
        <f t="shared" si="208"/>
        <v/>
      </c>
      <c r="B6687" s="18" t="str">
        <f t="shared" si="209"/>
        <v/>
      </c>
    </row>
    <row r="6688" spans="1:2" x14ac:dyDescent="0.25">
      <c r="A6688" s="15" t="str">
        <f t="shared" si="208"/>
        <v/>
      </c>
      <c r="B6688" s="18" t="str">
        <f t="shared" si="209"/>
        <v/>
      </c>
    </row>
    <row r="6689" spans="1:2" x14ac:dyDescent="0.25">
      <c r="A6689" s="15" t="str">
        <f t="shared" si="208"/>
        <v/>
      </c>
      <c r="B6689" s="18" t="str">
        <f t="shared" si="209"/>
        <v/>
      </c>
    </row>
    <row r="6690" spans="1:2" x14ac:dyDescent="0.25">
      <c r="A6690" s="15" t="str">
        <f t="shared" si="208"/>
        <v/>
      </c>
      <c r="B6690" s="18" t="str">
        <f t="shared" si="209"/>
        <v/>
      </c>
    </row>
    <row r="6691" spans="1:2" x14ac:dyDescent="0.25">
      <c r="A6691" s="15" t="str">
        <f t="shared" si="208"/>
        <v/>
      </c>
      <c r="B6691" s="18" t="str">
        <f t="shared" si="209"/>
        <v/>
      </c>
    </row>
    <row r="6692" spans="1:2" x14ac:dyDescent="0.25">
      <c r="A6692" s="15" t="str">
        <f t="shared" si="208"/>
        <v/>
      </c>
      <c r="B6692" s="18" t="str">
        <f t="shared" si="209"/>
        <v/>
      </c>
    </row>
    <row r="6693" spans="1:2" x14ac:dyDescent="0.25">
      <c r="A6693" s="15" t="str">
        <f t="shared" si="208"/>
        <v/>
      </c>
      <c r="B6693" s="18" t="str">
        <f t="shared" si="209"/>
        <v/>
      </c>
    </row>
    <row r="6694" spans="1:2" x14ac:dyDescent="0.25">
      <c r="A6694" s="15" t="str">
        <f t="shared" si="208"/>
        <v/>
      </c>
      <c r="B6694" s="18" t="str">
        <f t="shared" si="209"/>
        <v/>
      </c>
    </row>
    <row r="6695" spans="1:2" x14ac:dyDescent="0.25">
      <c r="A6695" s="15" t="str">
        <f t="shared" si="208"/>
        <v/>
      </c>
      <c r="B6695" s="18" t="str">
        <f t="shared" si="209"/>
        <v/>
      </c>
    </row>
    <row r="6696" spans="1:2" x14ac:dyDescent="0.25">
      <c r="A6696" s="15" t="str">
        <f t="shared" si="208"/>
        <v/>
      </c>
      <c r="B6696" s="18" t="str">
        <f t="shared" si="209"/>
        <v/>
      </c>
    </row>
    <row r="6697" spans="1:2" x14ac:dyDescent="0.25">
      <c r="A6697" s="15" t="str">
        <f t="shared" si="208"/>
        <v/>
      </c>
      <c r="B6697" s="18" t="str">
        <f t="shared" si="209"/>
        <v/>
      </c>
    </row>
    <row r="6698" spans="1:2" x14ac:dyDescent="0.25">
      <c r="A6698" s="15" t="str">
        <f t="shared" si="208"/>
        <v/>
      </c>
      <c r="B6698" s="18" t="str">
        <f t="shared" si="209"/>
        <v/>
      </c>
    </row>
    <row r="6699" spans="1:2" x14ac:dyDescent="0.25">
      <c r="A6699" s="15" t="str">
        <f t="shared" si="208"/>
        <v/>
      </c>
      <c r="B6699" s="18" t="str">
        <f t="shared" si="209"/>
        <v/>
      </c>
    </row>
    <row r="6700" spans="1:2" x14ac:dyDescent="0.25">
      <c r="A6700" s="15" t="str">
        <f t="shared" si="208"/>
        <v/>
      </c>
      <c r="B6700" s="18" t="str">
        <f t="shared" si="209"/>
        <v/>
      </c>
    </row>
    <row r="6701" spans="1:2" x14ac:dyDescent="0.25">
      <c r="A6701" s="15" t="str">
        <f t="shared" si="208"/>
        <v/>
      </c>
      <c r="B6701" s="18" t="str">
        <f t="shared" si="209"/>
        <v/>
      </c>
    </row>
    <row r="6702" spans="1:2" x14ac:dyDescent="0.25">
      <c r="A6702" s="15" t="str">
        <f t="shared" si="208"/>
        <v/>
      </c>
      <c r="B6702" s="18" t="str">
        <f t="shared" si="209"/>
        <v/>
      </c>
    </row>
    <row r="6703" spans="1:2" x14ac:dyDescent="0.25">
      <c r="A6703" s="15" t="str">
        <f t="shared" si="208"/>
        <v/>
      </c>
      <c r="B6703" s="18" t="str">
        <f t="shared" si="209"/>
        <v/>
      </c>
    </row>
    <row r="6704" spans="1:2" x14ac:dyDescent="0.25">
      <c r="A6704" s="15" t="str">
        <f t="shared" si="208"/>
        <v/>
      </c>
      <c r="B6704" s="18" t="str">
        <f t="shared" si="209"/>
        <v/>
      </c>
    </row>
    <row r="6705" spans="1:2" x14ac:dyDescent="0.25">
      <c r="A6705" s="15" t="str">
        <f t="shared" si="208"/>
        <v/>
      </c>
      <c r="B6705" s="18" t="str">
        <f t="shared" si="209"/>
        <v/>
      </c>
    </row>
    <row r="6706" spans="1:2" x14ac:dyDescent="0.25">
      <c r="A6706" s="15" t="str">
        <f t="shared" si="208"/>
        <v/>
      </c>
      <c r="B6706" s="18" t="str">
        <f t="shared" si="209"/>
        <v/>
      </c>
    </row>
    <row r="6707" spans="1:2" x14ac:dyDescent="0.25">
      <c r="A6707" s="15" t="str">
        <f t="shared" si="208"/>
        <v/>
      </c>
      <c r="B6707" s="18" t="str">
        <f t="shared" si="209"/>
        <v/>
      </c>
    </row>
    <row r="6708" spans="1:2" x14ac:dyDescent="0.25">
      <c r="A6708" s="15" t="str">
        <f t="shared" si="208"/>
        <v/>
      </c>
      <c r="B6708" s="18" t="str">
        <f t="shared" si="209"/>
        <v/>
      </c>
    </row>
    <row r="6709" spans="1:2" x14ac:dyDescent="0.25">
      <c r="A6709" s="15" t="str">
        <f t="shared" si="208"/>
        <v/>
      </c>
      <c r="B6709" s="18" t="str">
        <f t="shared" si="209"/>
        <v/>
      </c>
    </row>
    <row r="6710" spans="1:2" x14ac:dyDescent="0.25">
      <c r="A6710" s="15" t="str">
        <f t="shared" si="208"/>
        <v/>
      </c>
      <c r="B6710" s="18" t="str">
        <f t="shared" si="209"/>
        <v/>
      </c>
    </row>
    <row r="6711" spans="1:2" x14ac:dyDescent="0.25">
      <c r="A6711" s="15" t="str">
        <f t="shared" si="208"/>
        <v/>
      </c>
      <c r="B6711" s="18" t="str">
        <f t="shared" si="209"/>
        <v/>
      </c>
    </row>
    <row r="6712" spans="1:2" x14ac:dyDescent="0.25">
      <c r="A6712" s="15" t="str">
        <f t="shared" si="208"/>
        <v/>
      </c>
      <c r="B6712" s="18" t="str">
        <f t="shared" si="209"/>
        <v/>
      </c>
    </row>
    <row r="6713" spans="1:2" x14ac:dyDescent="0.25">
      <c r="A6713" s="15" t="str">
        <f t="shared" si="208"/>
        <v/>
      </c>
      <c r="B6713" s="18" t="str">
        <f t="shared" si="209"/>
        <v/>
      </c>
    </row>
    <row r="6714" spans="1:2" x14ac:dyDescent="0.25">
      <c r="A6714" s="15" t="str">
        <f t="shared" si="208"/>
        <v/>
      </c>
      <c r="B6714" s="18" t="str">
        <f t="shared" si="209"/>
        <v/>
      </c>
    </row>
    <row r="6715" spans="1:2" x14ac:dyDescent="0.25">
      <c r="A6715" s="15" t="str">
        <f t="shared" si="208"/>
        <v/>
      </c>
      <c r="B6715" s="18" t="str">
        <f t="shared" si="209"/>
        <v/>
      </c>
    </row>
    <row r="6716" spans="1:2" x14ac:dyDescent="0.25">
      <c r="A6716" s="15" t="str">
        <f t="shared" si="208"/>
        <v/>
      </c>
      <c r="B6716" s="18" t="str">
        <f t="shared" si="209"/>
        <v/>
      </c>
    </row>
    <row r="6717" spans="1:2" x14ac:dyDescent="0.25">
      <c r="A6717" s="15" t="str">
        <f t="shared" si="208"/>
        <v/>
      </c>
      <c r="B6717" s="18" t="str">
        <f t="shared" si="209"/>
        <v/>
      </c>
    </row>
    <row r="6718" spans="1:2" x14ac:dyDescent="0.25">
      <c r="A6718" s="15" t="str">
        <f t="shared" si="208"/>
        <v/>
      </c>
      <c r="B6718" s="18" t="str">
        <f t="shared" si="209"/>
        <v/>
      </c>
    </row>
    <row r="6719" spans="1:2" x14ac:dyDescent="0.25">
      <c r="A6719" s="15" t="str">
        <f t="shared" si="208"/>
        <v/>
      </c>
      <c r="B6719" s="18" t="str">
        <f t="shared" si="209"/>
        <v/>
      </c>
    </row>
    <row r="6720" spans="1:2" x14ac:dyDescent="0.25">
      <c r="A6720" s="15" t="str">
        <f t="shared" si="208"/>
        <v/>
      </c>
      <c r="B6720" s="18" t="str">
        <f t="shared" si="209"/>
        <v/>
      </c>
    </row>
    <row r="6721" spans="1:2" x14ac:dyDescent="0.25">
      <c r="A6721" s="15" t="str">
        <f t="shared" si="208"/>
        <v/>
      </c>
      <c r="B6721" s="18" t="str">
        <f t="shared" si="209"/>
        <v/>
      </c>
    </row>
    <row r="6722" spans="1:2" x14ac:dyDescent="0.25">
      <c r="A6722" s="15" t="str">
        <f t="shared" ref="A6722:A6785" si="210">B6722&amp;C6722</f>
        <v/>
      </c>
      <c r="B6722" s="18" t="str">
        <f t="shared" si="209"/>
        <v/>
      </c>
    </row>
    <row r="6723" spans="1:2" x14ac:dyDescent="0.25">
      <c r="A6723" s="15" t="str">
        <f t="shared" si="210"/>
        <v/>
      </c>
      <c r="B6723" s="18" t="str">
        <f t="shared" ref="B6723:B6786" si="211">IF(C6723="","",B6722)</f>
        <v/>
      </c>
    </row>
    <row r="6724" spans="1:2" x14ac:dyDescent="0.25">
      <c r="A6724" s="15" t="str">
        <f t="shared" si="210"/>
        <v/>
      </c>
      <c r="B6724" s="18" t="str">
        <f t="shared" si="211"/>
        <v/>
      </c>
    </row>
    <row r="6725" spans="1:2" x14ac:dyDescent="0.25">
      <c r="A6725" s="15" t="str">
        <f t="shared" si="210"/>
        <v/>
      </c>
      <c r="B6725" s="18" t="str">
        <f t="shared" si="211"/>
        <v/>
      </c>
    </row>
    <row r="6726" spans="1:2" x14ac:dyDescent="0.25">
      <c r="A6726" s="15" t="str">
        <f t="shared" si="210"/>
        <v/>
      </c>
      <c r="B6726" s="18" t="str">
        <f t="shared" si="211"/>
        <v/>
      </c>
    </row>
    <row r="6727" spans="1:2" x14ac:dyDescent="0.25">
      <c r="A6727" s="15" t="str">
        <f t="shared" si="210"/>
        <v/>
      </c>
      <c r="B6727" s="18" t="str">
        <f t="shared" si="211"/>
        <v/>
      </c>
    </row>
    <row r="6728" spans="1:2" x14ac:dyDescent="0.25">
      <c r="A6728" s="15" t="str">
        <f t="shared" si="210"/>
        <v/>
      </c>
      <c r="B6728" s="18" t="str">
        <f t="shared" si="211"/>
        <v/>
      </c>
    </row>
    <row r="6729" spans="1:2" x14ac:dyDescent="0.25">
      <c r="A6729" s="15" t="str">
        <f t="shared" si="210"/>
        <v/>
      </c>
      <c r="B6729" s="18" t="str">
        <f t="shared" si="211"/>
        <v/>
      </c>
    </row>
    <row r="6730" spans="1:2" x14ac:dyDescent="0.25">
      <c r="A6730" s="15" t="str">
        <f t="shared" si="210"/>
        <v/>
      </c>
      <c r="B6730" s="18" t="str">
        <f t="shared" si="211"/>
        <v/>
      </c>
    </row>
    <row r="6731" spans="1:2" x14ac:dyDescent="0.25">
      <c r="A6731" s="15" t="str">
        <f t="shared" si="210"/>
        <v/>
      </c>
      <c r="B6731" s="18" t="str">
        <f t="shared" si="211"/>
        <v/>
      </c>
    </row>
    <row r="6732" spans="1:2" x14ac:dyDescent="0.25">
      <c r="A6732" s="15" t="str">
        <f t="shared" si="210"/>
        <v/>
      </c>
      <c r="B6732" s="18" t="str">
        <f t="shared" si="211"/>
        <v/>
      </c>
    </row>
    <row r="6733" spans="1:2" x14ac:dyDescent="0.25">
      <c r="A6733" s="15" t="str">
        <f t="shared" si="210"/>
        <v/>
      </c>
      <c r="B6733" s="18" t="str">
        <f t="shared" si="211"/>
        <v/>
      </c>
    </row>
    <row r="6734" spans="1:2" x14ac:dyDescent="0.25">
      <c r="A6734" s="15" t="str">
        <f t="shared" si="210"/>
        <v/>
      </c>
      <c r="B6734" s="18" t="str">
        <f t="shared" si="211"/>
        <v/>
      </c>
    </row>
    <row r="6735" spans="1:2" x14ac:dyDescent="0.25">
      <c r="A6735" s="15" t="str">
        <f t="shared" si="210"/>
        <v/>
      </c>
      <c r="B6735" s="18" t="str">
        <f t="shared" si="211"/>
        <v/>
      </c>
    </row>
    <row r="6736" spans="1:2" x14ac:dyDescent="0.25">
      <c r="A6736" s="15" t="str">
        <f t="shared" si="210"/>
        <v/>
      </c>
      <c r="B6736" s="18" t="str">
        <f t="shared" si="211"/>
        <v/>
      </c>
    </row>
    <row r="6737" spans="1:2" x14ac:dyDescent="0.25">
      <c r="A6737" s="15" t="str">
        <f t="shared" si="210"/>
        <v/>
      </c>
      <c r="B6737" s="18" t="str">
        <f t="shared" si="211"/>
        <v/>
      </c>
    </row>
    <row r="6738" spans="1:2" x14ac:dyDescent="0.25">
      <c r="A6738" s="15" t="str">
        <f t="shared" si="210"/>
        <v/>
      </c>
      <c r="B6738" s="18" t="str">
        <f t="shared" si="211"/>
        <v/>
      </c>
    </row>
    <row r="6739" spans="1:2" x14ac:dyDescent="0.25">
      <c r="A6739" s="15" t="str">
        <f t="shared" si="210"/>
        <v/>
      </c>
      <c r="B6739" s="18" t="str">
        <f t="shared" si="211"/>
        <v/>
      </c>
    </row>
    <row r="6740" spans="1:2" x14ac:dyDescent="0.25">
      <c r="A6740" s="15" t="str">
        <f t="shared" si="210"/>
        <v/>
      </c>
      <c r="B6740" s="18" t="str">
        <f t="shared" si="211"/>
        <v/>
      </c>
    </row>
    <row r="6741" spans="1:2" x14ac:dyDescent="0.25">
      <c r="A6741" s="15" t="str">
        <f t="shared" si="210"/>
        <v/>
      </c>
      <c r="B6741" s="18" t="str">
        <f t="shared" si="211"/>
        <v/>
      </c>
    </row>
    <row r="6742" spans="1:2" x14ac:dyDescent="0.25">
      <c r="A6742" s="15" t="str">
        <f t="shared" si="210"/>
        <v/>
      </c>
      <c r="B6742" s="18" t="str">
        <f t="shared" si="211"/>
        <v/>
      </c>
    </row>
    <row r="6743" spans="1:2" x14ac:dyDescent="0.25">
      <c r="A6743" s="15" t="str">
        <f t="shared" si="210"/>
        <v/>
      </c>
      <c r="B6743" s="18" t="str">
        <f t="shared" si="211"/>
        <v/>
      </c>
    </row>
    <row r="6744" spans="1:2" x14ac:dyDescent="0.25">
      <c r="A6744" s="15" t="str">
        <f t="shared" si="210"/>
        <v/>
      </c>
      <c r="B6744" s="18" t="str">
        <f t="shared" si="211"/>
        <v/>
      </c>
    </row>
    <row r="6745" spans="1:2" x14ac:dyDescent="0.25">
      <c r="A6745" s="15" t="str">
        <f t="shared" si="210"/>
        <v/>
      </c>
      <c r="B6745" s="18" t="str">
        <f t="shared" si="211"/>
        <v/>
      </c>
    </row>
    <row r="6746" spans="1:2" x14ac:dyDescent="0.25">
      <c r="A6746" s="15" t="str">
        <f t="shared" si="210"/>
        <v/>
      </c>
      <c r="B6746" s="18" t="str">
        <f t="shared" si="211"/>
        <v/>
      </c>
    </row>
    <row r="6747" spans="1:2" x14ac:dyDescent="0.25">
      <c r="A6747" s="15" t="str">
        <f t="shared" si="210"/>
        <v/>
      </c>
      <c r="B6747" s="18" t="str">
        <f t="shared" si="211"/>
        <v/>
      </c>
    </row>
    <row r="6748" spans="1:2" x14ac:dyDescent="0.25">
      <c r="A6748" s="15" t="str">
        <f t="shared" si="210"/>
        <v/>
      </c>
      <c r="B6748" s="18" t="str">
        <f t="shared" si="211"/>
        <v/>
      </c>
    </row>
    <row r="6749" spans="1:2" x14ac:dyDescent="0.25">
      <c r="A6749" s="15" t="str">
        <f t="shared" si="210"/>
        <v/>
      </c>
      <c r="B6749" s="18" t="str">
        <f t="shared" si="211"/>
        <v/>
      </c>
    </row>
    <row r="6750" spans="1:2" x14ac:dyDescent="0.25">
      <c r="A6750" s="15" t="str">
        <f t="shared" si="210"/>
        <v/>
      </c>
      <c r="B6750" s="18" t="str">
        <f t="shared" si="211"/>
        <v/>
      </c>
    </row>
    <row r="6751" spans="1:2" x14ac:dyDescent="0.25">
      <c r="A6751" s="15" t="str">
        <f t="shared" si="210"/>
        <v/>
      </c>
      <c r="B6751" s="18" t="str">
        <f t="shared" si="211"/>
        <v/>
      </c>
    </row>
    <row r="6752" spans="1:2" x14ac:dyDescent="0.25">
      <c r="A6752" s="15" t="str">
        <f t="shared" si="210"/>
        <v/>
      </c>
      <c r="B6752" s="18" t="str">
        <f t="shared" si="211"/>
        <v/>
      </c>
    </row>
    <row r="6753" spans="1:2" x14ac:dyDescent="0.25">
      <c r="A6753" s="15" t="str">
        <f t="shared" si="210"/>
        <v/>
      </c>
      <c r="B6753" s="18" t="str">
        <f t="shared" si="211"/>
        <v/>
      </c>
    </row>
    <row r="6754" spans="1:2" x14ac:dyDescent="0.25">
      <c r="A6754" s="15" t="str">
        <f t="shared" si="210"/>
        <v/>
      </c>
      <c r="B6754" s="18" t="str">
        <f t="shared" si="211"/>
        <v/>
      </c>
    </row>
    <row r="6755" spans="1:2" x14ac:dyDescent="0.25">
      <c r="A6755" s="15" t="str">
        <f t="shared" si="210"/>
        <v/>
      </c>
      <c r="B6755" s="18" t="str">
        <f t="shared" si="211"/>
        <v/>
      </c>
    </row>
    <row r="6756" spans="1:2" x14ac:dyDescent="0.25">
      <c r="A6756" s="15" t="str">
        <f t="shared" si="210"/>
        <v/>
      </c>
      <c r="B6756" s="18" t="str">
        <f t="shared" si="211"/>
        <v/>
      </c>
    </row>
    <row r="6757" spans="1:2" x14ac:dyDescent="0.25">
      <c r="A6757" s="15" t="str">
        <f t="shared" si="210"/>
        <v/>
      </c>
      <c r="B6757" s="18" t="str">
        <f t="shared" si="211"/>
        <v/>
      </c>
    </row>
    <row r="6758" spans="1:2" x14ac:dyDescent="0.25">
      <c r="A6758" s="15" t="str">
        <f t="shared" si="210"/>
        <v/>
      </c>
      <c r="B6758" s="18" t="str">
        <f t="shared" si="211"/>
        <v/>
      </c>
    </row>
    <row r="6759" spans="1:2" x14ac:dyDescent="0.25">
      <c r="A6759" s="15" t="str">
        <f t="shared" si="210"/>
        <v/>
      </c>
      <c r="B6759" s="18" t="str">
        <f t="shared" si="211"/>
        <v/>
      </c>
    </row>
    <row r="6760" spans="1:2" x14ac:dyDescent="0.25">
      <c r="A6760" s="15" t="str">
        <f t="shared" si="210"/>
        <v/>
      </c>
      <c r="B6760" s="18" t="str">
        <f t="shared" si="211"/>
        <v/>
      </c>
    </row>
    <row r="6761" spans="1:2" x14ac:dyDescent="0.25">
      <c r="A6761" s="15" t="str">
        <f t="shared" si="210"/>
        <v/>
      </c>
      <c r="B6761" s="18" t="str">
        <f t="shared" si="211"/>
        <v/>
      </c>
    </row>
    <row r="6762" spans="1:2" x14ac:dyDescent="0.25">
      <c r="A6762" s="15" t="str">
        <f t="shared" si="210"/>
        <v/>
      </c>
      <c r="B6762" s="18" t="str">
        <f t="shared" si="211"/>
        <v/>
      </c>
    </row>
    <row r="6763" spans="1:2" x14ac:dyDescent="0.25">
      <c r="A6763" s="15" t="str">
        <f t="shared" si="210"/>
        <v/>
      </c>
      <c r="B6763" s="18" t="str">
        <f t="shared" si="211"/>
        <v/>
      </c>
    </row>
    <row r="6764" spans="1:2" x14ac:dyDescent="0.25">
      <c r="A6764" s="15" t="str">
        <f t="shared" si="210"/>
        <v/>
      </c>
      <c r="B6764" s="18" t="str">
        <f t="shared" si="211"/>
        <v/>
      </c>
    </row>
    <row r="6765" spans="1:2" x14ac:dyDescent="0.25">
      <c r="A6765" s="15" t="str">
        <f t="shared" si="210"/>
        <v/>
      </c>
      <c r="B6765" s="18" t="str">
        <f t="shared" si="211"/>
        <v/>
      </c>
    </row>
    <row r="6766" spans="1:2" x14ac:dyDescent="0.25">
      <c r="A6766" s="15" t="str">
        <f t="shared" si="210"/>
        <v/>
      </c>
      <c r="B6766" s="18" t="str">
        <f t="shared" si="211"/>
        <v/>
      </c>
    </row>
    <row r="6767" spans="1:2" x14ac:dyDescent="0.25">
      <c r="A6767" s="15" t="str">
        <f t="shared" si="210"/>
        <v/>
      </c>
      <c r="B6767" s="18" t="str">
        <f t="shared" si="211"/>
        <v/>
      </c>
    </row>
    <row r="6768" spans="1:2" x14ac:dyDescent="0.25">
      <c r="A6768" s="15" t="str">
        <f t="shared" si="210"/>
        <v/>
      </c>
      <c r="B6768" s="18" t="str">
        <f t="shared" si="211"/>
        <v/>
      </c>
    </row>
    <row r="6769" spans="1:2" x14ac:dyDescent="0.25">
      <c r="A6769" s="15" t="str">
        <f t="shared" si="210"/>
        <v/>
      </c>
      <c r="B6769" s="18" t="str">
        <f t="shared" si="211"/>
        <v/>
      </c>
    </row>
    <row r="6770" spans="1:2" x14ac:dyDescent="0.25">
      <c r="A6770" s="15" t="str">
        <f t="shared" si="210"/>
        <v/>
      </c>
      <c r="B6770" s="18" t="str">
        <f t="shared" si="211"/>
        <v/>
      </c>
    </row>
    <row r="6771" spans="1:2" x14ac:dyDescent="0.25">
      <c r="A6771" s="15" t="str">
        <f t="shared" si="210"/>
        <v/>
      </c>
      <c r="B6771" s="18" t="str">
        <f t="shared" si="211"/>
        <v/>
      </c>
    </row>
    <row r="6772" spans="1:2" x14ac:dyDescent="0.25">
      <c r="A6772" s="15" t="str">
        <f t="shared" si="210"/>
        <v/>
      </c>
      <c r="B6772" s="18" t="str">
        <f t="shared" si="211"/>
        <v/>
      </c>
    </row>
    <row r="6773" spans="1:2" x14ac:dyDescent="0.25">
      <c r="A6773" s="15" t="str">
        <f t="shared" si="210"/>
        <v/>
      </c>
      <c r="B6773" s="18" t="str">
        <f t="shared" si="211"/>
        <v/>
      </c>
    </row>
    <row r="6774" spans="1:2" x14ac:dyDescent="0.25">
      <c r="A6774" s="15" t="str">
        <f t="shared" si="210"/>
        <v/>
      </c>
      <c r="B6774" s="18" t="str">
        <f t="shared" si="211"/>
        <v/>
      </c>
    </row>
    <row r="6775" spans="1:2" x14ac:dyDescent="0.25">
      <c r="A6775" s="15" t="str">
        <f t="shared" si="210"/>
        <v/>
      </c>
      <c r="B6775" s="18" t="str">
        <f t="shared" si="211"/>
        <v/>
      </c>
    </row>
    <row r="6776" spans="1:2" x14ac:dyDescent="0.25">
      <c r="A6776" s="15" t="str">
        <f t="shared" si="210"/>
        <v/>
      </c>
      <c r="B6776" s="18" t="str">
        <f t="shared" si="211"/>
        <v/>
      </c>
    </row>
    <row r="6777" spans="1:2" x14ac:dyDescent="0.25">
      <c r="A6777" s="15" t="str">
        <f t="shared" si="210"/>
        <v/>
      </c>
      <c r="B6777" s="18" t="str">
        <f t="shared" si="211"/>
        <v/>
      </c>
    </row>
    <row r="6778" spans="1:2" x14ac:dyDescent="0.25">
      <c r="A6778" s="15" t="str">
        <f t="shared" si="210"/>
        <v/>
      </c>
      <c r="B6778" s="18" t="str">
        <f t="shared" si="211"/>
        <v/>
      </c>
    </row>
    <row r="6779" spans="1:2" x14ac:dyDescent="0.25">
      <c r="A6779" s="15" t="str">
        <f t="shared" si="210"/>
        <v/>
      </c>
      <c r="B6779" s="18" t="str">
        <f t="shared" si="211"/>
        <v/>
      </c>
    </row>
    <row r="6780" spans="1:2" x14ac:dyDescent="0.25">
      <c r="A6780" s="15" t="str">
        <f t="shared" si="210"/>
        <v/>
      </c>
      <c r="B6780" s="18" t="str">
        <f t="shared" si="211"/>
        <v/>
      </c>
    </row>
    <row r="6781" spans="1:2" x14ac:dyDescent="0.25">
      <c r="A6781" s="15" t="str">
        <f t="shared" si="210"/>
        <v/>
      </c>
      <c r="B6781" s="18" t="str">
        <f t="shared" si="211"/>
        <v/>
      </c>
    </row>
    <row r="6782" spans="1:2" x14ac:dyDescent="0.25">
      <c r="A6782" s="15" t="str">
        <f t="shared" si="210"/>
        <v/>
      </c>
      <c r="B6782" s="18" t="str">
        <f t="shared" si="211"/>
        <v/>
      </c>
    </row>
    <row r="6783" spans="1:2" x14ac:dyDescent="0.25">
      <c r="A6783" s="15" t="str">
        <f t="shared" si="210"/>
        <v/>
      </c>
      <c r="B6783" s="18" t="str">
        <f t="shared" si="211"/>
        <v/>
      </c>
    </row>
    <row r="6784" spans="1:2" x14ac:dyDescent="0.25">
      <c r="A6784" s="15" t="str">
        <f t="shared" si="210"/>
        <v/>
      </c>
      <c r="B6784" s="18" t="str">
        <f t="shared" si="211"/>
        <v/>
      </c>
    </row>
    <row r="6785" spans="1:2" x14ac:dyDescent="0.25">
      <c r="A6785" s="15" t="str">
        <f t="shared" si="210"/>
        <v/>
      </c>
      <c r="B6785" s="18" t="str">
        <f t="shared" si="211"/>
        <v/>
      </c>
    </row>
    <row r="6786" spans="1:2" x14ac:dyDescent="0.25">
      <c r="A6786" s="15" t="str">
        <f t="shared" ref="A6786:A6849" si="212">B6786&amp;C6786</f>
        <v/>
      </c>
      <c r="B6786" s="18" t="str">
        <f t="shared" si="211"/>
        <v/>
      </c>
    </row>
    <row r="6787" spans="1:2" x14ac:dyDescent="0.25">
      <c r="A6787" s="15" t="str">
        <f t="shared" si="212"/>
        <v/>
      </c>
      <c r="B6787" s="18" t="str">
        <f t="shared" ref="B6787:B6850" si="213">IF(C6787="","",B6786)</f>
        <v/>
      </c>
    </row>
    <row r="6788" spans="1:2" x14ac:dyDescent="0.25">
      <c r="A6788" s="15" t="str">
        <f t="shared" si="212"/>
        <v/>
      </c>
      <c r="B6788" s="18" t="str">
        <f t="shared" si="213"/>
        <v/>
      </c>
    </row>
    <row r="6789" spans="1:2" x14ac:dyDescent="0.25">
      <c r="A6789" s="15" t="str">
        <f t="shared" si="212"/>
        <v/>
      </c>
      <c r="B6789" s="18" t="str">
        <f t="shared" si="213"/>
        <v/>
      </c>
    </row>
    <row r="6790" spans="1:2" x14ac:dyDescent="0.25">
      <c r="A6790" s="15" t="str">
        <f t="shared" si="212"/>
        <v/>
      </c>
      <c r="B6790" s="18" t="str">
        <f t="shared" si="213"/>
        <v/>
      </c>
    </row>
    <row r="6791" spans="1:2" x14ac:dyDescent="0.25">
      <c r="A6791" s="15" t="str">
        <f t="shared" si="212"/>
        <v/>
      </c>
      <c r="B6791" s="18" t="str">
        <f t="shared" si="213"/>
        <v/>
      </c>
    </row>
    <row r="6792" spans="1:2" x14ac:dyDescent="0.25">
      <c r="A6792" s="15" t="str">
        <f t="shared" si="212"/>
        <v/>
      </c>
      <c r="B6792" s="18" t="str">
        <f t="shared" si="213"/>
        <v/>
      </c>
    </row>
    <row r="6793" spans="1:2" x14ac:dyDescent="0.25">
      <c r="A6793" s="15" t="str">
        <f t="shared" si="212"/>
        <v/>
      </c>
      <c r="B6793" s="18" t="str">
        <f t="shared" si="213"/>
        <v/>
      </c>
    </row>
    <row r="6794" spans="1:2" x14ac:dyDescent="0.25">
      <c r="A6794" s="15" t="str">
        <f t="shared" si="212"/>
        <v/>
      </c>
      <c r="B6794" s="18" t="str">
        <f t="shared" si="213"/>
        <v/>
      </c>
    </row>
    <row r="6795" spans="1:2" x14ac:dyDescent="0.25">
      <c r="A6795" s="15" t="str">
        <f t="shared" si="212"/>
        <v/>
      </c>
      <c r="B6795" s="18" t="str">
        <f t="shared" si="213"/>
        <v/>
      </c>
    </row>
    <row r="6796" spans="1:2" x14ac:dyDescent="0.25">
      <c r="A6796" s="15" t="str">
        <f t="shared" si="212"/>
        <v/>
      </c>
      <c r="B6796" s="18" t="str">
        <f t="shared" si="213"/>
        <v/>
      </c>
    </row>
    <row r="6797" spans="1:2" x14ac:dyDescent="0.25">
      <c r="A6797" s="15" t="str">
        <f t="shared" si="212"/>
        <v/>
      </c>
      <c r="B6797" s="18" t="str">
        <f t="shared" si="213"/>
        <v/>
      </c>
    </row>
    <row r="6798" spans="1:2" x14ac:dyDescent="0.25">
      <c r="A6798" s="15" t="str">
        <f t="shared" si="212"/>
        <v/>
      </c>
      <c r="B6798" s="18" t="str">
        <f t="shared" si="213"/>
        <v/>
      </c>
    </row>
    <row r="6799" spans="1:2" x14ac:dyDescent="0.25">
      <c r="A6799" s="15" t="str">
        <f t="shared" si="212"/>
        <v/>
      </c>
      <c r="B6799" s="18" t="str">
        <f t="shared" si="213"/>
        <v/>
      </c>
    </row>
    <row r="6800" spans="1:2" x14ac:dyDescent="0.25">
      <c r="A6800" s="15" t="str">
        <f t="shared" si="212"/>
        <v/>
      </c>
      <c r="B6800" s="18" t="str">
        <f t="shared" si="213"/>
        <v/>
      </c>
    </row>
    <row r="6801" spans="1:2" x14ac:dyDescent="0.25">
      <c r="A6801" s="15" t="str">
        <f t="shared" si="212"/>
        <v/>
      </c>
      <c r="B6801" s="18" t="str">
        <f t="shared" si="213"/>
        <v/>
      </c>
    </row>
    <row r="6802" spans="1:2" x14ac:dyDescent="0.25">
      <c r="A6802" s="15" t="str">
        <f t="shared" si="212"/>
        <v/>
      </c>
      <c r="B6802" s="18" t="str">
        <f t="shared" si="213"/>
        <v/>
      </c>
    </row>
    <row r="6803" spans="1:2" x14ac:dyDescent="0.25">
      <c r="A6803" s="15" t="str">
        <f t="shared" si="212"/>
        <v/>
      </c>
      <c r="B6803" s="18" t="str">
        <f t="shared" si="213"/>
        <v/>
      </c>
    </row>
    <row r="6804" spans="1:2" x14ac:dyDescent="0.25">
      <c r="A6804" s="15" t="str">
        <f t="shared" si="212"/>
        <v/>
      </c>
      <c r="B6804" s="18" t="str">
        <f t="shared" si="213"/>
        <v/>
      </c>
    </row>
    <row r="6805" spans="1:2" x14ac:dyDescent="0.25">
      <c r="A6805" s="15" t="str">
        <f t="shared" si="212"/>
        <v/>
      </c>
      <c r="B6805" s="18" t="str">
        <f t="shared" si="213"/>
        <v/>
      </c>
    </row>
    <row r="6806" spans="1:2" x14ac:dyDescent="0.25">
      <c r="A6806" s="15" t="str">
        <f t="shared" si="212"/>
        <v/>
      </c>
      <c r="B6806" s="18" t="str">
        <f t="shared" si="213"/>
        <v/>
      </c>
    </row>
    <row r="6807" spans="1:2" x14ac:dyDescent="0.25">
      <c r="A6807" s="15" t="str">
        <f t="shared" si="212"/>
        <v/>
      </c>
      <c r="B6807" s="18" t="str">
        <f t="shared" si="213"/>
        <v/>
      </c>
    </row>
    <row r="6808" spans="1:2" x14ac:dyDescent="0.25">
      <c r="A6808" s="15" t="str">
        <f t="shared" si="212"/>
        <v/>
      </c>
      <c r="B6808" s="18" t="str">
        <f t="shared" si="213"/>
        <v/>
      </c>
    </row>
    <row r="6809" spans="1:2" x14ac:dyDescent="0.25">
      <c r="A6809" s="15" t="str">
        <f t="shared" si="212"/>
        <v/>
      </c>
      <c r="B6809" s="18" t="str">
        <f t="shared" si="213"/>
        <v/>
      </c>
    </row>
    <row r="6810" spans="1:2" x14ac:dyDescent="0.25">
      <c r="A6810" s="15" t="str">
        <f t="shared" si="212"/>
        <v/>
      </c>
      <c r="B6810" s="18" t="str">
        <f t="shared" si="213"/>
        <v/>
      </c>
    </row>
    <row r="6811" spans="1:2" x14ac:dyDescent="0.25">
      <c r="A6811" s="15" t="str">
        <f t="shared" si="212"/>
        <v/>
      </c>
      <c r="B6811" s="18" t="str">
        <f t="shared" si="213"/>
        <v/>
      </c>
    </row>
    <row r="6812" spans="1:2" x14ac:dyDescent="0.25">
      <c r="A6812" s="15" t="str">
        <f t="shared" si="212"/>
        <v/>
      </c>
      <c r="B6812" s="18" t="str">
        <f t="shared" si="213"/>
        <v/>
      </c>
    </row>
    <row r="6813" spans="1:2" x14ac:dyDescent="0.25">
      <c r="A6813" s="15" t="str">
        <f t="shared" si="212"/>
        <v/>
      </c>
      <c r="B6813" s="18" t="str">
        <f t="shared" si="213"/>
        <v/>
      </c>
    </row>
    <row r="6814" spans="1:2" x14ac:dyDescent="0.25">
      <c r="A6814" s="15" t="str">
        <f t="shared" si="212"/>
        <v/>
      </c>
      <c r="B6814" s="18" t="str">
        <f t="shared" si="213"/>
        <v/>
      </c>
    </row>
    <row r="6815" spans="1:2" x14ac:dyDescent="0.25">
      <c r="A6815" s="15" t="str">
        <f t="shared" si="212"/>
        <v/>
      </c>
      <c r="B6815" s="18" t="str">
        <f t="shared" si="213"/>
        <v/>
      </c>
    </row>
    <row r="6816" spans="1:2" x14ac:dyDescent="0.25">
      <c r="A6816" s="15" t="str">
        <f t="shared" si="212"/>
        <v/>
      </c>
      <c r="B6816" s="18" t="str">
        <f t="shared" si="213"/>
        <v/>
      </c>
    </row>
    <row r="6817" spans="1:2" x14ac:dyDescent="0.25">
      <c r="A6817" s="15" t="str">
        <f t="shared" si="212"/>
        <v/>
      </c>
      <c r="B6817" s="18" t="str">
        <f t="shared" si="213"/>
        <v/>
      </c>
    </row>
    <row r="6818" spans="1:2" x14ac:dyDescent="0.25">
      <c r="A6818" s="15" t="str">
        <f t="shared" si="212"/>
        <v/>
      </c>
      <c r="B6818" s="18" t="str">
        <f t="shared" si="213"/>
        <v/>
      </c>
    </row>
    <row r="6819" spans="1:2" x14ac:dyDescent="0.25">
      <c r="A6819" s="15" t="str">
        <f t="shared" si="212"/>
        <v/>
      </c>
      <c r="B6819" s="18" t="str">
        <f t="shared" si="213"/>
        <v/>
      </c>
    </row>
    <row r="6820" spans="1:2" x14ac:dyDescent="0.25">
      <c r="A6820" s="15" t="str">
        <f t="shared" si="212"/>
        <v/>
      </c>
      <c r="B6820" s="18" t="str">
        <f t="shared" si="213"/>
        <v/>
      </c>
    </row>
    <row r="6821" spans="1:2" x14ac:dyDescent="0.25">
      <c r="A6821" s="15" t="str">
        <f t="shared" si="212"/>
        <v/>
      </c>
      <c r="B6821" s="18" t="str">
        <f t="shared" si="213"/>
        <v/>
      </c>
    </row>
    <row r="6822" spans="1:2" x14ac:dyDescent="0.25">
      <c r="A6822" s="15" t="str">
        <f t="shared" si="212"/>
        <v/>
      </c>
      <c r="B6822" s="18" t="str">
        <f t="shared" si="213"/>
        <v/>
      </c>
    </row>
    <row r="6823" spans="1:2" x14ac:dyDescent="0.25">
      <c r="A6823" s="15" t="str">
        <f t="shared" si="212"/>
        <v/>
      </c>
      <c r="B6823" s="18" t="str">
        <f t="shared" si="213"/>
        <v/>
      </c>
    </row>
    <row r="6824" spans="1:2" x14ac:dyDescent="0.25">
      <c r="A6824" s="15" t="str">
        <f t="shared" si="212"/>
        <v/>
      </c>
      <c r="B6824" s="18" t="str">
        <f t="shared" si="213"/>
        <v/>
      </c>
    </row>
    <row r="6825" spans="1:2" x14ac:dyDescent="0.25">
      <c r="A6825" s="15" t="str">
        <f t="shared" si="212"/>
        <v/>
      </c>
      <c r="B6825" s="18" t="str">
        <f t="shared" si="213"/>
        <v/>
      </c>
    </row>
    <row r="6826" spans="1:2" x14ac:dyDescent="0.25">
      <c r="A6826" s="15" t="str">
        <f t="shared" si="212"/>
        <v/>
      </c>
      <c r="B6826" s="18" t="str">
        <f t="shared" si="213"/>
        <v/>
      </c>
    </row>
    <row r="6827" spans="1:2" x14ac:dyDescent="0.25">
      <c r="A6827" s="15" t="str">
        <f t="shared" si="212"/>
        <v/>
      </c>
      <c r="B6827" s="18" t="str">
        <f t="shared" si="213"/>
        <v/>
      </c>
    </row>
    <row r="6828" spans="1:2" x14ac:dyDescent="0.25">
      <c r="A6828" s="15" t="str">
        <f t="shared" si="212"/>
        <v/>
      </c>
      <c r="B6828" s="18" t="str">
        <f t="shared" si="213"/>
        <v/>
      </c>
    </row>
    <row r="6829" spans="1:2" x14ac:dyDescent="0.25">
      <c r="A6829" s="15" t="str">
        <f t="shared" si="212"/>
        <v/>
      </c>
      <c r="B6829" s="18" t="str">
        <f t="shared" si="213"/>
        <v/>
      </c>
    </row>
    <row r="6830" spans="1:2" x14ac:dyDescent="0.25">
      <c r="A6830" s="15" t="str">
        <f t="shared" si="212"/>
        <v/>
      </c>
      <c r="B6830" s="18" t="str">
        <f t="shared" si="213"/>
        <v/>
      </c>
    </row>
    <row r="6831" spans="1:2" x14ac:dyDescent="0.25">
      <c r="A6831" s="15" t="str">
        <f t="shared" si="212"/>
        <v/>
      </c>
      <c r="B6831" s="18" t="str">
        <f t="shared" si="213"/>
        <v/>
      </c>
    </row>
    <row r="6832" spans="1:2" x14ac:dyDescent="0.25">
      <c r="A6832" s="15" t="str">
        <f t="shared" si="212"/>
        <v/>
      </c>
      <c r="B6832" s="18" t="str">
        <f t="shared" si="213"/>
        <v/>
      </c>
    </row>
    <row r="6833" spans="1:2" x14ac:dyDescent="0.25">
      <c r="A6833" s="15" t="str">
        <f t="shared" si="212"/>
        <v/>
      </c>
      <c r="B6833" s="18" t="str">
        <f t="shared" si="213"/>
        <v/>
      </c>
    </row>
    <row r="6834" spans="1:2" x14ac:dyDescent="0.25">
      <c r="A6834" s="15" t="str">
        <f t="shared" si="212"/>
        <v/>
      </c>
      <c r="B6834" s="18" t="str">
        <f t="shared" si="213"/>
        <v/>
      </c>
    </row>
    <row r="6835" spans="1:2" x14ac:dyDescent="0.25">
      <c r="A6835" s="15" t="str">
        <f t="shared" si="212"/>
        <v/>
      </c>
      <c r="B6835" s="18" t="str">
        <f t="shared" si="213"/>
        <v/>
      </c>
    </row>
    <row r="6836" spans="1:2" x14ac:dyDescent="0.25">
      <c r="A6836" s="15" t="str">
        <f t="shared" si="212"/>
        <v/>
      </c>
      <c r="B6836" s="18" t="str">
        <f t="shared" si="213"/>
        <v/>
      </c>
    </row>
    <row r="6837" spans="1:2" x14ac:dyDescent="0.25">
      <c r="A6837" s="15" t="str">
        <f t="shared" si="212"/>
        <v/>
      </c>
      <c r="B6837" s="18" t="str">
        <f t="shared" si="213"/>
        <v/>
      </c>
    </row>
    <row r="6838" spans="1:2" x14ac:dyDescent="0.25">
      <c r="A6838" s="15" t="str">
        <f t="shared" si="212"/>
        <v/>
      </c>
      <c r="B6838" s="18" t="str">
        <f t="shared" si="213"/>
        <v/>
      </c>
    </row>
    <row r="6839" spans="1:2" x14ac:dyDescent="0.25">
      <c r="A6839" s="15" t="str">
        <f t="shared" si="212"/>
        <v/>
      </c>
      <c r="B6839" s="18" t="str">
        <f t="shared" si="213"/>
        <v/>
      </c>
    </row>
    <row r="6840" spans="1:2" x14ac:dyDescent="0.25">
      <c r="A6840" s="15" t="str">
        <f t="shared" si="212"/>
        <v/>
      </c>
      <c r="B6840" s="18" t="str">
        <f t="shared" si="213"/>
        <v/>
      </c>
    </row>
    <row r="6841" spans="1:2" x14ac:dyDescent="0.25">
      <c r="A6841" s="15" t="str">
        <f t="shared" si="212"/>
        <v/>
      </c>
      <c r="B6841" s="18" t="str">
        <f t="shared" si="213"/>
        <v/>
      </c>
    </row>
    <row r="6842" spans="1:2" x14ac:dyDescent="0.25">
      <c r="A6842" s="15" t="str">
        <f t="shared" si="212"/>
        <v/>
      </c>
      <c r="B6842" s="18" t="str">
        <f t="shared" si="213"/>
        <v/>
      </c>
    </row>
    <row r="6843" spans="1:2" x14ac:dyDescent="0.25">
      <c r="A6843" s="15" t="str">
        <f t="shared" si="212"/>
        <v/>
      </c>
      <c r="B6843" s="18" t="str">
        <f t="shared" si="213"/>
        <v/>
      </c>
    </row>
    <row r="6844" spans="1:2" x14ac:dyDescent="0.25">
      <c r="A6844" s="15" t="str">
        <f t="shared" si="212"/>
        <v/>
      </c>
      <c r="B6844" s="18" t="str">
        <f t="shared" si="213"/>
        <v/>
      </c>
    </row>
    <row r="6845" spans="1:2" x14ac:dyDescent="0.25">
      <c r="A6845" s="15" t="str">
        <f t="shared" si="212"/>
        <v/>
      </c>
      <c r="B6845" s="18" t="str">
        <f t="shared" si="213"/>
        <v/>
      </c>
    </row>
    <row r="6846" spans="1:2" x14ac:dyDescent="0.25">
      <c r="A6846" s="15" t="str">
        <f t="shared" si="212"/>
        <v/>
      </c>
      <c r="B6846" s="18" t="str">
        <f t="shared" si="213"/>
        <v/>
      </c>
    </row>
    <row r="6847" spans="1:2" x14ac:dyDescent="0.25">
      <c r="A6847" s="15" t="str">
        <f t="shared" si="212"/>
        <v/>
      </c>
      <c r="B6847" s="18" t="str">
        <f t="shared" si="213"/>
        <v/>
      </c>
    </row>
    <row r="6848" spans="1:2" x14ac:dyDescent="0.25">
      <c r="A6848" s="15" t="str">
        <f t="shared" si="212"/>
        <v/>
      </c>
      <c r="B6848" s="18" t="str">
        <f t="shared" si="213"/>
        <v/>
      </c>
    </row>
    <row r="6849" spans="1:2" x14ac:dyDescent="0.25">
      <c r="A6849" s="15" t="str">
        <f t="shared" si="212"/>
        <v/>
      </c>
      <c r="B6849" s="18" t="str">
        <f t="shared" si="213"/>
        <v/>
      </c>
    </row>
    <row r="6850" spans="1:2" x14ac:dyDescent="0.25">
      <c r="A6850" s="15" t="str">
        <f t="shared" ref="A6850:A6913" si="214">B6850&amp;C6850</f>
        <v/>
      </c>
      <c r="B6850" s="18" t="str">
        <f t="shared" si="213"/>
        <v/>
      </c>
    </row>
    <row r="6851" spans="1:2" x14ac:dyDescent="0.25">
      <c r="A6851" s="15" t="str">
        <f t="shared" si="214"/>
        <v/>
      </c>
      <c r="B6851" s="18" t="str">
        <f t="shared" ref="B6851:B6914" si="215">IF(C6851="","",B6850)</f>
        <v/>
      </c>
    </row>
    <row r="6852" spans="1:2" x14ac:dyDescent="0.25">
      <c r="A6852" s="15" t="str">
        <f t="shared" si="214"/>
        <v/>
      </c>
      <c r="B6852" s="18" t="str">
        <f t="shared" si="215"/>
        <v/>
      </c>
    </row>
    <row r="6853" spans="1:2" x14ac:dyDescent="0.25">
      <c r="A6853" s="15" t="str">
        <f t="shared" si="214"/>
        <v/>
      </c>
      <c r="B6853" s="18" t="str">
        <f t="shared" si="215"/>
        <v/>
      </c>
    </row>
    <row r="6854" spans="1:2" x14ac:dyDescent="0.25">
      <c r="A6854" s="15" t="str">
        <f t="shared" si="214"/>
        <v/>
      </c>
      <c r="B6854" s="18" t="str">
        <f t="shared" si="215"/>
        <v/>
      </c>
    </row>
    <row r="6855" spans="1:2" x14ac:dyDescent="0.25">
      <c r="A6855" s="15" t="str">
        <f t="shared" si="214"/>
        <v/>
      </c>
      <c r="B6855" s="18" t="str">
        <f t="shared" si="215"/>
        <v/>
      </c>
    </row>
    <row r="6856" spans="1:2" x14ac:dyDescent="0.25">
      <c r="A6856" s="15" t="str">
        <f t="shared" si="214"/>
        <v/>
      </c>
      <c r="B6856" s="18" t="str">
        <f t="shared" si="215"/>
        <v/>
      </c>
    </row>
    <row r="6857" spans="1:2" x14ac:dyDescent="0.25">
      <c r="A6857" s="15" t="str">
        <f t="shared" si="214"/>
        <v/>
      </c>
      <c r="B6857" s="18" t="str">
        <f t="shared" si="215"/>
        <v/>
      </c>
    </row>
    <row r="6858" spans="1:2" x14ac:dyDescent="0.25">
      <c r="A6858" s="15" t="str">
        <f t="shared" si="214"/>
        <v/>
      </c>
      <c r="B6858" s="18" t="str">
        <f t="shared" si="215"/>
        <v/>
      </c>
    </row>
    <row r="6859" spans="1:2" x14ac:dyDescent="0.25">
      <c r="A6859" s="15" t="str">
        <f t="shared" si="214"/>
        <v/>
      </c>
      <c r="B6859" s="18" t="str">
        <f t="shared" si="215"/>
        <v/>
      </c>
    </row>
    <row r="6860" spans="1:2" x14ac:dyDescent="0.25">
      <c r="A6860" s="15" t="str">
        <f t="shared" si="214"/>
        <v/>
      </c>
      <c r="B6860" s="18" t="str">
        <f t="shared" si="215"/>
        <v/>
      </c>
    </row>
    <row r="6861" spans="1:2" x14ac:dyDescent="0.25">
      <c r="A6861" s="15" t="str">
        <f t="shared" si="214"/>
        <v/>
      </c>
      <c r="B6861" s="18" t="str">
        <f t="shared" si="215"/>
        <v/>
      </c>
    </row>
    <row r="6862" spans="1:2" x14ac:dyDescent="0.25">
      <c r="A6862" s="15" t="str">
        <f t="shared" si="214"/>
        <v/>
      </c>
      <c r="B6862" s="18" t="str">
        <f t="shared" si="215"/>
        <v/>
      </c>
    </row>
    <row r="6863" spans="1:2" x14ac:dyDescent="0.25">
      <c r="A6863" s="15" t="str">
        <f t="shared" si="214"/>
        <v/>
      </c>
      <c r="B6863" s="18" t="str">
        <f t="shared" si="215"/>
        <v/>
      </c>
    </row>
    <row r="6864" spans="1:2" x14ac:dyDescent="0.25">
      <c r="A6864" s="15" t="str">
        <f t="shared" si="214"/>
        <v/>
      </c>
      <c r="B6864" s="18" t="str">
        <f t="shared" si="215"/>
        <v/>
      </c>
    </row>
    <row r="6865" spans="1:2" x14ac:dyDescent="0.25">
      <c r="A6865" s="15" t="str">
        <f t="shared" si="214"/>
        <v/>
      </c>
      <c r="B6865" s="18" t="str">
        <f t="shared" si="215"/>
        <v/>
      </c>
    </row>
    <row r="6866" spans="1:2" x14ac:dyDescent="0.25">
      <c r="A6866" s="15" t="str">
        <f t="shared" si="214"/>
        <v/>
      </c>
      <c r="B6866" s="18" t="str">
        <f t="shared" si="215"/>
        <v/>
      </c>
    </row>
    <row r="6867" spans="1:2" x14ac:dyDescent="0.25">
      <c r="A6867" s="15" t="str">
        <f t="shared" si="214"/>
        <v/>
      </c>
      <c r="B6867" s="18" t="str">
        <f t="shared" si="215"/>
        <v/>
      </c>
    </row>
    <row r="6868" spans="1:2" x14ac:dyDescent="0.25">
      <c r="A6868" s="15" t="str">
        <f t="shared" si="214"/>
        <v/>
      </c>
      <c r="B6868" s="18" t="str">
        <f t="shared" si="215"/>
        <v/>
      </c>
    </row>
    <row r="6869" spans="1:2" x14ac:dyDescent="0.25">
      <c r="A6869" s="15" t="str">
        <f t="shared" si="214"/>
        <v/>
      </c>
      <c r="B6869" s="18" t="str">
        <f t="shared" si="215"/>
        <v/>
      </c>
    </row>
    <row r="6870" spans="1:2" x14ac:dyDescent="0.25">
      <c r="A6870" s="15" t="str">
        <f t="shared" si="214"/>
        <v/>
      </c>
      <c r="B6870" s="18" t="str">
        <f t="shared" si="215"/>
        <v/>
      </c>
    </row>
    <row r="6871" spans="1:2" x14ac:dyDescent="0.25">
      <c r="A6871" s="15" t="str">
        <f t="shared" si="214"/>
        <v/>
      </c>
      <c r="B6871" s="18" t="str">
        <f t="shared" si="215"/>
        <v/>
      </c>
    </row>
    <row r="6872" spans="1:2" x14ac:dyDescent="0.25">
      <c r="A6872" s="15" t="str">
        <f t="shared" si="214"/>
        <v/>
      </c>
      <c r="B6872" s="18" t="str">
        <f t="shared" si="215"/>
        <v/>
      </c>
    </row>
    <row r="6873" spans="1:2" x14ac:dyDescent="0.25">
      <c r="A6873" s="15" t="str">
        <f t="shared" si="214"/>
        <v/>
      </c>
      <c r="B6873" s="18" t="str">
        <f t="shared" si="215"/>
        <v/>
      </c>
    </row>
    <row r="6874" spans="1:2" x14ac:dyDescent="0.25">
      <c r="A6874" s="15" t="str">
        <f t="shared" si="214"/>
        <v/>
      </c>
      <c r="B6874" s="18" t="str">
        <f t="shared" si="215"/>
        <v/>
      </c>
    </row>
    <row r="6875" spans="1:2" x14ac:dyDescent="0.25">
      <c r="A6875" s="15" t="str">
        <f t="shared" si="214"/>
        <v/>
      </c>
      <c r="B6875" s="18" t="str">
        <f t="shared" si="215"/>
        <v/>
      </c>
    </row>
    <row r="6876" spans="1:2" x14ac:dyDescent="0.25">
      <c r="A6876" s="15" t="str">
        <f t="shared" si="214"/>
        <v/>
      </c>
      <c r="B6876" s="18" t="str">
        <f t="shared" si="215"/>
        <v/>
      </c>
    </row>
    <row r="6877" spans="1:2" x14ac:dyDescent="0.25">
      <c r="A6877" s="15" t="str">
        <f t="shared" si="214"/>
        <v/>
      </c>
      <c r="B6877" s="18" t="str">
        <f t="shared" si="215"/>
        <v/>
      </c>
    </row>
    <row r="6878" spans="1:2" x14ac:dyDescent="0.25">
      <c r="A6878" s="15" t="str">
        <f t="shared" si="214"/>
        <v/>
      </c>
      <c r="B6878" s="18" t="str">
        <f t="shared" si="215"/>
        <v/>
      </c>
    </row>
    <row r="6879" spans="1:2" x14ac:dyDescent="0.25">
      <c r="A6879" s="15" t="str">
        <f t="shared" si="214"/>
        <v/>
      </c>
      <c r="B6879" s="18" t="str">
        <f t="shared" si="215"/>
        <v/>
      </c>
    </row>
    <row r="6880" spans="1:2" x14ac:dyDescent="0.25">
      <c r="A6880" s="15" t="str">
        <f t="shared" si="214"/>
        <v/>
      </c>
      <c r="B6880" s="18" t="str">
        <f t="shared" si="215"/>
        <v/>
      </c>
    </row>
    <row r="6881" spans="1:2" x14ac:dyDescent="0.25">
      <c r="A6881" s="15" t="str">
        <f t="shared" si="214"/>
        <v/>
      </c>
      <c r="B6881" s="18" t="str">
        <f t="shared" si="215"/>
        <v/>
      </c>
    </row>
    <row r="6882" spans="1:2" x14ac:dyDescent="0.25">
      <c r="A6882" s="15" t="str">
        <f t="shared" si="214"/>
        <v/>
      </c>
      <c r="B6882" s="18" t="str">
        <f t="shared" si="215"/>
        <v/>
      </c>
    </row>
    <row r="6883" spans="1:2" x14ac:dyDescent="0.25">
      <c r="A6883" s="15" t="str">
        <f t="shared" si="214"/>
        <v/>
      </c>
      <c r="B6883" s="18" t="str">
        <f t="shared" si="215"/>
        <v/>
      </c>
    </row>
    <row r="6884" spans="1:2" x14ac:dyDescent="0.25">
      <c r="A6884" s="15" t="str">
        <f t="shared" si="214"/>
        <v/>
      </c>
      <c r="B6884" s="18" t="str">
        <f t="shared" si="215"/>
        <v/>
      </c>
    </row>
    <row r="6885" spans="1:2" x14ac:dyDescent="0.25">
      <c r="A6885" s="15" t="str">
        <f t="shared" si="214"/>
        <v/>
      </c>
      <c r="B6885" s="18" t="str">
        <f t="shared" si="215"/>
        <v/>
      </c>
    </row>
    <row r="6886" spans="1:2" x14ac:dyDescent="0.25">
      <c r="A6886" s="15" t="str">
        <f t="shared" si="214"/>
        <v/>
      </c>
      <c r="B6886" s="18" t="str">
        <f t="shared" si="215"/>
        <v/>
      </c>
    </row>
    <row r="6887" spans="1:2" x14ac:dyDescent="0.25">
      <c r="A6887" s="15" t="str">
        <f t="shared" si="214"/>
        <v/>
      </c>
      <c r="B6887" s="18" t="str">
        <f t="shared" si="215"/>
        <v/>
      </c>
    </row>
    <row r="6888" spans="1:2" x14ac:dyDescent="0.25">
      <c r="A6888" s="15" t="str">
        <f t="shared" si="214"/>
        <v/>
      </c>
      <c r="B6888" s="18" t="str">
        <f t="shared" si="215"/>
        <v/>
      </c>
    </row>
    <row r="6889" spans="1:2" x14ac:dyDescent="0.25">
      <c r="A6889" s="15" t="str">
        <f t="shared" si="214"/>
        <v/>
      </c>
      <c r="B6889" s="18" t="str">
        <f t="shared" si="215"/>
        <v/>
      </c>
    </row>
    <row r="6890" spans="1:2" x14ac:dyDescent="0.25">
      <c r="A6890" s="15" t="str">
        <f t="shared" si="214"/>
        <v/>
      </c>
      <c r="B6890" s="18" t="str">
        <f t="shared" si="215"/>
        <v/>
      </c>
    </row>
    <row r="6891" spans="1:2" x14ac:dyDescent="0.25">
      <c r="A6891" s="15" t="str">
        <f t="shared" si="214"/>
        <v/>
      </c>
      <c r="B6891" s="18" t="str">
        <f t="shared" si="215"/>
        <v/>
      </c>
    </row>
    <row r="6892" spans="1:2" x14ac:dyDescent="0.25">
      <c r="A6892" s="15" t="str">
        <f t="shared" si="214"/>
        <v/>
      </c>
      <c r="B6892" s="18" t="str">
        <f t="shared" si="215"/>
        <v/>
      </c>
    </row>
    <row r="6893" spans="1:2" x14ac:dyDescent="0.25">
      <c r="A6893" s="15" t="str">
        <f t="shared" si="214"/>
        <v/>
      </c>
      <c r="B6893" s="18" t="str">
        <f t="shared" si="215"/>
        <v/>
      </c>
    </row>
    <row r="6894" spans="1:2" x14ac:dyDescent="0.25">
      <c r="A6894" s="15" t="str">
        <f t="shared" si="214"/>
        <v/>
      </c>
      <c r="B6894" s="18" t="str">
        <f t="shared" si="215"/>
        <v/>
      </c>
    </row>
    <row r="6895" spans="1:2" x14ac:dyDescent="0.25">
      <c r="A6895" s="15" t="str">
        <f t="shared" si="214"/>
        <v/>
      </c>
      <c r="B6895" s="18" t="str">
        <f t="shared" si="215"/>
        <v/>
      </c>
    </row>
    <row r="6896" spans="1:2" x14ac:dyDescent="0.25">
      <c r="A6896" s="15" t="str">
        <f t="shared" si="214"/>
        <v/>
      </c>
      <c r="B6896" s="18" t="str">
        <f t="shared" si="215"/>
        <v/>
      </c>
    </row>
    <row r="6897" spans="1:2" x14ac:dyDescent="0.25">
      <c r="A6897" s="15" t="str">
        <f t="shared" si="214"/>
        <v/>
      </c>
      <c r="B6897" s="18" t="str">
        <f t="shared" si="215"/>
        <v/>
      </c>
    </row>
    <row r="6898" spans="1:2" x14ac:dyDescent="0.25">
      <c r="A6898" s="15" t="str">
        <f t="shared" si="214"/>
        <v/>
      </c>
      <c r="B6898" s="18" t="str">
        <f t="shared" si="215"/>
        <v/>
      </c>
    </row>
    <row r="6899" spans="1:2" x14ac:dyDescent="0.25">
      <c r="A6899" s="15" t="str">
        <f t="shared" si="214"/>
        <v/>
      </c>
      <c r="B6899" s="18" t="str">
        <f t="shared" si="215"/>
        <v/>
      </c>
    </row>
    <row r="6900" spans="1:2" x14ac:dyDescent="0.25">
      <c r="A6900" s="15" t="str">
        <f t="shared" si="214"/>
        <v/>
      </c>
      <c r="B6900" s="18" t="str">
        <f t="shared" si="215"/>
        <v/>
      </c>
    </row>
    <row r="6901" spans="1:2" x14ac:dyDescent="0.25">
      <c r="A6901" s="15" t="str">
        <f t="shared" si="214"/>
        <v/>
      </c>
      <c r="B6901" s="18" t="str">
        <f t="shared" si="215"/>
        <v/>
      </c>
    </row>
    <row r="6902" spans="1:2" x14ac:dyDescent="0.25">
      <c r="A6902" s="15" t="str">
        <f t="shared" si="214"/>
        <v/>
      </c>
      <c r="B6902" s="18" t="str">
        <f t="shared" si="215"/>
        <v/>
      </c>
    </row>
    <row r="6903" spans="1:2" x14ac:dyDescent="0.25">
      <c r="A6903" s="15" t="str">
        <f t="shared" si="214"/>
        <v/>
      </c>
      <c r="B6903" s="18" t="str">
        <f t="shared" si="215"/>
        <v/>
      </c>
    </row>
    <row r="6904" spans="1:2" x14ac:dyDescent="0.25">
      <c r="A6904" s="15" t="str">
        <f t="shared" si="214"/>
        <v/>
      </c>
      <c r="B6904" s="18" t="str">
        <f t="shared" si="215"/>
        <v/>
      </c>
    </row>
    <row r="6905" spans="1:2" x14ac:dyDescent="0.25">
      <c r="A6905" s="15" t="str">
        <f t="shared" si="214"/>
        <v/>
      </c>
      <c r="B6905" s="18" t="str">
        <f t="shared" si="215"/>
        <v/>
      </c>
    </row>
    <row r="6906" spans="1:2" x14ac:dyDescent="0.25">
      <c r="A6906" s="15" t="str">
        <f t="shared" si="214"/>
        <v/>
      </c>
      <c r="B6906" s="18" t="str">
        <f t="shared" si="215"/>
        <v/>
      </c>
    </row>
    <row r="6907" spans="1:2" x14ac:dyDescent="0.25">
      <c r="A6907" s="15" t="str">
        <f t="shared" si="214"/>
        <v/>
      </c>
      <c r="B6907" s="18" t="str">
        <f t="shared" si="215"/>
        <v/>
      </c>
    </row>
    <row r="6908" spans="1:2" x14ac:dyDescent="0.25">
      <c r="A6908" s="15" t="str">
        <f t="shared" si="214"/>
        <v/>
      </c>
      <c r="B6908" s="18" t="str">
        <f t="shared" si="215"/>
        <v/>
      </c>
    </row>
    <row r="6909" spans="1:2" x14ac:dyDescent="0.25">
      <c r="A6909" s="15" t="str">
        <f t="shared" si="214"/>
        <v/>
      </c>
      <c r="B6909" s="18" t="str">
        <f t="shared" si="215"/>
        <v/>
      </c>
    </row>
    <row r="6910" spans="1:2" x14ac:dyDescent="0.25">
      <c r="A6910" s="15" t="str">
        <f t="shared" si="214"/>
        <v/>
      </c>
      <c r="B6910" s="18" t="str">
        <f t="shared" si="215"/>
        <v/>
      </c>
    </row>
    <row r="6911" spans="1:2" x14ac:dyDescent="0.25">
      <c r="A6911" s="15" t="str">
        <f t="shared" si="214"/>
        <v/>
      </c>
      <c r="B6911" s="18" t="str">
        <f t="shared" si="215"/>
        <v/>
      </c>
    </row>
    <row r="6912" spans="1:2" x14ac:dyDescent="0.25">
      <c r="A6912" s="15" t="str">
        <f t="shared" si="214"/>
        <v/>
      </c>
      <c r="B6912" s="18" t="str">
        <f t="shared" si="215"/>
        <v/>
      </c>
    </row>
    <row r="6913" spans="1:2" x14ac:dyDescent="0.25">
      <c r="A6913" s="15" t="str">
        <f t="shared" si="214"/>
        <v/>
      </c>
      <c r="B6913" s="18" t="str">
        <f t="shared" si="215"/>
        <v/>
      </c>
    </row>
    <row r="6914" spans="1:2" x14ac:dyDescent="0.25">
      <c r="A6914" s="15" t="str">
        <f t="shared" ref="A6914:A6977" si="216">B6914&amp;C6914</f>
        <v/>
      </c>
      <c r="B6914" s="18" t="str">
        <f t="shared" si="215"/>
        <v/>
      </c>
    </row>
    <row r="6915" spans="1:2" x14ac:dyDescent="0.25">
      <c r="A6915" s="15" t="str">
        <f t="shared" si="216"/>
        <v/>
      </c>
      <c r="B6915" s="18" t="str">
        <f t="shared" ref="B6915:B6978" si="217">IF(C6915="","",B6914)</f>
        <v/>
      </c>
    </row>
    <row r="6916" spans="1:2" x14ac:dyDescent="0.25">
      <c r="A6916" s="15" t="str">
        <f t="shared" si="216"/>
        <v/>
      </c>
      <c r="B6916" s="18" t="str">
        <f t="shared" si="217"/>
        <v/>
      </c>
    </row>
    <row r="6917" spans="1:2" x14ac:dyDescent="0.25">
      <c r="A6917" s="15" t="str">
        <f t="shared" si="216"/>
        <v/>
      </c>
      <c r="B6917" s="18" t="str">
        <f t="shared" si="217"/>
        <v/>
      </c>
    </row>
    <row r="6918" spans="1:2" x14ac:dyDescent="0.25">
      <c r="A6918" s="15" t="str">
        <f t="shared" si="216"/>
        <v/>
      </c>
      <c r="B6918" s="18" t="str">
        <f t="shared" si="217"/>
        <v/>
      </c>
    </row>
    <row r="6919" spans="1:2" x14ac:dyDescent="0.25">
      <c r="A6919" s="15" t="str">
        <f t="shared" si="216"/>
        <v/>
      </c>
      <c r="B6919" s="18" t="str">
        <f t="shared" si="217"/>
        <v/>
      </c>
    </row>
    <row r="6920" spans="1:2" x14ac:dyDescent="0.25">
      <c r="A6920" s="15" t="str">
        <f t="shared" si="216"/>
        <v/>
      </c>
      <c r="B6920" s="18" t="str">
        <f t="shared" si="217"/>
        <v/>
      </c>
    </row>
    <row r="6921" spans="1:2" x14ac:dyDescent="0.25">
      <c r="A6921" s="15" t="str">
        <f t="shared" si="216"/>
        <v/>
      </c>
      <c r="B6921" s="18" t="str">
        <f t="shared" si="217"/>
        <v/>
      </c>
    </row>
    <row r="6922" spans="1:2" x14ac:dyDescent="0.25">
      <c r="A6922" s="15" t="str">
        <f t="shared" si="216"/>
        <v/>
      </c>
      <c r="B6922" s="18" t="str">
        <f t="shared" si="217"/>
        <v/>
      </c>
    </row>
    <row r="6923" spans="1:2" x14ac:dyDescent="0.25">
      <c r="A6923" s="15" t="str">
        <f t="shared" si="216"/>
        <v/>
      </c>
      <c r="B6923" s="18" t="str">
        <f t="shared" si="217"/>
        <v/>
      </c>
    </row>
    <row r="6924" spans="1:2" x14ac:dyDescent="0.25">
      <c r="A6924" s="15" t="str">
        <f t="shared" si="216"/>
        <v/>
      </c>
      <c r="B6924" s="18" t="str">
        <f t="shared" si="217"/>
        <v/>
      </c>
    </row>
    <row r="6925" spans="1:2" x14ac:dyDescent="0.25">
      <c r="A6925" s="15" t="str">
        <f t="shared" si="216"/>
        <v/>
      </c>
      <c r="B6925" s="18" t="str">
        <f t="shared" si="217"/>
        <v/>
      </c>
    </row>
    <row r="6926" spans="1:2" x14ac:dyDescent="0.25">
      <c r="A6926" s="15" t="str">
        <f t="shared" si="216"/>
        <v/>
      </c>
      <c r="B6926" s="18" t="str">
        <f t="shared" si="217"/>
        <v/>
      </c>
    </row>
    <row r="6927" spans="1:2" x14ac:dyDescent="0.25">
      <c r="A6927" s="15" t="str">
        <f t="shared" si="216"/>
        <v/>
      </c>
      <c r="B6927" s="18" t="str">
        <f t="shared" si="217"/>
        <v/>
      </c>
    </row>
    <row r="6928" spans="1:2" x14ac:dyDescent="0.25">
      <c r="A6928" s="15" t="str">
        <f t="shared" si="216"/>
        <v/>
      </c>
      <c r="B6928" s="18" t="str">
        <f t="shared" si="217"/>
        <v/>
      </c>
    </row>
    <row r="6929" spans="1:2" x14ac:dyDescent="0.25">
      <c r="A6929" s="15" t="str">
        <f t="shared" si="216"/>
        <v/>
      </c>
      <c r="B6929" s="18" t="str">
        <f t="shared" si="217"/>
        <v/>
      </c>
    </row>
    <row r="6930" spans="1:2" x14ac:dyDescent="0.25">
      <c r="A6930" s="15" t="str">
        <f t="shared" si="216"/>
        <v/>
      </c>
      <c r="B6930" s="18" t="str">
        <f t="shared" si="217"/>
        <v/>
      </c>
    </row>
    <row r="6931" spans="1:2" x14ac:dyDescent="0.25">
      <c r="A6931" s="15" t="str">
        <f t="shared" si="216"/>
        <v/>
      </c>
      <c r="B6931" s="18" t="str">
        <f t="shared" si="217"/>
        <v/>
      </c>
    </row>
    <row r="6932" spans="1:2" x14ac:dyDescent="0.25">
      <c r="A6932" s="15" t="str">
        <f t="shared" si="216"/>
        <v/>
      </c>
      <c r="B6932" s="18" t="str">
        <f t="shared" si="217"/>
        <v/>
      </c>
    </row>
    <row r="6933" spans="1:2" x14ac:dyDescent="0.25">
      <c r="A6933" s="15" t="str">
        <f t="shared" si="216"/>
        <v/>
      </c>
      <c r="B6933" s="18" t="str">
        <f t="shared" si="217"/>
        <v/>
      </c>
    </row>
    <row r="6934" spans="1:2" x14ac:dyDescent="0.25">
      <c r="A6934" s="15" t="str">
        <f t="shared" si="216"/>
        <v/>
      </c>
      <c r="B6934" s="18" t="str">
        <f t="shared" si="217"/>
        <v/>
      </c>
    </row>
    <row r="6935" spans="1:2" x14ac:dyDescent="0.25">
      <c r="A6935" s="15" t="str">
        <f t="shared" si="216"/>
        <v/>
      </c>
      <c r="B6935" s="18" t="str">
        <f t="shared" si="217"/>
        <v/>
      </c>
    </row>
    <row r="6936" spans="1:2" x14ac:dyDescent="0.25">
      <c r="A6936" s="15" t="str">
        <f t="shared" si="216"/>
        <v/>
      </c>
      <c r="B6936" s="18" t="str">
        <f t="shared" si="217"/>
        <v/>
      </c>
    </row>
    <row r="6937" spans="1:2" x14ac:dyDescent="0.25">
      <c r="A6937" s="15" t="str">
        <f t="shared" si="216"/>
        <v/>
      </c>
      <c r="B6937" s="18" t="str">
        <f t="shared" si="217"/>
        <v/>
      </c>
    </row>
    <row r="6938" spans="1:2" x14ac:dyDescent="0.25">
      <c r="A6938" s="15" t="str">
        <f t="shared" si="216"/>
        <v/>
      </c>
      <c r="B6938" s="18" t="str">
        <f t="shared" si="217"/>
        <v/>
      </c>
    </row>
    <row r="6939" spans="1:2" x14ac:dyDescent="0.25">
      <c r="A6939" s="15" t="str">
        <f t="shared" si="216"/>
        <v/>
      </c>
      <c r="B6939" s="18" t="str">
        <f t="shared" si="217"/>
        <v/>
      </c>
    </row>
    <row r="6940" spans="1:2" x14ac:dyDescent="0.25">
      <c r="A6940" s="15" t="str">
        <f t="shared" si="216"/>
        <v/>
      </c>
      <c r="B6940" s="18" t="str">
        <f t="shared" si="217"/>
        <v/>
      </c>
    </row>
    <row r="6941" spans="1:2" x14ac:dyDescent="0.25">
      <c r="A6941" s="15" t="str">
        <f t="shared" si="216"/>
        <v/>
      </c>
      <c r="B6941" s="18" t="str">
        <f t="shared" si="217"/>
        <v/>
      </c>
    </row>
    <row r="6942" spans="1:2" x14ac:dyDescent="0.25">
      <c r="A6942" s="15" t="str">
        <f t="shared" si="216"/>
        <v/>
      </c>
      <c r="B6942" s="18" t="str">
        <f t="shared" si="217"/>
        <v/>
      </c>
    </row>
    <row r="6943" spans="1:2" x14ac:dyDescent="0.25">
      <c r="A6943" s="15" t="str">
        <f t="shared" si="216"/>
        <v/>
      </c>
      <c r="B6943" s="18" t="str">
        <f t="shared" si="217"/>
        <v/>
      </c>
    </row>
    <row r="6944" spans="1:2" x14ac:dyDescent="0.25">
      <c r="A6944" s="15" t="str">
        <f t="shared" si="216"/>
        <v/>
      </c>
      <c r="B6944" s="18" t="str">
        <f t="shared" si="217"/>
        <v/>
      </c>
    </row>
    <row r="6945" spans="1:2" x14ac:dyDescent="0.25">
      <c r="A6945" s="15" t="str">
        <f t="shared" si="216"/>
        <v/>
      </c>
      <c r="B6945" s="18" t="str">
        <f t="shared" si="217"/>
        <v/>
      </c>
    </row>
    <row r="6946" spans="1:2" x14ac:dyDescent="0.25">
      <c r="A6946" s="15" t="str">
        <f t="shared" si="216"/>
        <v/>
      </c>
      <c r="B6946" s="18" t="str">
        <f t="shared" si="217"/>
        <v/>
      </c>
    </row>
    <row r="6947" spans="1:2" x14ac:dyDescent="0.25">
      <c r="A6947" s="15" t="str">
        <f t="shared" si="216"/>
        <v/>
      </c>
      <c r="B6947" s="18" t="str">
        <f t="shared" si="217"/>
        <v/>
      </c>
    </row>
    <row r="6948" spans="1:2" x14ac:dyDescent="0.25">
      <c r="A6948" s="15" t="str">
        <f t="shared" si="216"/>
        <v/>
      </c>
      <c r="B6948" s="18" t="str">
        <f t="shared" si="217"/>
        <v/>
      </c>
    </row>
    <row r="6949" spans="1:2" x14ac:dyDescent="0.25">
      <c r="A6949" s="15" t="str">
        <f t="shared" si="216"/>
        <v/>
      </c>
      <c r="B6949" s="18" t="str">
        <f t="shared" si="217"/>
        <v/>
      </c>
    </row>
    <row r="6950" spans="1:2" x14ac:dyDescent="0.25">
      <c r="A6950" s="15" t="str">
        <f t="shared" si="216"/>
        <v/>
      </c>
      <c r="B6950" s="18" t="str">
        <f t="shared" si="217"/>
        <v/>
      </c>
    </row>
    <row r="6951" spans="1:2" x14ac:dyDescent="0.25">
      <c r="A6951" s="15" t="str">
        <f t="shared" si="216"/>
        <v/>
      </c>
      <c r="B6951" s="18" t="str">
        <f t="shared" si="217"/>
        <v/>
      </c>
    </row>
    <row r="6952" spans="1:2" x14ac:dyDescent="0.25">
      <c r="A6952" s="15" t="str">
        <f t="shared" si="216"/>
        <v/>
      </c>
      <c r="B6952" s="18" t="str">
        <f t="shared" si="217"/>
        <v/>
      </c>
    </row>
    <row r="6953" spans="1:2" x14ac:dyDescent="0.25">
      <c r="A6953" s="15" t="str">
        <f t="shared" si="216"/>
        <v/>
      </c>
      <c r="B6953" s="18" t="str">
        <f t="shared" si="217"/>
        <v/>
      </c>
    </row>
    <row r="6954" spans="1:2" x14ac:dyDescent="0.25">
      <c r="A6954" s="15" t="str">
        <f t="shared" si="216"/>
        <v/>
      </c>
      <c r="B6954" s="18" t="str">
        <f t="shared" si="217"/>
        <v/>
      </c>
    </row>
    <row r="6955" spans="1:2" x14ac:dyDescent="0.25">
      <c r="A6955" s="15" t="str">
        <f t="shared" si="216"/>
        <v/>
      </c>
      <c r="B6955" s="18" t="str">
        <f t="shared" si="217"/>
        <v/>
      </c>
    </row>
    <row r="6956" spans="1:2" x14ac:dyDescent="0.25">
      <c r="A6956" s="15" t="str">
        <f t="shared" si="216"/>
        <v/>
      </c>
      <c r="B6956" s="18" t="str">
        <f t="shared" si="217"/>
        <v/>
      </c>
    </row>
    <row r="6957" spans="1:2" x14ac:dyDescent="0.25">
      <c r="A6957" s="15" t="str">
        <f t="shared" si="216"/>
        <v/>
      </c>
      <c r="B6957" s="18" t="str">
        <f t="shared" si="217"/>
        <v/>
      </c>
    </row>
    <row r="6958" spans="1:2" x14ac:dyDescent="0.25">
      <c r="A6958" s="15" t="str">
        <f t="shared" si="216"/>
        <v/>
      </c>
      <c r="B6958" s="18" t="str">
        <f t="shared" si="217"/>
        <v/>
      </c>
    </row>
    <row r="6959" spans="1:2" x14ac:dyDescent="0.25">
      <c r="A6959" s="15" t="str">
        <f t="shared" si="216"/>
        <v/>
      </c>
      <c r="B6959" s="18" t="str">
        <f t="shared" si="217"/>
        <v/>
      </c>
    </row>
    <row r="6960" spans="1:2" x14ac:dyDescent="0.25">
      <c r="A6960" s="15" t="str">
        <f t="shared" si="216"/>
        <v/>
      </c>
      <c r="B6960" s="18" t="str">
        <f t="shared" si="217"/>
        <v/>
      </c>
    </row>
    <row r="6961" spans="1:2" x14ac:dyDescent="0.25">
      <c r="A6961" s="15" t="str">
        <f t="shared" si="216"/>
        <v/>
      </c>
      <c r="B6961" s="18" t="str">
        <f t="shared" si="217"/>
        <v/>
      </c>
    </row>
    <row r="6962" spans="1:2" x14ac:dyDescent="0.25">
      <c r="A6962" s="15" t="str">
        <f t="shared" si="216"/>
        <v/>
      </c>
      <c r="B6962" s="18" t="str">
        <f t="shared" si="217"/>
        <v/>
      </c>
    </row>
    <row r="6963" spans="1:2" x14ac:dyDescent="0.25">
      <c r="A6963" s="15" t="str">
        <f t="shared" si="216"/>
        <v/>
      </c>
      <c r="B6963" s="18" t="str">
        <f t="shared" si="217"/>
        <v/>
      </c>
    </row>
    <row r="6964" spans="1:2" x14ac:dyDescent="0.25">
      <c r="A6964" s="15" t="str">
        <f t="shared" si="216"/>
        <v/>
      </c>
      <c r="B6964" s="18" t="str">
        <f t="shared" si="217"/>
        <v/>
      </c>
    </row>
    <row r="6965" spans="1:2" x14ac:dyDescent="0.25">
      <c r="A6965" s="15" t="str">
        <f t="shared" si="216"/>
        <v/>
      </c>
      <c r="B6965" s="18" t="str">
        <f t="shared" si="217"/>
        <v/>
      </c>
    </row>
    <row r="6966" spans="1:2" x14ac:dyDescent="0.25">
      <c r="A6966" s="15" t="str">
        <f t="shared" si="216"/>
        <v/>
      </c>
      <c r="B6966" s="18" t="str">
        <f t="shared" si="217"/>
        <v/>
      </c>
    </row>
    <row r="6967" spans="1:2" x14ac:dyDescent="0.25">
      <c r="A6967" s="15" t="str">
        <f t="shared" si="216"/>
        <v/>
      </c>
      <c r="B6967" s="18" t="str">
        <f t="shared" si="217"/>
        <v/>
      </c>
    </row>
    <row r="6968" spans="1:2" x14ac:dyDescent="0.25">
      <c r="A6968" s="15" t="str">
        <f t="shared" si="216"/>
        <v/>
      </c>
      <c r="B6968" s="18" t="str">
        <f t="shared" si="217"/>
        <v/>
      </c>
    </row>
    <row r="6969" spans="1:2" x14ac:dyDescent="0.25">
      <c r="A6969" s="15" t="str">
        <f t="shared" si="216"/>
        <v/>
      </c>
      <c r="B6969" s="18" t="str">
        <f t="shared" si="217"/>
        <v/>
      </c>
    </row>
    <row r="6970" spans="1:2" x14ac:dyDescent="0.25">
      <c r="A6970" s="15" t="str">
        <f t="shared" si="216"/>
        <v/>
      </c>
      <c r="B6970" s="18" t="str">
        <f t="shared" si="217"/>
        <v/>
      </c>
    </row>
    <row r="6971" spans="1:2" x14ac:dyDescent="0.25">
      <c r="A6971" s="15" t="str">
        <f t="shared" si="216"/>
        <v/>
      </c>
      <c r="B6971" s="18" t="str">
        <f t="shared" si="217"/>
        <v/>
      </c>
    </row>
    <row r="6972" spans="1:2" x14ac:dyDescent="0.25">
      <c r="A6972" s="15" t="str">
        <f t="shared" si="216"/>
        <v/>
      </c>
      <c r="B6972" s="18" t="str">
        <f t="shared" si="217"/>
        <v/>
      </c>
    </row>
    <row r="6973" spans="1:2" x14ac:dyDescent="0.25">
      <c r="A6973" s="15" t="str">
        <f t="shared" si="216"/>
        <v/>
      </c>
      <c r="B6973" s="18" t="str">
        <f t="shared" si="217"/>
        <v/>
      </c>
    </row>
    <row r="6974" spans="1:2" x14ac:dyDescent="0.25">
      <c r="A6974" s="15" t="str">
        <f t="shared" si="216"/>
        <v/>
      </c>
      <c r="B6974" s="18" t="str">
        <f t="shared" si="217"/>
        <v/>
      </c>
    </row>
    <row r="6975" spans="1:2" x14ac:dyDescent="0.25">
      <c r="A6975" s="15" t="str">
        <f t="shared" si="216"/>
        <v/>
      </c>
      <c r="B6975" s="18" t="str">
        <f t="shared" si="217"/>
        <v/>
      </c>
    </row>
    <row r="6976" spans="1:2" x14ac:dyDescent="0.25">
      <c r="A6976" s="15" t="str">
        <f t="shared" si="216"/>
        <v/>
      </c>
      <c r="B6976" s="18" t="str">
        <f t="shared" si="217"/>
        <v/>
      </c>
    </row>
    <row r="6977" spans="1:2" x14ac:dyDescent="0.25">
      <c r="A6977" s="15" t="str">
        <f t="shared" si="216"/>
        <v/>
      </c>
      <c r="B6977" s="18" t="str">
        <f t="shared" si="217"/>
        <v/>
      </c>
    </row>
    <row r="6978" spans="1:2" x14ac:dyDescent="0.25">
      <c r="A6978" s="15" t="str">
        <f t="shared" ref="A6978:A7041" si="218">B6978&amp;C6978</f>
        <v/>
      </c>
      <c r="B6978" s="18" t="str">
        <f t="shared" si="217"/>
        <v/>
      </c>
    </row>
    <row r="6979" spans="1:2" x14ac:dyDescent="0.25">
      <c r="A6979" s="15" t="str">
        <f t="shared" si="218"/>
        <v/>
      </c>
      <c r="B6979" s="18" t="str">
        <f t="shared" ref="B6979:B7042" si="219">IF(C6979="","",B6978)</f>
        <v/>
      </c>
    </row>
    <row r="6980" spans="1:2" x14ac:dyDescent="0.25">
      <c r="A6980" s="15" t="str">
        <f t="shared" si="218"/>
        <v/>
      </c>
      <c r="B6980" s="18" t="str">
        <f t="shared" si="219"/>
        <v/>
      </c>
    </row>
    <row r="6981" spans="1:2" x14ac:dyDescent="0.25">
      <c r="A6981" s="15" t="str">
        <f t="shared" si="218"/>
        <v/>
      </c>
      <c r="B6981" s="18" t="str">
        <f t="shared" si="219"/>
        <v/>
      </c>
    </row>
    <row r="6982" spans="1:2" x14ac:dyDescent="0.25">
      <c r="A6982" s="15" t="str">
        <f t="shared" si="218"/>
        <v/>
      </c>
      <c r="B6982" s="18" t="str">
        <f t="shared" si="219"/>
        <v/>
      </c>
    </row>
    <row r="6983" spans="1:2" x14ac:dyDescent="0.25">
      <c r="A6983" s="15" t="str">
        <f t="shared" si="218"/>
        <v/>
      </c>
      <c r="B6983" s="18" t="str">
        <f t="shared" si="219"/>
        <v/>
      </c>
    </row>
    <row r="6984" spans="1:2" x14ac:dyDescent="0.25">
      <c r="A6984" s="15" t="str">
        <f t="shared" si="218"/>
        <v/>
      </c>
      <c r="B6984" s="18" t="str">
        <f t="shared" si="219"/>
        <v/>
      </c>
    </row>
    <row r="6985" spans="1:2" x14ac:dyDescent="0.25">
      <c r="A6985" s="15" t="str">
        <f t="shared" si="218"/>
        <v/>
      </c>
      <c r="B6985" s="18" t="str">
        <f t="shared" si="219"/>
        <v/>
      </c>
    </row>
    <row r="6986" spans="1:2" x14ac:dyDescent="0.25">
      <c r="A6986" s="15" t="str">
        <f t="shared" si="218"/>
        <v/>
      </c>
      <c r="B6986" s="18" t="str">
        <f t="shared" si="219"/>
        <v/>
      </c>
    </row>
    <row r="6987" spans="1:2" x14ac:dyDescent="0.25">
      <c r="A6987" s="15" t="str">
        <f t="shared" si="218"/>
        <v/>
      </c>
      <c r="B6987" s="18" t="str">
        <f t="shared" si="219"/>
        <v/>
      </c>
    </row>
    <row r="6988" spans="1:2" x14ac:dyDescent="0.25">
      <c r="A6988" s="15" t="str">
        <f t="shared" si="218"/>
        <v/>
      </c>
      <c r="B6988" s="18" t="str">
        <f t="shared" si="219"/>
        <v/>
      </c>
    </row>
    <row r="6989" spans="1:2" x14ac:dyDescent="0.25">
      <c r="A6989" s="15" t="str">
        <f t="shared" si="218"/>
        <v/>
      </c>
      <c r="B6989" s="18" t="str">
        <f t="shared" si="219"/>
        <v/>
      </c>
    </row>
    <row r="6990" spans="1:2" x14ac:dyDescent="0.25">
      <c r="A6990" s="15" t="str">
        <f t="shared" si="218"/>
        <v/>
      </c>
      <c r="B6990" s="18" t="str">
        <f t="shared" si="219"/>
        <v/>
      </c>
    </row>
    <row r="6991" spans="1:2" x14ac:dyDescent="0.25">
      <c r="A6991" s="15" t="str">
        <f t="shared" si="218"/>
        <v/>
      </c>
      <c r="B6991" s="18" t="str">
        <f t="shared" si="219"/>
        <v/>
      </c>
    </row>
    <row r="6992" spans="1:2" x14ac:dyDescent="0.25">
      <c r="A6992" s="15" t="str">
        <f t="shared" si="218"/>
        <v/>
      </c>
      <c r="B6992" s="18" t="str">
        <f t="shared" si="219"/>
        <v/>
      </c>
    </row>
    <row r="6993" spans="1:2" x14ac:dyDescent="0.25">
      <c r="A6993" s="15" t="str">
        <f t="shared" si="218"/>
        <v/>
      </c>
      <c r="B6993" s="18" t="str">
        <f t="shared" si="219"/>
        <v/>
      </c>
    </row>
    <row r="6994" spans="1:2" x14ac:dyDescent="0.25">
      <c r="A6994" s="15" t="str">
        <f t="shared" si="218"/>
        <v/>
      </c>
      <c r="B6994" s="18" t="str">
        <f t="shared" si="219"/>
        <v/>
      </c>
    </row>
    <row r="6995" spans="1:2" x14ac:dyDescent="0.25">
      <c r="A6995" s="15" t="str">
        <f t="shared" si="218"/>
        <v/>
      </c>
      <c r="B6995" s="18" t="str">
        <f t="shared" si="219"/>
        <v/>
      </c>
    </row>
    <row r="6996" spans="1:2" x14ac:dyDescent="0.25">
      <c r="A6996" s="15" t="str">
        <f t="shared" si="218"/>
        <v/>
      </c>
      <c r="B6996" s="18" t="str">
        <f t="shared" si="219"/>
        <v/>
      </c>
    </row>
    <row r="6997" spans="1:2" x14ac:dyDescent="0.25">
      <c r="A6997" s="15" t="str">
        <f t="shared" si="218"/>
        <v/>
      </c>
      <c r="B6997" s="18" t="str">
        <f t="shared" si="219"/>
        <v/>
      </c>
    </row>
    <row r="6998" spans="1:2" x14ac:dyDescent="0.25">
      <c r="A6998" s="15" t="str">
        <f t="shared" si="218"/>
        <v/>
      </c>
      <c r="B6998" s="18" t="str">
        <f t="shared" si="219"/>
        <v/>
      </c>
    </row>
    <row r="6999" spans="1:2" x14ac:dyDescent="0.25">
      <c r="A6999" s="15" t="str">
        <f t="shared" si="218"/>
        <v/>
      </c>
      <c r="B6999" s="18" t="str">
        <f t="shared" si="219"/>
        <v/>
      </c>
    </row>
    <row r="7000" spans="1:2" x14ac:dyDescent="0.25">
      <c r="A7000" s="15" t="str">
        <f t="shared" si="218"/>
        <v/>
      </c>
      <c r="B7000" s="18" t="str">
        <f t="shared" si="219"/>
        <v/>
      </c>
    </row>
    <row r="7001" spans="1:2" x14ac:dyDescent="0.25">
      <c r="A7001" s="15" t="str">
        <f t="shared" si="218"/>
        <v/>
      </c>
      <c r="B7001" s="18" t="str">
        <f t="shared" si="219"/>
        <v/>
      </c>
    </row>
    <row r="7002" spans="1:2" x14ac:dyDescent="0.25">
      <c r="A7002" s="15" t="str">
        <f t="shared" si="218"/>
        <v/>
      </c>
      <c r="B7002" s="18" t="str">
        <f t="shared" si="219"/>
        <v/>
      </c>
    </row>
    <row r="7003" spans="1:2" x14ac:dyDescent="0.25">
      <c r="A7003" s="15" t="str">
        <f t="shared" si="218"/>
        <v/>
      </c>
      <c r="B7003" s="18" t="str">
        <f t="shared" si="219"/>
        <v/>
      </c>
    </row>
    <row r="7004" spans="1:2" x14ac:dyDescent="0.25">
      <c r="A7004" s="15" t="str">
        <f t="shared" si="218"/>
        <v/>
      </c>
      <c r="B7004" s="18" t="str">
        <f t="shared" si="219"/>
        <v/>
      </c>
    </row>
    <row r="7005" spans="1:2" x14ac:dyDescent="0.25">
      <c r="A7005" s="15" t="str">
        <f t="shared" si="218"/>
        <v/>
      </c>
      <c r="B7005" s="18" t="str">
        <f t="shared" si="219"/>
        <v/>
      </c>
    </row>
    <row r="7006" spans="1:2" x14ac:dyDescent="0.25">
      <c r="A7006" s="15" t="str">
        <f t="shared" si="218"/>
        <v/>
      </c>
      <c r="B7006" s="18" t="str">
        <f t="shared" si="219"/>
        <v/>
      </c>
    </row>
    <row r="7007" spans="1:2" x14ac:dyDescent="0.25">
      <c r="A7007" s="15" t="str">
        <f t="shared" si="218"/>
        <v/>
      </c>
      <c r="B7007" s="18" t="str">
        <f t="shared" si="219"/>
        <v/>
      </c>
    </row>
    <row r="7008" spans="1:2" x14ac:dyDescent="0.25">
      <c r="A7008" s="15" t="str">
        <f t="shared" si="218"/>
        <v/>
      </c>
      <c r="B7008" s="18" t="str">
        <f t="shared" si="219"/>
        <v/>
      </c>
    </row>
    <row r="7009" spans="1:2" x14ac:dyDescent="0.25">
      <c r="A7009" s="15" t="str">
        <f t="shared" si="218"/>
        <v/>
      </c>
      <c r="B7009" s="18" t="str">
        <f t="shared" si="219"/>
        <v/>
      </c>
    </row>
    <row r="7010" spans="1:2" x14ac:dyDescent="0.25">
      <c r="A7010" s="15" t="str">
        <f t="shared" si="218"/>
        <v/>
      </c>
      <c r="B7010" s="18" t="str">
        <f t="shared" si="219"/>
        <v/>
      </c>
    </row>
    <row r="7011" spans="1:2" x14ac:dyDescent="0.25">
      <c r="A7011" s="15" t="str">
        <f t="shared" si="218"/>
        <v/>
      </c>
      <c r="B7011" s="18" t="str">
        <f t="shared" si="219"/>
        <v/>
      </c>
    </row>
    <row r="7012" spans="1:2" x14ac:dyDescent="0.25">
      <c r="A7012" s="15" t="str">
        <f t="shared" si="218"/>
        <v/>
      </c>
      <c r="B7012" s="18" t="str">
        <f t="shared" si="219"/>
        <v/>
      </c>
    </row>
    <row r="7013" spans="1:2" x14ac:dyDescent="0.25">
      <c r="A7013" s="15" t="str">
        <f t="shared" si="218"/>
        <v/>
      </c>
      <c r="B7013" s="18" t="str">
        <f t="shared" si="219"/>
        <v/>
      </c>
    </row>
    <row r="7014" spans="1:2" x14ac:dyDescent="0.25">
      <c r="A7014" s="15" t="str">
        <f t="shared" si="218"/>
        <v/>
      </c>
      <c r="B7014" s="18" t="str">
        <f t="shared" si="219"/>
        <v/>
      </c>
    </row>
    <row r="7015" spans="1:2" x14ac:dyDescent="0.25">
      <c r="A7015" s="15" t="str">
        <f t="shared" si="218"/>
        <v/>
      </c>
      <c r="B7015" s="18" t="str">
        <f t="shared" si="219"/>
        <v/>
      </c>
    </row>
    <row r="7016" spans="1:2" x14ac:dyDescent="0.25">
      <c r="A7016" s="15" t="str">
        <f t="shared" si="218"/>
        <v/>
      </c>
      <c r="B7016" s="18" t="str">
        <f t="shared" si="219"/>
        <v/>
      </c>
    </row>
    <row r="7017" spans="1:2" x14ac:dyDescent="0.25">
      <c r="A7017" s="15" t="str">
        <f t="shared" si="218"/>
        <v/>
      </c>
      <c r="B7017" s="18" t="str">
        <f t="shared" si="219"/>
        <v/>
      </c>
    </row>
    <row r="7018" spans="1:2" x14ac:dyDescent="0.25">
      <c r="A7018" s="15" t="str">
        <f t="shared" si="218"/>
        <v/>
      </c>
      <c r="B7018" s="18" t="str">
        <f t="shared" si="219"/>
        <v/>
      </c>
    </row>
    <row r="7019" spans="1:2" x14ac:dyDescent="0.25">
      <c r="A7019" s="15" t="str">
        <f t="shared" si="218"/>
        <v/>
      </c>
      <c r="B7019" s="18" t="str">
        <f t="shared" si="219"/>
        <v/>
      </c>
    </row>
    <row r="7020" spans="1:2" x14ac:dyDescent="0.25">
      <c r="A7020" s="15" t="str">
        <f t="shared" si="218"/>
        <v/>
      </c>
      <c r="B7020" s="18" t="str">
        <f t="shared" si="219"/>
        <v/>
      </c>
    </row>
    <row r="7021" spans="1:2" x14ac:dyDescent="0.25">
      <c r="A7021" s="15" t="str">
        <f t="shared" si="218"/>
        <v/>
      </c>
      <c r="B7021" s="18" t="str">
        <f t="shared" si="219"/>
        <v/>
      </c>
    </row>
    <row r="7022" spans="1:2" x14ac:dyDescent="0.25">
      <c r="A7022" s="15" t="str">
        <f t="shared" si="218"/>
        <v/>
      </c>
      <c r="B7022" s="18" t="str">
        <f t="shared" si="219"/>
        <v/>
      </c>
    </row>
    <row r="7023" spans="1:2" x14ac:dyDescent="0.25">
      <c r="A7023" s="15" t="str">
        <f t="shared" si="218"/>
        <v/>
      </c>
      <c r="B7023" s="18" t="str">
        <f t="shared" si="219"/>
        <v/>
      </c>
    </row>
    <row r="7024" spans="1:2" x14ac:dyDescent="0.25">
      <c r="A7024" s="15" t="str">
        <f t="shared" si="218"/>
        <v/>
      </c>
      <c r="B7024" s="18" t="str">
        <f t="shared" si="219"/>
        <v/>
      </c>
    </row>
    <row r="7025" spans="1:2" x14ac:dyDescent="0.25">
      <c r="A7025" s="15" t="str">
        <f t="shared" si="218"/>
        <v/>
      </c>
      <c r="B7025" s="18" t="str">
        <f t="shared" si="219"/>
        <v/>
      </c>
    </row>
    <row r="7026" spans="1:2" x14ac:dyDescent="0.25">
      <c r="A7026" s="15" t="str">
        <f t="shared" si="218"/>
        <v/>
      </c>
      <c r="B7026" s="18" t="str">
        <f t="shared" si="219"/>
        <v/>
      </c>
    </row>
    <row r="7027" spans="1:2" x14ac:dyDescent="0.25">
      <c r="A7027" s="15" t="str">
        <f t="shared" si="218"/>
        <v/>
      </c>
      <c r="B7027" s="18" t="str">
        <f t="shared" si="219"/>
        <v/>
      </c>
    </row>
    <row r="7028" spans="1:2" x14ac:dyDescent="0.25">
      <c r="A7028" s="15" t="str">
        <f t="shared" si="218"/>
        <v/>
      </c>
      <c r="B7028" s="18" t="str">
        <f t="shared" si="219"/>
        <v/>
      </c>
    </row>
    <row r="7029" spans="1:2" x14ac:dyDescent="0.25">
      <c r="A7029" s="15" t="str">
        <f t="shared" si="218"/>
        <v/>
      </c>
      <c r="B7029" s="18" t="str">
        <f t="shared" si="219"/>
        <v/>
      </c>
    </row>
    <row r="7030" spans="1:2" x14ac:dyDescent="0.25">
      <c r="A7030" s="15" t="str">
        <f t="shared" si="218"/>
        <v/>
      </c>
      <c r="B7030" s="18" t="str">
        <f t="shared" si="219"/>
        <v/>
      </c>
    </row>
    <row r="7031" spans="1:2" x14ac:dyDescent="0.25">
      <c r="A7031" s="15" t="str">
        <f t="shared" si="218"/>
        <v/>
      </c>
      <c r="B7031" s="18" t="str">
        <f t="shared" si="219"/>
        <v/>
      </c>
    </row>
    <row r="7032" spans="1:2" x14ac:dyDescent="0.25">
      <c r="A7032" s="15" t="str">
        <f t="shared" si="218"/>
        <v/>
      </c>
      <c r="B7032" s="18" t="str">
        <f t="shared" si="219"/>
        <v/>
      </c>
    </row>
    <row r="7033" spans="1:2" x14ac:dyDescent="0.25">
      <c r="A7033" s="15" t="str">
        <f t="shared" si="218"/>
        <v/>
      </c>
      <c r="B7033" s="18" t="str">
        <f t="shared" si="219"/>
        <v/>
      </c>
    </row>
    <row r="7034" spans="1:2" x14ac:dyDescent="0.25">
      <c r="A7034" s="15" t="str">
        <f t="shared" si="218"/>
        <v/>
      </c>
      <c r="B7034" s="18" t="str">
        <f t="shared" si="219"/>
        <v/>
      </c>
    </row>
    <row r="7035" spans="1:2" x14ac:dyDescent="0.25">
      <c r="A7035" s="15" t="str">
        <f t="shared" si="218"/>
        <v/>
      </c>
      <c r="B7035" s="18" t="str">
        <f t="shared" si="219"/>
        <v/>
      </c>
    </row>
    <row r="7036" spans="1:2" x14ac:dyDescent="0.25">
      <c r="A7036" s="15" t="str">
        <f t="shared" si="218"/>
        <v/>
      </c>
      <c r="B7036" s="18" t="str">
        <f t="shared" si="219"/>
        <v/>
      </c>
    </row>
    <row r="7037" spans="1:2" x14ac:dyDescent="0.25">
      <c r="A7037" s="15" t="str">
        <f t="shared" si="218"/>
        <v/>
      </c>
      <c r="B7037" s="18" t="str">
        <f t="shared" si="219"/>
        <v/>
      </c>
    </row>
    <row r="7038" spans="1:2" x14ac:dyDescent="0.25">
      <c r="A7038" s="15" t="str">
        <f t="shared" si="218"/>
        <v/>
      </c>
      <c r="B7038" s="18" t="str">
        <f t="shared" si="219"/>
        <v/>
      </c>
    </row>
    <row r="7039" spans="1:2" x14ac:dyDescent="0.25">
      <c r="A7039" s="15" t="str">
        <f t="shared" si="218"/>
        <v/>
      </c>
      <c r="B7039" s="18" t="str">
        <f t="shared" si="219"/>
        <v/>
      </c>
    </row>
    <row r="7040" spans="1:2" x14ac:dyDescent="0.25">
      <c r="A7040" s="15" t="str">
        <f t="shared" si="218"/>
        <v/>
      </c>
      <c r="B7040" s="18" t="str">
        <f t="shared" si="219"/>
        <v/>
      </c>
    </row>
    <row r="7041" spans="1:2" x14ac:dyDescent="0.25">
      <c r="A7041" s="15" t="str">
        <f t="shared" si="218"/>
        <v/>
      </c>
      <c r="B7041" s="18" t="str">
        <f t="shared" si="219"/>
        <v/>
      </c>
    </row>
    <row r="7042" spans="1:2" x14ac:dyDescent="0.25">
      <c r="A7042" s="15" t="str">
        <f t="shared" ref="A7042:A7105" si="220">B7042&amp;C7042</f>
        <v/>
      </c>
      <c r="B7042" s="18" t="str">
        <f t="shared" si="219"/>
        <v/>
      </c>
    </row>
    <row r="7043" spans="1:2" x14ac:dyDescent="0.25">
      <c r="A7043" s="15" t="str">
        <f t="shared" si="220"/>
        <v/>
      </c>
      <c r="B7043" s="18" t="str">
        <f t="shared" ref="B7043:B7106" si="221">IF(C7043="","",B7042)</f>
        <v/>
      </c>
    </row>
    <row r="7044" spans="1:2" x14ac:dyDescent="0.25">
      <c r="A7044" s="15" t="str">
        <f t="shared" si="220"/>
        <v/>
      </c>
      <c r="B7044" s="18" t="str">
        <f t="shared" si="221"/>
        <v/>
      </c>
    </row>
    <row r="7045" spans="1:2" x14ac:dyDescent="0.25">
      <c r="A7045" s="15" t="str">
        <f t="shared" si="220"/>
        <v/>
      </c>
      <c r="B7045" s="18" t="str">
        <f t="shared" si="221"/>
        <v/>
      </c>
    </row>
    <row r="7046" spans="1:2" x14ac:dyDescent="0.25">
      <c r="A7046" s="15" t="str">
        <f t="shared" si="220"/>
        <v/>
      </c>
      <c r="B7046" s="18" t="str">
        <f t="shared" si="221"/>
        <v/>
      </c>
    </row>
    <row r="7047" spans="1:2" x14ac:dyDescent="0.25">
      <c r="A7047" s="15" t="str">
        <f t="shared" si="220"/>
        <v/>
      </c>
      <c r="B7047" s="18" t="str">
        <f t="shared" si="221"/>
        <v/>
      </c>
    </row>
    <row r="7048" spans="1:2" x14ac:dyDescent="0.25">
      <c r="A7048" s="15" t="str">
        <f t="shared" si="220"/>
        <v/>
      </c>
      <c r="B7048" s="18" t="str">
        <f t="shared" si="221"/>
        <v/>
      </c>
    </row>
    <row r="7049" spans="1:2" x14ac:dyDescent="0.25">
      <c r="A7049" s="15" t="str">
        <f t="shared" si="220"/>
        <v/>
      </c>
      <c r="B7049" s="18" t="str">
        <f t="shared" si="221"/>
        <v/>
      </c>
    </row>
    <row r="7050" spans="1:2" x14ac:dyDescent="0.25">
      <c r="A7050" s="15" t="str">
        <f t="shared" si="220"/>
        <v/>
      </c>
      <c r="B7050" s="18" t="str">
        <f t="shared" si="221"/>
        <v/>
      </c>
    </row>
    <row r="7051" spans="1:2" x14ac:dyDescent="0.25">
      <c r="A7051" s="15" t="str">
        <f t="shared" si="220"/>
        <v/>
      </c>
      <c r="B7051" s="18" t="str">
        <f t="shared" si="221"/>
        <v/>
      </c>
    </row>
    <row r="7052" spans="1:2" x14ac:dyDescent="0.25">
      <c r="A7052" s="15" t="str">
        <f t="shared" si="220"/>
        <v/>
      </c>
      <c r="B7052" s="18" t="str">
        <f t="shared" si="221"/>
        <v/>
      </c>
    </row>
    <row r="7053" spans="1:2" x14ac:dyDescent="0.25">
      <c r="A7053" s="15" t="str">
        <f t="shared" si="220"/>
        <v/>
      </c>
      <c r="B7053" s="18" t="str">
        <f t="shared" si="221"/>
        <v/>
      </c>
    </row>
    <row r="7054" spans="1:2" x14ac:dyDescent="0.25">
      <c r="A7054" s="15" t="str">
        <f t="shared" si="220"/>
        <v/>
      </c>
      <c r="B7054" s="18" t="str">
        <f t="shared" si="221"/>
        <v/>
      </c>
    </row>
    <row r="7055" spans="1:2" x14ac:dyDescent="0.25">
      <c r="A7055" s="15" t="str">
        <f t="shared" si="220"/>
        <v/>
      </c>
      <c r="B7055" s="18" t="str">
        <f t="shared" si="221"/>
        <v/>
      </c>
    </row>
    <row r="7056" spans="1:2" x14ac:dyDescent="0.25">
      <c r="A7056" s="15" t="str">
        <f t="shared" si="220"/>
        <v/>
      </c>
      <c r="B7056" s="18" t="str">
        <f t="shared" si="221"/>
        <v/>
      </c>
    </row>
    <row r="7057" spans="1:2" x14ac:dyDescent="0.25">
      <c r="A7057" s="15" t="str">
        <f t="shared" si="220"/>
        <v/>
      </c>
      <c r="B7057" s="18" t="str">
        <f t="shared" si="221"/>
        <v/>
      </c>
    </row>
    <row r="7058" spans="1:2" x14ac:dyDescent="0.25">
      <c r="A7058" s="15" t="str">
        <f t="shared" si="220"/>
        <v/>
      </c>
      <c r="B7058" s="18" t="str">
        <f t="shared" si="221"/>
        <v/>
      </c>
    </row>
    <row r="7059" spans="1:2" x14ac:dyDescent="0.25">
      <c r="A7059" s="15" t="str">
        <f t="shared" si="220"/>
        <v/>
      </c>
      <c r="B7059" s="18" t="str">
        <f t="shared" si="221"/>
        <v/>
      </c>
    </row>
    <row r="7060" spans="1:2" x14ac:dyDescent="0.25">
      <c r="A7060" s="15" t="str">
        <f t="shared" si="220"/>
        <v/>
      </c>
      <c r="B7060" s="18" t="str">
        <f t="shared" si="221"/>
        <v/>
      </c>
    </row>
    <row r="7061" spans="1:2" x14ac:dyDescent="0.25">
      <c r="A7061" s="15" t="str">
        <f t="shared" si="220"/>
        <v/>
      </c>
      <c r="B7061" s="18" t="str">
        <f t="shared" si="221"/>
        <v/>
      </c>
    </row>
    <row r="7062" spans="1:2" x14ac:dyDescent="0.25">
      <c r="A7062" s="15" t="str">
        <f t="shared" si="220"/>
        <v/>
      </c>
      <c r="B7062" s="18" t="str">
        <f t="shared" si="221"/>
        <v/>
      </c>
    </row>
    <row r="7063" spans="1:2" x14ac:dyDescent="0.25">
      <c r="A7063" s="15" t="str">
        <f t="shared" si="220"/>
        <v/>
      </c>
      <c r="B7063" s="18" t="str">
        <f t="shared" si="221"/>
        <v/>
      </c>
    </row>
    <row r="7064" spans="1:2" x14ac:dyDescent="0.25">
      <c r="A7064" s="15" t="str">
        <f t="shared" si="220"/>
        <v/>
      </c>
      <c r="B7064" s="18" t="str">
        <f t="shared" si="221"/>
        <v/>
      </c>
    </row>
    <row r="7065" spans="1:2" x14ac:dyDescent="0.25">
      <c r="A7065" s="15" t="str">
        <f t="shared" si="220"/>
        <v/>
      </c>
      <c r="B7065" s="18" t="str">
        <f t="shared" si="221"/>
        <v/>
      </c>
    </row>
    <row r="7066" spans="1:2" x14ac:dyDescent="0.25">
      <c r="A7066" s="15" t="str">
        <f t="shared" si="220"/>
        <v/>
      </c>
      <c r="B7066" s="18" t="str">
        <f t="shared" si="221"/>
        <v/>
      </c>
    </row>
    <row r="7067" spans="1:2" x14ac:dyDescent="0.25">
      <c r="A7067" s="15" t="str">
        <f t="shared" si="220"/>
        <v/>
      </c>
      <c r="B7067" s="18" t="str">
        <f t="shared" si="221"/>
        <v/>
      </c>
    </row>
    <row r="7068" spans="1:2" x14ac:dyDescent="0.25">
      <c r="A7068" s="15" t="str">
        <f t="shared" si="220"/>
        <v/>
      </c>
      <c r="B7068" s="18" t="str">
        <f t="shared" si="221"/>
        <v/>
      </c>
    </row>
    <row r="7069" spans="1:2" x14ac:dyDescent="0.25">
      <c r="A7069" s="15" t="str">
        <f t="shared" si="220"/>
        <v/>
      </c>
      <c r="B7069" s="18" t="str">
        <f t="shared" si="221"/>
        <v/>
      </c>
    </row>
    <row r="7070" spans="1:2" x14ac:dyDescent="0.25">
      <c r="A7070" s="15" t="str">
        <f t="shared" si="220"/>
        <v/>
      </c>
      <c r="B7070" s="18" t="str">
        <f t="shared" si="221"/>
        <v/>
      </c>
    </row>
    <row r="7071" spans="1:2" x14ac:dyDescent="0.25">
      <c r="A7071" s="15" t="str">
        <f t="shared" si="220"/>
        <v/>
      </c>
      <c r="B7071" s="18" t="str">
        <f t="shared" si="221"/>
        <v/>
      </c>
    </row>
    <row r="7072" spans="1:2" x14ac:dyDescent="0.25">
      <c r="A7072" s="15" t="str">
        <f t="shared" si="220"/>
        <v/>
      </c>
      <c r="B7072" s="18" t="str">
        <f t="shared" si="221"/>
        <v/>
      </c>
    </row>
    <row r="7073" spans="1:2" x14ac:dyDescent="0.25">
      <c r="A7073" s="15" t="str">
        <f t="shared" si="220"/>
        <v/>
      </c>
      <c r="B7073" s="18" t="str">
        <f t="shared" si="221"/>
        <v/>
      </c>
    </row>
    <row r="7074" spans="1:2" x14ac:dyDescent="0.25">
      <c r="A7074" s="15" t="str">
        <f t="shared" si="220"/>
        <v/>
      </c>
      <c r="B7074" s="18" t="str">
        <f t="shared" si="221"/>
        <v/>
      </c>
    </row>
    <row r="7075" spans="1:2" x14ac:dyDescent="0.25">
      <c r="A7075" s="15" t="str">
        <f t="shared" si="220"/>
        <v/>
      </c>
      <c r="B7075" s="18" t="str">
        <f t="shared" si="221"/>
        <v/>
      </c>
    </row>
    <row r="7076" spans="1:2" x14ac:dyDescent="0.25">
      <c r="A7076" s="15" t="str">
        <f t="shared" si="220"/>
        <v/>
      </c>
      <c r="B7076" s="18" t="str">
        <f t="shared" si="221"/>
        <v/>
      </c>
    </row>
    <row r="7077" spans="1:2" x14ac:dyDescent="0.25">
      <c r="A7077" s="15" t="str">
        <f t="shared" si="220"/>
        <v/>
      </c>
      <c r="B7077" s="18" t="str">
        <f t="shared" si="221"/>
        <v/>
      </c>
    </row>
    <row r="7078" spans="1:2" x14ac:dyDescent="0.25">
      <c r="A7078" s="15" t="str">
        <f t="shared" si="220"/>
        <v/>
      </c>
      <c r="B7078" s="18" t="str">
        <f t="shared" si="221"/>
        <v/>
      </c>
    </row>
    <row r="7079" spans="1:2" x14ac:dyDescent="0.25">
      <c r="A7079" s="15" t="str">
        <f t="shared" si="220"/>
        <v/>
      </c>
      <c r="B7079" s="18" t="str">
        <f t="shared" si="221"/>
        <v/>
      </c>
    </row>
    <row r="7080" spans="1:2" x14ac:dyDescent="0.25">
      <c r="A7080" s="15" t="str">
        <f t="shared" si="220"/>
        <v/>
      </c>
      <c r="B7080" s="18" t="str">
        <f t="shared" si="221"/>
        <v/>
      </c>
    </row>
    <row r="7081" spans="1:2" x14ac:dyDescent="0.25">
      <c r="A7081" s="15" t="str">
        <f t="shared" si="220"/>
        <v/>
      </c>
      <c r="B7081" s="18" t="str">
        <f t="shared" si="221"/>
        <v/>
      </c>
    </row>
    <row r="7082" spans="1:2" x14ac:dyDescent="0.25">
      <c r="A7082" s="15" t="str">
        <f t="shared" si="220"/>
        <v/>
      </c>
      <c r="B7082" s="18" t="str">
        <f t="shared" si="221"/>
        <v/>
      </c>
    </row>
    <row r="7083" spans="1:2" x14ac:dyDescent="0.25">
      <c r="A7083" s="15" t="str">
        <f t="shared" si="220"/>
        <v/>
      </c>
      <c r="B7083" s="18" t="str">
        <f t="shared" si="221"/>
        <v/>
      </c>
    </row>
    <row r="7084" spans="1:2" x14ac:dyDescent="0.25">
      <c r="A7084" s="15" t="str">
        <f t="shared" si="220"/>
        <v/>
      </c>
      <c r="B7084" s="18" t="str">
        <f t="shared" si="221"/>
        <v/>
      </c>
    </row>
    <row r="7085" spans="1:2" x14ac:dyDescent="0.25">
      <c r="A7085" s="15" t="str">
        <f t="shared" si="220"/>
        <v/>
      </c>
      <c r="B7085" s="18" t="str">
        <f t="shared" si="221"/>
        <v/>
      </c>
    </row>
    <row r="7086" spans="1:2" x14ac:dyDescent="0.25">
      <c r="A7086" s="15" t="str">
        <f t="shared" si="220"/>
        <v/>
      </c>
      <c r="B7086" s="18" t="str">
        <f t="shared" si="221"/>
        <v/>
      </c>
    </row>
    <row r="7087" spans="1:2" x14ac:dyDescent="0.25">
      <c r="A7087" s="15" t="str">
        <f t="shared" si="220"/>
        <v/>
      </c>
      <c r="B7087" s="18" t="str">
        <f t="shared" si="221"/>
        <v/>
      </c>
    </row>
    <row r="7088" spans="1:2" x14ac:dyDescent="0.25">
      <c r="A7088" s="15" t="str">
        <f t="shared" si="220"/>
        <v/>
      </c>
      <c r="B7088" s="18" t="str">
        <f t="shared" si="221"/>
        <v/>
      </c>
    </row>
    <row r="7089" spans="1:2" x14ac:dyDescent="0.25">
      <c r="A7089" s="15" t="str">
        <f t="shared" si="220"/>
        <v/>
      </c>
      <c r="B7089" s="18" t="str">
        <f t="shared" si="221"/>
        <v/>
      </c>
    </row>
    <row r="7090" spans="1:2" x14ac:dyDescent="0.25">
      <c r="A7090" s="15" t="str">
        <f t="shared" si="220"/>
        <v/>
      </c>
      <c r="B7090" s="18" t="str">
        <f t="shared" si="221"/>
        <v/>
      </c>
    </row>
    <row r="7091" spans="1:2" x14ac:dyDescent="0.25">
      <c r="A7091" s="15" t="str">
        <f t="shared" si="220"/>
        <v/>
      </c>
      <c r="B7091" s="18" t="str">
        <f t="shared" si="221"/>
        <v/>
      </c>
    </row>
    <row r="7092" spans="1:2" x14ac:dyDescent="0.25">
      <c r="A7092" s="15" t="str">
        <f t="shared" si="220"/>
        <v/>
      </c>
      <c r="B7092" s="18" t="str">
        <f t="shared" si="221"/>
        <v/>
      </c>
    </row>
    <row r="7093" spans="1:2" x14ac:dyDescent="0.25">
      <c r="A7093" s="15" t="str">
        <f t="shared" si="220"/>
        <v/>
      </c>
      <c r="B7093" s="18" t="str">
        <f t="shared" si="221"/>
        <v/>
      </c>
    </row>
    <row r="7094" spans="1:2" x14ac:dyDescent="0.25">
      <c r="A7094" s="15" t="str">
        <f t="shared" si="220"/>
        <v/>
      </c>
      <c r="B7094" s="18" t="str">
        <f t="shared" si="221"/>
        <v/>
      </c>
    </row>
    <row r="7095" spans="1:2" x14ac:dyDescent="0.25">
      <c r="A7095" s="15" t="str">
        <f t="shared" si="220"/>
        <v/>
      </c>
      <c r="B7095" s="18" t="str">
        <f t="shared" si="221"/>
        <v/>
      </c>
    </row>
    <row r="7096" spans="1:2" x14ac:dyDescent="0.25">
      <c r="A7096" s="15" t="str">
        <f t="shared" si="220"/>
        <v/>
      </c>
      <c r="B7096" s="18" t="str">
        <f t="shared" si="221"/>
        <v/>
      </c>
    </row>
    <row r="7097" spans="1:2" x14ac:dyDescent="0.25">
      <c r="A7097" s="15" t="str">
        <f t="shared" si="220"/>
        <v/>
      </c>
      <c r="B7097" s="18" t="str">
        <f t="shared" si="221"/>
        <v/>
      </c>
    </row>
    <row r="7098" spans="1:2" x14ac:dyDescent="0.25">
      <c r="A7098" s="15" t="str">
        <f t="shared" si="220"/>
        <v/>
      </c>
      <c r="B7098" s="18" t="str">
        <f t="shared" si="221"/>
        <v/>
      </c>
    </row>
    <row r="7099" spans="1:2" x14ac:dyDescent="0.25">
      <c r="A7099" s="15" t="str">
        <f t="shared" si="220"/>
        <v/>
      </c>
      <c r="B7099" s="18" t="str">
        <f t="shared" si="221"/>
        <v/>
      </c>
    </row>
    <row r="7100" spans="1:2" x14ac:dyDescent="0.25">
      <c r="A7100" s="15" t="str">
        <f t="shared" si="220"/>
        <v/>
      </c>
      <c r="B7100" s="18" t="str">
        <f t="shared" si="221"/>
        <v/>
      </c>
    </row>
    <row r="7101" spans="1:2" x14ac:dyDescent="0.25">
      <c r="A7101" s="15" t="str">
        <f t="shared" si="220"/>
        <v/>
      </c>
      <c r="B7101" s="18" t="str">
        <f t="shared" si="221"/>
        <v/>
      </c>
    </row>
    <row r="7102" spans="1:2" x14ac:dyDescent="0.25">
      <c r="A7102" s="15" t="str">
        <f t="shared" si="220"/>
        <v/>
      </c>
      <c r="B7102" s="18" t="str">
        <f t="shared" si="221"/>
        <v/>
      </c>
    </row>
    <row r="7103" spans="1:2" x14ac:dyDescent="0.25">
      <c r="A7103" s="15" t="str">
        <f t="shared" si="220"/>
        <v/>
      </c>
      <c r="B7103" s="18" t="str">
        <f t="shared" si="221"/>
        <v/>
      </c>
    </row>
    <row r="7104" spans="1:2" x14ac:dyDescent="0.25">
      <c r="A7104" s="15" t="str">
        <f t="shared" si="220"/>
        <v/>
      </c>
      <c r="B7104" s="18" t="str">
        <f t="shared" si="221"/>
        <v/>
      </c>
    </row>
    <row r="7105" spans="1:2" x14ac:dyDescent="0.25">
      <c r="A7105" s="15" t="str">
        <f t="shared" si="220"/>
        <v/>
      </c>
      <c r="B7105" s="18" t="str">
        <f t="shared" si="221"/>
        <v/>
      </c>
    </row>
    <row r="7106" spans="1:2" x14ac:dyDescent="0.25">
      <c r="A7106" s="15" t="str">
        <f t="shared" ref="A7106:A7169" si="222">B7106&amp;C7106</f>
        <v/>
      </c>
      <c r="B7106" s="18" t="str">
        <f t="shared" si="221"/>
        <v/>
      </c>
    </row>
    <row r="7107" spans="1:2" x14ac:dyDescent="0.25">
      <c r="A7107" s="15" t="str">
        <f t="shared" si="222"/>
        <v/>
      </c>
      <c r="B7107" s="18" t="str">
        <f t="shared" ref="B7107:B7170" si="223">IF(C7107="","",B7106)</f>
        <v/>
      </c>
    </row>
    <row r="7108" spans="1:2" x14ac:dyDescent="0.25">
      <c r="A7108" s="15" t="str">
        <f t="shared" si="222"/>
        <v/>
      </c>
      <c r="B7108" s="18" t="str">
        <f t="shared" si="223"/>
        <v/>
      </c>
    </row>
    <row r="7109" spans="1:2" x14ac:dyDescent="0.25">
      <c r="A7109" s="15" t="str">
        <f t="shared" si="222"/>
        <v/>
      </c>
      <c r="B7109" s="18" t="str">
        <f t="shared" si="223"/>
        <v/>
      </c>
    </row>
    <row r="7110" spans="1:2" x14ac:dyDescent="0.25">
      <c r="A7110" s="15" t="str">
        <f t="shared" si="222"/>
        <v/>
      </c>
      <c r="B7110" s="18" t="str">
        <f t="shared" si="223"/>
        <v/>
      </c>
    </row>
    <row r="7111" spans="1:2" x14ac:dyDescent="0.25">
      <c r="A7111" s="15" t="str">
        <f t="shared" si="222"/>
        <v/>
      </c>
      <c r="B7111" s="18" t="str">
        <f t="shared" si="223"/>
        <v/>
      </c>
    </row>
    <row r="7112" spans="1:2" x14ac:dyDescent="0.25">
      <c r="A7112" s="15" t="str">
        <f t="shared" si="222"/>
        <v/>
      </c>
      <c r="B7112" s="18" t="str">
        <f t="shared" si="223"/>
        <v/>
      </c>
    </row>
    <row r="7113" spans="1:2" x14ac:dyDescent="0.25">
      <c r="A7113" s="15" t="str">
        <f t="shared" si="222"/>
        <v/>
      </c>
      <c r="B7113" s="18" t="str">
        <f t="shared" si="223"/>
        <v/>
      </c>
    </row>
    <row r="7114" spans="1:2" x14ac:dyDescent="0.25">
      <c r="A7114" s="15" t="str">
        <f t="shared" si="222"/>
        <v/>
      </c>
      <c r="B7114" s="18" t="str">
        <f t="shared" si="223"/>
        <v/>
      </c>
    </row>
    <row r="7115" spans="1:2" x14ac:dyDescent="0.25">
      <c r="A7115" s="15" t="str">
        <f t="shared" si="222"/>
        <v/>
      </c>
      <c r="B7115" s="18" t="str">
        <f t="shared" si="223"/>
        <v/>
      </c>
    </row>
    <row r="7116" spans="1:2" x14ac:dyDescent="0.25">
      <c r="A7116" s="15" t="str">
        <f t="shared" si="222"/>
        <v/>
      </c>
      <c r="B7116" s="18" t="str">
        <f t="shared" si="223"/>
        <v/>
      </c>
    </row>
    <row r="7117" spans="1:2" x14ac:dyDescent="0.25">
      <c r="A7117" s="15" t="str">
        <f t="shared" si="222"/>
        <v/>
      </c>
      <c r="B7117" s="18" t="str">
        <f t="shared" si="223"/>
        <v/>
      </c>
    </row>
    <row r="7118" spans="1:2" x14ac:dyDescent="0.25">
      <c r="A7118" s="15" t="str">
        <f t="shared" si="222"/>
        <v/>
      </c>
      <c r="B7118" s="18" t="str">
        <f t="shared" si="223"/>
        <v/>
      </c>
    </row>
    <row r="7119" spans="1:2" x14ac:dyDescent="0.25">
      <c r="A7119" s="15" t="str">
        <f t="shared" si="222"/>
        <v/>
      </c>
      <c r="B7119" s="18" t="str">
        <f t="shared" si="223"/>
        <v/>
      </c>
    </row>
    <row r="7120" spans="1:2" x14ac:dyDescent="0.25">
      <c r="A7120" s="15" t="str">
        <f t="shared" si="222"/>
        <v/>
      </c>
      <c r="B7120" s="18" t="str">
        <f t="shared" si="223"/>
        <v/>
      </c>
    </row>
    <row r="7121" spans="1:2" x14ac:dyDescent="0.25">
      <c r="A7121" s="15" t="str">
        <f t="shared" si="222"/>
        <v/>
      </c>
      <c r="B7121" s="18" t="str">
        <f t="shared" si="223"/>
        <v/>
      </c>
    </row>
    <row r="7122" spans="1:2" x14ac:dyDescent="0.25">
      <c r="A7122" s="15" t="str">
        <f t="shared" si="222"/>
        <v/>
      </c>
      <c r="B7122" s="18" t="str">
        <f t="shared" si="223"/>
        <v/>
      </c>
    </row>
    <row r="7123" spans="1:2" x14ac:dyDescent="0.25">
      <c r="A7123" s="15" t="str">
        <f t="shared" si="222"/>
        <v/>
      </c>
      <c r="B7123" s="18" t="str">
        <f t="shared" si="223"/>
        <v/>
      </c>
    </row>
    <row r="7124" spans="1:2" x14ac:dyDescent="0.25">
      <c r="A7124" s="15" t="str">
        <f t="shared" si="222"/>
        <v/>
      </c>
      <c r="B7124" s="18" t="str">
        <f t="shared" si="223"/>
        <v/>
      </c>
    </row>
    <row r="7125" spans="1:2" x14ac:dyDescent="0.25">
      <c r="A7125" s="15" t="str">
        <f t="shared" si="222"/>
        <v/>
      </c>
      <c r="B7125" s="18" t="str">
        <f t="shared" si="223"/>
        <v/>
      </c>
    </row>
    <row r="7126" spans="1:2" x14ac:dyDescent="0.25">
      <c r="A7126" s="15" t="str">
        <f t="shared" si="222"/>
        <v/>
      </c>
      <c r="B7126" s="18" t="str">
        <f t="shared" si="223"/>
        <v/>
      </c>
    </row>
    <row r="7127" spans="1:2" x14ac:dyDescent="0.25">
      <c r="A7127" s="15" t="str">
        <f t="shared" si="222"/>
        <v/>
      </c>
      <c r="B7127" s="18" t="str">
        <f t="shared" si="223"/>
        <v/>
      </c>
    </row>
    <row r="7128" spans="1:2" x14ac:dyDescent="0.25">
      <c r="A7128" s="15" t="str">
        <f t="shared" si="222"/>
        <v/>
      </c>
      <c r="B7128" s="18" t="str">
        <f t="shared" si="223"/>
        <v/>
      </c>
    </row>
    <row r="7129" spans="1:2" x14ac:dyDescent="0.25">
      <c r="A7129" s="15" t="str">
        <f t="shared" si="222"/>
        <v/>
      </c>
      <c r="B7129" s="18" t="str">
        <f t="shared" si="223"/>
        <v/>
      </c>
    </row>
    <row r="7130" spans="1:2" x14ac:dyDescent="0.25">
      <c r="A7130" s="15" t="str">
        <f t="shared" si="222"/>
        <v/>
      </c>
      <c r="B7130" s="18" t="str">
        <f t="shared" si="223"/>
        <v/>
      </c>
    </row>
    <row r="7131" spans="1:2" x14ac:dyDescent="0.25">
      <c r="A7131" s="15" t="str">
        <f t="shared" si="222"/>
        <v/>
      </c>
      <c r="B7131" s="18" t="str">
        <f t="shared" si="223"/>
        <v/>
      </c>
    </row>
    <row r="7132" spans="1:2" x14ac:dyDescent="0.25">
      <c r="A7132" s="15" t="str">
        <f t="shared" si="222"/>
        <v/>
      </c>
      <c r="B7132" s="18" t="str">
        <f t="shared" si="223"/>
        <v/>
      </c>
    </row>
    <row r="7133" spans="1:2" x14ac:dyDescent="0.25">
      <c r="A7133" s="15" t="str">
        <f t="shared" si="222"/>
        <v/>
      </c>
      <c r="B7133" s="18" t="str">
        <f t="shared" si="223"/>
        <v/>
      </c>
    </row>
    <row r="7134" spans="1:2" x14ac:dyDescent="0.25">
      <c r="A7134" s="15" t="str">
        <f t="shared" si="222"/>
        <v/>
      </c>
      <c r="B7134" s="18" t="str">
        <f t="shared" si="223"/>
        <v/>
      </c>
    </row>
    <row r="7135" spans="1:2" x14ac:dyDescent="0.25">
      <c r="A7135" s="15" t="str">
        <f t="shared" si="222"/>
        <v/>
      </c>
      <c r="B7135" s="18" t="str">
        <f t="shared" si="223"/>
        <v/>
      </c>
    </row>
    <row r="7136" spans="1:2" x14ac:dyDescent="0.25">
      <c r="A7136" s="15" t="str">
        <f t="shared" si="222"/>
        <v/>
      </c>
      <c r="B7136" s="18" t="str">
        <f t="shared" si="223"/>
        <v/>
      </c>
    </row>
    <row r="7137" spans="1:2" x14ac:dyDescent="0.25">
      <c r="A7137" s="15" t="str">
        <f t="shared" si="222"/>
        <v/>
      </c>
      <c r="B7137" s="18" t="str">
        <f t="shared" si="223"/>
        <v/>
      </c>
    </row>
    <row r="7138" spans="1:2" x14ac:dyDescent="0.25">
      <c r="A7138" s="15" t="str">
        <f t="shared" si="222"/>
        <v/>
      </c>
      <c r="B7138" s="18" t="str">
        <f t="shared" si="223"/>
        <v/>
      </c>
    </row>
    <row r="7139" spans="1:2" x14ac:dyDescent="0.25">
      <c r="A7139" s="15" t="str">
        <f t="shared" si="222"/>
        <v/>
      </c>
      <c r="B7139" s="18" t="str">
        <f t="shared" si="223"/>
        <v/>
      </c>
    </row>
    <row r="7140" spans="1:2" x14ac:dyDescent="0.25">
      <c r="A7140" s="15" t="str">
        <f t="shared" si="222"/>
        <v/>
      </c>
      <c r="B7140" s="18" t="str">
        <f t="shared" si="223"/>
        <v/>
      </c>
    </row>
    <row r="7141" spans="1:2" x14ac:dyDescent="0.25">
      <c r="A7141" s="15" t="str">
        <f t="shared" si="222"/>
        <v/>
      </c>
      <c r="B7141" s="18" t="str">
        <f t="shared" si="223"/>
        <v/>
      </c>
    </row>
    <row r="7142" spans="1:2" x14ac:dyDescent="0.25">
      <c r="A7142" s="15" t="str">
        <f t="shared" si="222"/>
        <v/>
      </c>
      <c r="B7142" s="18" t="str">
        <f t="shared" si="223"/>
        <v/>
      </c>
    </row>
    <row r="7143" spans="1:2" x14ac:dyDescent="0.25">
      <c r="A7143" s="15" t="str">
        <f t="shared" si="222"/>
        <v/>
      </c>
      <c r="B7143" s="18" t="str">
        <f t="shared" si="223"/>
        <v/>
      </c>
    </row>
    <row r="7144" spans="1:2" x14ac:dyDescent="0.25">
      <c r="A7144" s="15" t="str">
        <f t="shared" si="222"/>
        <v/>
      </c>
      <c r="B7144" s="18" t="str">
        <f t="shared" si="223"/>
        <v/>
      </c>
    </row>
    <row r="7145" spans="1:2" x14ac:dyDescent="0.25">
      <c r="A7145" s="15" t="str">
        <f t="shared" si="222"/>
        <v/>
      </c>
      <c r="B7145" s="18" t="str">
        <f t="shared" si="223"/>
        <v/>
      </c>
    </row>
    <row r="7146" spans="1:2" x14ac:dyDescent="0.25">
      <c r="A7146" s="15" t="str">
        <f t="shared" si="222"/>
        <v/>
      </c>
      <c r="B7146" s="18" t="str">
        <f t="shared" si="223"/>
        <v/>
      </c>
    </row>
    <row r="7147" spans="1:2" x14ac:dyDescent="0.25">
      <c r="A7147" s="15" t="str">
        <f t="shared" si="222"/>
        <v/>
      </c>
      <c r="B7147" s="18" t="str">
        <f t="shared" si="223"/>
        <v/>
      </c>
    </row>
    <row r="7148" spans="1:2" x14ac:dyDescent="0.25">
      <c r="A7148" s="15" t="str">
        <f t="shared" si="222"/>
        <v/>
      </c>
      <c r="B7148" s="18" t="str">
        <f t="shared" si="223"/>
        <v/>
      </c>
    </row>
    <row r="7149" spans="1:2" x14ac:dyDescent="0.25">
      <c r="A7149" s="15" t="str">
        <f t="shared" si="222"/>
        <v/>
      </c>
      <c r="B7149" s="18" t="str">
        <f t="shared" si="223"/>
        <v/>
      </c>
    </row>
    <row r="7150" spans="1:2" x14ac:dyDescent="0.25">
      <c r="A7150" s="15" t="str">
        <f t="shared" si="222"/>
        <v/>
      </c>
      <c r="B7150" s="18" t="str">
        <f t="shared" si="223"/>
        <v/>
      </c>
    </row>
    <row r="7151" spans="1:2" x14ac:dyDescent="0.25">
      <c r="A7151" s="15" t="str">
        <f t="shared" si="222"/>
        <v/>
      </c>
      <c r="B7151" s="18" t="str">
        <f t="shared" si="223"/>
        <v/>
      </c>
    </row>
    <row r="7152" spans="1:2" x14ac:dyDescent="0.25">
      <c r="A7152" s="15" t="str">
        <f t="shared" si="222"/>
        <v/>
      </c>
      <c r="B7152" s="18" t="str">
        <f t="shared" si="223"/>
        <v/>
      </c>
    </row>
    <row r="7153" spans="1:2" x14ac:dyDescent="0.25">
      <c r="A7153" s="15" t="str">
        <f t="shared" si="222"/>
        <v/>
      </c>
      <c r="B7153" s="18" t="str">
        <f t="shared" si="223"/>
        <v/>
      </c>
    </row>
    <row r="7154" spans="1:2" x14ac:dyDescent="0.25">
      <c r="A7154" s="15" t="str">
        <f t="shared" si="222"/>
        <v/>
      </c>
      <c r="B7154" s="18" t="str">
        <f t="shared" si="223"/>
        <v/>
      </c>
    </row>
    <row r="7155" spans="1:2" x14ac:dyDescent="0.25">
      <c r="A7155" s="15" t="str">
        <f t="shared" si="222"/>
        <v/>
      </c>
      <c r="B7155" s="18" t="str">
        <f t="shared" si="223"/>
        <v/>
      </c>
    </row>
    <row r="7156" spans="1:2" x14ac:dyDescent="0.25">
      <c r="A7156" s="15" t="str">
        <f t="shared" si="222"/>
        <v/>
      </c>
      <c r="B7156" s="18" t="str">
        <f t="shared" si="223"/>
        <v/>
      </c>
    </row>
    <row r="7157" spans="1:2" x14ac:dyDescent="0.25">
      <c r="A7157" s="15" t="str">
        <f t="shared" si="222"/>
        <v/>
      </c>
      <c r="B7157" s="18" t="str">
        <f t="shared" si="223"/>
        <v/>
      </c>
    </row>
    <row r="7158" spans="1:2" x14ac:dyDescent="0.25">
      <c r="A7158" s="15" t="str">
        <f t="shared" si="222"/>
        <v/>
      </c>
      <c r="B7158" s="18" t="str">
        <f t="shared" si="223"/>
        <v/>
      </c>
    </row>
    <row r="7159" spans="1:2" x14ac:dyDescent="0.25">
      <c r="A7159" s="15" t="str">
        <f t="shared" si="222"/>
        <v/>
      </c>
      <c r="B7159" s="18" t="str">
        <f t="shared" si="223"/>
        <v/>
      </c>
    </row>
    <row r="7160" spans="1:2" x14ac:dyDescent="0.25">
      <c r="A7160" s="15" t="str">
        <f t="shared" si="222"/>
        <v/>
      </c>
      <c r="B7160" s="18" t="str">
        <f t="shared" si="223"/>
        <v/>
      </c>
    </row>
    <row r="7161" spans="1:2" x14ac:dyDescent="0.25">
      <c r="A7161" s="15" t="str">
        <f t="shared" si="222"/>
        <v/>
      </c>
      <c r="B7161" s="18" t="str">
        <f t="shared" si="223"/>
        <v/>
      </c>
    </row>
    <row r="7162" spans="1:2" x14ac:dyDescent="0.25">
      <c r="A7162" s="15" t="str">
        <f t="shared" si="222"/>
        <v/>
      </c>
      <c r="B7162" s="18" t="str">
        <f t="shared" si="223"/>
        <v/>
      </c>
    </row>
    <row r="7163" spans="1:2" x14ac:dyDescent="0.25">
      <c r="A7163" s="15" t="str">
        <f t="shared" si="222"/>
        <v/>
      </c>
      <c r="B7163" s="18" t="str">
        <f t="shared" si="223"/>
        <v/>
      </c>
    </row>
    <row r="7164" spans="1:2" x14ac:dyDescent="0.25">
      <c r="A7164" s="15" t="str">
        <f t="shared" si="222"/>
        <v/>
      </c>
      <c r="B7164" s="18" t="str">
        <f t="shared" si="223"/>
        <v/>
      </c>
    </row>
    <row r="7165" spans="1:2" x14ac:dyDescent="0.25">
      <c r="A7165" s="15" t="str">
        <f t="shared" si="222"/>
        <v/>
      </c>
      <c r="B7165" s="18" t="str">
        <f t="shared" si="223"/>
        <v/>
      </c>
    </row>
    <row r="7166" spans="1:2" x14ac:dyDescent="0.25">
      <c r="A7166" s="15" t="str">
        <f t="shared" si="222"/>
        <v/>
      </c>
      <c r="B7166" s="18" t="str">
        <f t="shared" si="223"/>
        <v/>
      </c>
    </row>
    <row r="7167" spans="1:2" x14ac:dyDescent="0.25">
      <c r="A7167" s="15" t="str">
        <f t="shared" si="222"/>
        <v/>
      </c>
      <c r="B7167" s="18" t="str">
        <f t="shared" si="223"/>
        <v/>
      </c>
    </row>
    <row r="7168" spans="1:2" x14ac:dyDescent="0.25">
      <c r="A7168" s="15" t="str">
        <f t="shared" si="222"/>
        <v/>
      </c>
      <c r="B7168" s="18" t="str">
        <f t="shared" si="223"/>
        <v/>
      </c>
    </row>
    <row r="7169" spans="1:2" x14ac:dyDescent="0.25">
      <c r="A7169" s="15" t="str">
        <f t="shared" si="222"/>
        <v/>
      </c>
      <c r="B7169" s="18" t="str">
        <f t="shared" si="223"/>
        <v/>
      </c>
    </row>
    <row r="7170" spans="1:2" x14ac:dyDescent="0.25">
      <c r="A7170" s="15" t="str">
        <f t="shared" ref="A7170:A7233" si="224">B7170&amp;C7170</f>
        <v/>
      </c>
      <c r="B7170" s="18" t="str">
        <f t="shared" si="223"/>
        <v/>
      </c>
    </row>
    <row r="7171" spans="1:2" x14ac:dyDescent="0.25">
      <c r="A7171" s="15" t="str">
        <f t="shared" si="224"/>
        <v/>
      </c>
      <c r="B7171" s="18" t="str">
        <f t="shared" ref="B7171:B7234" si="225">IF(C7171="","",B7170)</f>
        <v/>
      </c>
    </row>
    <row r="7172" spans="1:2" x14ac:dyDescent="0.25">
      <c r="A7172" s="15" t="str">
        <f t="shared" si="224"/>
        <v/>
      </c>
      <c r="B7172" s="18" t="str">
        <f t="shared" si="225"/>
        <v/>
      </c>
    </row>
    <row r="7173" spans="1:2" x14ac:dyDescent="0.25">
      <c r="A7173" s="15" t="str">
        <f t="shared" si="224"/>
        <v/>
      </c>
      <c r="B7173" s="18" t="str">
        <f t="shared" si="225"/>
        <v/>
      </c>
    </row>
    <row r="7174" spans="1:2" x14ac:dyDescent="0.25">
      <c r="A7174" s="15" t="str">
        <f t="shared" si="224"/>
        <v/>
      </c>
      <c r="B7174" s="18" t="str">
        <f t="shared" si="225"/>
        <v/>
      </c>
    </row>
    <row r="7175" spans="1:2" x14ac:dyDescent="0.25">
      <c r="A7175" s="15" t="str">
        <f t="shared" si="224"/>
        <v/>
      </c>
      <c r="B7175" s="18" t="str">
        <f t="shared" si="225"/>
        <v/>
      </c>
    </row>
    <row r="7176" spans="1:2" x14ac:dyDescent="0.25">
      <c r="A7176" s="15" t="str">
        <f t="shared" si="224"/>
        <v/>
      </c>
      <c r="B7176" s="18" t="str">
        <f t="shared" si="225"/>
        <v/>
      </c>
    </row>
    <row r="7177" spans="1:2" x14ac:dyDescent="0.25">
      <c r="A7177" s="15" t="str">
        <f t="shared" si="224"/>
        <v/>
      </c>
      <c r="B7177" s="18" t="str">
        <f t="shared" si="225"/>
        <v/>
      </c>
    </row>
    <row r="7178" spans="1:2" x14ac:dyDescent="0.25">
      <c r="A7178" s="15" t="str">
        <f t="shared" si="224"/>
        <v/>
      </c>
      <c r="B7178" s="18" t="str">
        <f t="shared" si="225"/>
        <v/>
      </c>
    </row>
    <row r="7179" spans="1:2" x14ac:dyDescent="0.25">
      <c r="A7179" s="15" t="str">
        <f t="shared" si="224"/>
        <v/>
      </c>
      <c r="B7179" s="18" t="str">
        <f t="shared" si="225"/>
        <v/>
      </c>
    </row>
    <row r="7180" spans="1:2" x14ac:dyDescent="0.25">
      <c r="A7180" s="15" t="str">
        <f t="shared" si="224"/>
        <v/>
      </c>
      <c r="B7180" s="18" t="str">
        <f t="shared" si="225"/>
        <v/>
      </c>
    </row>
    <row r="7181" spans="1:2" x14ac:dyDescent="0.25">
      <c r="A7181" s="15" t="str">
        <f t="shared" si="224"/>
        <v/>
      </c>
      <c r="B7181" s="18" t="str">
        <f t="shared" si="225"/>
        <v/>
      </c>
    </row>
    <row r="7182" spans="1:2" x14ac:dyDescent="0.25">
      <c r="A7182" s="15" t="str">
        <f t="shared" si="224"/>
        <v/>
      </c>
      <c r="B7182" s="18" t="str">
        <f t="shared" si="225"/>
        <v/>
      </c>
    </row>
    <row r="7183" spans="1:2" x14ac:dyDescent="0.25">
      <c r="A7183" s="15" t="str">
        <f t="shared" si="224"/>
        <v/>
      </c>
      <c r="B7183" s="18" t="str">
        <f t="shared" si="225"/>
        <v/>
      </c>
    </row>
    <row r="7184" spans="1:2" x14ac:dyDescent="0.25">
      <c r="A7184" s="15" t="str">
        <f t="shared" si="224"/>
        <v/>
      </c>
      <c r="B7184" s="18" t="str">
        <f t="shared" si="225"/>
        <v/>
      </c>
    </row>
    <row r="7185" spans="1:2" x14ac:dyDescent="0.25">
      <c r="A7185" s="15" t="str">
        <f t="shared" si="224"/>
        <v/>
      </c>
      <c r="B7185" s="18" t="str">
        <f t="shared" si="225"/>
        <v/>
      </c>
    </row>
    <row r="7186" spans="1:2" x14ac:dyDescent="0.25">
      <c r="A7186" s="15" t="str">
        <f t="shared" si="224"/>
        <v/>
      </c>
      <c r="B7186" s="18" t="str">
        <f t="shared" si="225"/>
        <v/>
      </c>
    </row>
    <row r="7187" spans="1:2" x14ac:dyDescent="0.25">
      <c r="A7187" s="15" t="str">
        <f t="shared" si="224"/>
        <v/>
      </c>
      <c r="B7187" s="18" t="str">
        <f t="shared" si="225"/>
        <v/>
      </c>
    </row>
    <row r="7188" spans="1:2" x14ac:dyDescent="0.25">
      <c r="A7188" s="15" t="str">
        <f t="shared" si="224"/>
        <v/>
      </c>
      <c r="B7188" s="18" t="str">
        <f t="shared" si="225"/>
        <v/>
      </c>
    </row>
    <row r="7189" spans="1:2" x14ac:dyDescent="0.25">
      <c r="A7189" s="15" t="str">
        <f t="shared" si="224"/>
        <v/>
      </c>
      <c r="B7189" s="18" t="str">
        <f t="shared" si="225"/>
        <v/>
      </c>
    </row>
    <row r="7190" spans="1:2" x14ac:dyDescent="0.25">
      <c r="A7190" s="15" t="str">
        <f t="shared" si="224"/>
        <v/>
      </c>
      <c r="B7190" s="18" t="str">
        <f t="shared" si="225"/>
        <v/>
      </c>
    </row>
    <row r="7191" spans="1:2" x14ac:dyDescent="0.25">
      <c r="A7191" s="15" t="str">
        <f t="shared" si="224"/>
        <v/>
      </c>
      <c r="B7191" s="18" t="str">
        <f t="shared" si="225"/>
        <v/>
      </c>
    </row>
    <row r="7192" spans="1:2" x14ac:dyDescent="0.25">
      <c r="A7192" s="15" t="str">
        <f t="shared" si="224"/>
        <v/>
      </c>
      <c r="B7192" s="18" t="str">
        <f t="shared" si="225"/>
        <v/>
      </c>
    </row>
    <row r="7193" spans="1:2" x14ac:dyDescent="0.25">
      <c r="A7193" s="15" t="str">
        <f t="shared" si="224"/>
        <v/>
      </c>
      <c r="B7193" s="18" t="str">
        <f t="shared" si="225"/>
        <v/>
      </c>
    </row>
    <row r="7194" spans="1:2" x14ac:dyDescent="0.25">
      <c r="A7194" s="15" t="str">
        <f t="shared" si="224"/>
        <v/>
      </c>
      <c r="B7194" s="18" t="str">
        <f t="shared" si="225"/>
        <v/>
      </c>
    </row>
    <row r="7195" spans="1:2" x14ac:dyDescent="0.25">
      <c r="A7195" s="15" t="str">
        <f t="shared" si="224"/>
        <v/>
      </c>
      <c r="B7195" s="18" t="str">
        <f t="shared" si="225"/>
        <v/>
      </c>
    </row>
    <row r="7196" spans="1:2" x14ac:dyDescent="0.25">
      <c r="A7196" s="15" t="str">
        <f t="shared" si="224"/>
        <v/>
      </c>
      <c r="B7196" s="18" t="str">
        <f t="shared" si="225"/>
        <v/>
      </c>
    </row>
    <row r="7197" spans="1:2" x14ac:dyDescent="0.25">
      <c r="A7197" s="15" t="str">
        <f t="shared" si="224"/>
        <v/>
      </c>
      <c r="B7197" s="18" t="str">
        <f t="shared" si="225"/>
        <v/>
      </c>
    </row>
    <row r="7198" spans="1:2" x14ac:dyDescent="0.25">
      <c r="A7198" s="15" t="str">
        <f t="shared" si="224"/>
        <v/>
      </c>
      <c r="B7198" s="18" t="str">
        <f t="shared" si="225"/>
        <v/>
      </c>
    </row>
    <row r="7199" spans="1:2" x14ac:dyDescent="0.25">
      <c r="A7199" s="15" t="str">
        <f t="shared" si="224"/>
        <v/>
      </c>
      <c r="B7199" s="18" t="str">
        <f t="shared" si="225"/>
        <v/>
      </c>
    </row>
    <row r="7200" spans="1:2" x14ac:dyDescent="0.25">
      <c r="A7200" s="15" t="str">
        <f t="shared" si="224"/>
        <v/>
      </c>
      <c r="B7200" s="18" t="str">
        <f t="shared" si="225"/>
        <v/>
      </c>
    </row>
    <row r="7201" spans="1:2" x14ac:dyDescent="0.25">
      <c r="A7201" s="15" t="str">
        <f t="shared" si="224"/>
        <v/>
      </c>
      <c r="B7201" s="18" t="str">
        <f t="shared" si="225"/>
        <v/>
      </c>
    </row>
    <row r="7202" spans="1:2" x14ac:dyDescent="0.25">
      <c r="A7202" s="15" t="str">
        <f t="shared" si="224"/>
        <v/>
      </c>
      <c r="B7202" s="18" t="str">
        <f t="shared" si="225"/>
        <v/>
      </c>
    </row>
    <row r="7203" spans="1:2" x14ac:dyDescent="0.25">
      <c r="A7203" s="15" t="str">
        <f t="shared" si="224"/>
        <v/>
      </c>
      <c r="B7203" s="18" t="str">
        <f t="shared" si="225"/>
        <v/>
      </c>
    </row>
    <row r="7204" spans="1:2" x14ac:dyDescent="0.25">
      <c r="A7204" s="15" t="str">
        <f t="shared" si="224"/>
        <v/>
      </c>
      <c r="B7204" s="18" t="str">
        <f t="shared" si="225"/>
        <v/>
      </c>
    </row>
    <row r="7205" spans="1:2" x14ac:dyDescent="0.25">
      <c r="A7205" s="15" t="str">
        <f t="shared" si="224"/>
        <v/>
      </c>
      <c r="B7205" s="18" t="str">
        <f t="shared" si="225"/>
        <v/>
      </c>
    </row>
    <row r="7206" spans="1:2" x14ac:dyDescent="0.25">
      <c r="A7206" s="15" t="str">
        <f t="shared" si="224"/>
        <v/>
      </c>
      <c r="B7206" s="18" t="str">
        <f t="shared" si="225"/>
        <v/>
      </c>
    </row>
    <row r="7207" spans="1:2" x14ac:dyDescent="0.25">
      <c r="A7207" s="15" t="str">
        <f t="shared" si="224"/>
        <v/>
      </c>
      <c r="B7207" s="18" t="str">
        <f t="shared" si="225"/>
        <v/>
      </c>
    </row>
    <row r="7208" spans="1:2" x14ac:dyDescent="0.25">
      <c r="A7208" s="15" t="str">
        <f t="shared" si="224"/>
        <v/>
      </c>
      <c r="B7208" s="18" t="str">
        <f t="shared" si="225"/>
        <v/>
      </c>
    </row>
    <row r="7209" spans="1:2" x14ac:dyDescent="0.25">
      <c r="A7209" s="15" t="str">
        <f t="shared" si="224"/>
        <v/>
      </c>
      <c r="B7209" s="18" t="str">
        <f t="shared" si="225"/>
        <v/>
      </c>
    </row>
    <row r="7210" spans="1:2" x14ac:dyDescent="0.25">
      <c r="A7210" s="15" t="str">
        <f t="shared" si="224"/>
        <v/>
      </c>
      <c r="B7210" s="18" t="str">
        <f t="shared" si="225"/>
        <v/>
      </c>
    </row>
    <row r="7211" spans="1:2" x14ac:dyDescent="0.25">
      <c r="A7211" s="15" t="str">
        <f t="shared" si="224"/>
        <v/>
      </c>
      <c r="B7211" s="18" t="str">
        <f t="shared" si="225"/>
        <v/>
      </c>
    </row>
    <row r="7212" spans="1:2" x14ac:dyDescent="0.25">
      <c r="A7212" s="15" t="str">
        <f t="shared" si="224"/>
        <v/>
      </c>
      <c r="B7212" s="18" t="str">
        <f t="shared" si="225"/>
        <v/>
      </c>
    </row>
    <row r="7213" spans="1:2" x14ac:dyDescent="0.25">
      <c r="A7213" s="15" t="str">
        <f t="shared" si="224"/>
        <v/>
      </c>
      <c r="B7213" s="18" t="str">
        <f t="shared" si="225"/>
        <v/>
      </c>
    </row>
    <row r="7214" spans="1:2" x14ac:dyDescent="0.25">
      <c r="A7214" s="15" t="str">
        <f t="shared" si="224"/>
        <v/>
      </c>
      <c r="B7214" s="18" t="str">
        <f t="shared" si="225"/>
        <v/>
      </c>
    </row>
    <row r="7215" spans="1:2" x14ac:dyDescent="0.25">
      <c r="A7215" s="15" t="str">
        <f t="shared" si="224"/>
        <v/>
      </c>
      <c r="B7215" s="18" t="str">
        <f t="shared" si="225"/>
        <v/>
      </c>
    </row>
    <row r="7216" spans="1:2" x14ac:dyDescent="0.25">
      <c r="A7216" s="15" t="str">
        <f t="shared" si="224"/>
        <v/>
      </c>
      <c r="B7216" s="18" t="str">
        <f t="shared" si="225"/>
        <v/>
      </c>
    </row>
    <row r="7217" spans="1:2" x14ac:dyDescent="0.25">
      <c r="A7217" s="15" t="str">
        <f t="shared" si="224"/>
        <v/>
      </c>
      <c r="B7217" s="18" t="str">
        <f t="shared" si="225"/>
        <v/>
      </c>
    </row>
    <row r="7218" spans="1:2" x14ac:dyDescent="0.25">
      <c r="A7218" s="15" t="str">
        <f t="shared" si="224"/>
        <v/>
      </c>
      <c r="B7218" s="18" t="str">
        <f t="shared" si="225"/>
        <v/>
      </c>
    </row>
    <row r="7219" spans="1:2" x14ac:dyDescent="0.25">
      <c r="A7219" s="15" t="str">
        <f t="shared" si="224"/>
        <v/>
      </c>
      <c r="B7219" s="18" t="str">
        <f t="shared" si="225"/>
        <v/>
      </c>
    </row>
    <row r="7220" spans="1:2" x14ac:dyDescent="0.25">
      <c r="A7220" s="15" t="str">
        <f t="shared" si="224"/>
        <v/>
      </c>
      <c r="B7220" s="18" t="str">
        <f t="shared" si="225"/>
        <v/>
      </c>
    </row>
    <row r="7221" spans="1:2" x14ac:dyDescent="0.25">
      <c r="A7221" s="15" t="str">
        <f t="shared" si="224"/>
        <v/>
      </c>
      <c r="B7221" s="18" t="str">
        <f t="shared" si="225"/>
        <v/>
      </c>
    </row>
    <row r="7222" spans="1:2" x14ac:dyDescent="0.25">
      <c r="A7222" s="15" t="str">
        <f t="shared" si="224"/>
        <v/>
      </c>
      <c r="B7222" s="18" t="str">
        <f t="shared" si="225"/>
        <v/>
      </c>
    </row>
    <row r="7223" spans="1:2" x14ac:dyDescent="0.25">
      <c r="A7223" s="15" t="str">
        <f t="shared" si="224"/>
        <v/>
      </c>
      <c r="B7223" s="18" t="str">
        <f t="shared" si="225"/>
        <v/>
      </c>
    </row>
    <row r="7224" spans="1:2" x14ac:dyDescent="0.25">
      <c r="A7224" s="15" t="str">
        <f t="shared" si="224"/>
        <v/>
      </c>
      <c r="B7224" s="18" t="str">
        <f t="shared" si="225"/>
        <v/>
      </c>
    </row>
    <row r="7225" spans="1:2" x14ac:dyDescent="0.25">
      <c r="A7225" s="15" t="str">
        <f t="shared" si="224"/>
        <v/>
      </c>
      <c r="B7225" s="18" t="str">
        <f t="shared" si="225"/>
        <v/>
      </c>
    </row>
    <row r="7226" spans="1:2" x14ac:dyDescent="0.25">
      <c r="A7226" s="15" t="str">
        <f t="shared" si="224"/>
        <v/>
      </c>
      <c r="B7226" s="18" t="str">
        <f t="shared" si="225"/>
        <v/>
      </c>
    </row>
    <row r="7227" spans="1:2" x14ac:dyDescent="0.25">
      <c r="A7227" s="15" t="str">
        <f t="shared" si="224"/>
        <v/>
      </c>
      <c r="B7227" s="18" t="str">
        <f t="shared" si="225"/>
        <v/>
      </c>
    </row>
    <row r="7228" spans="1:2" x14ac:dyDescent="0.25">
      <c r="A7228" s="15" t="str">
        <f t="shared" si="224"/>
        <v/>
      </c>
      <c r="B7228" s="18" t="str">
        <f t="shared" si="225"/>
        <v/>
      </c>
    </row>
    <row r="7229" spans="1:2" x14ac:dyDescent="0.25">
      <c r="A7229" s="15" t="str">
        <f t="shared" si="224"/>
        <v/>
      </c>
      <c r="B7229" s="18" t="str">
        <f t="shared" si="225"/>
        <v/>
      </c>
    </row>
    <row r="7230" spans="1:2" x14ac:dyDescent="0.25">
      <c r="A7230" s="15" t="str">
        <f t="shared" si="224"/>
        <v/>
      </c>
      <c r="B7230" s="18" t="str">
        <f t="shared" si="225"/>
        <v/>
      </c>
    </row>
    <row r="7231" spans="1:2" x14ac:dyDescent="0.25">
      <c r="A7231" s="15" t="str">
        <f t="shared" si="224"/>
        <v/>
      </c>
      <c r="B7231" s="18" t="str">
        <f t="shared" si="225"/>
        <v/>
      </c>
    </row>
    <row r="7232" spans="1:2" x14ac:dyDescent="0.25">
      <c r="A7232" s="15" t="str">
        <f t="shared" si="224"/>
        <v/>
      </c>
      <c r="B7232" s="18" t="str">
        <f t="shared" si="225"/>
        <v/>
      </c>
    </row>
    <row r="7233" spans="1:2" x14ac:dyDescent="0.25">
      <c r="A7233" s="15" t="str">
        <f t="shared" si="224"/>
        <v/>
      </c>
      <c r="B7233" s="18" t="str">
        <f t="shared" si="225"/>
        <v/>
      </c>
    </row>
    <row r="7234" spans="1:2" x14ac:dyDescent="0.25">
      <c r="A7234" s="15" t="str">
        <f t="shared" ref="A7234:A7297" si="226">B7234&amp;C7234</f>
        <v/>
      </c>
      <c r="B7234" s="18" t="str">
        <f t="shared" si="225"/>
        <v/>
      </c>
    </row>
    <row r="7235" spans="1:2" x14ac:dyDescent="0.25">
      <c r="A7235" s="15" t="str">
        <f t="shared" si="226"/>
        <v/>
      </c>
      <c r="B7235" s="18" t="str">
        <f t="shared" ref="B7235:B7298" si="227">IF(C7235="","",B7234)</f>
        <v/>
      </c>
    </row>
    <row r="7236" spans="1:2" x14ac:dyDescent="0.25">
      <c r="A7236" s="15" t="str">
        <f t="shared" si="226"/>
        <v/>
      </c>
      <c r="B7236" s="18" t="str">
        <f t="shared" si="227"/>
        <v/>
      </c>
    </row>
    <row r="7237" spans="1:2" x14ac:dyDescent="0.25">
      <c r="A7237" s="15" t="str">
        <f t="shared" si="226"/>
        <v/>
      </c>
      <c r="B7237" s="18" t="str">
        <f t="shared" si="227"/>
        <v/>
      </c>
    </row>
    <row r="7238" spans="1:2" x14ac:dyDescent="0.25">
      <c r="A7238" s="15" t="str">
        <f t="shared" si="226"/>
        <v/>
      </c>
      <c r="B7238" s="18" t="str">
        <f t="shared" si="227"/>
        <v/>
      </c>
    </row>
    <row r="7239" spans="1:2" x14ac:dyDescent="0.25">
      <c r="A7239" s="15" t="str">
        <f t="shared" si="226"/>
        <v/>
      </c>
      <c r="B7239" s="18" t="str">
        <f t="shared" si="227"/>
        <v/>
      </c>
    </row>
    <row r="7240" spans="1:2" x14ac:dyDescent="0.25">
      <c r="A7240" s="15" t="str">
        <f t="shared" si="226"/>
        <v/>
      </c>
      <c r="B7240" s="18" t="str">
        <f t="shared" si="227"/>
        <v/>
      </c>
    </row>
    <row r="7241" spans="1:2" x14ac:dyDescent="0.25">
      <c r="A7241" s="15" t="str">
        <f t="shared" si="226"/>
        <v/>
      </c>
      <c r="B7241" s="18" t="str">
        <f t="shared" si="227"/>
        <v/>
      </c>
    </row>
    <row r="7242" spans="1:2" x14ac:dyDescent="0.25">
      <c r="A7242" s="15" t="str">
        <f t="shared" si="226"/>
        <v/>
      </c>
      <c r="B7242" s="18" t="str">
        <f t="shared" si="227"/>
        <v/>
      </c>
    </row>
    <row r="7243" spans="1:2" x14ac:dyDescent="0.25">
      <c r="A7243" s="15" t="str">
        <f t="shared" si="226"/>
        <v/>
      </c>
      <c r="B7243" s="18" t="str">
        <f t="shared" si="227"/>
        <v/>
      </c>
    </row>
    <row r="7244" spans="1:2" x14ac:dyDescent="0.25">
      <c r="A7244" s="15" t="str">
        <f t="shared" si="226"/>
        <v/>
      </c>
      <c r="B7244" s="18" t="str">
        <f t="shared" si="227"/>
        <v/>
      </c>
    </row>
    <row r="7245" spans="1:2" x14ac:dyDescent="0.25">
      <c r="A7245" s="15" t="str">
        <f t="shared" si="226"/>
        <v/>
      </c>
      <c r="B7245" s="18" t="str">
        <f t="shared" si="227"/>
        <v/>
      </c>
    </row>
    <row r="7246" spans="1:2" x14ac:dyDescent="0.25">
      <c r="A7246" s="15" t="str">
        <f t="shared" si="226"/>
        <v/>
      </c>
      <c r="B7246" s="18" t="str">
        <f t="shared" si="227"/>
        <v/>
      </c>
    </row>
    <row r="7247" spans="1:2" x14ac:dyDescent="0.25">
      <c r="A7247" s="15" t="str">
        <f t="shared" si="226"/>
        <v/>
      </c>
      <c r="B7247" s="18" t="str">
        <f t="shared" si="227"/>
        <v/>
      </c>
    </row>
    <row r="7248" spans="1:2" x14ac:dyDescent="0.25">
      <c r="A7248" s="15" t="str">
        <f t="shared" si="226"/>
        <v/>
      </c>
      <c r="B7248" s="18" t="str">
        <f t="shared" si="227"/>
        <v/>
      </c>
    </row>
    <row r="7249" spans="1:2" x14ac:dyDescent="0.25">
      <c r="A7249" s="15" t="str">
        <f t="shared" si="226"/>
        <v/>
      </c>
      <c r="B7249" s="18" t="str">
        <f t="shared" si="227"/>
        <v/>
      </c>
    </row>
    <row r="7250" spans="1:2" x14ac:dyDescent="0.25">
      <c r="A7250" s="15" t="str">
        <f t="shared" si="226"/>
        <v/>
      </c>
      <c r="B7250" s="18" t="str">
        <f t="shared" si="227"/>
        <v/>
      </c>
    </row>
    <row r="7251" spans="1:2" x14ac:dyDescent="0.25">
      <c r="A7251" s="15" t="str">
        <f t="shared" si="226"/>
        <v/>
      </c>
      <c r="B7251" s="18" t="str">
        <f t="shared" si="227"/>
        <v/>
      </c>
    </row>
    <row r="7252" spans="1:2" x14ac:dyDescent="0.25">
      <c r="A7252" s="15" t="str">
        <f t="shared" si="226"/>
        <v/>
      </c>
      <c r="B7252" s="18" t="str">
        <f t="shared" si="227"/>
        <v/>
      </c>
    </row>
    <row r="7253" spans="1:2" x14ac:dyDescent="0.25">
      <c r="A7253" s="15" t="str">
        <f t="shared" si="226"/>
        <v/>
      </c>
      <c r="B7253" s="18" t="str">
        <f t="shared" si="227"/>
        <v/>
      </c>
    </row>
    <row r="7254" spans="1:2" x14ac:dyDescent="0.25">
      <c r="A7254" s="15" t="str">
        <f t="shared" si="226"/>
        <v/>
      </c>
      <c r="B7254" s="18" t="str">
        <f t="shared" si="227"/>
        <v/>
      </c>
    </row>
    <row r="7255" spans="1:2" x14ac:dyDescent="0.25">
      <c r="A7255" s="15" t="str">
        <f t="shared" si="226"/>
        <v/>
      </c>
      <c r="B7255" s="18" t="str">
        <f t="shared" si="227"/>
        <v/>
      </c>
    </row>
    <row r="7256" spans="1:2" x14ac:dyDescent="0.25">
      <c r="A7256" s="15" t="str">
        <f t="shared" si="226"/>
        <v/>
      </c>
      <c r="B7256" s="18" t="str">
        <f t="shared" si="227"/>
        <v/>
      </c>
    </row>
    <row r="7257" spans="1:2" x14ac:dyDescent="0.25">
      <c r="A7257" s="15" t="str">
        <f t="shared" si="226"/>
        <v/>
      </c>
      <c r="B7257" s="18" t="str">
        <f t="shared" si="227"/>
        <v/>
      </c>
    </row>
    <row r="7258" spans="1:2" x14ac:dyDescent="0.25">
      <c r="A7258" s="15" t="str">
        <f t="shared" si="226"/>
        <v/>
      </c>
      <c r="B7258" s="18" t="str">
        <f t="shared" si="227"/>
        <v/>
      </c>
    </row>
    <row r="7259" spans="1:2" x14ac:dyDescent="0.25">
      <c r="A7259" s="15" t="str">
        <f t="shared" si="226"/>
        <v/>
      </c>
      <c r="B7259" s="18" t="str">
        <f t="shared" si="227"/>
        <v/>
      </c>
    </row>
    <row r="7260" spans="1:2" x14ac:dyDescent="0.25">
      <c r="A7260" s="15" t="str">
        <f t="shared" si="226"/>
        <v/>
      </c>
      <c r="B7260" s="18" t="str">
        <f t="shared" si="227"/>
        <v/>
      </c>
    </row>
    <row r="7261" spans="1:2" x14ac:dyDescent="0.25">
      <c r="A7261" s="15" t="str">
        <f t="shared" si="226"/>
        <v/>
      </c>
      <c r="B7261" s="18" t="str">
        <f t="shared" si="227"/>
        <v/>
      </c>
    </row>
    <row r="7262" spans="1:2" x14ac:dyDescent="0.25">
      <c r="A7262" s="15" t="str">
        <f t="shared" si="226"/>
        <v/>
      </c>
      <c r="B7262" s="18" t="str">
        <f t="shared" si="227"/>
        <v/>
      </c>
    </row>
    <row r="7263" spans="1:2" x14ac:dyDescent="0.25">
      <c r="A7263" s="15" t="str">
        <f t="shared" si="226"/>
        <v/>
      </c>
      <c r="B7263" s="18" t="str">
        <f t="shared" si="227"/>
        <v/>
      </c>
    </row>
    <row r="7264" spans="1:2" x14ac:dyDescent="0.25">
      <c r="A7264" s="15" t="str">
        <f t="shared" si="226"/>
        <v/>
      </c>
      <c r="B7264" s="18" t="str">
        <f t="shared" si="227"/>
        <v/>
      </c>
    </row>
    <row r="7265" spans="1:2" x14ac:dyDescent="0.25">
      <c r="A7265" s="15" t="str">
        <f t="shared" si="226"/>
        <v/>
      </c>
      <c r="B7265" s="18" t="str">
        <f t="shared" si="227"/>
        <v/>
      </c>
    </row>
    <row r="7266" spans="1:2" x14ac:dyDescent="0.25">
      <c r="A7266" s="15" t="str">
        <f t="shared" si="226"/>
        <v/>
      </c>
      <c r="B7266" s="18" t="str">
        <f t="shared" si="227"/>
        <v/>
      </c>
    </row>
    <row r="7267" spans="1:2" x14ac:dyDescent="0.25">
      <c r="A7267" s="15" t="str">
        <f t="shared" si="226"/>
        <v/>
      </c>
      <c r="B7267" s="18" t="str">
        <f t="shared" si="227"/>
        <v/>
      </c>
    </row>
    <row r="7268" spans="1:2" x14ac:dyDescent="0.25">
      <c r="A7268" s="15" t="str">
        <f t="shared" si="226"/>
        <v/>
      </c>
      <c r="B7268" s="18" t="str">
        <f t="shared" si="227"/>
        <v/>
      </c>
    </row>
    <row r="7269" spans="1:2" x14ac:dyDescent="0.25">
      <c r="A7269" s="15" t="str">
        <f t="shared" si="226"/>
        <v/>
      </c>
      <c r="B7269" s="18" t="str">
        <f t="shared" si="227"/>
        <v/>
      </c>
    </row>
    <row r="7270" spans="1:2" x14ac:dyDescent="0.25">
      <c r="A7270" s="15" t="str">
        <f t="shared" si="226"/>
        <v/>
      </c>
      <c r="B7270" s="18" t="str">
        <f t="shared" si="227"/>
        <v/>
      </c>
    </row>
    <row r="7271" spans="1:2" x14ac:dyDescent="0.25">
      <c r="A7271" s="15" t="str">
        <f t="shared" si="226"/>
        <v/>
      </c>
      <c r="B7271" s="18" t="str">
        <f t="shared" si="227"/>
        <v/>
      </c>
    </row>
    <row r="7272" spans="1:2" x14ac:dyDescent="0.25">
      <c r="A7272" s="15" t="str">
        <f t="shared" si="226"/>
        <v/>
      </c>
      <c r="B7272" s="18" t="str">
        <f t="shared" si="227"/>
        <v/>
      </c>
    </row>
    <row r="7273" spans="1:2" x14ac:dyDescent="0.25">
      <c r="A7273" s="15" t="str">
        <f t="shared" si="226"/>
        <v/>
      </c>
      <c r="B7273" s="18" t="str">
        <f t="shared" si="227"/>
        <v/>
      </c>
    </row>
    <row r="7274" spans="1:2" x14ac:dyDescent="0.25">
      <c r="A7274" s="15" t="str">
        <f t="shared" si="226"/>
        <v/>
      </c>
      <c r="B7274" s="18" t="str">
        <f t="shared" si="227"/>
        <v/>
      </c>
    </row>
    <row r="7275" spans="1:2" x14ac:dyDescent="0.25">
      <c r="A7275" s="15" t="str">
        <f t="shared" si="226"/>
        <v/>
      </c>
      <c r="B7275" s="18" t="str">
        <f t="shared" si="227"/>
        <v/>
      </c>
    </row>
    <row r="7276" spans="1:2" x14ac:dyDescent="0.25">
      <c r="A7276" s="15" t="str">
        <f t="shared" si="226"/>
        <v/>
      </c>
      <c r="B7276" s="18" t="str">
        <f t="shared" si="227"/>
        <v/>
      </c>
    </row>
    <row r="7277" spans="1:2" x14ac:dyDescent="0.25">
      <c r="A7277" s="15" t="str">
        <f t="shared" si="226"/>
        <v/>
      </c>
      <c r="B7277" s="18" t="str">
        <f t="shared" si="227"/>
        <v/>
      </c>
    </row>
    <row r="7278" spans="1:2" x14ac:dyDescent="0.25">
      <c r="A7278" s="15" t="str">
        <f t="shared" si="226"/>
        <v/>
      </c>
      <c r="B7278" s="18" t="str">
        <f t="shared" si="227"/>
        <v/>
      </c>
    </row>
    <row r="7279" spans="1:2" x14ac:dyDescent="0.25">
      <c r="A7279" s="15" t="str">
        <f t="shared" si="226"/>
        <v/>
      </c>
      <c r="B7279" s="18" t="str">
        <f t="shared" si="227"/>
        <v/>
      </c>
    </row>
    <row r="7280" spans="1:2" x14ac:dyDescent="0.25">
      <c r="A7280" s="15" t="str">
        <f t="shared" si="226"/>
        <v/>
      </c>
      <c r="B7280" s="18" t="str">
        <f t="shared" si="227"/>
        <v/>
      </c>
    </row>
    <row r="7281" spans="1:2" x14ac:dyDescent="0.25">
      <c r="A7281" s="15" t="str">
        <f t="shared" si="226"/>
        <v/>
      </c>
      <c r="B7281" s="18" t="str">
        <f t="shared" si="227"/>
        <v/>
      </c>
    </row>
    <row r="7282" spans="1:2" x14ac:dyDescent="0.25">
      <c r="A7282" s="15" t="str">
        <f t="shared" si="226"/>
        <v/>
      </c>
      <c r="B7282" s="18" t="str">
        <f t="shared" si="227"/>
        <v/>
      </c>
    </row>
    <row r="7283" spans="1:2" x14ac:dyDescent="0.25">
      <c r="A7283" s="15" t="str">
        <f t="shared" si="226"/>
        <v/>
      </c>
      <c r="B7283" s="18" t="str">
        <f t="shared" si="227"/>
        <v/>
      </c>
    </row>
    <row r="7284" spans="1:2" x14ac:dyDescent="0.25">
      <c r="A7284" s="15" t="str">
        <f t="shared" si="226"/>
        <v/>
      </c>
      <c r="B7284" s="18" t="str">
        <f t="shared" si="227"/>
        <v/>
      </c>
    </row>
    <row r="7285" spans="1:2" x14ac:dyDescent="0.25">
      <c r="A7285" s="15" t="str">
        <f t="shared" si="226"/>
        <v/>
      </c>
      <c r="B7285" s="18" t="str">
        <f t="shared" si="227"/>
        <v/>
      </c>
    </row>
    <row r="7286" spans="1:2" x14ac:dyDescent="0.25">
      <c r="A7286" s="15" t="str">
        <f t="shared" si="226"/>
        <v/>
      </c>
      <c r="B7286" s="18" t="str">
        <f t="shared" si="227"/>
        <v/>
      </c>
    </row>
    <row r="7287" spans="1:2" x14ac:dyDescent="0.25">
      <c r="A7287" s="15" t="str">
        <f t="shared" si="226"/>
        <v/>
      </c>
      <c r="B7287" s="18" t="str">
        <f t="shared" si="227"/>
        <v/>
      </c>
    </row>
    <row r="7288" spans="1:2" x14ac:dyDescent="0.25">
      <c r="A7288" s="15" t="str">
        <f t="shared" si="226"/>
        <v/>
      </c>
      <c r="B7288" s="18" t="str">
        <f t="shared" si="227"/>
        <v/>
      </c>
    </row>
    <row r="7289" spans="1:2" x14ac:dyDescent="0.25">
      <c r="A7289" s="15" t="str">
        <f t="shared" si="226"/>
        <v/>
      </c>
      <c r="B7289" s="18" t="str">
        <f t="shared" si="227"/>
        <v/>
      </c>
    </row>
    <row r="7290" spans="1:2" x14ac:dyDescent="0.25">
      <c r="A7290" s="15" t="str">
        <f t="shared" si="226"/>
        <v/>
      </c>
      <c r="B7290" s="18" t="str">
        <f t="shared" si="227"/>
        <v/>
      </c>
    </row>
    <row r="7291" spans="1:2" x14ac:dyDescent="0.25">
      <c r="A7291" s="15" t="str">
        <f t="shared" si="226"/>
        <v/>
      </c>
      <c r="B7291" s="18" t="str">
        <f t="shared" si="227"/>
        <v/>
      </c>
    </row>
    <row r="7292" spans="1:2" x14ac:dyDescent="0.25">
      <c r="A7292" s="15" t="str">
        <f t="shared" si="226"/>
        <v/>
      </c>
      <c r="B7292" s="18" t="str">
        <f t="shared" si="227"/>
        <v/>
      </c>
    </row>
    <row r="7293" spans="1:2" x14ac:dyDescent="0.25">
      <c r="A7293" s="15" t="str">
        <f t="shared" si="226"/>
        <v/>
      </c>
      <c r="B7293" s="18" t="str">
        <f t="shared" si="227"/>
        <v/>
      </c>
    </row>
    <row r="7294" spans="1:2" x14ac:dyDescent="0.25">
      <c r="A7294" s="15" t="str">
        <f t="shared" si="226"/>
        <v/>
      </c>
      <c r="B7294" s="18" t="str">
        <f t="shared" si="227"/>
        <v/>
      </c>
    </row>
    <row r="7295" spans="1:2" x14ac:dyDescent="0.25">
      <c r="A7295" s="15" t="str">
        <f t="shared" si="226"/>
        <v/>
      </c>
      <c r="B7295" s="18" t="str">
        <f t="shared" si="227"/>
        <v/>
      </c>
    </row>
    <row r="7296" spans="1:2" x14ac:dyDescent="0.25">
      <c r="A7296" s="15" t="str">
        <f t="shared" si="226"/>
        <v/>
      </c>
      <c r="B7296" s="18" t="str">
        <f t="shared" si="227"/>
        <v/>
      </c>
    </row>
    <row r="7297" spans="1:2" x14ac:dyDescent="0.25">
      <c r="A7297" s="15" t="str">
        <f t="shared" si="226"/>
        <v/>
      </c>
      <c r="B7297" s="18" t="str">
        <f t="shared" si="227"/>
        <v/>
      </c>
    </row>
    <row r="7298" spans="1:2" x14ac:dyDescent="0.25">
      <c r="A7298" s="15" t="str">
        <f t="shared" ref="A7298:A7361" si="228">B7298&amp;C7298</f>
        <v/>
      </c>
      <c r="B7298" s="18" t="str">
        <f t="shared" si="227"/>
        <v/>
      </c>
    </row>
    <row r="7299" spans="1:2" x14ac:dyDescent="0.25">
      <c r="A7299" s="15" t="str">
        <f t="shared" si="228"/>
        <v/>
      </c>
      <c r="B7299" s="18" t="str">
        <f t="shared" ref="B7299:B7362" si="229">IF(C7299="","",B7298)</f>
        <v/>
      </c>
    </row>
    <row r="7300" spans="1:2" x14ac:dyDescent="0.25">
      <c r="A7300" s="15" t="str">
        <f t="shared" si="228"/>
        <v/>
      </c>
      <c r="B7300" s="18" t="str">
        <f t="shared" si="229"/>
        <v/>
      </c>
    </row>
    <row r="7301" spans="1:2" x14ac:dyDescent="0.25">
      <c r="A7301" s="15" t="str">
        <f t="shared" si="228"/>
        <v/>
      </c>
      <c r="B7301" s="18" t="str">
        <f t="shared" si="229"/>
        <v/>
      </c>
    </row>
    <row r="7302" spans="1:2" x14ac:dyDescent="0.25">
      <c r="A7302" s="15" t="str">
        <f t="shared" si="228"/>
        <v/>
      </c>
      <c r="B7302" s="18" t="str">
        <f t="shared" si="229"/>
        <v/>
      </c>
    </row>
    <row r="7303" spans="1:2" x14ac:dyDescent="0.25">
      <c r="A7303" s="15" t="str">
        <f t="shared" si="228"/>
        <v/>
      </c>
      <c r="B7303" s="18" t="str">
        <f t="shared" si="229"/>
        <v/>
      </c>
    </row>
    <row r="7304" spans="1:2" x14ac:dyDescent="0.25">
      <c r="A7304" s="15" t="str">
        <f t="shared" si="228"/>
        <v/>
      </c>
      <c r="B7304" s="18" t="str">
        <f t="shared" si="229"/>
        <v/>
      </c>
    </row>
    <row r="7305" spans="1:2" x14ac:dyDescent="0.25">
      <c r="A7305" s="15" t="str">
        <f t="shared" si="228"/>
        <v/>
      </c>
      <c r="B7305" s="18" t="str">
        <f t="shared" si="229"/>
        <v/>
      </c>
    </row>
    <row r="7306" spans="1:2" x14ac:dyDescent="0.25">
      <c r="A7306" s="15" t="str">
        <f t="shared" si="228"/>
        <v/>
      </c>
      <c r="B7306" s="18" t="str">
        <f t="shared" si="229"/>
        <v/>
      </c>
    </row>
    <row r="7307" spans="1:2" x14ac:dyDescent="0.25">
      <c r="A7307" s="15" t="str">
        <f t="shared" si="228"/>
        <v/>
      </c>
      <c r="B7307" s="18" t="str">
        <f t="shared" si="229"/>
        <v/>
      </c>
    </row>
    <row r="7308" spans="1:2" x14ac:dyDescent="0.25">
      <c r="A7308" s="15" t="str">
        <f t="shared" si="228"/>
        <v/>
      </c>
      <c r="B7308" s="18" t="str">
        <f t="shared" si="229"/>
        <v/>
      </c>
    </row>
    <row r="7309" spans="1:2" x14ac:dyDescent="0.25">
      <c r="A7309" s="15" t="str">
        <f t="shared" si="228"/>
        <v/>
      </c>
      <c r="B7309" s="18" t="str">
        <f t="shared" si="229"/>
        <v/>
      </c>
    </row>
    <row r="7310" spans="1:2" x14ac:dyDescent="0.25">
      <c r="A7310" s="15" t="str">
        <f t="shared" si="228"/>
        <v/>
      </c>
      <c r="B7310" s="18" t="str">
        <f t="shared" si="229"/>
        <v/>
      </c>
    </row>
    <row r="7311" spans="1:2" x14ac:dyDescent="0.25">
      <c r="A7311" s="15" t="str">
        <f t="shared" si="228"/>
        <v/>
      </c>
      <c r="B7311" s="18" t="str">
        <f t="shared" si="229"/>
        <v/>
      </c>
    </row>
    <row r="7312" spans="1:2" x14ac:dyDescent="0.25">
      <c r="A7312" s="15" t="str">
        <f t="shared" si="228"/>
        <v/>
      </c>
      <c r="B7312" s="18" t="str">
        <f t="shared" si="229"/>
        <v/>
      </c>
    </row>
    <row r="7313" spans="1:2" x14ac:dyDescent="0.25">
      <c r="A7313" s="15" t="str">
        <f t="shared" si="228"/>
        <v/>
      </c>
      <c r="B7313" s="18" t="str">
        <f t="shared" si="229"/>
        <v/>
      </c>
    </row>
    <row r="7314" spans="1:2" x14ac:dyDescent="0.25">
      <c r="A7314" s="15" t="str">
        <f t="shared" si="228"/>
        <v/>
      </c>
      <c r="B7314" s="18" t="str">
        <f t="shared" si="229"/>
        <v/>
      </c>
    </row>
    <row r="7315" spans="1:2" x14ac:dyDescent="0.25">
      <c r="A7315" s="15" t="str">
        <f t="shared" si="228"/>
        <v/>
      </c>
      <c r="B7315" s="18" t="str">
        <f t="shared" si="229"/>
        <v/>
      </c>
    </row>
    <row r="7316" spans="1:2" x14ac:dyDescent="0.25">
      <c r="A7316" s="15" t="str">
        <f t="shared" si="228"/>
        <v/>
      </c>
      <c r="B7316" s="18" t="str">
        <f t="shared" si="229"/>
        <v/>
      </c>
    </row>
    <row r="7317" spans="1:2" x14ac:dyDescent="0.25">
      <c r="A7317" s="15" t="str">
        <f t="shared" si="228"/>
        <v/>
      </c>
      <c r="B7317" s="18" t="str">
        <f t="shared" si="229"/>
        <v/>
      </c>
    </row>
    <row r="7318" spans="1:2" x14ac:dyDescent="0.25">
      <c r="A7318" s="15" t="str">
        <f t="shared" si="228"/>
        <v/>
      </c>
      <c r="B7318" s="18" t="str">
        <f t="shared" si="229"/>
        <v/>
      </c>
    </row>
    <row r="7319" spans="1:2" x14ac:dyDescent="0.25">
      <c r="A7319" s="15" t="str">
        <f t="shared" si="228"/>
        <v/>
      </c>
      <c r="B7319" s="18" t="str">
        <f t="shared" si="229"/>
        <v/>
      </c>
    </row>
    <row r="7320" spans="1:2" x14ac:dyDescent="0.25">
      <c r="A7320" s="15" t="str">
        <f t="shared" si="228"/>
        <v/>
      </c>
      <c r="B7320" s="18" t="str">
        <f t="shared" si="229"/>
        <v/>
      </c>
    </row>
    <row r="7321" spans="1:2" x14ac:dyDescent="0.25">
      <c r="A7321" s="15" t="str">
        <f t="shared" si="228"/>
        <v/>
      </c>
      <c r="B7321" s="18" t="str">
        <f t="shared" si="229"/>
        <v/>
      </c>
    </row>
    <row r="7322" spans="1:2" x14ac:dyDescent="0.25">
      <c r="A7322" s="15" t="str">
        <f t="shared" si="228"/>
        <v/>
      </c>
      <c r="B7322" s="18" t="str">
        <f t="shared" si="229"/>
        <v/>
      </c>
    </row>
    <row r="7323" spans="1:2" x14ac:dyDescent="0.25">
      <c r="A7323" s="15" t="str">
        <f t="shared" si="228"/>
        <v/>
      </c>
      <c r="B7323" s="18" t="str">
        <f t="shared" si="229"/>
        <v/>
      </c>
    </row>
    <row r="7324" spans="1:2" x14ac:dyDescent="0.25">
      <c r="A7324" s="15" t="str">
        <f t="shared" si="228"/>
        <v/>
      </c>
      <c r="B7324" s="18" t="str">
        <f t="shared" si="229"/>
        <v/>
      </c>
    </row>
    <row r="7325" spans="1:2" x14ac:dyDescent="0.25">
      <c r="A7325" s="15" t="str">
        <f t="shared" si="228"/>
        <v/>
      </c>
      <c r="B7325" s="18" t="str">
        <f t="shared" si="229"/>
        <v/>
      </c>
    </row>
    <row r="7326" spans="1:2" x14ac:dyDescent="0.25">
      <c r="A7326" s="15" t="str">
        <f t="shared" si="228"/>
        <v/>
      </c>
      <c r="B7326" s="18" t="str">
        <f t="shared" si="229"/>
        <v/>
      </c>
    </row>
    <row r="7327" spans="1:2" x14ac:dyDescent="0.25">
      <c r="A7327" s="15" t="str">
        <f t="shared" si="228"/>
        <v/>
      </c>
      <c r="B7327" s="18" t="str">
        <f t="shared" si="229"/>
        <v/>
      </c>
    </row>
    <row r="7328" spans="1:2" x14ac:dyDescent="0.25">
      <c r="A7328" s="15" t="str">
        <f t="shared" si="228"/>
        <v/>
      </c>
      <c r="B7328" s="18" t="str">
        <f t="shared" si="229"/>
        <v/>
      </c>
    </row>
    <row r="7329" spans="1:2" x14ac:dyDescent="0.25">
      <c r="A7329" s="15" t="str">
        <f t="shared" si="228"/>
        <v/>
      </c>
      <c r="B7329" s="18" t="str">
        <f t="shared" si="229"/>
        <v/>
      </c>
    </row>
    <row r="7330" spans="1:2" x14ac:dyDescent="0.25">
      <c r="A7330" s="15" t="str">
        <f t="shared" si="228"/>
        <v/>
      </c>
      <c r="B7330" s="18" t="str">
        <f t="shared" si="229"/>
        <v/>
      </c>
    </row>
    <row r="7331" spans="1:2" x14ac:dyDescent="0.25">
      <c r="A7331" s="15" t="str">
        <f t="shared" si="228"/>
        <v/>
      </c>
      <c r="B7331" s="18" t="str">
        <f t="shared" si="229"/>
        <v/>
      </c>
    </row>
    <row r="7332" spans="1:2" x14ac:dyDescent="0.25">
      <c r="A7332" s="15" t="str">
        <f t="shared" si="228"/>
        <v/>
      </c>
      <c r="B7332" s="18" t="str">
        <f t="shared" si="229"/>
        <v/>
      </c>
    </row>
    <row r="7333" spans="1:2" x14ac:dyDescent="0.25">
      <c r="A7333" s="15" t="str">
        <f t="shared" si="228"/>
        <v/>
      </c>
      <c r="B7333" s="18" t="str">
        <f t="shared" si="229"/>
        <v/>
      </c>
    </row>
    <row r="7334" spans="1:2" x14ac:dyDescent="0.25">
      <c r="A7334" s="15" t="str">
        <f t="shared" si="228"/>
        <v/>
      </c>
      <c r="B7334" s="18" t="str">
        <f t="shared" si="229"/>
        <v/>
      </c>
    </row>
    <row r="7335" spans="1:2" x14ac:dyDescent="0.25">
      <c r="A7335" s="15" t="str">
        <f t="shared" si="228"/>
        <v/>
      </c>
      <c r="B7335" s="18" t="str">
        <f t="shared" si="229"/>
        <v/>
      </c>
    </row>
    <row r="7336" spans="1:2" x14ac:dyDescent="0.25">
      <c r="A7336" s="15" t="str">
        <f t="shared" si="228"/>
        <v/>
      </c>
      <c r="B7336" s="18" t="str">
        <f t="shared" si="229"/>
        <v/>
      </c>
    </row>
    <row r="7337" spans="1:2" x14ac:dyDescent="0.25">
      <c r="A7337" s="15" t="str">
        <f t="shared" si="228"/>
        <v/>
      </c>
      <c r="B7337" s="18" t="str">
        <f t="shared" si="229"/>
        <v/>
      </c>
    </row>
    <row r="7338" spans="1:2" x14ac:dyDescent="0.25">
      <c r="A7338" s="15" t="str">
        <f t="shared" si="228"/>
        <v/>
      </c>
      <c r="B7338" s="18" t="str">
        <f t="shared" si="229"/>
        <v/>
      </c>
    </row>
    <row r="7339" spans="1:2" x14ac:dyDescent="0.25">
      <c r="A7339" s="15" t="str">
        <f t="shared" si="228"/>
        <v/>
      </c>
      <c r="B7339" s="18" t="str">
        <f t="shared" si="229"/>
        <v/>
      </c>
    </row>
    <row r="7340" spans="1:2" x14ac:dyDescent="0.25">
      <c r="A7340" s="15" t="str">
        <f t="shared" si="228"/>
        <v/>
      </c>
      <c r="B7340" s="18" t="str">
        <f t="shared" si="229"/>
        <v/>
      </c>
    </row>
    <row r="7341" spans="1:2" x14ac:dyDescent="0.25">
      <c r="A7341" s="15" t="str">
        <f t="shared" si="228"/>
        <v/>
      </c>
      <c r="B7341" s="18" t="str">
        <f t="shared" si="229"/>
        <v/>
      </c>
    </row>
    <row r="7342" spans="1:2" x14ac:dyDescent="0.25">
      <c r="A7342" s="15" t="str">
        <f t="shared" si="228"/>
        <v/>
      </c>
      <c r="B7342" s="18" t="str">
        <f t="shared" si="229"/>
        <v/>
      </c>
    </row>
    <row r="7343" spans="1:2" x14ac:dyDescent="0.25">
      <c r="A7343" s="15" t="str">
        <f t="shared" si="228"/>
        <v/>
      </c>
      <c r="B7343" s="18" t="str">
        <f t="shared" si="229"/>
        <v/>
      </c>
    </row>
    <row r="7344" spans="1:2" x14ac:dyDescent="0.25">
      <c r="A7344" s="15" t="str">
        <f t="shared" si="228"/>
        <v/>
      </c>
      <c r="B7344" s="18" t="str">
        <f t="shared" si="229"/>
        <v/>
      </c>
    </row>
    <row r="7345" spans="1:2" x14ac:dyDescent="0.25">
      <c r="A7345" s="15" t="str">
        <f t="shared" si="228"/>
        <v/>
      </c>
      <c r="B7345" s="18" t="str">
        <f t="shared" si="229"/>
        <v/>
      </c>
    </row>
    <row r="7346" spans="1:2" x14ac:dyDescent="0.25">
      <c r="A7346" s="15" t="str">
        <f t="shared" si="228"/>
        <v/>
      </c>
      <c r="B7346" s="18" t="str">
        <f t="shared" si="229"/>
        <v/>
      </c>
    </row>
    <row r="7347" spans="1:2" x14ac:dyDescent="0.25">
      <c r="A7347" s="15" t="str">
        <f t="shared" si="228"/>
        <v/>
      </c>
      <c r="B7347" s="18" t="str">
        <f t="shared" si="229"/>
        <v/>
      </c>
    </row>
    <row r="7348" spans="1:2" x14ac:dyDescent="0.25">
      <c r="A7348" s="15" t="str">
        <f t="shared" si="228"/>
        <v/>
      </c>
      <c r="B7348" s="18" t="str">
        <f t="shared" si="229"/>
        <v/>
      </c>
    </row>
    <row r="7349" spans="1:2" x14ac:dyDescent="0.25">
      <c r="A7349" s="15" t="str">
        <f t="shared" si="228"/>
        <v/>
      </c>
      <c r="B7349" s="18" t="str">
        <f t="shared" si="229"/>
        <v/>
      </c>
    </row>
    <row r="7350" spans="1:2" x14ac:dyDescent="0.25">
      <c r="A7350" s="15" t="str">
        <f t="shared" si="228"/>
        <v/>
      </c>
      <c r="B7350" s="18" t="str">
        <f t="shared" si="229"/>
        <v/>
      </c>
    </row>
    <row r="7351" spans="1:2" x14ac:dyDescent="0.25">
      <c r="A7351" s="15" t="str">
        <f t="shared" si="228"/>
        <v/>
      </c>
      <c r="B7351" s="18" t="str">
        <f t="shared" si="229"/>
        <v/>
      </c>
    </row>
    <row r="7352" spans="1:2" x14ac:dyDescent="0.25">
      <c r="A7352" s="15" t="str">
        <f t="shared" si="228"/>
        <v/>
      </c>
      <c r="B7352" s="18" t="str">
        <f t="shared" si="229"/>
        <v/>
      </c>
    </row>
    <row r="7353" spans="1:2" x14ac:dyDescent="0.25">
      <c r="A7353" s="15" t="str">
        <f t="shared" si="228"/>
        <v/>
      </c>
      <c r="B7353" s="18" t="str">
        <f t="shared" si="229"/>
        <v/>
      </c>
    </row>
    <row r="7354" spans="1:2" x14ac:dyDescent="0.25">
      <c r="A7354" s="15" t="str">
        <f t="shared" si="228"/>
        <v/>
      </c>
      <c r="B7354" s="18" t="str">
        <f t="shared" si="229"/>
        <v/>
      </c>
    </row>
    <row r="7355" spans="1:2" x14ac:dyDescent="0.25">
      <c r="A7355" s="15" t="str">
        <f t="shared" si="228"/>
        <v/>
      </c>
      <c r="B7355" s="18" t="str">
        <f t="shared" si="229"/>
        <v/>
      </c>
    </row>
    <row r="7356" spans="1:2" x14ac:dyDescent="0.25">
      <c r="A7356" s="15" t="str">
        <f t="shared" si="228"/>
        <v/>
      </c>
      <c r="B7356" s="18" t="str">
        <f t="shared" si="229"/>
        <v/>
      </c>
    </row>
    <row r="7357" spans="1:2" x14ac:dyDescent="0.25">
      <c r="A7357" s="15" t="str">
        <f t="shared" si="228"/>
        <v/>
      </c>
      <c r="B7357" s="18" t="str">
        <f t="shared" si="229"/>
        <v/>
      </c>
    </row>
    <row r="7358" spans="1:2" x14ac:dyDescent="0.25">
      <c r="A7358" s="15" t="str">
        <f t="shared" si="228"/>
        <v/>
      </c>
      <c r="B7358" s="18" t="str">
        <f t="shared" si="229"/>
        <v/>
      </c>
    </row>
    <row r="7359" spans="1:2" x14ac:dyDescent="0.25">
      <c r="A7359" s="15" t="str">
        <f t="shared" si="228"/>
        <v/>
      </c>
      <c r="B7359" s="18" t="str">
        <f t="shared" si="229"/>
        <v/>
      </c>
    </row>
    <row r="7360" spans="1:2" x14ac:dyDescent="0.25">
      <c r="A7360" s="15" t="str">
        <f t="shared" si="228"/>
        <v/>
      </c>
      <c r="B7360" s="18" t="str">
        <f t="shared" si="229"/>
        <v/>
      </c>
    </row>
    <row r="7361" spans="1:2" x14ac:dyDescent="0.25">
      <c r="A7361" s="15" t="str">
        <f t="shared" si="228"/>
        <v/>
      </c>
      <c r="B7361" s="18" t="str">
        <f t="shared" si="229"/>
        <v/>
      </c>
    </row>
    <row r="7362" spans="1:2" x14ac:dyDescent="0.25">
      <c r="A7362" s="15" t="str">
        <f t="shared" ref="A7362:A7425" si="230">B7362&amp;C7362</f>
        <v/>
      </c>
      <c r="B7362" s="18" t="str">
        <f t="shared" si="229"/>
        <v/>
      </c>
    </row>
    <row r="7363" spans="1:2" x14ac:dyDescent="0.25">
      <c r="A7363" s="15" t="str">
        <f t="shared" si="230"/>
        <v/>
      </c>
      <c r="B7363" s="18" t="str">
        <f t="shared" ref="B7363:B7426" si="231">IF(C7363="","",B7362)</f>
        <v/>
      </c>
    </row>
    <row r="7364" spans="1:2" x14ac:dyDescent="0.25">
      <c r="A7364" s="15" t="str">
        <f t="shared" si="230"/>
        <v/>
      </c>
      <c r="B7364" s="18" t="str">
        <f t="shared" si="231"/>
        <v/>
      </c>
    </row>
    <row r="7365" spans="1:2" x14ac:dyDescent="0.25">
      <c r="A7365" s="15" t="str">
        <f t="shared" si="230"/>
        <v/>
      </c>
      <c r="B7365" s="18" t="str">
        <f t="shared" si="231"/>
        <v/>
      </c>
    </row>
    <row r="7366" spans="1:2" x14ac:dyDescent="0.25">
      <c r="A7366" s="15" t="str">
        <f t="shared" si="230"/>
        <v/>
      </c>
      <c r="B7366" s="18" t="str">
        <f t="shared" si="231"/>
        <v/>
      </c>
    </row>
    <row r="7367" spans="1:2" x14ac:dyDescent="0.25">
      <c r="A7367" s="15" t="str">
        <f t="shared" si="230"/>
        <v/>
      </c>
      <c r="B7367" s="18" t="str">
        <f t="shared" si="231"/>
        <v/>
      </c>
    </row>
    <row r="7368" spans="1:2" x14ac:dyDescent="0.25">
      <c r="A7368" s="15" t="str">
        <f t="shared" si="230"/>
        <v/>
      </c>
      <c r="B7368" s="18" t="str">
        <f t="shared" si="231"/>
        <v/>
      </c>
    </row>
    <row r="7369" spans="1:2" x14ac:dyDescent="0.25">
      <c r="A7369" s="15" t="str">
        <f t="shared" si="230"/>
        <v/>
      </c>
      <c r="B7369" s="18" t="str">
        <f t="shared" si="231"/>
        <v/>
      </c>
    </row>
    <row r="7370" spans="1:2" x14ac:dyDescent="0.25">
      <c r="A7370" s="15" t="str">
        <f t="shared" si="230"/>
        <v/>
      </c>
      <c r="B7370" s="18" t="str">
        <f t="shared" si="231"/>
        <v/>
      </c>
    </row>
    <row r="7371" spans="1:2" x14ac:dyDescent="0.25">
      <c r="A7371" s="15" t="str">
        <f t="shared" si="230"/>
        <v/>
      </c>
      <c r="B7371" s="18" t="str">
        <f t="shared" si="231"/>
        <v/>
      </c>
    </row>
    <row r="7372" spans="1:2" x14ac:dyDescent="0.25">
      <c r="A7372" s="15" t="str">
        <f t="shared" si="230"/>
        <v/>
      </c>
      <c r="B7372" s="18" t="str">
        <f t="shared" si="231"/>
        <v/>
      </c>
    </row>
    <row r="7373" spans="1:2" x14ac:dyDescent="0.25">
      <c r="A7373" s="15" t="str">
        <f t="shared" si="230"/>
        <v/>
      </c>
      <c r="B7373" s="18" t="str">
        <f t="shared" si="231"/>
        <v/>
      </c>
    </row>
    <row r="7374" spans="1:2" x14ac:dyDescent="0.25">
      <c r="A7374" s="15" t="str">
        <f t="shared" si="230"/>
        <v/>
      </c>
      <c r="B7374" s="18" t="str">
        <f t="shared" si="231"/>
        <v/>
      </c>
    </row>
    <row r="7375" spans="1:2" x14ac:dyDescent="0.25">
      <c r="A7375" s="15" t="str">
        <f t="shared" si="230"/>
        <v/>
      </c>
      <c r="B7375" s="18" t="str">
        <f t="shared" si="231"/>
        <v/>
      </c>
    </row>
    <row r="7376" spans="1:2" x14ac:dyDescent="0.25">
      <c r="A7376" s="15" t="str">
        <f t="shared" si="230"/>
        <v/>
      </c>
      <c r="B7376" s="18" t="str">
        <f t="shared" si="231"/>
        <v/>
      </c>
    </row>
    <row r="7377" spans="1:2" x14ac:dyDescent="0.25">
      <c r="A7377" s="15" t="str">
        <f t="shared" si="230"/>
        <v/>
      </c>
      <c r="B7377" s="18" t="str">
        <f t="shared" si="231"/>
        <v/>
      </c>
    </row>
    <row r="7378" spans="1:2" x14ac:dyDescent="0.25">
      <c r="A7378" s="15" t="str">
        <f t="shared" si="230"/>
        <v/>
      </c>
      <c r="B7378" s="18" t="str">
        <f t="shared" si="231"/>
        <v/>
      </c>
    </row>
    <row r="7379" spans="1:2" x14ac:dyDescent="0.25">
      <c r="A7379" s="15" t="str">
        <f t="shared" si="230"/>
        <v/>
      </c>
      <c r="B7379" s="18" t="str">
        <f t="shared" si="231"/>
        <v/>
      </c>
    </row>
    <row r="7380" spans="1:2" x14ac:dyDescent="0.25">
      <c r="A7380" s="15" t="str">
        <f t="shared" si="230"/>
        <v/>
      </c>
      <c r="B7380" s="18" t="str">
        <f t="shared" si="231"/>
        <v/>
      </c>
    </row>
    <row r="7381" spans="1:2" x14ac:dyDescent="0.25">
      <c r="A7381" s="15" t="str">
        <f t="shared" si="230"/>
        <v/>
      </c>
      <c r="B7381" s="18" t="str">
        <f t="shared" si="231"/>
        <v/>
      </c>
    </row>
    <row r="7382" spans="1:2" x14ac:dyDescent="0.25">
      <c r="A7382" s="15" t="str">
        <f t="shared" si="230"/>
        <v/>
      </c>
      <c r="B7382" s="18" t="str">
        <f t="shared" si="231"/>
        <v/>
      </c>
    </row>
    <row r="7383" spans="1:2" x14ac:dyDescent="0.25">
      <c r="A7383" s="15" t="str">
        <f t="shared" si="230"/>
        <v/>
      </c>
      <c r="B7383" s="18" t="str">
        <f t="shared" si="231"/>
        <v/>
      </c>
    </row>
    <row r="7384" spans="1:2" x14ac:dyDescent="0.25">
      <c r="A7384" s="15" t="str">
        <f t="shared" si="230"/>
        <v/>
      </c>
      <c r="B7384" s="18" t="str">
        <f t="shared" si="231"/>
        <v/>
      </c>
    </row>
    <row r="7385" spans="1:2" x14ac:dyDescent="0.25">
      <c r="A7385" s="15" t="str">
        <f t="shared" si="230"/>
        <v/>
      </c>
      <c r="B7385" s="18" t="str">
        <f t="shared" si="231"/>
        <v/>
      </c>
    </row>
    <row r="7386" spans="1:2" x14ac:dyDescent="0.25">
      <c r="A7386" s="15" t="str">
        <f t="shared" si="230"/>
        <v/>
      </c>
      <c r="B7386" s="18" t="str">
        <f t="shared" si="231"/>
        <v/>
      </c>
    </row>
    <row r="7387" spans="1:2" x14ac:dyDescent="0.25">
      <c r="A7387" s="15" t="str">
        <f t="shared" si="230"/>
        <v/>
      </c>
      <c r="B7387" s="18" t="str">
        <f t="shared" si="231"/>
        <v/>
      </c>
    </row>
    <row r="7388" spans="1:2" x14ac:dyDescent="0.25">
      <c r="A7388" s="15" t="str">
        <f t="shared" si="230"/>
        <v/>
      </c>
      <c r="B7388" s="18" t="str">
        <f t="shared" si="231"/>
        <v/>
      </c>
    </row>
    <row r="7389" spans="1:2" x14ac:dyDescent="0.25">
      <c r="A7389" s="15" t="str">
        <f t="shared" si="230"/>
        <v/>
      </c>
      <c r="B7389" s="18" t="str">
        <f t="shared" si="231"/>
        <v/>
      </c>
    </row>
    <row r="7390" spans="1:2" x14ac:dyDescent="0.25">
      <c r="A7390" s="15" t="str">
        <f t="shared" si="230"/>
        <v/>
      </c>
      <c r="B7390" s="18" t="str">
        <f t="shared" si="231"/>
        <v/>
      </c>
    </row>
    <row r="7391" spans="1:2" x14ac:dyDescent="0.25">
      <c r="A7391" s="15" t="str">
        <f t="shared" si="230"/>
        <v/>
      </c>
      <c r="B7391" s="18" t="str">
        <f t="shared" si="231"/>
        <v/>
      </c>
    </row>
    <row r="7392" spans="1:2" x14ac:dyDescent="0.25">
      <c r="A7392" s="15" t="str">
        <f t="shared" si="230"/>
        <v/>
      </c>
      <c r="B7392" s="18" t="str">
        <f t="shared" si="231"/>
        <v/>
      </c>
    </row>
    <row r="7393" spans="1:2" x14ac:dyDescent="0.25">
      <c r="A7393" s="15" t="str">
        <f t="shared" si="230"/>
        <v/>
      </c>
      <c r="B7393" s="18" t="str">
        <f t="shared" si="231"/>
        <v/>
      </c>
    </row>
    <row r="7394" spans="1:2" x14ac:dyDescent="0.25">
      <c r="A7394" s="15" t="str">
        <f t="shared" si="230"/>
        <v/>
      </c>
      <c r="B7394" s="18" t="str">
        <f t="shared" si="231"/>
        <v/>
      </c>
    </row>
    <row r="7395" spans="1:2" x14ac:dyDescent="0.25">
      <c r="A7395" s="15" t="str">
        <f t="shared" si="230"/>
        <v/>
      </c>
      <c r="B7395" s="18" t="str">
        <f t="shared" si="231"/>
        <v/>
      </c>
    </row>
    <row r="7396" spans="1:2" x14ac:dyDescent="0.25">
      <c r="A7396" s="15" t="str">
        <f t="shared" si="230"/>
        <v/>
      </c>
      <c r="B7396" s="18" t="str">
        <f t="shared" si="231"/>
        <v/>
      </c>
    </row>
    <row r="7397" spans="1:2" x14ac:dyDescent="0.25">
      <c r="A7397" s="15" t="str">
        <f t="shared" si="230"/>
        <v/>
      </c>
      <c r="B7397" s="18" t="str">
        <f t="shared" si="231"/>
        <v/>
      </c>
    </row>
    <row r="7398" spans="1:2" x14ac:dyDescent="0.25">
      <c r="A7398" s="15" t="str">
        <f t="shared" si="230"/>
        <v/>
      </c>
      <c r="B7398" s="18" t="str">
        <f t="shared" si="231"/>
        <v/>
      </c>
    </row>
    <row r="7399" spans="1:2" x14ac:dyDescent="0.25">
      <c r="A7399" s="15" t="str">
        <f t="shared" si="230"/>
        <v/>
      </c>
      <c r="B7399" s="18" t="str">
        <f t="shared" si="231"/>
        <v/>
      </c>
    </row>
    <row r="7400" spans="1:2" x14ac:dyDescent="0.25">
      <c r="A7400" s="15" t="str">
        <f t="shared" si="230"/>
        <v/>
      </c>
      <c r="B7400" s="18" t="str">
        <f t="shared" si="231"/>
        <v/>
      </c>
    </row>
    <row r="7401" spans="1:2" x14ac:dyDescent="0.25">
      <c r="A7401" s="15" t="str">
        <f t="shared" si="230"/>
        <v/>
      </c>
      <c r="B7401" s="18" t="str">
        <f t="shared" si="231"/>
        <v/>
      </c>
    </row>
    <row r="7402" spans="1:2" x14ac:dyDescent="0.25">
      <c r="A7402" s="15" t="str">
        <f t="shared" si="230"/>
        <v/>
      </c>
      <c r="B7402" s="18" t="str">
        <f t="shared" si="231"/>
        <v/>
      </c>
    </row>
    <row r="7403" spans="1:2" x14ac:dyDescent="0.25">
      <c r="A7403" s="15" t="str">
        <f t="shared" si="230"/>
        <v/>
      </c>
      <c r="B7403" s="18" t="str">
        <f t="shared" si="231"/>
        <v/>
      </c>
    </row>
    <row r="7404" spans="1:2" x14ac:dyDescent="0.25">
      <c r="A7404" s="15" t="str">
        <f t="shared" si="230"/>
        <v/>
      </c>
      <c r="B7404" s="18" t="str">
        <f t="shared" si="231"/>
        <v/>
      </c>
    </row>
    <row r="7405" spans="1:2" x14ac:dyDescent="0.25">
      <c r="A7405" s="15" t="str">
        <f t="shared" si="230"/>
        <v/>
      </c>
      <c r="B7405" s="18" t="str">
        <f t="shared" si="231"/>
        <v/>
      </c>
    </row>
    <row r="7406" spans="1:2" x14ac:dyDescent="0.25">
      <c r="A7406" s="15" t="str">
        <f t="shared" si="230"/>
        <v/>
      </c>
      <c r="B7406" s="18" t="str">
        <f t="shared" si="231"/>
        <v/>
      </c>
    </row>
    <row r="7407" spans="1:2" x14ac:dyDescent="0.25">
      <c r="A7407" s="15" t="str">
        <f t="shared" si="230"/>
        <v/>
      </c>
      <c r="B7407" s="18" t="str">
        <f t="shared" si="231"/>
        <v/>
      </c>
    </row>
    <row r="7408" spans="1:2" x14ac:dyDescent="0.25">
      <c r="A7408" s="15" t="str">
        <f t="shared" si="230"/>
        <v/>
      </c>
      <c r="B7408" s="18" t="str">
        <f t="shared" si="231"/>
        <v/>
      </c>
    </row>
    <row r="7409" spans="1:2" x14ac:dyDescent="0.25">
      <c r="A7409" s="15" t="str">
        <f t="shared" si="230"/>
        <v/>
      </c>
      <c r="B7409" s="18" t="str">
        <f t="shared" si="231"/>
        <v/>
      </c>
    </row>
    <row r="7410" spans="1:2" x14ac:dyDescent="0.25">
      <c r="A7410" s="15" t="str">
        <f t="shared" si="230"/>
        <v/>
      </c>
      <c r="B7410" s="18" t="str">
        <f t="shared" si="231"/>
        <v/>
      </c>
    </row>
    <row r="7411" spans="1:2" x14ac:dyDescent="0.25">
      <c r="A7411" s="15" t="str">
        <f t="shared" si="230"/>
        <v/>
      </c>
      <c r="B7411" s="18" t="str">
        <f t="shared" si="231"/>
        <v/>
      </c>
    </row>
    <row r="7412" spans="1:2" x14ac:dyDescent="0.25">
      <c r="A7412" s="15" t="str">
        <f t="shared" si="230"/>
        <v/>
      </c>
      <c r="B7412" s="18" t="str">
        <f t="shared" si="231"/>
        <v/>
      </c>
    </row>
    <row r="7413" spans="1:2" x14ac:dyDescent="0.25">
      <c r="A7413" s="15" t="str">
        <f t="shared" si="230"/>
        <v/>
      </c>
      <c r="B7413" s="18" t="str">
        <f t="shared" si="231"/>
        <v/>
      </c>
    </row>
    <row r="7414" spans="1:2" x14ac:dyDescent="0.25">
      <c r="A7414" s="15" t="str">
        <f t="shared" si="230"/>
        <v/>
      </c>
      <c r="B7414" s="18" t="str">
        <f t="shared" si="231"/>
        <v/>
      </c>
    </row>
    <row r="7415" spans="1:2" x14ac:dyDescent="0.25">
      <c r="A7415" s="15" t="str">
        <f t="shared" si="230"/>
        <v/>
      </c>
      <c r="B7415" s="18" t="str">
        <f t="shared" si="231"/>
        <v/>
      </c>
    </row>
    <row r="7416" spans="1:2" x14ac:dyDescent="0.25">
      <c r="A7416" s="15" t="str">
        <f t="shared" si="230"/>
        <v/>
      </c>
      <c r="B7416" s="18" t="str">
        <f t="shared" si="231"/>
        <v/>
      </c>
    </row>
    <row r="7417" spans="1:2" x14ac:dyDescent="0.25">
      <c r="A7417" s="15" t="str">
        <f t="shared" si="230"/>
        <v/>
      </c>
      <c r="B7417" s="18" t="str">
        <f t="shared" si="231"/>
        <v/>
      </c>
    </row>
    <row r="7418" spans="1:2" x14ac:dyDescent="0.25">
      <c r="A7418" s="15" t="str">
        <f t="shared" si="230"/>
        <v/>
      </c>
      <c r="B7418" s="18" t="str">
        <f t="shared" si="231"/>
        <v/>
      </c>
    </row>
    <row r="7419" spans="1:2" x14ac:dyDescent="0.25">
      <c r="A7419" s="15" t="str">
        <f t="shared" si="230"/>
        <v/>
      </c>
      <c r="B7419" s="18" t="str">
        <f t="shared" si="231"/>
        <v/>
      </c>
    </row>
    <row r="7420" spans="1:2" x14ac:dyDescent="0.25">
      <c r="A7420" s="15" t="str">
        <f t="shared" si="230"/>
        <v/>
      </c>
      <c r="B7420" s="18" t="str">
        <f t="shared" si="231"/>
        <v/>
      </c>
    </row>
    <row r="7421" spans="1:2" x14ac:dyDescent="0.25">
      <c r="A7421" s="15" t="str">
        <f t="shared" si="230"/>
        <v/>
      </c>
      <c r="B7421" s="18" t="str">
        <f t="shared" si="231"/>
        <v/>
      </c>
    </row>
    <row r="7422" spans="1:2" x14ac:dyDescent="0.25">
      <c r="A7422" s="15" t="str">
        <f t="shared" si="230"/>
        <v/>
      </c>
      <c r="B7422" s="18" t="str">
        <f t="shared" si="231"/>
        <v/>
      </c>
    </row>
    <row r="7423" spans="1:2" x14ac:dyDescent="0.25">
      <c r="A7423" s="15" t="str">
        <f t="shared" si="230"/>
        <v/>
      </c>
      <c r="B7423" s="18" t="str">
        <f t="shared" si="231"/>
        <v/>
      </c>
    </row>
    <row r="7424" spans="1:2" x14ac:dyDescent="0.25">
      <c r="A7424" s="15" t="str">
        <f t="shared" si="230"/>
        <v/>
      </c>
      <c r="B7424" s="18" t="str">
        <f t="shared" si="231"/>
        <v/>
      </c>
    </row>
    <row r="7425" spans="1:2" x14ac:dyDescent="0.25">
      <c r="A7425" s="15" t="str">
        <f t="shared" si="230"/>
        <v/>
      </c>
      <c r="B7425" s="18" t="str">
        <f t="shared" si="231"/>
        <v/>
      </c>
    </row>
    <row r="7426" spans="1:2" x14ac:dyDescent="0.25">
      <c r="A7426" s="15" t="str">
        <f t="shared" ref="A7426:A7489" si="232">B7426&amp;C7426</f>
        <v/>
      </c>
      <c r="B7426" s="18" t="str">
        <f t="shared" si="231"/>
        <v/>
      </c>
    </row>
    <row r="7427" spans="1:2" x14ac:dyDescent="0.25">
      <c r="A7427" s="15" t="str">
        <f t="shared" si="232"/>
        <v/>
      </c>
      <c r="B7427" s="18" t="str">
        <f t="shared" ref="B7427:B7490" si="233">IF(C7427="","",B7426)</f>
        <v/>
      </c>
    </row>
    <row r="7428" spans="1:2" x14ac:dyDescent="0.25">
      <c r="A7428" s="15" t="str">
        <f t="shared" si="232"/>
        <v/>
      </c>
      <c r="B7428" s="18" t="str">
        <f t="shared" si="233"/>
        <v/>
      </c>
    </row>
    <row r="7429" spans="1:2" x14ac:dyDescent="0.25">
      <c r="A7429" s="15" t="str">
        <f t="shared" si="232"/>
        <v/>
      </c>
      <c r="B7429" s="18" t="str">
        <f t="shared" si="233"/>
        <v/>
      </c>
    </row>
    <row r="7430" spans="1:2" x14ac:dyDescent="0.25">
      <c r="A7430" s="15" t="str">
        <f t="shared" si="232"/>
        <v/>
      </c>
      <c r="B7430" s="18" t="str">
        <f t="shared" si="233"/>
        <v/>
      </c>
    </row>
    <row r="7431" spans="1:2" x14ac:dyDescent="0.25">
      <c r="A7431" s="15" t="str">
        <f t="shared" si="232"/>
        <v/>
      </c>
      <c r="B7431" s="18" t="str">
        <f t="shared" si="233"/>
        <v/>
      </c>
    </row>
    <row r="7432" spans="1:2" x14ac:dyDescent="0.25">
      <c r="A7432" s="15" t="str">
        <f t="shared" si="232"/>
        <v/>
      </c>
      <c r="B7432" s="18" t="str">
        <f t="shared" si="233"/>
        <v/>
      </c>
    </row>
    <row r="7433" spans="1:2" x14ac:dyDescent="0.25">
      <c r="A7433" s="15" t="str">
        <f t="shared" si="232"/>
        <v/>
      </c>
      <c r="B7433" s="18" t="str">
        <f t="shared" si="233"/>
        <v/>
      </c>
    </row>
    <row r="7434" spans="1:2" x14ac:dyDescent="0.25">
      <c r="A7434" s="15" t="str">
        <f t="shared" si="232"/>
        <v/>
      </c>
      <c r="B7434" s="18" t="str">
        <f t="shared" si="233"/>
        <v/>
      </c>
    </row>
    <row r="7435" spans="1:2" x14ac:dyDescent="0.25">
      <c r="A7435" s="15" t="str">
        <f t="shared" si="232"/>
        <v/>
      </c>
      <c r="B7435" s="18" t="str">
        <f t="shared" si="233"/>
        <v/>
      </c>
    </row>
    <row r="7436" spans="1:2" x14ac:dyDescent="0.25">
      <c r="A7436" s="15" t="str">
        <f t="shared" si="232"/>
        <v/>
      </c>
      <c r="B7436" s="18" t="str">
        <f t="shared" si="233"/>
        <v/>
      </c>
    </row>
    <row r="7437" spans="1:2" x14ac:dyDescent="0.25">
      <c r="A7437" s="15" t="str">
        <f t="shared" si="232"/>
        <v/>
      </c>
      <c r="B7437" s="18" t="str">
        <f t="shared" si="233"/>
        <v/>
      </c>
    </row>
    <row r="7438" spans="1:2" x14ac:dyDescent="0.25">
      <c r="A7438" s="15" t="str">
        <f t="shared" si="232"/>
        <v/>
      </c>
      <c r="B7438" s="18" t="str">
        <f t="shared" si="233"/>
        <v/>
      </c>
    </row>
    <row r="7439" spans="1:2" x14ac:dyDescent="0.25">
      <c r="A7439" s="15" t="str">
        <f t="shared" si="232"/>
        <v/>
      </c>
      <c r="B7439" s="18" t="str">
        <f t="shared" si="233"/>
        <v/>
      </c>
    </row>
    <row r="7440" spans="1:2" x14ac:dyDescent="0.25">
      <c r="A7440" s="15" t="str">
        <f t="shared" si="232"/>
        <v/>
      </c>
      <c r="B7440" s="18" t="str">
        <f t="shared" si="233"/>
        <v/>
      </c>
    </row>
    <row r="7441" spans="1:2" x14ac:dyDescent="0.25">
      <c r="A7441" s="15" t="str">
        <f t="shared" si="232"/>
        <v/>
      </c>
      <c r="B7441" s="18" t="str">
        <f t="shared" si="233"/>
        <v/>
      </c>
    </row>
    <row r="7442" spans="1:2" x14ac:dyDescent="0.25">
      <c r="A7442" s="15" t="str">
        <f t="shared" si="232"/>
        <v/>
      </c>
      <c r="B7442" s="18" t="str">
        <f t="shared" si="233"/>
        <v/>
      </c>
    </row>
    <row r="7443" spans="1:2" x14ac:dyDescent="0.25">
      <c r="A7443" s="15" t="str">
        <f t="shared" si="232"/>
        <v/>
      </c>
      <c r="B7443" s="18" t="str">
        <f t="shared" si="233"/>
        <v/>
      </c>
    </row>
    <row r="7444" spans="1:2" x14ac:dyDescent="0.25">
      <c r="A7444" s="15" t="str">
        <f t="shared" si="232"/>
        <v/>
      </c>
      <c r="B7444" s="18" t="str">
        <f t="shared" si="233"/>
        <v/>
      </c>
    </row>
    <row r="7445" spans="1:2" x14ac:dyDescent="0.25">
      <c r="A7445" s="15" t="str">
        <f t="shared" si="232"/>
        <v/>
      </c>
      <c r="B7445" s="18" t="str">
        <f t="shared" si="233"/>
        <v/>
      </c>
    </row>
    <row r="7446" spans="1:2" x14ac:dyDescent="0.25">
      <c r="A7446" s="15" t="str">
        <f t="shared" si="232"/>
        <v/>
      </c>
      <c r="B7446" s="18" t="str">
        <f t="shared" si="233"/>
        <v/>
      </c>
    </row>
    <row r="7447" spans="1:2" x14ac:dyDescent="0.25">
      <c r="A7447" s="15" t="str">
        <f t="shared" si="232"/>
        <v/>
      </c>
      <c r="B7447" s="18" t="str">
        <f t="shared" si="233"/>
        <v/>
      </c>
    </row>
    <row r="7448" spans="1:2" x14ac:dyDescent="0.25">
      <c r="A7448" s="15" t="str">
        <f t="shared" si="232"/>
        <v/>
      </c>
      <c r="B7448" s="18" t="str">
        <f t="shared" si="233"/>
        <v/>
      </c>
    </row>
    <row r="7449" spans="1:2" x14ac:dyDescent="0.25">
      <c r="A7449" s="15" t="str">
        <f t="shared" si="232"/>
        <v/>
      </c>
      <c r="B7449" s="18" t="str">
        <f t="shared" si="233"/>
        <v/>
      </c>
    </row>
    <row r="7450" spans="1:2" x14ac:dyDescent="0.25">
      <c r="A7450" s="15" t="str">
        <f t="shared" si="232"/>
        <v/>
      </c>
      <c r="B7450" s="18" t="str">
        <f t="shared" si="233"/>
        <v/>
      </c>
    </row>
    <row r="7451" spans="1:2" x14ac:dyDescent="0.25">
      <c r="A7451" s="15" t="str">
        <f t="shared" si="232"/>
        <v/>
      </c>
      <c r="B7451" s="18" t="str">
        <f t="shared" si="233"/>
        <v/>
      </c>
    </row>
    <row r="7452" spans="1:2" x14ac:dyDescent="0.25">
      <c r="A7452" s="15" t="str">
        <f t="shared" si="232"/>
        <v/>
      </c>
      <c r="B7452" s="18" t="str">
        <f t="shared" si="233"/>
        <v/>
      </c>
    </row>
    <row r="7453" spans="1:2" x14ac:dyDescent="0.25">
      <c r="A7453" s="15" t="str">
        <f t="shared" si="232"/>
        <v/>
      </c>
      <c r="B7453" s="18" t="str">
        <f t="shared" si="233"/>
        <v/>
      </c>
    </row>
    <row r="7454" spans="1:2" x14ac:dyDescent="0.25">
      <c r="A7454" s="15" t="str">
        <f t="shared" si="232"/>
        <v/>
      </c>
      <c r="B7454" s="18" t="str">
        <f t="shared" si="233"/>
        <v/>
      </c>
    </row>
    <row r="7455" spans="1:2" x14ac:dyDescent="0.25">
      <c r="A7455" s="15" t="str">
        <f t="shared" si="232"/>
        <v/>
      </c>
      <c r="B7455" s="18" t="str">
        <f t="shared" si="233"/>
        <v/>
      </c>
    </row>
    <row r="7456" spans="1:2" x14ac:dyDescent="0.25">
      <c r="A7456" s="15" t="str">
        <f t="shared" si="232"/>
        <v/>
      </c>
      <c r="B7456" s="18" t="str">
        <f t="shared" si="233"/>
        <v/>
      </c>
    </row>
    <row r="7457" spans="1:2" x14ac:dyDescent="0.25">
      <c r="A7457" s="15" t="str">
        <f t="shared" si="232"/>
        <v/>
      </c>
      <c r="B7457" s="18" t="str">
        <f t="shared" si="233"/>
        <v/>
      </c>
    </row>
    <row r="7458" spans="1:2" x14ac:dyDescent="0.25">
      <c r="A7458" s="15" t="str">
        <f t="shared" si="232"/>
        <v/>
      </c>
      <c r="B7458" s="18" t="str">
        <f t="shared" si="233"/>
        <v/>
      </c>
    </row>
    <row r="7459" spans="1:2" x14ac:dyDescent="0.25">
      <c r="A7459" s="15" t="str">
        <f t="shared" si="232"/>
        <v/>
      </c>
      <c r="B7459" s="18" t="str">
        <f t="shared" si="233"/>
        <v/>
      </c>
    </row>
    <row r="7460" spans="1:2" x14ac:dyDescent="0.25">
      <c r="A7460" s="15" t="str">
        <f t="shared" si="232"/>
        <v/>
      </c>
      <c r="B7460" s="18" t="str">
        <f t="shared" si="233"/>
        <v/>
      </c>
    </row>
    <row r="7461" spans="1:2" x14ac:dyDescent="0.25">
      <c r="A7461" s="15" t="str">
        <f t="shared" si="232"/>
        <v/>
      </c>
      <c r="B7461" s="18" t="str">
        <f t="shared" si="233"/>
        <v/>
      </c>
    </row>
    <row r="7462" spans="1:2" x14ac:dyDescent="0.25">
      <c r="A7462" s="15" t="str">
        <f t="shared" si="232"/>
        <v/>
      </c>
      <c r="B7462" s="18" t="str">
        <f t="shared" si="233"/>
        <v/>
      </c>
    </row>
    <row r="7463" spans="1:2" x14ac:dyDescent="0.25">
      <c r="A7463" s="15" t="str">
        <f t="shared" si="232"/>
        <v/>
      </c>
      <c r="B7463" s="18" t="str">
        <f t="shared" si="233"/>
        <v/>
      </c>
    </row>
    <row r="7464" spans="1:2" x14ac:dyDescent="0.25">
      <c r="A7464" s="15" t="str">
        <f t="shared" si="232"/>
        <v/>
      </c>
      <c r="B7464" s="18" t="str">
        <f t="shared" si="233"/>
        <v/>
      </c>
    </row>
    <row r="7465" spans="1:2" x14ac:dyDescent="0.25">
      <c r="A7465" s="15" t="str">
        <f t="shared" si="232"/>
        <v/>
      </c>
      <c r="B7465" s="18" t="str">
        <f t="shared" si="233"/>
        <v/>
      </c>
    </row>
    <row r="7466" spans="1:2" x14ac:dyDescent="0.25">
      <c r="A7466" s="15" t="str">
        <f t="shared" si="232"/>
        <v/>
      </c>
      <c r="B7466" s="18" t="str">
        <f t="shared" si="233"/>
        <v/>
      </c>
    </row>
    <row r="7467" spans="1:2" x14ac:dyDescent="0.25">
      <c r="A7467" s="15" t="str">
        <f t="shared" si="232"/>
        <v/>
      </c>
      <c r="B7467" s="18" t="str">
        <f t="shared" si="233"/>
        <v/>
      </c>
    </row>
    <row r="7468" spans="1:2" x14ac:dyDescent="0.25">
      <c r="A7468" s="15" t="str">
        <f t="shared" si="232"/>
        <v/>
      </c>
      <c r="B7468" s="18" t="str">
        <f t="shared" si="233"/>
        <v/>
      </c>
    </row>
    <row r="7469" spans="1:2" x14ac:dyDescent="0.25">
      <c r="A7469" s="15" t="str">
        <f t="shared" si="232"/>
        <v/>
      </c>
      <c r="B7469" s="18" t="str">
        <f t="shared" si="233"/>
        <v/>
      </c>
    </row>
    <row r="7470" spans="1:2" x14ac:dyDescent="0.25">
      <c r="A7470" s="15" t="str">
        <f t="shared" si="232"/>
        <v/>
      </c>
      <c r="B7470" s="18" t="str">
        <f t="shared" si="233"/>
        <v/>
      </c>
    </row>
    <row r="7471" spans="1:2" x14ac:dyDescent="0.25">
      <c r="A7471" s="15" t="str">
        <f t="shared" si="232"/>
        <v/>
      </c>
      <c r="B7471" s="18" t="str">
        <f t="shared" si="233"/>
        <v/>
      </c>
    </row>
    <row r="7472" spans="1:2" x14ac:dyDescent="0.25">
      <c r="A7472" s="15" t="str">
        <f t="shared" si="232"/>
        <v/>
      </c>
      <c r="B7472" s="18" t="str">
        <f t="shared" si="233"/>
        <v/>
      </c>
    </row>
    <row r="7473" spans="1:2" x14ac:dyDescent="0.25">
      <c r="A7473" s="15" t="str">
        <f t="shared" si="232"/>
        <v/>
      </c>
      <c r="B7473" s="18" t="str">
        <f t="shared" si="233"/>
        <v/>
      </c>
    </row>
    <row r="7474" spans="1:2" x14ac:dyDescent="0.25">
      <c r="A7474" s="15" t="str">
        <f t="shared" si="232"/>
        <v/>
      </c>
      <c r="B7474" s="18" t="str">
        <f t="shared" si="233"/>
        <v/>
      </c>
    </row>
    <row r="7475" spans="1:2" x14ac:dyDescent="0.25">
      <c r="A7475" s="15" t="str">
        <f t="shared" si="232"/>
        <v/>
      </c>
      <c r="B7475" s="18" t="str">
        <f t="shared" si="233"/>
        <v/>
      </c>
    </row>
    <row r="7476" spans="1:2" x14ac:dyDescent="0.25">
      <c r="A7476" s="15" t="str">
        <f t="shared" si="232"/>
        <v/>
      </c>
      <c r="B7476" s="18" t="str">
        <f t="shared" si="233"/>
        <v/>
      </c>
    </row>
    <row r="7477" spans="1:2" x14ac:dyDescent="0.25">
      <c r="A7477" s="15" t="str">
        <f t="shared" si="232"/>
        <v/>
      </c>
      <c r="B7477" s="18" t="str">
        <f t="shared" si="233"/>
        <v/>
      </c>
    </row>
    <row r="7478" spans="1:2" x14ac:dyDescent="0.25">
      <c r="A7478" s="15" t="str">
        <f t="shared" si="232"/>
        <v/>
      </c>
      <c r="B7478" s="18" t="str">
        <f t="shared" si="233"/>
        <v/>
      </c>
    </row>
    <row r="7479" spans="1:2" x14ac:dyDescent="0.25">
      <c r="A7479" s="15" t="str">
        <f t="shared" si="232"/>
        <v/>
      </c>
      <c r="B7479" s="18" t="str">
        <f t="shared" si="233"/>
        <v/>
      </c>
    </row>
    <row r="7480" spans="1:2" x14ac:dyDescent="0.25">
      <c r="A7480" s="15" t="str">
        <f t="shared" si="232"/>
        <v/>
      </c>
      <c r="B7480" s="18" t="str">
        <f t="shared" si="233"/>
        <v/>
      </c>
    </row>
    <row r="7481" spans="1:2" x14ac:dyDescent="0.25">
      <c r="A7481" s="15" t="str">
        <f t="shared" si="232"/>
        <v/>
      </c>
      <c r="B7481" s="18" t="str">
        <f t="shared" si="233"/>
        <v/>
      </c>
    </row>
    <row r="7482" spans="1:2" x14ac:dyDescent="0.25">
      <c r="A7482" s="15" t="str">
        <f t="shared" si="232"/>
        <v/>
      </c>
      <c r="B7482" s="18" t="str">
        <f t="shared" si="233"/>
        <v/>
      </c>
    </row>
    <row r="7483" spans="1:2" x14ac:dyDescent="0.25">
      <c r="A7483" s="15" t="str">
        <f t="shared" si="232"/>
        <v/>
      </c>
      <c r="B7483" s="18" t="str">
        <f t="shared" si="233"/>
        <v/>
      </c>
    </row>
    <row r="7484" spans="1:2" x14ac:dyDescent="0.25">
      <c r="A7484" s="15" t="str">
        <f t="shared" si="232"/>
        <v/>
      </c>
      <c r="B7484" s="18" t="str">
        <f t="shared" si="233"/>
        <v/>
      </c>
    </row>
    <row r="7485" spans="1:2" x14ac:dyDescent="0.25">
      <c r="A7485" s="15" t="str">
        <f t="shared" si="232"/>
        <v/>
      </c>
      <c r="B7485" s="18" t="str">
        <f t="shared" si="233"/>
        <v/>
      </c>
    </row>
    <row r="7486" spans="1:2" x14ac:dyDescent="0.25">
      <c r="A7486" s="15" t="str">
        <f t="shared" si="232"/>
        <v/>
      </c>
      <c r="B7486" s="18" t="str">
        <f t="shared" si="233"/>
        <v/>
      </c>
    </row>
    <row r="7487" spans="1:2" x14ac:dyDescent="0.25">
      <c r="A7487" s="15" t="str">
        <f t="shared" si="232"/>
        <v/>
      </c>
      <c r="B7487" s="18" t="str">
        <f t="shared" si="233"/>
        <v/>
      </c>
    </row>
    <row r="7488" spans="1:2" x14ac:dyDescent="0.25">
      <c r="A7488" s="15" t="str">
        <f t="shared" si="232"/>
        <v/>
      </c>
      <c r="B7488" s="18" t="str">
        <f t="shared" si="233"/>
        <v/>
      </c>
    </row>
    <row r="7489" spans="1:2" x14ac:dyDescent="0.25">
      <c r="A7489" s="15" t="str">
        <f t="shared" si="232"/>
        <v/>
      </c>
      <c r="B7489" s="18" t="str">
        <f t="shared" si="233"/>
        <v/>
      </c>
    </row>
    <row r="7490" spans="1:2" x14ac:dyDescent="0.25">
      <c r="A7490" s="15" t="str">
        <f t="shared" ref="A7490:A7553" si="234">B7490&amp;C7490</f>
        <v/>
      </c>
      <c r="B7490" s="18" t="str">
        <f t="shared" si="233"/>
        <v/>
      </c>
    </row>
    <row r="7491" spans="1:2" x14ac:dyDescent="0.25">
      <c r="A7491" s="15" t="str">
        <f t="shared" si="234"/>
        <v/>
      </c>
      <c r="B7491" s="18" t="str">
        <f t="shared" ref="B7491:B7554" si="235">IF(C7491="","",B7490)</f>
        <v/>
      </c>
    </row>
    <row r="7492" spans="1:2" x14ac:dyDescent="0.25">
      <c r="A7492" s="15" t="str">
        <f t="shared" si="234"/>
        <v/>
      </c>
      <c r="B7492" s="18" t="str">
        <f t="shared" si="235"/>
        <v/>
      </c>
    </row>
    <row r="7493" spans="1:2" x14ac:dyDescent="0.25">
      <c r="A7493" s="15" t="str">
        <f t="shared" si="234"/>
        <v/>
      </c>
      <c r="B7493" s="18" t="str">
        <f t="shared" si="235"/>
        <v/>
      </c>
    </row>
    <row r="7494" spans="1:2" x14ac:dyDescent="0.25">
      <c r="A7494" s="15" t="str">
        <f t="shared" si="234"/>
        <v/>
      </c>
      <c r="B7494" s="18" t="str">
        <f t="shared" si="235"/>
        <v/>
      </c>
    </row>
    <row r="7495" spans="1:2" x14ac:dyDescent="0.25">
      <c r="A7495" s="15" t="str">
        <f t="shared" si="234"/>
        <v/>
      </c>
      <c r="B7495" s="18" t="str">
        <f t="shared" si="235"/>
        <v/>
      </c>
    </row>
    <row r="7496" spans="1:2" x14ac:dyDescent="0.25">
      <c r="A7496" s="15" t="str">
        <f t="shared" si="234"/>
        <v/>
      </c>
      <c r="B7496" s="18" t="str">
        <f t="shared" si="235"/>
        <v/>
      </c>
    </row>
    <row r="7497" spans="1:2" x14ac:dyDescent="0.25">
      <c r="A7497" s="15" t="str">
        <f t="shared" si="234"/>
        <v/>
      </c>
      <c r="B7497" s="18" t="str">
        <f t="shared" si="235"/>
        <v/>
      </c>
    </row>
    <row r="7498" spans="1:2" x14ac:dyDescent="0.25">
      <c r="A7498" s="15" t="str">
        <f t="shared" si="234"/>
        <v/>
      </c>
      <c r="B7498" s="18" t="str">
        <f t="shared" si="235"/>
        <v/>
      </c>
    </row>
    <row r="7499" spans="1:2" x14ac:dyDescent="0.25">
      <c r="A7499" s="15" t="str">
        <f t="shared" si="234"/>
        <v/>
      </c>
      <c r="B7499" s="18" t="str">
        <f t="shared" si="235"/>
        <v/>
      </c>
    </row>
    <row r="7500" spans="1:2" x14ac:dyDescent="0.25">
      <c r="A7500" s="15" t="str">
        <f t="shared" si="234"/>
        <v/>
      </c>
      <c r="B7500" s="18" t="str">
        <f t="shared" si="235"/>
        <v/>
      </c>
    </row>
    <row r="7501" spans="1:2" x14ac:dyDescent="0.25">
      <c r="A7501" s="15" t="str">
        <f t="shared" si="234"/>
        <v/>
      </c>
      <c r="B7501" s="18" t="str">
        <f t="shared" si="235"/>
        <v/>
      </c>
    </row>
    <row r="7502" spans="1:2" x14ac:dyDescent="0.25">
      <c r="A7502" s="15" t="str">
        <f t="shared" si="234"/>
        <v/>
      </c>
      <c r="B7502" s="18" t="str">
        <f t="shared" si="235"/>
        <v/>
      </c>
    </row>
    <row r="7503" spans="1:2" x14ac:dyDescent="0.25">
      <c r="A7503" s="15" t="str">
        <f t="shared" si="234"/>
        <v/>
      </c>
      <c r="B7503" s="18" t="str">
        <f t="shared" si="235"/>
        <v/>
      </c>
    </row>
    <row r="7504" spans="1:2" x14ac:dyDescent="0.25">
      <c r="A7504" s="15" t="str">
        <f t="shared" si="234"/>
        <v/>
      </c>
      <c r="B7504" s="18" t="str">
        <f t="shared" si="235"/>
        <v/>
      </c>
    </row>
    <row r="7505" spans="1:2" x14ac:dyDescent="0.25">
      <c r="A7505" s="15" t="str">
        <f t="shared" si="234"/>
        <v/>
      </c>
      <c r="B7505" s="18" t="str">
        <f t="shared" si="235"/>
        <v/>
      </c>
    </row>
    <row r="7506" spans="1:2" x14ac:dyDescent="0.25">
      <c r="A7506" s="15" t="str">
        <f t="shared" si="234"/>
        <v/>
      </c>
      <c r="B7506" s="18" t="str">
        <f t="shared" si="235"/>
        <v/>
      </c>
    </row>
    <row r="7507" spans="1:2" x14ac:dyDescent="0.25">
      <c r="A7507" s="15" t="str">
        <f t="shared" si="234"/>
        <v/>
      </c>
      <c r="B7507" s="18" t="str">
        <f t="shared" si="235"/>
        <v/>
      </c>
    </row>
    <row r="7508" spans="1:2" x14ac:dyDescent="0.25">
      <c r="A7508" s="15" t="str">
        <f t="shared" si="234"/>
        <v/>
      </c>
      <c r="B7508" s="18" t="str">
        <f t="shared" si="235"/>
        <v/>
      </c>
    </row>
    <row r="7509" spans="1:2" x14ac:dyDescent="0.25">
      <c r="A7509" s="15" t="str">
        <f t="shared" si="234"/>
        <v/>
      </c>
      <c r="B7509" s="18" t="str">
        <f t="shared" si="235"/>
        <v/>
      </c>
    </row>
    <row r="7510" spans="1:2" x14ac:dyDescent="0.25">
      <c r="A7510" s="15" t="str">
        <f t="shared" si="234"/>
        <v/>
      </c>
      <c r="B7510" s="18" t="str">
        <f t="shared" si="235"/>
        <v/>
      </c>
    </row>
    <row r="7511" spans="1:2" x14ac:dyDescent="0.25">
      <c r="A7511" s="15" t="str">
        <f t="shared" si="234"/>
        <v/>
      </c>
      <c r="B7511" s="18" t="str">
        <f t="shared" si="235"/>
        <v/>
      </c>
    </row>
    <row r="7512" spans="1:2" x14ac:dyDescent="0.25">
      <c r="A7512" s="15" t="str">
        <f t="shared" si="234"/>
        <v/>
      </c>
      <c r="B7512" s="18" t="str">
        <f t="shared" si="235"/>
        <v/>
      </c>
    </row>
    <row r="7513" spans="1:2" x14ac:dyDescent="0.25">
      <c r="A7513" s="15" t="str">
        <f t="shared" si="234"/>
        <v/>
      </c>
      <c r="B7513" s="18" t="str">
        <f t="shared" si="235"/>
        <v/>
      </c>
    </row>
    <row r="7514" spans="1:2" x14ac:dyDescent="0.25">
      <c r="A7514" s="15" t="str">
        <f t="shared" si="234"/>
        <v/>
      </c>
      <c r="B7514" s="18" t="str">
        <f t="shared" si="235"/>
        <v/>
      </c>
    </row>
    <row r="7515" spans="1:2" x14ac:dyDescent="0.25">
      <c r="A7515" s="15" t="str">
        <f t="shared" si="234"/>
        <v/>
      </c>
      <c r="B7515" s="18" t="str">
        <f t="shared" si="235"/>
        <v/>
      </c>
    </row>
    <row r="7516" spans="1:2" x14ac:dyDescent="0.25">
      <c r="A7516" s="15" t="str">
        <f t="shared" si="234"/>
        <v/>
      </c>
      <c r="B7516" s="18" t="str">
        <f t="shared" si="235"/>
        <v/>
      </c>
    </row>
    <row r="7517" spans="1:2" x14ac:dyDescent="0.25">
      <c r="A7517" s="15" t="str">
        <f t="shared" si="234"/>
        <v/>
      </c>
      <c r="B7517" s="18" t="str">
        <f t="shared" si="235"/>
        <v/>
      </c>
    </row>
    <row r="7518" spans="1:2" x14ac:dyDescent="0.25">
      <c r="A7518" s="15" t="str">
        <f t="shared" si="234"/>
        <v/>
      </c>
      <c r="B7518" s="18" t="str">
        <f t="shared" si="235"/>
        <v/>
      </c>
    </row>
    <row r="7519" spans="1:2" x14ac:dyDescent="0.25">
      <c r="A7519" s="15" t="str">
        <f t="shared" si="234"/>
        <v/>
      </c>
      <c r="B7519" s="18" t="str">
        <f t="shared" si="235"/>
        <v/>
      </c>
    </row>
    <row r="7520" spans="1:2" x14ac:dyDescent="0.25">
      <c r="A7520" s="15" t="str">
        <f t="shared" si="234"/>
        <v/>
      </c>
      <c r="B7520" s="18" t="str">
        <f t="shared" si="235"/>
        <v/>
      </c>
    </row>
    <row r="7521" spans="1:2" x14ac:dyDescent="0.25">
      <c r="A7521" s="15" t="str">
        <f t="shared" si="234"/>
        <v/>
      </c>
      <c r="B7521" s="18" t="str">
        <f t="shared" si="235"/>
        <v/>
      </c>
    </row>
    <row r="7522" spans="1:2" x14ac:dyDescent="0.25">
      <c r="A7522" s="15" t="str">
        <f t="shared" si="234"/>
        <v/>
      </c>
      <c r="B7522" s="18" t="str">
        <f t="shared" si="235"/>
        <v/>
      </c>
    </row>
    <row r="7523" spans="1:2" x14ac:dyDescent="0.25">
      <c r="A7523" s="15" t="str">
        <f t="shared" si="234"/>
        <v/>
      </c>
      <c r="B7523" s="18" t="str">
        <f t="shared" si="235"/>
        <v/>
      </c>
    </row>
    <row r="7524" spans="1:2" x14ac:dyDescent="0.25">
      <c r="A7524" s="15" t="str">
        <f t="shared" si="234"/>
        <v/>
      </c>
      <c r="B7524" s="18" t="str">
        <f t="shared" si="235"/>
        <v/>
      </c>
    </row>
    <row r="7525" spans="1:2" x14ac:dyDescent="0.25">
      <c r="A7525" s="15" t="str">
        <f t="shared" si="234"/>
        <v/>
      </c>
      <c r="B7525" s="18" t="str">
        <f t="shared" si="235"/>
        <v/>
      </c>
    </row>
    <row r="7526" spans="1:2" x14ac:dyDescent="0.25">
      <c r="A7526" s="15" t="str">
        <f t="shared" si="234"/>
        <v/>
      </c>
      <c r="B7526" s="18" t="str">
        <f t="shared" si="235"/>
        <v/>
      </c>
    </row>
    <row r="7527" spans="1:2" x14ac:dyDescent="0.25">
      <c r="A7527" s="15" t="str">
        <f t="shared" si="234"/>
        <v/>
      </c>
      <c r="B7527" s="18" t="str">
        <f t="shared" si="235"/>
        <v/>
      </c>
    </row>
    <row r="7528" spans="1:2" x14ac:dyDescent="0.25">
      <c r="A7528" s="15" t="str">
        <f t="shared" si="234"/>
        <v/>
      </c>
      <c r="B7528" s="18" t="str">
        <f t="shared" si="235"/>
        <v/>
      </c>
    </row>
    <row r="7529" spans="1:2" x14ac:dyDescent="0.25">
      <c r="A7529" s="15" t="str">
        <f t="shared" si="234"/>
        <v/>
      </c>
      <c r="B7529" s="18" t="str">
        <f t="shared" si="235"/>
        <v/>
      </c>
    </row>
    <row r="7530" spans="1:2" x14ac:dyDescent="0.25">
      <c r="A7530" s="15" t="str">
        <f t="shared" si="234"/>
        <v/>
      </c>
      <c r="B7530" s="18" t="str">
        <f t="shared" si="235"/>
        <v/>
      </c>
    </row>
    <row r="7531" spans="1:2" x14ac:dyDescent="0.25">
      <c r="A7531" s="15" t="str">
        <f t="shared" si="234"/>
        <v/>
      </c>
      <c r="B7531" s="18" t="str">
        <f t="shared" si="235"/>
        <v/>
      </c>
    </row>
    <row r="7532" spans="1:2" x14ac:dyDescent="0.25">
      <c r="A7532" s="15" t="str">
        <f t="shared" si="234"/>
        <v/>
      </c>
      <c r="B7532" s="18" t="str">
        <f t="shared" si="235"/>
        <v/>
      </c>
    </row>
    <row r="7533" spans="1:2" x14ac:dyDescent="0.25">
      <c r="A7533" s="15" t="str">
        <f t="shared" si="234"/>
        <v/>
      </c>
      <c r="B7533" s="18" t="str">
        <f t="shared" si="235"/>
        <v/>
      </c>
    </row>
    <row r="7534" spans="1:2" x14ac:dyDescent="0.25">
      <c r="A7534" s="15" t="str">
        <f t="shared" si="234"/>
        <v/>
      </c>
      <c r="B7534" s="18" t="str">
        <f t="shared" si="235"/>
        <v/>
      </c>
    </row>
    <row r="7535" spans="1:2" x14ac:dyDescent="0.25">
      <c r="A7535" s="15" t="str">
        <f t="shared" si="234"/>
        <v/>
      </c>
      <c r="B7535" s="18" t="str">
        <f t="shared" si="235"/>
        <v/>
      </c>
    </row>
    <row r="7536" spans="1:2" x14ac:dyDescent="0.25">
      <c r="A7536" s="15" t="str">
        <f t="shared" si="234"/>
        <v/>
      </c>
      <c r="B7536" s="18" t="str">
        <f t="shared" si="235"/>
        <v/>
      </c>
    </row>
    <row r="7537" spans="1:2" x14ac:dyDescent="0.25">
      <c r="A7537" s="15" t="str">
        <f t="shared" si="234"/>
        <v/>
      </c>
      <c r="B7537" s="18" t="str">
        <f t="shared" si="235"/>
        <v/>
      </c>
    </row>
    <row r="7538" spans="1:2" x14ac:dyDescent="0.25">
      <c r="A7538" s="15" t="str">
        <f t="shared" si="234"/>
        <v/>
      </c>
      <c r="B7538" s="18" t="str">
        <f t="shared" si="235"/>
        <v/>
      </c>
    </row>
    <row r="7539" spans="1:2" x14ac:dyDescent="0.25">
      <c r="A7539" s="15" t="str">
        <f t="shared" si="234"/>
        <v/>
      </c>
      <c r="B7539" s="18" t="str">
        <f t="shared" si="235"/>
        <v/>
      </c>
    </row>
    <row r="7540" spans="1:2" x14ac:dyDescent="0.25">
      <c r="A7540" s="15" t="str">
        <f t="shared" si="234"/>
        <v/>
      </c>
      <c r="B7540" s="18" t="str">
        <f t="shared" si="235"/>
        <v/>
      </c>
    </row>
    <row r="7541" spans="1:2" x14ac:dyDescent="0.25">
      <c r="A7541" s="15" t="str">
        <f t="shared" si="234"/>
        <v/>
      </c>
      <c r="B7541" s="18" t="str">
        <f t="shared" si="235"/>
        <v/>
      </c>
    </row>
    <row r="7542" spans="1:2" x14ac:dyDescent="0.25">
      <c r="A7542" s="15" t="str">
        <f t="shared" si="234"/>
        <v/>
      </c>
      <c r="B7542" s="18" t="str">
        <f t="shared" si="235"/>
        <v/>
      </c>
    </row>
    <row r="7543" spans="1:2" x14ac:dyDescent="0.25">
      <c r="A7543" s="15" t="str">
        <f t="shared" si="234"/>
        <v/>
      </c>
      <c r="B7543" s="18" t="str">
        <f t="shared" si="235"/>
        <v/>
      </c>
    </row>
    <row r="7544" spans="1:2" x14ac:dyDescent="0.25">
      <c r="A7544" s="15" t="str">
        <f t="shared" si="234"/>
        <v/>
      </c>
      <c r="B7544" s="18" t="str">
        <f t="shared" si="235"/>
        <v/>
      </c>
    </row>
    <row r="7545" spans="1:2" x14ac:dyDescent="0.25">
      <c r="A7545" s="15" t="str">
        <f t="shared" si="234"/>
        <v/>
      </c>
      <c r="B7545" s="18" t="str">
        <f t="shared" si="235"/>
        <v/>
      </c>
    </row>
    <row r="7546" spans="1:2" x14ac:dyDescent="0.25">
      <c r="A7546" s="15" t="str">
        <f t="shared" si="234"/>
        <v/>
      </c>
      <c r="B7546" s="18" t="str">
        <f t="shared" si="235"/>
        <v/>
      </c>
    </row>
    <row r="7547" spans="1:2" x14ac:dyDescent="0.25">
      <c r="A7547" s="15" t="str">
        <f t="shared" si="234"/>
        <v/>
      </c>
      <c r="B7547" s="18" t="str">
        <f t="shared" si="235"/>
        <v/>
      </c>
    </row>
    <row r="7548" spans="1:2" x14ac:dyDescent="0.25">
      <c r="A7548" s="15" t="str">
        <f t="shared" si="234"/>
        <v/>
      </c>
      <c r="B7548" s="18" t="str">
        <f t="shared" si="235"/>
        <v/>
      </c>
    </row>
    <row r="7549" spans="1:2" x14ac:dyDescent="0.25">
      <c r="A7549" s="15" t="str">
        <f t="shared" si="234"/>
        <v/>
      </c>
      <c r="B7549" s="18" t="str">
        <f t="shared" si="235"/>
        <v/>
      </c>
    </row>
    <row r="7550" spans="1:2" x14ac:dyDescent="0.25">
      <c r="A7550" s="15" t="str">
        <f t="shared" si="234"/>
        <v/>
      </c>
      <c r="B7550" s="18" t="str">
        <f t="shared" si="235"/>
        <v/>
      </c>
    </row>
    <row r="7551" spans="1:2" x14ac:dyDescent="0.25">
      <c r="A7551" s="15" t="str">
        <f t="shared" si="234"/>
        <v/>
      </c>
      <c r="B7551" s="18" t="str">
        <f t="shared" si="235"/>
        <v/>
      </c>
    </row>
    <row r="7552" spans="1:2" x14ac:dyDescent="0.25">
      <c r="A7552" s="15" t="str">
        <f t="shared" si="234"/>
        <v/>
      </c>
      <c r="B7552" s="18" t="str">
        <f t="shared" si="235"/>
        <v/>
      </c>
    </row>
    <row r="7553" spans="1:2" x14ac:dyDescent="0.25">
      <c r="A7553" s="15" t="str">
        <f t="shared" si="234"/>
        <v/>
      </c>
      <c r="B7553" s="18" t="str">
        <f t="shared" si="235"/>
        <v/>
      </c>
    </row>
    <row r="7554" spans="1:2" x14ac:dyDescent="0.25">
      <c r="A7554" s="15" t="str">
        <f t="shared" ref="A7554:A7617" si="236">B7554&amp;C7554</f>
        <v/>
      </c>
      <c r="B7554" s="18" t="str">
        <f t="shared" si="235"/>
        <v/>
      </c>
    </row>
    <row r="7555" spans="1:2" x14ac:dyDescent="0.25">
      <c r="A7555" s="15" t="str">
        <f t="shared" si="236"/>
        <v/>
      </c>
      <c r="B7555" s="18" t="str">
        <f t="shared" ref="B7555:B7618" si="237">IF(C7555="","",B7554)</f>
        <v/>
      </c>
    </row>
    <row r="7556" spans="1:2" x14ac:dyDescent="0.25">
      <c r="A7556" s="15" t="str">
        <f t="shared" si="236"/>
        <v/>
      </c>
      <c r="B7556" s="18" t="str">
        <f t="shared" si="237"/>
        <v/>
      </c>
    </row>
    <row r="7557" spans="1:2" x14ac:dyDescent="0.25">
      <c r="A7557" s="15" t="str">
        <f t="shared" si="236"/>
        <v/>
      </c>
      <c r="B7557" s="18" t="str">
        <f t="shared" si="237"/>
        <v/>
      </c>
    </row>
    <row r="7558" spans="1:2" x14ac:dyDescent="0.25">
      <c r="A7558" s="15" t="str">
        <f t="shared" si="236"/>
        <v/>
      </c>
      <c r="B7558" s="18" t="str">
        <f t="shared" si="237"/>
        <v/>
      </c>
    </row>
    <row r="7559" spans="1:2" x14ac:dyDescent="0.25">
      <c r="A7559" s="15" t="str">
        <f t="shared" si="236"/>
        <v/>
      </c>
      <c r="B7559" s="18" t="str">
        <f t="shared" si="237"/>
        <v/>
      </c>
    </row>
    <row r="7560" spans="1:2" x14ac:dyDescent="0.25">
      <c r="A7560" s="15" t="str">
        <f t="shared" si="236"/>
        <v/>
      </c>
      <c r="B7560" s="18" t="str">
        <f t="shared" si="237"/>
        <v/>
      </c>
    </row>
    <row r="7561" spans="1:2" x14ac:dyDescent="0.25">
      <c r="A7561" s="15" t="str">
        <f t="shared" si="236"/>
        <v/>
      </c>
      <c r="B7561" s="18" t="str">
        <f t="shared" si="237"/>
        <v/>
      </c>
    </row>
    <row r="7562" spans="1:2" x14ac:dyDescent="0.25">
      <c r="A7562" s="15" t="str">
        <f t="shared" si="236"/>
        <v/>
      </c>
      <c r="B7562" s="18" t="str">
        <f t="shared" si="237"/>
        <v/>
      </c>
    </row>
    <row r="7563" spans="1:2" x14ac:dyDescent="0.25">
      <c r="A7563" s="15" t="str">
        <f t="shared" si="236"/>
        <v/>
      </c>
      <c r="B7563" s="18" t="str">
        <f t="shared" si="237"/>
        <v/>
      </c>
    </row>
    <row r="7564" spans="1:2" x14ac:dyDescent="0.25">
      <c r="A7564" s="15" t="str">
        <f t="shared" si="236"/>
        <v/>
      </c>
      <c r="B7564" s="18" t="str">
        <f t="shared" si="237"/>
        <v/>
      </c>
    </row>
    <row r="7565" spans="1:2" x14ac:dyDescent="0.25">
      <c r="A7565" s="15" t="str">
        <f t="shared" si="236"/>
        <v/>
      </c>
      <c r="B7565" s="18" t="str">
        <f t="shared" si="237"/>
        <v/>
      </c>
    </row>
    <row r="7566" spans="1:2" x14ac:dyDescent="0.25">
      <c r="A7566" s="15" t="str">
        <f t="shared" si="236"/>
        <v/>
      </c>
      <c r="B7566" s="18" t="str">
        <f t="shared" si="237"/>
        <v/>
      </c>
    </row>
    <row r="7567" spans="1:2" x14ac:dyDescent="0.25">
      <c r="A7567" s="15" t="str">
        <f t="shared" si="236"/>
        <v/>
      </c>
      <c r="B7567" s="18" t="str">
        <f t="shared" si="237"/>
        <v/>
      </c>
    </row>
    <row r="7568" spans="1:2" x14ac:dyDescent="0.25">
      <c r="A7568" s="15" t="str">
        <f t="shared" si="236"/>
        <v/>
      </c>
      <c r="B7568" s="18" t="str">
        <f t="shared" si="237"/>
        <v/>
      </c>
    </row>
    <row r="7569" spans="1:2" x14ac:dyDescent="0.25">
      <c r="A7569" s="15" t="str">
        <f t="shared" si="236"/>
        <v/>
      </c>
      <c r="B7569" s="18" t="str">
        <f t="shared" si="237"/>
        <v/>
      </c>
    </row>
    <row r="7570" spans="1:2" x14ac:dyDescent="0.25">
      <c r="A7570" s="15" t="str">
        <f t="shared" si="236"/>
        <v/>
      </c>
      <c r="B7570" s="18" t="str">
        <f t="shared" si="237"/>
        <v/>
      </c>
    </row>
    <row r="7571" spans="1:2" x14ac:dyDescent="0.25">
      <c r="A7571" s="15" t="str">
        <f t="shared" si="236"/>
        <v/>
      </c>
      <c r="B7571" s="18" t="str">
        <f t="shared" si="237"/>
        <v/>
      </c>
    </row>
    <row r="7572" spans="1:2" x14ac:dyDescent="0.25">
      <c r="A7572" s="15" t="str">
        <f t="shared" si="236"/>
        <v/>
      </c>
      <c r="B7572" s="18" t="str">
        <f t="shared" si="237"/>
        <v/>
      </c>
    </row>
    <row r="7573" spans="1:2" x14ac:dyDescent="0.25">
      <c r="A7573" s="15" t="str">
        <f t="shared" si="236"/>
        <v/>
      </c>
      <c r="B7573" s="18" t="str">
        <f t="shared" si="237"/>
        <v/>
      </c>
    </row>
    <row r="7574" spans="1:2" x14ac:dyDescent="0.25">
      <c r="A7574" s="15" t="str">
        <f t="shared" si="236"/>
        <v/>
      </c>
      <c r="B7574" s="18" t="str">
        <f t="shared" si="237"/>
        <v/>
      </c>
    </row>
    <row r="7575" spans="1:2" x14ac:dyDescent="0.25">
      <c r="A7575" s="15" t="str">
        <f t="shared" si="236"/>
        <v/>
      </c>
      <c r="B7575" s="18" t="str">
        <f t="shared" si="237"/>
        <v/>
      </c>
    </row>
    <row r="7576" spans="1:2" x14ac:dyDescent="0.25">
      <c r="A7576" s="15" t="str">
        <f t="shared" si="236"/>
        <v/>
      </c>
      <c r="B7576" s="18" t="str">
        <f t="shared" si="237"/>
        <v/>
      </c>
    </row>
    <row r="7577" spans="1:2" x14ac:dyDescent="0.25">
      <c r="A7577" s="15" t="str">
        <f t="shared" si="236"/>
        <v/>
      </c>
      <c r="B7577" s="18" t="str">
        <f t="shared" si="237"/>
        <v/>
      </c>
    </row>
    <row r="7578" spans="1:2" x14ac:dyDescent="0.25">
      <c r="A7578" s="15" t="str">
        <f t="shared" si="236"/>
        <v/>
      </c>
      <c r="B7578" s="18" t="str">
        <f t="shared" si="237"/>
        <v/>
      </c>
    </row>
    <row r="7579" spans="1:2" x14ac:dyDescent="0.25">
      <c r="A7579" s="15" t="str">
        <f t="shared" si="236"/>
        <v/>
      </c>
      <c r="B7579" s="18" t="str">
        <f t="shared" si="237"/>
        <v/>
      </c>
    </row>
    <row r="7580" spans="1:2" x14ac:dyDescent="0.25">
      <c r="A7580" s="15" t="str">
        <f t="shared" si="236"/>
        <v/>
      </c>
      <c r="B7580" s="18" t="str">
        <f t="shared" si="237"/>
        <v/>
      </c>
    </row>
    <row r="7581" spans="1:2" x14ac:dyDescent="0.25">
      <c r="A7581" s="15" t="str">
        <f t="shared" si="236"/>
        <v/>
      </c>
      <c r="B7581" s="18" t="str">
        <f t="shared" si="237"/>
        <v/>
      </c>
    </row>
    <row r="7582" spans="1:2" x14ac:dyDescent="0.25">
      <c r="A7582" s="15" t="str">
        <f t="shared" si="236"/>
        <v/>
      </c>
      <c r="B7582" s="18" t="str">
        <f t="shared" si="237"/>
        <v/>
      </c>
    </row>
    <row r="7583" spans="1:2" x14ac:dyDescent="0.25">
      <c r="A7583" s="15" t="str">
        <f t="shared" si="236"/>
        <v/>
      </c>
      <c r="B7583" s="18" t="str">
        <f t="shared" si="237"/>
        <v/>
      </c>
    </row>
    <row r="7584" spans="1:2" x14ac:dyDescent="0.25">
      <c r="A7584" s="15" t="str">
        <f t="shared" si="236"/>
        <v/>
      </c>
      <c r="B7584" s="18" t="str">
        <f t="shared" si="237"/>
        <v/>
      </c>
    </row>
    <row r="7585" spans="1:2" x14ac:dyDescent="0.25">
      <c r="A7585" s="15" t="str">
        <f t="shared" si="236"/>
        <v/>
      </c>
      <c r="B7585" s="18" t="str">
        <f t="shared" si="237"/>
        <v/>
      </c>
    </row>
    <row r="7586" spans="1:2" x14ac:dyDescent="0.25">
      <c r="A7586" s="15" t="str">
        <f t="shared" si="236"/>
        <v/>
      </c>
      <c r="B7586" s="18" t="str">
        <f t="shared" si="237"/>
        <v/>
      </c>
    </row>
    <row r="7587" spans="1:2" x14ac:dyDescent="0.25">
      <c r="A7587" s="15" t="str">
        <f t="shared" si="236"/>
        <v/>
      </c>
      <c r="B7587" s="18" t="str">
        <f t="shared" si="237"/>
        <v/>
      </c>
    </row>
    <row r="7588" spans="1:2" x14ac:dyDescent="0.25">
      <c r="A7588" s="15" t="str">
        <f t="shared" si="236"/>
        <v/>
      </c>
      <c r="B7588" s="18" t="str">
        <f t="shared" si="237"/>
        <v/>
      </c>
    </row>
    <row r="7589" spans="1:2" x14ac:dyDescent="0.25">
      <c r="A7589" s="15" t="str">
        <f t="shared" si="236"/>
        <v/>
      </c>
      <c r="B7589" s="18" t="str">
        <f t="shared" si="237"/>
        <v/>
      </c>
    </row>
    <row r="7590" spans="1:2" x14ac:dyDescent="0.25">
      <c r="A7590" s="15" t="str">
        <f t="shared" si="236"/>
        <v/>
      </c>
      <c r="B7590" s="18" t="str">
        <f t="shared" si="237"/>
        <v/>
      </c>
    </row>
    <row r="7591" spans="1:2" x14ac:dyDescent="0.25">
      <c r="A7591" s="15" t="str">
        <f t="shared" si="236"/>
        <v/>
      </c>
      <c r="B7591" s="18" t="str">
        <f t="shared" si="237"/>
        <v/>
      </c>
    </row>
    <row r="7592" spans="1:2" x14ac:dyDescent="0.25">
      <c r="A7592" s="15" t="str">
        <f t="shared" si="236"/>
        <v/>
      </c>
      <c r="B7592" s="18" t="str">
        <f t="shared" si="237"/>
        <v/>
      </c>
    </row>
    <row r="7593" spans="1:2" x14ac:dyDescent="0.25">
      <c r="A7593" s="15" t="str">
        <f t="shared" si="236"/>
        <v/>
      </c>
      <c r="B7593" s="18" t="str">
        <f t="shared" si="237"/>
        <v/>
      </c>
    </row>
    <row r="7594" spans="1:2" x14ac:dyDescent="0.25">
      <c r="A7594" s="15" t="str">
        <f t="shared" si="236"/>
        <v/>
      </c>
      <c r="B7594" s="18" t="str">
        <f t="shared" si="237"/>
        <v/>
      </c>
    </row>
    <row r="7595" spans="1:2" x14ac:dyDescent="0.25">
      <c r="A7595" s="15" t="str">
        <f t="shared" si="236"/>
        <v/>
      </c>
      <c r="B7595" s="18" t="str">
        <f t="shared" si="237"/>
        <v/>
      </c>
    </row>
    <row r="7596" spans="1:2" x14ac:dyDescent="0.25">
      <c r="A7596" s="15" t="str">
        <f t="shared" si="236"/>
        <v/>
      </c>
      <c r="B7596" s="18" t="str">
        <f t="shared" si="237"/>
        <v/>
      </c>
    </row>
    <row r="7597" spans="1:2" x14ac:dyDescent="0.25">
      <c r="A7597" s="15" t="str">
        <f t="shared" si="236"/>
        <v/>
      </c>
      <c r="B7597" s="18" t="str">
        <f t="shared" si="237"/>
        <v/>
      </c>
    </row>
    <row r="7598" spans="1:2" x14ac:dyDescent="0.25">
      <c r="A7598" s="15" t="str">
        <f t="shared" si="236"/>
        <v/>
      </c>
      <c r="B7598" s="18" t="str">
        <f t="shared" si="237"/>
        <v/>
      </c>
    </row>
    <row r="7599" spans="1:2" x14ac:dyDescent="0.25">
      <c r="A7599" s="15" t="str">
        <f t="shared" si="236"/>
        <v/>
      </c>
      <c r="B7599" s="18" t="str">
        <f t="shared" si="237"/>
        <v/>
      </c>
    </row>
    <row r="7600" spans="1:2" x14ac:dyDescent="0.25">
      <c r="A7600" s="15" t="str">
        <f t="shared" si="236"/>
        <v/>
      </c>
      <c r="B7600" s="18" t="str">
        <f t="shared" si="237"/>
        <v/>
      </c>
    </row>
    <row r="7601" spans="1:2" x14ac:dyDescent="0.25">
      <c r="A7601" s="15" t="str">
        <f t="shared" si="236"/>
        <v/>
      </c>
      <c r="B7601" s="18" t="str">
        <f t="shared" si="237"/>
        <v/>
      </c>
    </row>
    <row r="7602" spans="1:2" x14ac:dyDescent="0.25">
      <c r="A7602" s="15" t="str">
        <f t="shared" si="236"/>
        <v/>
      </c>
      <c r="B7602" s="18" t="str">
        <f t="shared" si="237"/>
        <v/>
      </c>
    </row>
    <row r="7603" spans="1:2" x14ac:dyDescent="0.25">
      <c r="A7603" s="15" t="str">
        <f t="shared" si="236"/>
        <v/>
      </c>
      <c r="B7603" s="18" t="str">
        <f t="shared" si="237"/>
        <v/>
      </c>
    </row>
    <row r="7604" spans="1:2" x14ac:dyDescent="0.25">
      <c r="A7604" s="15" t="str">
        <f t="shared" si="236"/>
        <v/>
      </c>
      <c r="B7604" s="18" t="str">
        <f t="shared" si="237"/>
        <v/>
      </c>
    </row>
    <row r="7605" spans="1:2" x14ac:dyDescent="0.25">
      <c r="A7605" s="15" t="str">
        <f t="shared" si="236"/>
        <v/>
      </c>
      <c r="B7605" s="18" t="str">
        <f t="shared" si="237"/>
        <v/>
      </c>
    </row>
    <row r="7606" spans="1:2" x14ac:dyDescent="0.25">
      <c r="A7606" s="15" t="str">
        <f t="shared" si="236"/>
        <v/>
      </c>
      <c r="B7606" s="18" t="str">
        <f t="shared" si="237"/>
        <v/>
      </c>
    </row>
    <row r="7607" spans="1:2" x14ac:dyDescent="0.25">
      <c r="A7607" s="15" t="str">
        <f t="shared" si="236"/>
        <v/>
      </c>
      <c r="B7607" s="18" t="str">
        <f t="shared" si="237"/>
        <v/>
      </c>
    </row>
    <row r="7608" spans="1:2" x14ac:dyDescent="0.25">
      <c r="A7608" s="15" t="str">
        <f t="shared" si="236"/>
        <v/>
      </c>
      <c r="B7608" s="18" t="str">
        <f t="shared" si="237"/>
        <v/>
      </c>
    </row>
    <row r="7609" spans="1:2" x14ac:dyDescent="0.25">
      <c r="A7609" s="15" t="str">
        <f t="shared" si="236"/>
        <v/>
      </c>
      <c r="B7609" s="18" t="str">
        <f t="shared" si="237"/>
        <v/>
      </c>
    </row>
    <row r="7610" spans="1:2" x14ac:dyDescent="0.25">
      <c r="A7610" s="15" t="str">
        <f t="shared" si="236"/>
        <v/>
      </c>
      <c r="B7610" s="18" t="str">
        <f t="shared" si="237"/>
        <v/>
      </c>
    </row>
    <row r="7611" spans="1:2" x14ac:dyDescent="0.25">
      <c r="A7611" s="15" t="str">
        <f t="shared" si="236"/>
        <v/>
      </c>
      <c r="B7611" s="18" t="str">
        <f t="shared" si="237"/>
        <v/>
      </c>
    </row>
    <row r="7612" spans="1:2" x14ac:dyDescent="0.25">
      <c r="A7612" s="15" t="str">
        <f t="shared" si="236"/>
        <v/>
      </c>
      <c r="B7612" s="18" t="str">
        <f t="shared" si="237"/>
        <v/>
      </c>
    </row>
    <row r="7613" spans="1:2" x14ac:dyDescent="0.25">
      <c r="A7613" s="15" t="str">
        <f t="shared" si="236"/>
        <v/>
      </c>
      <c r="B7613" s="18" t="str">
        <f t="shared" si="237"/>
        <v/>
      </c>
    </row>
    <row r="7614" spans="1:2" x14ac:dyDescent="0.25">
      <c r="A7614" s="15" t="str">
        <f t="shared" si="236"/>
        <v/>
      </c>
      <c r="B7614" s="18" t="str">
        <f t="shared" si="237"/>
        <v/>
      </c>
    </row>
    <row r="7615" spans="1:2" x14ac:dyDescent="0.25">
      <c r="A7615" s="15" t="str">
        <f t="shared" si="236"/>
        <v/>
      </c>
      <c r="B7615" s="18" t="str">
        <f t="shared" si="237"/>
        <v/>
      </c>
    </row>
    <row r="7616" spans="1:2" x14ac:dyDescent="0.25">
      <c r="A7616" s="15" t="str">
        <f t="shared" si="236"/>
        <v/>
      </c>
      <c r="B7616" s="18" t="str">
        <f t="shared" si="237"/>
        <v/>
      </c>
    </row>
    <row r="7617" spans="1:2" x14ac:dyDescent="0.25">
      <c r="A7617" s="15" t="str">
        <f t="shared" si="236"/>
        <v/>
      </c>
      <c r="B7617" s="18" t="str">
        <f t="shared" si="237"/>
        <v/>
      </c>
    </row>
    <row r="7618" spans="1:2" x14ac:dyDescent="0.25">
      <c r="A7618" s="15" t="str">
        <f t="shared" ref="A7618:A7681" si="238">B7618&amp;C7618</f>
        <v/>
      </c>
      <c r="B7618" s="18" t="str">
        <f t="shared" si="237"/>
        <v/>
      </c>
    </row>
    <row r="7619" spans="1:2" x14ac:dyDescent="0.25">
      <c r="A7619" s="15" t="str">
        <f t="shared" si="238"/>
        <v/>
      </c>
      <c r="B7619" s="18" t="str">
        <f t="shared" ref="B7619:B7682" si="239">IF(C7619="","",B7618)</f>
        <v/>
      </c>
    </row>
    <row r="7620" spans="1:2" x14ac:dyDescent="0.25">
      <c r="A7620" s="15" t="str">
        <f t="shared" si="238"/>
        <v/>
      </c>
      <c r="B7620" s="18" t="str">
        <f t="shared" si="239"/>
        <v/>
      </c>
    </row>
    <row r="7621" spans="1:2" x14ac:dyDescent="0.25">
      <c r="A7621" s="15" t="str">
        <f t="shared" si="238"/>
        <v/>
      </c>
      <c r="B7621" s="18" t="str">
        <f t="shared" si="239"/>
        <v/>
      </c>
    </row>
    <row r="7622" spans="1:2" x14ac:dyDescent="0.25">
      <c r="A7622" s="15" t="str">
        <f t="shared" si="238"/>
        <v/>
      </c>
      <c r="B7622" s="18" t="str">
        <f t="shared" si="239"/>
        <v/>
      </c>
    </row>
    <row r="7623" spans="1:2" x14ac:dyDescent="0.25">
      <c r="A7623" s="15" t="str">
        <f t="shared" si="238"/>
        <v/>
      </c>
      <c r="B7623" s="18" t="str">
        <f t="shared" si="239"/>
        <v/>
      </c>
    </row>
    <row r="7624" spans="1:2" x14ac:dyDescent="0.25">
      <c r="A7624" s="15" t="str">
        <f t="shared" si="238"/>
        <v/>
      </c>
      <c r="B7624" s="18" t="str">
        <f t="shared" si="239"/>
        <v/>
      </c>
    </row>
    <row r="7625" spans="1:2" x14ac:dyDescent="0.25">
      <c r="A7625" s="15" t="str">
        <f t="shared" si="238"/>
        <v/>
      </c>
      <c r="B7625" s="18" t="str">
        <f t="shared" si="239"/>
        <v/>
      </c>
    </row>
    <row r="7626" spans="1:2" x14ac:dyDescent="0.25">
      <c r="A7626" s="15" t="str">
        <f t="shared" si="238"/>
        <v/>
      </c>
      <c r="B7626" s="18" t="str">
        <f t="shared" si="239"/>
        <v/>
      </c>
    </row>
    <row r="7627" spans="1:2" x14ac:dyDescent="0.25">
      <c r="A7627" s="15" t="str">
        <f t="shared" si="238"/>
        <v/>
      </c>
      <c r="B7627" s="18" t="str">
        <f t="shared" si="239"/>
        <v/>
      </c>
    </row>
    <row r="7628" spans="1:2" x14ac:dyDescent="0.25">
      <c r="A7628" s="15" t="str">
        <f t="shared" si="238"/>
        <v/>
      </c>
      <c r="B7628" s="18" t="str">
        <f t="shared" si="239"/>
        <v/>
      </c>
    </row>
    <row r="7629" spans="1:2" x14ac:dyDescent="0.25">
      <c r="A7629" s="15" t="str">
        <f t="shared" si="238"/>
        <v/>
      </c>
      <c r="B7629" s="18" t="str">
        <f t="shared" si="239"/>
        <v/>
      </c>
    </row>
    <row r="7630" spans="1:2" x14ac:dyDescent="0.25">
      <c r="A7630" s="15" t="str">
        <f t="shared" si="238"/>
        <v/>
      </c>
      <c r="B7630" s="18" t="str">
        <f t="shared" si="239"/>
        <v/>
      </c>
    </row>
    <row r="7631" spans="1:2" x14ac:dyDescent="0.25">
      <c r="A7631" s="15" t="str">
        <f t="shared" si="238"/>
        <v/>
      </c>
      <c r="B7631" s="18" t="str">
        <f t="shared" si="239"/>
        <v/>
      </c>
    </row>
    <row r="7632" spans="1:2" x14ac:dyDescent="0.25">
      <c r="A7632" s="15" t="str">
        <f t="shared" si="238"/>
        <v/>
      </c>
      <c r="B7632" s="18" t="str">
        <f t="shared" si="239"/>
        <v/>
      </c>
    </row>
    <row r="7633" spans="1:2" x14ac:dyDescent="0.25">
      <c r="A7633" s="15" t="str">
        <f t="shared" si="238"/>
        <v/>
      </c>
      <c r="B7633" s="18" t="str">
        <f t="shared" si="239"/>
        <v/>
      </c>
    </row>
    <row r="7634" spans="1:2" x14ac:dyDescent="0.25">
      <c r="A7634" s="15" t="str">
        <f t="shared" si="238"/>
        <v/>
      </c>
      <c r="B7634" s="18" t="str">
        <f t="shared" si="239"/>
        <v/>
      </c>
    </row>
    <row r="7635" spans="1:2" x14ac:dyDescent="0.25">
      <c r="A7635" s="15" t="str">
        <f t="shared" si="238"/>
        <v/>
      </c>
      <c r="B7635" s="18" t="str">
        <f t="shared" si="239"/>
        <v/>
      </c>
    </row>
    <row r="7636" spans="1:2" x14ac:dyDescent="0.25">
      <c r="A7636" s="15" t="str">
        <f t="shared" si="238"/>
        <v/>
      </c>
      <c r="B7636" s="18" t="str">
        <f t="shared" si="239"/>
        <v/>
      </c>
    </row>
    <row r="7637" spans="1:2" x14ac:dyDescent="0.25">
      <c r="A7637" s="15" t="str">
        <f t="shared" si="238"/>
        <v/>
      </c>
      <c r="B7637" s="18" t="str">
        <f t="shared" si="239"/>
        <v/>
      </c>
    </row>
    <row r="7638" spans="1:2" x14ac:dyDescent="0.25">
      <c r="A7638" s="15" t="str">
        <f t="shared" si="238"/>
        <v/>
      </c>
      <c r="B7638" s="18" t="str">
        <f t="shared" si="239"/>
        <v/>
      </c>
    </row>
    <row r="7639" spans="1:2" x14ac:dyDescent="0.25">
      <c r="A7639" s="15" t="str">
        <f t="shared" si="238"/>
        <v/>
      </c>
      <c r="B7639" s="18" t="str">
        <f t="shared" si="239"/>
        <v/>
      </c>
    </row>
    <row r="7640" spans="1:2" x14ac:dyDescent="0.25">
      <c r="A7640" s="15" t="str">
        <f t="shared" si="238"/>
        <v/>
      </c>
      <c r="B7640" s="18" t="str">
        <f t="shared" si="239"/>
        <v/>
      </c>
    </row>
    <row r="7641" spans="1:2" x14ac:dyDescent="0.25">
      <c r="A7641" s="15" t="str">
        <f t="shared" si="238"/>
        <v/>
      </c>
      <c r="B7641" s="18" t="str">
        <f t="shared" si="239"/>
        <v/>
      </c>
    </row>
    <row r="7642" spans="1:2" x14ac:dyDescent="0.25">
      <c r="A7642" s="15" t="str">
        <f t="shared" si="238"/>
        <v/>
      </c>
      <c r="B7642" s="18" t="str">
        <f t="shared" si="239"/>
        <v/>
      </c>
    </row>
    <row r="7643" spans="1:2" x14ac:dyDescent="0.25">
      <c r="A7643" s="15" t="str">
        <f t="shared" si="238"/>
        <v/>
      </c>
      <c r="B7643" s="18" t="str">
        <f t="shared" si="239"/>
        <v/>
      </c>
    </row>
    <row r="7644" spans="1:2" x14ac:dyDescent="0.25">
      <c r="A7644" s="15" t="str">
        <f t="shared" si="238"/>
        <v/>
      </c>
      <c r="B7644" s="18" t="str">
        <f t="shared" si="239"/>
        <v/>
      </c>
    </row>
    <row r="7645" spans="1:2" x14ac:dyDescent="0.25">
      <c r="A7645" s="15" t="str">
        <f t="shared" si="238"/>
        <v/>
      </c>
      <c r="B7645" s="18" t="str">
        <f t="shared" si="239"/>
        <v/>
      </c>
    </row>
    <row r="7646" spans="1:2" x14ac:dyDescent="0.25">
      <c r="A7646" s="15" t="str">
        <f t="shared" si="238"/>
        <v/>
      </c>
      <c r="B7646" s="18" t="str">
        <f t="shared" si="239"/>
        <v/>
      </c>
    </row>
    <row r="7647" spans="1:2" x14ac:dyDescent="0.25">
      <c r="A7647" s="15" t="str">
        <f t="shared" si="238"/>
        <v/>
      </c>
      <c r="B7647" s="18" t="str">
        <f t="shared" si="239"/>
        <v/>
      </c>
    </row>
    <row r="7648" spans="1:2" x14ac:dyDescent="0.25">
      <c r="A7648" s="15" t="str">
        <f t="shared" si="238"/>
        <v/>
      </c>
      <c r="B7648" s="18" t="str">
        <f t="shared" si="239"/>
        <v/>
      </c>
    </row>
    <row r="7649" spans="1:2" x14ac:dyDescent="0.25">
      <c r="A7649" s="15" t="str">
        <f t="shared" si="238"/>
        <v/>
      </c>
      <c r="B7649" s="18" t="str">
        <f t="shared" si="239"/>
        <v/>
      </c>
    </row>
    <row r="7650" spans="1:2" x14ac:dyDescent="0.25">
      <c r="A7650" s="15" t="str">
        <f t="shared" si="238"/>
        <v/>
      </c>
      <c r="B7650" s="18" t="str">
        <f t="shared" si="239"/>
        <v/>
      </c>
    </row>
    <row r="7651" spans="1:2" x14ac:dyDescent="0.25">
      <c r="A7651" s="15" t="str">
        <f t="shared" si="238"/>
        <v/>
      </c>
      <c r="B7651" s="18" t="str">
        <f t="shared" si="239"/>
        <v/>
      </c>
    </row>
    <row r="7652" spans="1:2" x14ac:dyDescent="0.25">
      <c r="A7652" s="15" t="str">
        <f t="shared" si="238"/>
        <v/>
      </c>
      <c r="B7652" s="18" t="str">
        <f t="shared" si="239"/>
        <v/>
      </c>
    </row>
    <row r="7653" spans="1:2" x14ac:dyDescent="0.25">
      <c r="A7653" s="15" t="str">
        <f t="shared" si="238"/>
        <v/>
      </c>
      <c r="B7653" s="18" t="str">
        <f t="shared" si="239"/>
        <v/>
      </c>
    </row>
    <row r="7654" spans="1:2" x14ac:dyDescent="0.25">
      <c r="A7654" s="15" t="str">
        <f t="shared" si="238"/>
        <v/>
      </c>
      <c r="B7654" s="18" t="str">
        <f t="shared" si="239"/>
        <v/>
      </c>
    </row>
    <row r="7655" spans="1:2" x14ac:dyDescent="0.25">
      <c r="A7655" s="15" t="str">
        <f t="shared" si="238"/>
        <v/>
      </c>
      <c r="B7655" s="18" t="str">
        <f t="shared" si="239"/>
        <v/>
      </c>
    </row>
    <row r="7656" spans="1:2" x14ac:dyDescent="0.25">
      <c r="A7656" s="15" t="str">
        <f t="shared" si="238"/>
        <v/>
      </c>
      <c r="B7656" s="18" t="str">
        <f t="shared" si="239"/>
        <v/>
      </c>
    </row>
    <row r="7657" spans="1:2" x14ac:dyDescent="0.25">
      <c r="A7657" s="15" t="str">
        <f t="shared" si="238"/>
        <v/>
      </c>
      <c r="B7657" s="18" t="str">
        <f t="shared" si="239"/>
        <v/>
      </c>
    </row>
    <row r="7658" spans="1:2" x14ac:dyDescent="0.25">
      <c r="A7658" s="15" t="str">
        <f t="shared" si="238"/>
        <v/>
      </c>
      <c r="B7658" s="18" t="str">
        <f t="shared" si="239"/>
        <v/>
      </c>
    </row>
    <row r="7659" spans="1:2" x14ac:dyDescent="0.25">
      <c r="A7659" s="15" t="str">
        <f t="shared" si="238"/>
        <v/>
      </c>
      <c r="B7659" s="18" t="str">
        <f t="shared" si="239"/>
        <v/>
      </c>
    </row>
    <row r="7660" spans="1:2" x14ac:dyDescent="0.25">
      <c r="A7660" s="15" t="str">
        <f t="shared" si="238"/>
        <v/>
      </c>
      <c r="B7660" s="18" t="str">
        <f t="shared" si="239"/>
        <v/>
      </c>
    </row>
    <row r="7661" spans="1:2" x14ac:dyDescent="0.25">
      <c r="A7661" s="15" t="str">
        <f t="shared" si="238"/>
        <v/>
      </c>
      <c r="B7661" s="18" t="str">
        <f t="shared" si="239"/>
        <v/>
      </c>
    </row>
    <row r="7662" spans="1:2" x14ac:dyDescent="0.25">
      <c r="A7662" s="15" t="str">
        <f t="shared" si="238"/>
        <v/>
      </c>
      <c r="B7662" s="18" t="str">
        <f t="shared" si="239"/>
        <v/>
      </c>
    </row>
    <row r="7663" spans="1:2" x14ac:dyDescent="0.25">
      <c r="A7663" s="15" t="str">
        <f t="shared" si="238"/>
        <v/>
      </c>
      <c r="B7663" s="18" t="str">
        <f t="shared" si="239"/>
        <v/>
      </c>
    </row>
    <row r="7664" spans="1:2" x14ac:dyDescent="0.25">
      <c r="A7664" s="15" t="str">
        <f t="shared" si="238"/>
        <v/>
      </c>
      <c r="B7664" s="18" t="str">
        <f t="shared" si="239"/>
        <v/>
      </c>
    </row>
    <row r="7665" spans="1:2" x14ac:dyDescent="0.25">
      <c r="A7665" s="15" t="str">
        <f t="shared" si="238"/>
        <v/>
      </c>
      <c r="B7665" s="18" t="str">
        <f t="shared" si="239"/>
        <v/>
      </c>
    </row>
    <row r="7666" spans="1:2" x14ac:dyDescent="0.25">
      <c r="A7666" s="15" t="str">
        <f t="shared" si="238"/>
        <v/>
      </c>
      <c r="B7666" s="18" t="str">
        <f t="shared" si="239"/>
        <v/>
      </c>
    </row>
    <row r="7667" spans="1:2" x14ac:dyDescent="0.25">
      <c r="A7667" s="15" t="str">
        <f t="shared" si="238"/>
        <v/>
      </c>
      <c r="B7667" s="18" t="str">
        <f t="shared" si="239"/>
        <v/>
      </c>
    </row>
    <row r="7668" spans="1:2" x14ac:dyDescent="0.25">
      <c r="A7668" s="15" t="str">
        <f t="shared" si="238"/>
        <v/>
      </c>
      <c r="B7668" s="18" t="str">
        <f t="shared" si="239"/>
        <v/>
      </c>
    </row>
    <row r="7669" spans="1:2" x14ac:dyDescent="0.25">
      <c r="A7669" s="15" t="str">
        <f t="shared" si="238"/>
        <v/>
      </c>
      <c r="B7669" s="18" t="str">
        <f t="shared" si="239"/>
        <v/>
      </c>
    </row>
    <row r="7670" spans="1:2" x14ac:dyDescent="0.25">
      <c r="A7670" s="15" t="str">
        <f t="shared" si="238"/>
        <v/>
      </c>
      <c r="B7670" s="18" t="str">
        <f t="shared" si="239"/>
        <v/>
      </c>
    </row>
    <row r="7671" spans="1:2" x14ac:dyDescent="0.25">
      <c r="A7671" s="15" t="str">
        <f t="shared" si="238"/>
        <v/>
      </c>
      <c r="B7671" s="18" t="str">
        <f t="shared" si="239"/>
        <v/>
      </c>
    </row>
    <row r="7672" spans="1:2" x14ac:dyDescent="0.25">
      <c r="A7672" s="15" t="str">
        <f t="shared" si="238"/>
        <v/>
      </c>
      <c r="B7672" s="18" t="str">
        <f t="shared" si="239"/>
        <v/>
      </c>
    </row>
    <row r="7673" spans="1:2" x14ac:dyDescent="0.25">
      <c r="A7673" s="15" t="str">
        <f t="shared" si="238"/>
        <v/>
      </c>
      <c r="B7673" s="18" t="str">
        <f t="shared" si="239"/>
        <v/>
      </c>
    </row>
    <row r="7674" spans="1:2" x14ac:dyDescent="0.25">
      <c r="A7674" s="15" t="str">
        <f t="shared" si="238"/>
        <v/>
      </c>
      <c r="B7674" s="18" t="str">
        <f t="shared" si="239"/>
        <v/>
      </c>
    </row>
    <row r="7675" spans="1:2" x14ac:dyDescent="0.25">
      <c r="A7675" s="15" t="str">
        <f t="shared" si="238"/>
        <v/>
      </c>
      <c r="B7675" s="18" t="str">
        <f t="shared" si="239"/>
        <v/>
      </c>
    </row>
    <row r="7676" spans="1:2" x14ac:dyDescent="0.25">
      <c r="A7676" s="15" t="str">
        <f t="shared" si="238"/>
        <v/>
      </c>
      <c r="B7676" s="18" t="str">
        <f t="shared" si="239"/>
        <v/>
      </c>
    </row>
    <row r="7677" spans="1:2" x14ac:dyDescent="0.25">
      <c r="A7677" s="15" t="str">
        <f t="shared" si="238"/>
        <v/>
      </c>
      <c r="B7677" s="18" t="str">
        <f t="shared" si="239"/>
        <v/>
      </c>
    </row>
    <row r="7678" spans="1:2" x14ac:dyDescent="0.25">
      <c r="A7678" s="15" t="str">
        <f t="shared" si="238"/>
        <v/>
      </c>
      <c r="B7678" s="18" t="str">
        <f t="shared" si="239"/>
        <v/>
      </c>
    </row>
    <row r="7679" spans="1:2" x14ac:dyDescent="0.25">
      <c r="A7679" s="15" t="str">
        <f t="shared" si="238"/>
        <v/>
      </c>
      <c r="B7679" s="18" t="str">
        <f t="shared" si="239"/>
        <v/>
      </c>
    </row>
    <row r="7680" spans="1:2" x14ac:dyDescent="0.25">
      <c r="A7680" s="15" t="str">
        <f t="shared" si="238"/>
        <v/>
      </c>
      <c r="B7680" s="18" t="str">
        <f t="shared" si="239"/>
        <v/>
      </c>
    </row>
    <row r="7681" spans="1:2" x14ac:dyDescent="0.25">
      <c r="A7681" s="15" t="str">
        <f t="shared" si="238"/>
        <v/>
      </c>
      <c r="B7681" s="18" t="str">
        <f t="shared" si="239"/>
        <v/>
      </c>
    </row>
    <row r="7682" spans="1:2" x14ac:dyDescent="0.25">
      <c r="A7682" s="15" t="str">
        <f t="shared" ref="A7682:A7745" si="240">B7682&amp;C7682</f>
        <v/>
      </c>
      <c r="B7682" s="18" t="str">
        <f t="shared" si="239"/>
        <v/>
      </c>
    </row>
    <row r="7683" spans="1:2" x14ac:dyDescent="0.25">
      <c r="A7683" s="15" t="str">
        <f t="shared" si="240"/>
        <v/>
      </c>
      <c r="B7683" s="18" t="str">
        <f t="shared" ref="B7683:B7746" si="241">IF(C7683="","",B7682)</f>
        <v/>
      </c>
    </row>
    <row r="7684" spans="1:2" x14ac:dyDescent="0.25">
      <c r="A7684" s="15" t="str">
        <f t="shared" si="240"/>
        <v/>
      </c>
      <c r="B7684" s="18" t="str">
        <f t="shared" si="241"/>
        <v/>
      </c>
    </row>
    <row r="7685" spans="1:2" x14ac:dyDescent="0.25">
      <c r="A7685" s="15" t="str">
        <f t="shared" si="240"/>
        <v/>
      </c>
      <c r="B7685" s="18" t="str">
        <f t="shared" si="241"/>
        <v/>
      </c>
    </row>
    <row r="7686" spans="1:2" x14ac:dyDescent="0.25">
      <c r="A7686" s="15" t="str">
        <f t="shared" si="240"/>
        <v/>
      </c>
      <c r="B7686" s="18" t="str">
        <f t="shared" si="241"/>
        <v/>
      </c>
    </row>
    <row r="7687" spans="1:2" x14ac:dyDescent="0.25">
      <c r="A7687" s="15" t="str">
        <f t="shared" si="240"/>
        <v/>
      </c>
      <c r="B7687" s="18" t="str">
        <f t="shared" si="241"/>
        <v/>
      </c>
    </row>
    <row r="7688" spans="1:2" x14ac:dyDescent="0.25">
      <c r="A7688" s="15" t="str">
        <f t="shared" si="240"/>
        <v/>
      </c>
      <c r="B7688" s="18" t="str">
        <f t="shared" si="241"/>
        <v/>
      </c>
    </row>
    <row r="7689" spans="1:2" x14ac:dyDescent="0.25">
      <c r="A7689" s="15" t="str">
        <f t="shared" si="240"/>
        <v/>
      </c>
      <c r="B7689" s="18" t="str">
        <f t="shared" si="241"/>
        <v/>
      </c>
    </row>
    <row r="7690" spans="1:2" x14ac:dyDescent="0.25">
      <c r="A7690" s="15" t="str">
        <f t="shared" si="240"/>
        <v/>
      </c>
      <c r="B7690" s="18" t="str">
        <f t="shared" si="241"/>
        <v/>
      </c>
    </row>
    <row r="7691" spans="1:2" x14ac:dyDescent="0.25">
      <c r="A7691" s="15" t="str">
        <f t="shared" si="240"/>
        <v/>
      </c>
      <c r="B7691" s="18" t="str">
        <f t="shared" si="241"/>
        <v/>
      </c>
    </row>
    <row r="7692" spans="1:2" x14ac:dyDescent="0.25">
      <c r="A7692" s="15" t="str">
        <f t="shared" si="240"/>
        <v/>
      </c>
      <c r="B7692" s="18" t="str">
        <f t="shared" si="241"/>
        <v/>
      </c>
    </row>
    <row r="7693" spans="1:2" x14ac:dyDescent="0.25">
      <c r="A7693" s="15" t="str">
        <f t="shared" si="240"/>
        <v/>
      </c>
      <c r="B7693" s="18" t="str">
        <f t="shared" si="241"/>
        <v/>
      </c>
    </row>
    <row r="7694" spans="1:2" x14ac:dyDescent="0.25">
      <c r="A7694" s="15" t="str">
        <f t="shared" si="240"/>
        <v/>
      </c>
      <c r="B7694" s="18" t="str">
        <f t="shared" si="241"/>
        <v/>
      </c>
    </row>
    <row r="7695" spans="1:2" x14ac:dyDescent="0.25">
      <c r="A7695" s="15" t="str">
        <f t="shared" si="240"/>
        <v/>
      </c>
      <c r="B7695" s="18" t="str">
        <f t="shared" si="241"/>
        <v/>
      </c>
    </row>
    <row r="7696" spans="1:2" x14ac:dyDescent="0.25">
      <c r="A7696" s="15" t="str">
        <f t="shared" si="240"/>
        <v/>
      </c>
      <c r="B7696" s="18" t="str">
        <f t="shared" si="241"/>
        <v/>
      </c>
    </row>
    <row r="7697" spans="1:2" x14ac:dyDescent="0.25">
      <c r="A7697" s="15" t="str">
        <f t="shared" si="240"/>
        <v/>
      </c>
      <c r="B7697" s="18" t="str">
        <f t="shared" si="241"/>
        <v/>
      </c>
    </row>
    <row r="7698" spans="1:2" x14ac:dyDescent="0.25">
      <c r="A7698" s="15" t="str">
        <f t="shared" si="240"/>
        <v/>
      </c>
      <c r="B7698" s="18" t="str">
        <f t="shared" si="241"/>
        <v/>
      </c>
    </row>
    <row r="7699" spans="1:2" x14ac:dyDescent="0.25">
      <c r="A7699" s="15" t="str">
        <f t="shared" si="240"/>
        <v/>
      </c>
      <c r="B7699" s="18" t="str">
        <f t="shared" si="241"/>
        <v/>
      </c>
    </row>
    <row r="7700" spans="1:2" x14ac:dyDescent="0.25">
      <c r="A7700" s="15" t="str">
        <f t="shared" si="240"/>
        <v/>
      </c>
      <c r="B7700" s="18" t="str">
        <f t="shared" si="241"/>
        <v/>
      </c>
    </row>
    <row r="7701" spans="1:2" x14ac:dyDescent="0.25">
      <c r="A7701" s="15" t="str">
        <f t="shared" si="240"/>
        <v/>
      </c>
      <c r="B7701" s="18" t="str">
        <f t="shared" si="241"/>
        <v/>
      </c>
    </row>
    <row r="7702" spans="1:2" x14ac:dyDescent="0.25">
      <c r="A7702" s="15" t="str">
        <f t="shared" si="240"/>
        <v/>
      </c>
      <c r="B7702" s="18" t="str">
        <f t="shared" si="241"/>
        <v/>
      </c>
    </row>
    <row r="7703" spans="1:2" x14ac:dyDescent="0.25">
      <c r="A7703" s="15" t="str">
        <f t="shared" si="240"/>
        <v/>
      </c>
      <c r="B7703" s="18" t="str">
        <f t="shared" si="241"/>
        <v/>
      </c>
    </row>
    <row r="7704" spans="1:2" x14ac:dyDescent="0.25">
      <c r="A7704" s="15" t="str">
        <f t="shared" si="240"/>
        <v/>
      </c>
      <c r="B7704" s="18" t="str">
        <f t="shared" si="241"/>
        <v/>
      </c>
    </row>
    <row r="7705" spans="1:2" x14ac:dyDescent="0.25">
      <c r="A7705" s="15" t="str">
        <f t="shared" si="240"/>
        <v/>
      </c>
      <c r="B7705" s="18" t="str">
        <f t="shared" si="241"/>
        <v/>
      </c>
    </row>
    <row r="7706" spans="1:2" x14ac:dyDescent="0.25">
      <c r="A7706" s="15" t="str">
        <f t="shared" si="240"/>
        <v/>
      </c>
      <c r="B7706" s="18" t="str">
        <f t="shared" si="241"/>
        <v/>
      </c>
    </row>
    <row r="7707" spans="1:2" x14ac:dyDescent="0.25">
      <c r="A7707" s="15" t="str">
        <f t="shared" si="240"/>
        <v/>
      </c>
      <c r="B7707" s="18" t="str">
        <f t="shared" si="241"/>
        <v/>
      </c>
    </row>
    <row r="7708" spans="1:2" x14ac:dyDescent="0.25">
      <c r="A7708" s="15" t="str">
        <f t="shared" si="240"/>
        <v/>
      </c>
      <c r="B7708" s="18" t="str">
        <f t="shared" si="241"/>
        <v/>
      </c>
    </row>
    <row r="7709" spans="1:2" x14ac:dyDescent="0.25">
      <c r="A7709" s="15" t="str">
        <f t="shared" si="240"/>
        <v/>
      </c>
      <c r="B7709" s="18" t="str">
        <f t="shared" si="241"/>
        <v/>
      </c>
    </row>
    <row r="7710" spans="1:2" x14ac:dyDescent="0.25">
      <c r="A7710" s="15" t="str">
        <f t="shared" si="240"/>
        <v/>
      </c>
      <c r="B7710" s="18" t="str">
        <f t="shared" si="241"/>
        <v/>
      </c>
    </row>
    <row r="7711" spans="1:2" x14ac:dyDescent="0.25">
      <c r="A7711" s="15" t="str">
        <f t="shared" si="240"/>
        <v/>
      </c>
      <c r="B7711" s="18" t="str">
        <f t="shared" si="241"/>
        <v/>
      </c>
    </row>
    <row r="7712" spans="1:2" x14ac:dyDescent="0.25">
      <c r="A7712" s="15" t="str">
        <f t="shared" si="240"/>
        <v/>
      </c>
      <c r="B7712" s="18" t="str">
        <f t="shared" si="241"/>
        <v/>
      </c>
    </row>
    <row r="7713" spans="1:2" x14ac:dyDescent="0.25">
      <c r="A7713" s="15" t="str">
        <f t="shared" si="240"/>
        <v/>
      </c>
      <c r="B7713" s="18" t="str">
        <f t="shared" si="241"/>
        <v/>
      </c>
    </row>
    <row r="7714" spans="1:2" x14ac:dyDescent="0.25">
      <c r="A7714" s="15" t="str">
        <f t="shared" si="240"/>
        <v/>
      </c>
      <c r="B7714" s="18" t="str">
        <f t="shared" si="241"/>
        <v/>
      </c>
    </row>
    <row r="7715" spans="1:2" x14ac:dyDescent="0.25">
      <c r="A7715" s="15" t="str">
        <f t="shared" si="240"/>
        <v/>
      </c>
      <c r="B7715" s="18" t="str">
        <f t="shared" si="241"/>
        <v/>
      </c>
    </row>
    <row r="7716" spans="1:2" x14ac:dyDescent="0.25">
      <c r="A7716" s="15" t="str">
        <f t="shared" si="240"/>
        <v/>
      </c>
      <c r="B7716" s="18" t="str">
        <f t="shared" si="241"/>
        <v/>
      </c>
    </row>
    <row r="7717" spans="1:2" x14ac:dyDescent="0.25">
      <c r="A7717" s="15" t="str">
        <f t="shared" si="240"/>
        <v/>
      </c>
      <c r="B7717" s="18" t="str">
        <f t="shared" si="241"/>
        <v/>
      </c>
    </row>
    <row r="7718" spans="1:2" x14ac:dyDescent="0.25">
      <c r="A7718" s="15" t="str">
        <f t="shared" si="240"/>
        <v/>
      </c>
      <c r="B7718" s="18" t="str">
        <f t="shared" si="241"/>
        <v/>
      </c>
    </row>
    <row r="7719" spans="1:2" x14ac:dyDescent="0.25">
      <c r="A7719" s="15" t="str">
        <f t="shared" si="240"/>
        <v/>
      </c>
      <c r="B7719" s="18" t="str">
        <f t="shared" si="241"/>
        <v/>
      </c>
    </row>
    <row r="7720" spans="1:2" x14ac:dyDescent="0.25">
      <c r="A7720" s="15" t="str">
        <f t="shared" si="240"/>
        <v/>
      </c>
      <c r="B7720" s="18" t="str">
        <f t="shared" si="241"/>
        <v/>
      </c>
    </row>
    <row r="7721" spans="1:2" x14ac:dyDescent="0.25">
      <c r="A7721" s="15" t="str">
        <f t="shared" si="240"/>
        <v/>
      </c>
      <c r="B7721" s="18" t="str">
        <f t="shared" si="241"/>
        <v/>
      </c>
    </row>
    <row r="7722" spans="1:2" x14ac:dyDescent="0.25">
      <c r="A7722" s="15" t="str">
        <f t="shared" si="240"/>
        <v/>
      </c>
      <c r="B7722" s="18" t="str">
        <f t="shared" si="241"/>
        <v/>
      </c>
    </row>
    <row r="7723" spans="1:2" x14ac:dyDescent="0.25">
      <c r="A7723" s="15" t="str">
        <f t="shared" si="240"/>
        <v/>
      </c>
      <c r="B7723" s="18" t="str">
        <f t="shared" si="241"/>
        <v/>
      </c>
    </row>
    <row r="7724" spans="1:2" x14ac:dyDescent="0.25">
      <c r="A7724" s="15" t="str">
        <f t="shared" si="240"/>
        <v/>
      </c>
      <c r="B7724" s="18" t="str">
        <f t="shared" si="241"/>
        <v/>
      </c>
    </row>
    <row r="7725" spans="1:2" x14ac:dyDescent="0.25">
      <c r="A7725" s="15" t="str">
        <f t="shared" si="240"/>
        <v/>
      </c>
      <c r="B7725" s="18" t="str">
        <f t="shared" si="241"/>
        <v/>
      </c>
    </row>
    <row r="7726" spans="1:2" x14ac:dyDescent="0.25">
      <c r="A7726" s="15" t="str">
        <f t="shared" si="240"/>
        <v/>
      </c>
      <c r="B7726" s="18" t="str">
        <f t="shared" si="241"/>
        <v/>
      </c>
    </row>
    <row r="7727" spans="1:2" x14ac:dyDescent="0.25">
      <c r="A7727" s="15" t="str">
        <f t="shared" si="240"/>
        <v/>
      </c>
      <c r="B7727" s="18" t="str">
        <f t="shared" si="241"/>
        <v/>
      </c>
    </row>
    <row r="7728" spans="1:2" x14ac:dyDescent="0.25">
      <c r="A7728" s="15" t="str">
        <f t="shared" si="240"/>
        <v/>
      </c>
      <c r="B7728" s="18" t="str">
        <f t="shared" si="241"/>
        <v/>
      </c>
    </row>
    <row r="7729" spans="1:2" x14ac:dyDescent="0.25">
      <c r="A7729" s="15" t="str">
        <f t="shared" si="240"/>
        <v/>
      </c>
      <c r="B7729" s="18" t="str">
        <f t="shared" si="241"/>
        <v/>
      </c>
    </row>
    <row r="7730" spans="1:2" x14ac:dyDescent="0.25">
      <c r="A7730" s="15" t="str">
        <f t="shared" si="240"/>
        <v/>
      </c>
      <c r="B7730" s="18" t="str">
        <f t="shared" si="241"/>
        <v/>
      </c>
    </row>
    <row r="7731" spans="1:2" x14ac:dyDescent="0.25">
      <c r="A7731" s="15" t="str">
        <f t="shared" si="240"/>
        <v/>
      </c>
      <c r="B7731" s="18" t="str">
        <f t="shared" si="241"/>
        <v/>
      </c>
    </row>
    <row r="7732" spans="1:2" x14ac:dyDescent="0.25">
      <c r="A7732" s="15" t="str">
        <f t="shared" si="240"/>
        <v/>
      </c>
      <c r="B7732" s="18" t="str">
        <f t="shared" si="241"/>
        <v/>
      </c>
    </row>
    <row r="7733" spans="1:2" x14ac:dyDescent="0.25">
      <c r="A7733" s="15" t="str">
        <f t="shared" si="240"/>
        <v/>
      </c>
      <c r="B7733" s="18" t="str">
        <f t="shared" si="241"/>
        <v/>
      </c>
    </row>
    <row r="7734" spans="1:2" x14ac:dyDescent="0.25">
      <c r="A7734" s="15" t="str">
        <f t="shared" si="240"/>
        <v/>
      </c>
      <c r="B7734" s="18" t="str">
        <f t="shared" si="241"/>
        <v/>
      </c>
    </row>
    <row r="7735" spans="1:2" x14ac:dyDescent="0.25">
      <c r="A7735" s="15" t="str">
        <f t="shared" si="240"/>
        <v/>
      </c>
      <c r="B7735" s="18" t="str">
        <f t="shared" si="241"/>
        <v/>
      </c>
    </row>
    <row r="7736" spans="1:2" x14ac:dyDescent="0.25">
      <c r="A7736" s="15" t="str">
        <f t="shared" si="240"/>
        <v/>
      </c>
      <c r="B7736" s="18" t="str">
        <f t="shared" si="241"/>
        <v/>
      </c>
    </row>
    <row r="7737" spans="1:2" x14ac:dyDescent="0.25">
      <c r="A7737" s="15" t="str">
        <f t="shared" si="240"/>
        <v/>
      </c>
      <c r="B7737" s="18" t="str">
        <f t="shared" si="241"/>
        <v/>
      </c>
    </row>
    <row r="7738" spans="1:2" x14ac:dyDescent="0.25">
      <c r="A7738" s="15" t="str">
        <f t="shared" si="240"/>
        <v/>
      </c>
      <c r="B7738" s="18" t="str">
        <f t="shared" si="241"/>
        <v/>
      </c>
    </row>
    <row r="7739" spans="1:2" x14ac:dyDescent="0.25">
      <c r="A7739" s="15" t="str">
        <f t="shared" si="240"/>
        <v/>
      </c>
      <c r="B7739" s="18" t="str">
        <f t="shared" si="241"/>
        <v/>
      </c>
    </row>
    <row r="7740" spans="1:2" x14ac:dyDescent="0.25">
      <c r="A7740" s="15" t="str">
        <f t="shared" si="240"/>
        <v/>
      </c>
      <c r="B7740" s="18" t="str">
        <f t="shared" si="241"/>
        <v/>
      </c>
    </row>
    <row r="7741" spans="1:2" x14ac:dyDescent="0.25">
      <c r="A7741" s="15" t="str">
        <f t="shared" si="240"/>
        <v/>
      </c>
      <c r="B7741" s="18" t="str">
        <f t="shared" si="241"/>
        <v/>
      </c>
    </row>
    <row r="7742" spans="1:2" x14ac:dyDescent="0.25">
      <c r="A7742" s="15" t="str">
        <f t="shared" si="240"/>
        <v/>
      </c>
      <c r="B7742" s="18" t="str">
        <f t="shared" si="241"/>
        <v/>
      </c>
    </row>
    <row r="7743" spans="1:2" x14ac:dyDescent="0.25">
      <c r="A7743" s="15" t="str">
        <f t="shared" si="240"/>
        <v/>
      </c>
      <c r="B7743" s="18" t="str">
        <f t="shared" si="241"/>
        <v/>
      </c>
    </row>
    <row r="7744" spans="1:2" x14ac:dyDescent="0.25">
      <c r="A7744" s="15" t="str">
        <f t="shared" si="240"/>
        <v/>
      </c>
      <c r="B7744" s="18" t="str">
        <f t="shared" si="241"/>
        <v/>
      </c>
    </row>
    <row r="7745" spans="1:2" x14ac:dyDescent="0.25">
      <c r="A7745" s="15" t="str">
        <f t="shared" si="240"/>
        <v/>
      </c>
      <c r="B7745" s="18" t="str">
        <f t="shared" si="241"/>
        <v/>
      </c>
    </row>
    <row r="7746" spans="1:2" x14ac:dyDescent="0.25">
      <c r="A7746" s="15" t="str">
        <f t="shared" ref="A7746:A7809" si="242">B7746&amp;C7746</f>
        <v/>
      </c>
      <c r="B7746" s="18" t="str">
        <f t="shared" si="241"/>
        <v/>
      </c>
    </row>
    <row r="7747" spans="1:2" x14ac:dyDescent="0.25">
      <c r="A7747" s="15" t="str">
        <f t="shared" si="242"/>
        <v/>
      </c>
      <c r="B7747" s="18" t="str">
        <f t="shared" ref="B7747:B7810" si="243">IF(C7747="","",B7746)</f>
        <v/>
      </c>
    </row>
    <row r="7748" spans="1:2" x14ac:dyDescent="0.25">
      <c r="A7748" s="15" t="str">
        <f t="shared" si="242"/>
        <v/>
      </c>
      <c r="B7748" s="18" t="str">
        <f t="shared" si="243"/>
        <v/>
      </c>
    </row>
    <row r="7749" spans="1:2" x14ac:dyDescent="0.25">
      <c r="A7749" s="15" t="str">
        <f t="shared" si="242"/>
        <v/>
      </c>
      <c r="B7749" s="18" t="str">
        <f t="shared" si="243"/>
        <v/>
      </c>
    </row>
    <row r="7750" spans="1:2" x14ac:dyDescent="0.25">
      <c r="A7750" s="15" t="str">
        <f t="shared" si="242"/>
        <v/>
      </c>
      <c r="B7750" s="18" t="str">
        <f t="shared" si="243"/>
        <v/>
      </c>
    </row>
    <row r="7751" spans="1:2" x14ac:dyDescent="0.25">
      <c r="A7751" s="15" t="str">
        <f t="shared" si="242"/>
        <v/>
      </c>
      <c r="B7751" s="18" t="str">
        <f t="shared" si="243"/>
        <v/>
      </c>
    </row>
    <row r="7752" spans="1:2" x14ac:dyDescent="0.25">
      <c r="A7752" s="15" t="str">
        <f t="shared" si="242"/>
        <v/>
      </c>
      <c r="B7752" s="18" t="str">
        <f t="shared" si="243"/>
        <v/>
      </c>
    </row>
    <row r="7753" spans="1:2" x14ac:dyDescent="0.25">
      <c r="A7753" s="15" t="str">
        <f t="shared" si="242"/>
        <v/>
      </c>
      <c r="B7753" s="18" t="str">
        <f t="shared" si="243"/>
        <v/>
      </c>
    </row>
    <row r="7754" spans="1:2" x14ac:dyDescent="0.25">
      <c r="A7754" s="15" t="str">
        <f t="shared" si="242"/>
        <v/>
      </c>
      <c r="B7754" s="18" t="str">
        <f t="shared" si="243"/>
        <v/>
      </c>
    </row>
    <row r="7755" spans="1:2" x14ac:dyDescent="0.25">
      <c r="A7755" s="15" t="str">
        <f t="shared" si="242"/>
        <v/>
      </c>
      <c r="B7755" s="18" t="str">
        <f t="shared" si="243"/>
        <v/>
      </c>
    </row>
    <row r="7756" spans="1:2" x14ac:dyDescent="0.25">
      <c r="A7756" s="15" t="str">
        <f t="shared" si="242"/>
        <v/>
      </c>
      <c r="B7756" s="18" t="str">
        <f t="shared" si="243"/>
        <v/>
      </c>
    </row>
    <row r="7757" spans="1:2" x14ac:dyDescent="0.25">
      <c r="A7757" s="15" t="str">
        <f t="shared" si="242"/>
        <v/>
      </c>
      <c r="B7757" s="18" t="str">
        <f t="shared" si="243"/>
        <v/>
      </c>
    </row>
    <row r="7758" spans="1:2" x14ac:dyDescent="0.25">
      <c r="A7758" s="15" t="str">
        <f t="shared" si="242"/>
        <v/>
      </c>
      <c r="B7758" s="18" t="str">
        <f t="shared" si="243"/>
        <v/>
      </c>
    </row>
    <row r="7759" spans="1:2" x14ac:dyDescent="0.25">
      <c r="A7759" s="15" t="str">
        <f t="shared" si="242"/>
        <v/>
      </c>
      <c r="B7759" s="18" t="str">
        <f t="shared" si="243"/>
        <v/>
      </c>
    </row>
    <row r="7760" spans="1:2" x14ac:dyDescent="0.25">
      <c r="A7760" s="15" t="str">
        <f t="shared" si="242"/>
        <v/>
      </c>
      <c r="B7760" s="18" t="str">
        <f t="shared" si="243"/>
        <v/>
      </c>
    </row>
    <row r="7761" spans="1:2" x14ac:dyDescent="0.25">
      <c r="A7761" s="15" t="str">
        <f t="shared" si="242"/>
        <v/>
      </c>
      <c r="B7761" s="18" t="str">
        <f t="shared" si="243"/>
        <v/>
      </c>
    </row>
    <row r="7762" spans="1:2" x14ac:dyDescent="0.25">
      <c r="A7762" s="15" t="str">
        <f t="shared" si="242"/>
        <v/>
      </c>
      <c r="B7762" s="18" t="str">
        <f t="shared" si="243"/>
        <v/>
      </c>
    </row>
    <row r="7763" spans="1:2" x14ac:dyDescent="0.25">
      <c r="A7763" s="15" t="str">
        <f t="shared" si="242"/>
        <v/>
      </c>
      <c r="B7763" s="18" t="str">
        <f t="shared" si="243"/>
        <v/>
      </c>
    </row>
    <row r="7764" spans="1:2" x14ac:dyDescent="0.25">
      <c r="A7764" s="15" t="str">
        <f t="shared" si="242"/>
        <v/>
      </c>
      <c r="B7764" s="18" t="str">
        <f t="shared" si="243"/>
        <v/>
      </c>
    </row>
    <row r="7765" spans="1:2" x14ac:dyDescent="0.25">
      <c r="A7765" s="15" t="str">
        <f t="shared" si="242"/>
        <v/>
      </c>
      <c r="B7765" s="18" t="str">
        <f t="shared" si="243"/>
        <v/>
      </c>
    </row>
    <row r="7766" spans="1:2" x14ac:dyDescent="0.25">
      <c r="A7766" s="15" t="str">
        <f t="shared" si="242"/>
        <v/>
      </c>
      <c r="B7766" s="18" t="str">
        <f t="shared" si="243"/>
        <v/>
      </c>
    </row>
    <row r="7767" spans="1:2" x14ac:dyDescent="0.25">
      <c r="A7767" s="15" t="str">
        <f t="shared" si="242"/>
        <v/>
      </c>
      <c r="B7767" s="18" t="str">
        <f t="shared" si="243"/>
        <v/>
      </c>
    </row>
    <row r="7768" spans="1:2" x14ac:dyDescent="0.25">
      <c r="A7768" s="15" t="str">
        <f t="shared" si="242"/>
        <v/>
      </c>
      <c r="B7768" s="18" t="str">
        <f t="shared" si="243"/>
        <v/>
      </c>
    </row>
    <row r="7769" spans="1:2" x14ac:dyDescent="0.25">
      <c r="A7769" s="15" t="str">
        <f t="shared" si="242"/>
        <v/>
      </c>
      <c r="B7769" s="18" t="str">
        <f t="shared" si="243"/>
        <v/>
      </c>
    </row>
    <row r="7770" spans="1:2" x14ac:dyDescent="0.25">
      <c r="A7770" s="15" t="str">
        <f t="shared" si="242"/>
        <v/>
      </c>
      <c r="B7770" s="18" t="str">
        <f t="shared" si="243"/>
        <v/>
      </c>
    </row>
    <row r="7771" spans="1:2" x14ac:dyDescent="0.25">
      <c r="A7771" s="15" t="str">
        <f t="shared" si="242"/>
        <v/>
      </c>
      <c r="B7771" s="18" t="str">
        <f t="shared" si="243"/>
        <v/>
      </c>
    </row>
    <row r="7772" spans="1:2" x14ac:dyDescent="0.25">
      <c r="A7772" s="15" t="str">
        <f t="shared" si="242"/>
        <v/>
      </c>
      <c r="B7772" s="18" t="str">
        <f t="shared" si="243"/>
        <v/>
      </c>
    </row>
    <row r="7773" spans="1:2" x14ac:dyDescent="0.25">
      <c r="A7773" s="15" t="str">
        <f t="shared" si="242"/>
        <v/>
      </c>
      <c r="B7773" s="18" t="str">
        <f t="shared" si="243"/>
        <v/>
      </c>
    </row>
    <row r="7774" spans="1:2" x14ac:dyDescent="0.25">
      <c r="A7774" s="15" t="str">
        <f t="shared" si="242"/>
        <v/>
      </c>
      <c r="B7774" s="18" t="str">
        <f t="shared" si="243"/>
        <v/>
      </c>
    </row>
    <row r="7775" spans="1:2" x14ac:dyDescent="0.25">
      <c r="A7775" s="15" t="str">
        <f t="shared" si="242"/>
        <v/>
      </c>
      <c r="B7775" s="18" t="str">
        <f t="shared" si="243"/>
        <v/>
      </c>
    </row>
    <row r="7776" spans="1:2" x14ac:dyDescent="0.25">
      <c r="A7776" s="15" t="str">
        <f t="shared" si="242"/>
        <v/>
      </c>
      <c r="B7776" s="18" t="str">
        <f t="shared" si="243"/>
        <v/>
      </c>
    </row>
    <row r="7777" spans="1:2" x14ac:dyDescent="0.25">
      <c r="A7777" s="15" t="str">
        <f t="shared" si="242"/>
        <v/>
      </c>
      <c r="B7777" s="18" t="str">
        <f t="shared" si="243"/>
        <v/>
      </c>
    </row>
    <row r="7778" spans="1:2" x14ac:dyDescent="0.25">
      <c r="A7778" s="15" t="str">
        <f t="shared" si="242"/>
        <v/>
      </c>
      <c r="B7778" s="18" t="str">
        <f t="shared" si="243"/>
        <v/>
      </c>
    </row>
    <row r="7779" spans="1:2" x14ac:dyDescent="0.25">
      <c r="A7779" s="15" t="str">
        <f t="shared" si="242"/>
        <v/>
      </c>
      <c r="B7779" s="18" t="str">
        <f t="shared" si="243"/>
        <v/>
      </c>
    </row>
    <row r="7780" spans="1:2" x14ac:dyDescent="0.25">
      <c r="A7780" s="15" t="str">
        <f t="shared" si="242"/>
        <v/>
      </c>
      <c r="B7780" s="18" t="str">
        <f t="shared" si="243"/>
        <v/>
      </c>
    </row>
    <row r="7781" spans="1:2" x14ac:dyDescent="0.25">
      <c r="A7781" s="15" t="str">
        <f t="shared" si="242"/>
        <v/>
      </c>
      <c r="B7781" s="18" t="str">
        <f t="shared" si="243"/>
        <v/>
      </c>
    </row>
    <row r="7782" spans="1:2" x14ac:dyDescent="0.25">
      <c r="A7782" s="15" t="str">
        <f t="shared" si="242"/>
        <v/>
      </c>
      <c r="B7782" s="18" t="str">
        <f t="shared" si="243"/>
        <v/>
      </c>
    </row>
    <row r="7783" spans="1:2" x14ac:dyDescent="0.25">
      <c r="A7783" s="15" t="str">
        <f t="shared" si="242"/>
        <v/>
      </c>
      <c r="B7783" s="18" t="str">
        <f t="shared" si="243"/>
        <v/>
      </c>
    </row>
    <row r="7784" spans="1:2" x14ac:dyDescent="0.25">
      <c r="A7784" s="15" t="str">
        <f t="shared" si="242"/>
        <v/>
      </c>
      <c r="B7784" s="18" t="str">
        <f t="shared" si="243"/>
        <v/>
      </c>
    </row>
    <row r="7785" spans="1:2" x14ac:dyDescent="0.25">
      <c r="A7785" s="15" t="str">
        <f t="shared" si="242"/>
        <v/>
      </c>
      <c r="B7785" s="18" t="str">
        <f t="shared" si="243"/>
        <v/>
      </c>
    </row>
    <row r="7786" spans="1:2" x14ac:dyDescent="0.25">
      <c r="A7786" s="15" t="str">
        <f t="shared" si="242"/>
        <v/>
      </c>
      <c r="B7786" s="18" t="str">
        <f t="shared" si="243"/>
        <v/>
      </c>
    </row>
    <row r="7787" spans="1:2" x14ac:dyDescent="0.25">
      <c r="A7787" s="15" t="str">
        <f t="shared" si="242"/>
        <v/>
      </c>
      <c r="B7787" s="18" t="str">
        <f t="shared" si="243"/>
        <v/>
      </c>
    </row>
    <row r="7788" spans="1:2" x14ac:dyDescent="0.25">
      <c r="A7788" s="15" t="str">
        <f t="shared" si="242"/>
        <v/>
      </c>
      <c r="B7788" s="18" t="str">
        <f t="shared" si="243"/>
        <v/>
      </c>
    </row>
    <row r="7789" spans="1:2" x14ac:dyDescent="0.25">
      <c r="A7789" s="15" t="str">
        <f t="shared" si="242"/>
        <v/>
      </c>
      <c r="B7789" s="18" t="str">
        <f t="shared" si="243"/>
        <v/>
      </c>
    </row>
    <row r="7790" spans="1:2" x14ac:dyDescent="0.25">
      <c r="A7790" s="15" t="str">
        <f t="shared" si="242"/>
        <v/>
      </c>
      <c r="B7790" s="18" t="str">
        <f t="shared" si="243"/>
        <v/>
      </c>
    </row>
    <row r="7791" spans="1:2" x14ac:dyDescent="0.25">
      <c r="A7791" s="15" t="str">
        <f t="shared" si="242"/>
        <v/>
      </c>
      <c r="B7791" s="18" t="str">
        <f t="shared" si="243"/>
        <v/>
      </c>
    </row>
    <row r="7792" spans="1:2" x14ac:dyDescent="0.25">
      <c r="A7792" s="15" t="str">
        <f t="shared" si="242"/>
        <v/>
      </c>
      <c r="B7792" s="18" t="str">
        <f t="shared" si="243"/>
        <v/>
      </c>
    </row>
    <row r="7793" spans="1:2" x14ac:dyDescent="0.25">
      <c r="A7793" s="15" t="str">
        <f t="shared" si="242"/>
        <v/>
      </c>
      <c r="B7793" s="18" t="str">
        <f t="shared" si="243"/>
        <v/>
      </c>
    </row>
    <row r="7794" spans="1:2" x14ac:dyDescent="0.25">
      <c r="A7794" s="15" t="str">
        <f t="shared" si="242"/>
        <v/>
      </c>
      <c r="B7794" s="18" t="str">
        <f t="shared" si="243"/>
        <v/>
      </c>
    </row>
    <row r="7795" spans="1:2" x14ac:dyDescent="0.25">
      <c r="A7795" s="15" t="str">
        <f t="shared" si="242"/>
        <v/>
      </c>
      <c r="B7795" s="18" t="str">
        <f t="shared" si="243"/>
        <v/>
      </c>
    </row>
    <row r="7796" spans="1:2" x14ac:dyDescent="0.25">
      <c r="A7796" s="15" t="str">
        <f t="shared" si="242"/>
        <v/>
      </c>
      <c r="B7796" s="18" t="str">
        <f t="shared" si="243"/>
        <v/>
      </c>
    </row>
    <row r="7797" spans="1:2" x14ac:dyDescent="0.25">
      <c r="A7797" s="15" t="str">
        <f t="shared" si="242"/>
        <v/>
      </c>
      <c r="B7797" s="18" t="str">
        <f t="shared" si="243"/>
        <v/>
      </c>
    </row>
    <row r="7798" spans="1:2" x14ac:dyDescent="0.25">
      <c r="A7798" s="15" t="str">
        <f t="shared" si="242"/>
        <v/>
      </c>
      <c r="B7798" s="18" t="str">
        <f t="shared" si="243"/>
        <v/>
      </c>
    </row>
    <row r="7799" spans="1:2" x14ac:dyDescent="0.25">
      <c r="A7799" s="15" t="str">
        <f t="shared" si="242"/>
        <v/>
      </c>
      <c r="B7799" s="18" t="str">
        <f t="shared" si="243"/>
        <v/>
      </c>
    </row>
    <row r="7800" spans="1:2" x14ac:dyDescent="0.25">
      <c r="A7800" s="15" t="str">
        <f t="shared" si="242"/>
        <v/>
      </c>
      <c r="B7800" s="18" t="str">
        <f t="shared" si="243"/>
        <v/>
      </c>
    </row>
    <row r="7801" spans="1:2" x14ac:dyDescent="0.25">
      <c r="A7801" s="15" t="str">
        <f t="shared" si="242"/>
        <v/>
      </c>
      <c r="B7801" s="18" t="str">
        <f t="shared" si="243"/>
        <v/>
      </c>
    </row>
    <row r="7802" spans="1:2" x14ac:dyDescent="0.25">
      <c r="A7802" s="15" t="str">
        <f t="shared" si="242"/>
        <v/>
      </c>
      <c r="B7802" s="18" t="str">
        <f t="shared" si="243"/>
        <v/>
      </c>
    </row>
    <row r="7803" spans="1:2" x14ac:dyDescent="0.25">
      <c r="A7803" s="15" t="str">
        <f t="shared" si="242"/>
        <v/>
      </c>
      <c r="B7803" s="18" t="str">
        <f t="shared" si="243"/>
        <v/>
      </c>
    </row>
    <row r="7804" spans="1:2" x14ac:dyDescent="0.25">
      <c r="A7804" s="15" t="str">
        <f t="shared" si="242"/>
        <v/>
      </c>
      <c r="B7804" s="18" t="str">
        <f t="shared" si="243"/>
        <v/>
      </c>
    </row>
    <row r="7805" spans="1:2" x14ac:dyDescent="0.25">
      <c r="A7805" s="15" t="str">
        <f t="shared" si="242"/>
        <v/>
      </c>
      <c r="B7805" s="18" t="str">
        <f t="shared" si="243"/>
        <v/>
      </c>
    </row>
    <row r="7806" spans="1:2" x14ac:dyDescent="0.25">
      <c r="A7806" s="15" t="str">
        <f t="shared" si="242"/>
        <v/>
      </c>
      <c r="B7806" s="18" t="str">
        <f t="shared" si="243"/>
        <v/>
      </c>
    </row>
    <row r="7807" spans="1:2" x14ac:dyDescent="0.25">
      <c r="A7807" s="15" t="str">
        <f t="shared" si="242"/>
        <v/>
      </c>
      <c r="B7807" s="18" t="str">
        <f t="shared" si="243"/>
        <v/>
      </c>
    </row>
    <row r="7808" spans="1:2" x14ac:dyDescent="0.25">
      <c r="A7808" s="15" t="str">
        <f t="shared" si="242"/>
        <v/>
      </c>
      <c r="B7808" s="18" t="str">
        <f t="shared" si="243"/>
        <v/>
      </c>
    </row>
    <row r="7809" spans="1:2" x14ac:dyDescent="0.25">
      <c r="A7809" s="15" t="str">
        <f t="shared" si="242"/>
        <v/>
      </c>
      <c r="B7809" s="18" t="str">
        <f t="shared" si="243"/>
        <v/>
      </c>
    </row>
    <row r="7810" spans="1:2" x14ac:dyDescent="0.25">
      <c r="A7810" s="15" t="str">
        <f t="shared" ref="A7810:A7873" si="244">B7810&amp;C7810</f>
        <v/>
      </c>
      <c r="B7810" s="18" t="str">
        <f t="shared" si="243"/>
        <v/>
      </c>
    </row>
    <row r="7811" spans="1:2" x14ac:dyDescent="0.25">
      <c r="A7811" s="15" t="str">
        <f t="shared" si="244"/>
        <v/>
      </c>
      <c r="B7811" s="18" t="str">
        <f t="shared" ref="B7811:B7874" si="245">IF(C7811="","",B7810)</f>
        <v/>
      </c>
    </row>
    <row r="7812" spans="1:2" x14ac:dyDescent="0.25">
      <c r="A7812" s="15" t="str">
        <f t="shared" si="244"/>
        <v/>
      </c>
      <c r="B7812" s="18" t="str">
        <f t="shared" si="245"/>
        <v/>
      </c>
    </row>
    <row r="7813" spans="1:2" x14ac:dyDescent="0.25">
      <c r="A7813" s="15" t="str">
        <f t="shared" si="244"/>
        <v/>
      </c>
      <c r="B7813" s="18" t="str">
        <f t="shared" si="245"/>
        <v/>
      </c>
    </row>
    <row r="7814" spans="1:2" x14ac:dyDescent="0.25">
      <c r="A7814" s="15" t="str">
        <f t="shared" si="244"/>
        <v/>
      </c>
      <c r="B7814" s="18" t="str">
        <f t="shared" si="245"/>
        <v/>
      </c>
    </row>
    <row r="7815" spans="1:2" x14ac:dyDescent="0.25">
      <c r="A7815" s="15" t="str">
        <f t="shared" si="244"/>
        <v/>
      </c>
      <c r="B7815" s="18" t="str">
        <f t="shared" si="245"/>
        <v/>
      </c>
    </row>
    <row r="7816" spans="1:2" x14ac:dyDescent="0.25">
      <c r="A7816" s="15" t="str">
        <f t="shared" si="244"/>
        <v/>
      </c>
      <c r="B7816" s="18" t="str">
        <f t="shared" si="245"/>
        <v/>
      </c>
    </row>
    <row r="7817" spans="1:2" x14ac:dyDescent="0.25">
      <c r="A7817" s="15" t="str">
        <f t="shared" si="244"/>
        <v/>
      </c>
      <c r="B7817" s="18" t="str">
        <f t="shared" si="245"/>
        <v/>
      </c>
    </row>
    <row r="7818" spans="1:2" x14ac:dyDescent="0.25">
      <c r="A7818" s="15" t="str">
        <f t="shared" si="244"/>
        <v/>
      </c>
      <c r="B7818" s="18" t="str">
        <f t="shared" si="245"/>
        <v/>
      </c>
    </row>
    <row r="7819" spans="1:2" x14ac:dyDescent="0.25">
      <c r="A7819" s="15" t="str">
        <f t="shared" si="244"/>
        <v/>
      </c>
      <c r="B7819" s="18" t="str">
        <f t="shared" si="245"/>
        <v/>
      </c>
    </row>
    <row r="7820" spans="1:2" x14ac:dyDescent="0.25">
      <c r="A7820" s="15" t="str">
        <f t="shared" si="244"/>
        <v/>
      </c>
      <c r="B7820" s="18" t="str">
        <f t="shared" si="245"/>
        <v/>
      </c>
    </row>
    <row r="7821" spans="1:2" x14ac:dyDescent="0.25">
      <c r="A7821" s="15" t="str">
        <f t="shared" si="244"/>
        <v/>
      </c>
      <c r="B7821" s="18" t="str">
        <f t="shared" si="245"/>
        <v/>
      </c>
    </row>
    <row r="7822" spans="1:2" x14ac:dyDescent="0.25">
      <c r="A7822" s="15" t="str">
        <f t="shared" si="244"/>
        <v/>
      </c>
      <c r="B7822" s="18" t="str">
        <f t="shared" si="245"/>
        <v/>
      </c>
    </row>
    <row r="7823" spans="1:2" x14ac:dyDescent="0.25">
      <c r="A7823" s="15" t="str">
        <f t="shared" si="244"/>
        <v/>
      </c>
      <c r="B7823" s="18" t="str">
        <f t="shared" si="245"/>
        <v/>
      </c>
    </row>
    <row r="7824" spans="1:2" x14ac:dyDescent="0.25">
      <c r="A7824" s="15" t="str">
        <f t="shared" si="244"/>
        <v/>
      </c>
      <c r="B7824" s="18" t="str">
        <f t="shared" si="245"/>
        <v/>
      </c>
    </row>
    <row r="7825" spans="1:2" x14ac:dyDescent="0.25">
      <c r="A7825" s="15" t="str">
        <f t="shared" si="244"/>
        <v/>
      </c>
      <c r="B7825" s="18" t="str">
        <f t="shared" si="245"/>
        <v/>
      </c>
    </row>
    <row r="7826" spans="1:2" x14ac:dyDescent="0.25">
      <c r="A7826" s="15" t="str">
        <f t="shared" si="244"/>
        <v/>
      </c>
      <c r="B7826" s="18" t="str">
        <f t="shared" si="245"/>
        <v/>
      </c>
    </row>
    <row r="7827" spans="1:2" x14ac:dyDescent="0.25">
      <c r="A7827" s="15" t="str">
        <f t="shared" si="244"/>
        <v/>
      </c>
      <c r="B7827" s="18" t="str">
        <f t="shared" si="245"/>
        <v/>
      </c>
    </row>
    <row r="7828" spans="1:2" x14ac:dyDescent="0.25">
      <c r="A7828" s="15" t="str">
        <f t="shared" si="244"/>
        <v/>
      </c>
      <c r="B7828" s="18" t="str">
        <f t="shared" si="245"/>
        <v/>
      </c>
    </row>
    <row r="7829" spans="1:2" x14ac:dyDescent="0.25">
      <c r="A7829" s="15" t="str">
        <f t="shared" si="244"/>
        <v/>
      </c>
      <c r="B7829" s="18" t="str">
        <f t="shared" si="245"/>
        <v/>
      </c>
    </row>
    <row r="7830" spans="1:2" x14ac:dyDescent="0.25">
      <c r="A7830" s="15" t="str">
        <f t="shared" si="244"/>
        <v/>
      </c>
      <c r="B7830" s="18" t="str">
        <f t="shared" si="245"/>
        <v/>
      </c>
    </row>
    <row r="7831" spans="1:2" x14ac:dyDescent="0.25">
      <c r="A7831" s="15" t="str">
        <f t="shared" si="244"/>
        <v/>
      </c>
      <c r="B7831" s="18" t="str">
        <f t="shared" si="245"/>
        <v/>
      </c>
    </row>
    <row r="7832" spans="1:2" x14ac:dyDescent="0.25">
      <c r="A7832" s="15" t="str">
        <f t="shared" si="244"/>
        <v/>
      </c>
      <c r="B7832" s="18" t="str">
        <f t="shared" si="245"/>
        <v/>
      </c>
    </row>
    <row r="7833" spans="1:2" x14ac:dyDescent="0.25">
      <c r="A7833" s="15" t="str">
        <f t="shared" si="244"/>
        <v/>
      </c>
      <c r="B7833" s="18" t="str">
        <f t="shared" si="245"/>
        <v/>
      </c>
    </row>
    <row r="7834" spans="1:2" x14ac:dyDescent="0.25">
      <c r="A7834" s="15" t="str">
        <f t="shared" si="244"/>
        <v/>
      </c>
      <c r="B7834" s="18" t="str">
        <f t="shared" si="245"/>
        <v/>
      </c>
    </row>
    <row r="7835" spans="1:2" x14ac:dyDescent="0.25">
      <c r="A7835" s="15" t="str">
        <f t="shared" si="244"/>
        <v/>
      </c>
      <c r="B7835" s="18" t="str">
        <f t="shared" si="245"/>
        <v/>
      </c>
    </row>
    <row r="7836" spans="1:2" x14ac:dyDescent="0.25">
      <c r="A7836" s="15" t="str">
        <f t="shared" si="244"/>
        <v/>
      </c>
      <c r="B7836" s="18" t="str">
        <f t="shared" si="245"/>
        <v/>
      </c>
    </row>
    <row r="7837" spans="1:2" x14ac:dyDescent="0.25">
      <c r="A7837" s="15" t="str">
        <f t="shared" si="244"/>
        <v/>
      </c>
      <c r="B7837" s="18" t="str">
        <f t="shared" si="245"/>
        <v/>
      </c>
    </row>
    <row r="7838" spans="1:2" x14ac:dyDescent="0.25">
      <c r="A7838" s="15" t="str">
        <f t="shared" si="244"/>
        <v/>
      </c>
      <c r="B7838" s="18" t="str">
        <f t="shared" si="245"/>
        <v/>
      </c>
    </row>
    <row r="7839" spans="1:2" x14ac:dyDescent="0.25">
      <c r="A7839" s="15" t="str">
        <f t="shared" si="244"/>
        <v/>
      </c>
      <c r="B7839" s="18" t="str">
        <f t="shared" si="245"/>
        <v/>
      </c>
    </row>
    <row r="7840" spans="1:2" x14ac:dyDescent="0.25">
      <c r="A7840" s="15" t="str">
        <f t="shared" si="244"/>
        <v/>
      </c>
      <c r="B7840" s="18" t="str">
        <f t="shared" si="245"/>
        <v/>
      </c>
    </row>
    <row r="7841" spans="1:2" x14ac:dyDescent="0.25">
      <c r="A7841" s="15" t="str">
        <f t="shared" si="244"/>
        <v/>
      </c>
      <c r="B7841" s="18" t="str">
        <f t="shared" si="245"/>
        <v/>
      </c>
    </row>
    <row r="7842" spans="1:2" x14ac:dyDescent="0.25">
      <c r="A7842" s="15" t="str">
        <f t="shared" si="244"/>
        <v/>
      </c>
      <c r="B7842" s="18" t="str">
        <f t="shared" si="245"/>
        <v/>
      </c>
    </row>
    <row r="7843" spans="1:2" x14ac:dyDescent="0.25">
      <c r="A7843" s="15" t="str">
        <f t="shared" si="244"/>
        <v/>
      </c>
      <c r="B7843" s="18" t="str">
        <f t="shared" si="245"/>
        <v/>
      </c>
    </row>
    <row r="7844" spans="1:2" x14ac:dyDescent="0.25">
      <c r="A7844" s="15" t="str">
        <f t="shared" si="244"/>
        <v/>
      </c>
      <c r="B7844" s="18" t="str">
        <f t="shared" si="245"/>
        <v/>
      </c>
    </row>
    <row r="7845" spans="1:2" x14ac:dyDescent="0.25">
      <c r="A7845" s="15" t="str">
        <f t="shared" si="244"/>
        <v/>
      </c>
      <c r="B7845" s="18" t="str">
        <f t="shared" si="245"/>
        <v/>
      </c>
    </row>
    <row r="7846" spans="1:2" x14ac:dyDescent="0.25">
      <c r="A7846" s="15" t="str">
        <f t="shared" si="244"/>
        <v/>
      </c>
      <c r="B7846" s="18" t="str">
        <f t="shared" si="245"/>
        <v/>
      </c>
    </row>
    <row r="7847" spans="1:2" x14ac:dyDescent="0.25">
      <c r="A7847" s="15" t="str">
        <f t="shared" si="244"/>
        <v/>
      </c>
      <c r="B7847" s="18" t="str">
        <f t="shared" si="245"/>
        <v/>
      </c>
    </row>
    <row r="7848" spans="1:2" x14ac:dyDescent="0.25">
      <c r="A7848" s="15" t="str">
        <f t="shared" si="244"/>
        <v/>
      </c>
      <c r="B7848" s="18" t="str">
        <f t="shared" si="245"/>
        <v/>
      </c>
    </row>
    <row r="7849" spans="1:2" x14ac:dyDescent="0.25">
      <c r="A7849" s="15" t="str">
        <f t="shared" si="244"/>
        <v/>
      </c>
      <c r="B7849" s="18" t="str">
        <f t="shared" si="245"/>
        <v/>
      </c>
    </row>
    <row r="7850" spans="1:2" x14ac:dyDescent="0.25">
      <c r="A7850" s="15" t="str">
        <f t="shared" si="244"/>
        <v/>
      </c>
      <c r="B7850" s="18" t="str">
        <f t="shared" si="245"/>
        <v/>
      </c>
    </row>
    <row r="7851" spans="1:2" x14ac:dyDescent="0.25">
      <c r="A7851" s="15" t="str">
        <f t="shared" si="244"/>
        <v/>
      </c>
      <c r="B7851" s="18" t="str">
        <f t="shared" si="245"/>
        <v/>
      </c>
    </row>
    <row r="7852" spans="1:2" x14ac:dyDescent="0.25">
      <c r="A7852" s="15" t="str">
        <f t="shared" si="244"/>
        <v/>
      </c>
      <c r="B7852" s="18" t="str">
        <f t="shared" si="245"/>
        <v/>
      </c>
    </row>
    <row r="7853" spans="1:2" x14ac:dyDescent="0.25">
      <c r="A7853" s="15" t="str">
        <f t="shared" si="244"/>
        <v/>
      </c>
      <c r="B7853" s="18" t="str">
        <f t="shared" si="245"/>
        <v/>
      </c>
    </row>
    <row r="7854" spans="1:2" x14ac:dyDescent="0.25">
      <c r="A7854" s="15" t="str">
        <f t="shared" si="244"/>
        <v/>
      </c>
      <c r="B7854" s="18" t="str">
        <f t="shared" si="245"/>
        <v/>
      </c>
    </row>
    <row r="7855" spans="1:2" x14ac:dyDescent="0.25">
      <c r="A7855" s="15" t="str">
        <f t="shared" si="244"/>
        <v/>
      </c>
      <c r="B7855" s="18" t="str">
        <f t="shared" si="245"/>
        <v/>
      </c>
    </row>
    <row r="7856" spans="1:2" x14ac:dyDescent="0.25">
      <c r="A7856" s="15" t="str">
        <f t="shared" si="244"/>
        <v/>
      </c>
      <c r="B7856" s="18" t="str">
        <f t="shared" si="245"/>
        <v/>
      </c>
    </row>
    <row r="7857" spans="1:2" x14ac:dyDescent="0.25">
      <c r="A7857" s="15" t="str">
        <f t="shared" si="244"/>
        <v/>
      </c>
      <c r="B7857" s="18" t="str">
        <f t="shared" si="245"/>
        <v/>
      </c>
    </row>
    <row r="7858" spans="1:2" x14ac:dyDescent="0.25">
      <c r="A7858" s="15" t="str">
        <f t="shared" si="244"/>
        <v/>
      </c>
      <c r="B7858" s="18" t="str">
        <f t="shared" si="245"/>
        <v/>
      </c>
    </row>
    <row r="7859" spans="1:2" x14ac:dyDescent="0.25">
      <c r="A7859" s="15" t="str">
        <f t="shared" si="244"/>
        <v/>
      </c>
      <c r="B7859" s="18" t="str">
        <f t="shared" si="245"/>
        <v/>
      </c>
    </row>
    <row r="7860" spans="1:2" x14ac:dyDescent="0.25">
      <c r="A7860" s="15" t="str">
        <f t="shared" si="244"/>
        <v/>
      </c>
      <c r="B7860" s="18" t="str">
        <f t="shared" si="245"/>
        <v/>
      </c>
    </row>
    <row r="7861" spans="1:2" x14ac:dyDescent="0.25">
      <c r="A7861" s="15" t="str">
        <f t="shared" si="244"/>
        <v/>
      </c>
      <c r="B7861" s="18" t="str">
        <f t="shared" si="245"/>
        <v/>
      </c>
    </row>
    <row r="7862" spans="1:2" x14ac:dyDescent="0.25">
      <c r="A7862" s="15" t="str">
        <f t="shared" si="244"/>
        <v/>
      </c>
      <c r="B7862" s="18" t="str">
        <f t="shared" si="245"/>
        <v/>
      </c>
    </row>
    <row r="7863" spans="1:2" x14ac:dyDescent="0.25">
      <c r="A7863" s="15" t="str">
        <f t="shared" si="244"/>
        <v/>
      </c>
      <c r="B7863" s="18" t="str">
        <f t="shared" si="245"/>
        <v/>
      </c>
    </row>
    <row r="7864" spans="1:2" x14ac:dyDescent="0.25">
      <c r="A7864" s="15" t="str">
        <f t="shared" si="244"/>
        <v/>
      </c>
      <c r="B7864" s="18" t="str">
        <f t="shared" si="245"/>
        <v/>
      </c>
    </row>
    <row r="7865" spans="1:2" x14ac:dyDescent="0.25">
      <c r="A7865" s="15" t="str">
        <f t="shared" si="244"/>
        <v/>
      </c>
      <c r="B7865" s="18" t="str">
        <f t="shared" si="245"/>
        <v/>
      </c>
    </row>
    <row r="7866" spans="1:2" x14ac:dyDescent="0.25">
      <c r="A7866" s="15" t="str">
        <f t="shared" si="244"/>
        <v/>
      </c>
      <c r="B7866" s="18" t="str">
        <f t="shared" si="245"/>
        <v/>
      </c>
    </row>
    <row r="7867" spans="1:2" x14ac:dyDescent="0.25">
      <c r="A7867" s="15" t="str">
        <f t="shared" si="244"/>
        <v/>
      </c>
      <c r="B7867" s="18" t="str">
        <f t="shared" si="245"/>
        <v/>
      </c>
    </row>
    <row r="7868" spans="1:2" x14ac:dyDescent="0.25">
      <c r="A7868" s="15" t="str">
        <f t="shared" si="244"/>
        <v/>
      </c>
      <c r="B7868" s="18" t="str">
        <f t="shared" si="245"/>
        <v/>
      </c>
    </row>
    <row r="7869" spans="1:2" x14ac:dyDescent="0.25">
      <c r="A7869" s="15" t="str">
        <f t="shared" si="244"/>
        <v/>
      </c>
      <c r="B7869" s="18" t="str">
        <f t="shared" si="245"/>
        <v/>
      </c>
    </row>
    <row r="7870" spans="1:2" x14ac:dyDescent="0.25">
      <c r="A7870" s="15" t="str">
        <f t="shared" si="244"/>
        <v/>
      </c>
      <c r="B7870" s="18" t="str">
        <f t="shared" si="245"/>
        <v/>
      </c>
    </row>
    <row r="7871" spans="1:2" x14ac:dyDescent="0.25">
      <c r="A7871" s="15" t="str">
        <f t="shared" si="244"/>
        <v/>
      </c>
      <c r="B7871" s="18" t="str">
        <f t="shared" si="245"/>
        <v/>
      </c>
    </row>
    <row r="7872" spans="1:2" x14ac:dyDescent="0.25">
      <c r="A7872" s="15" t="str">
        <f t="shared" si="244"/>
        <v/>
      </c>
      <c r="B7872" s="18" t="str">
        <f t="shared" si="245"/>
        <v/>
      </c>
    </row>
    <row r="7873" spans="1:2" x14ac:dyDescent="0.25">
      <c r="A7873" s="15" t="str">
        <f t="shared" si="244"/>
        <v/>
      </c>
      <c r="B7873" s="18" t="str">
        <f t="shared" si="245"/>
        <v/>
      </c>
    </row>
    <row r="7874" spans="1:2" x14ac:dyDescent="0.25">
      <c r="A7874" s="15" t="str">
        <f t="shared" ref="A7874:A7937" si="246">B7874&amp;C7874</f>
        <v/>
      </c>
      <c r="B7874" s="18" t="str">
        <f t="shared" si="245"/>
        <v/>
      </c>
    </row>
    <row r="7875" spans="1:2" x14ac:dyDescent="0.25">
      <c r="A7875" s="15" t="str">
        <f t="shared" si="246"/>
        <v/>
      </c>
      <c r="B7875" s="18" t="str">
        <f t="shared" ref="B7875:B7938" si="247">IF(C7875="","",B7874)</f>
        <v/>
      </c>
    </row>
    <row r="7876" spans="1:2" x14ac:dyDescent="0.25">
      <c r="A7876" s="15" t="str">
        <f t="shared" si="246"/>
        <v/>
      </c>
      <c r="B7876" s="18" t="str">
        <f t="shared" si="247"/>
        <v/>
      </c>
    </row>
    <row r="7877" spans="1:2" x14ac:dyDescent="0.25">
      <c r="A7877" s="15" t="str">
        <f t="shared" si="246"/>
        <v/>
      </c>
      <c r="B7877" s="18" t="str">
        <f t="shared" si="247"/>
        <v/>
      </c>
    </row>
    <row r="7878" spans="1:2" x14ac:dyDescent="0.25">
      <c r="A7878" s="15" t="str">
        <f t="shared" si="246"/>
        <v/>
      </c>
      <c r="B7878" s="18" t="str">
        <f t="shared" si="247"/>
        <v/>
      </c>
    </row>
    <row r="7879" spans="1:2" x14ac:dyDescent="0.25">
      <c r="A7879" s="15" t="str">
        <f t="shared" si="246"/>
        <v/>
      </c>
      <c r="B7879" s="18" t="str">
        <f t="shared" si="247"/>
        <v/>
      </c>
    </row>
    <row r="7880" spans="1:2" x14ac:dyDescent="0.25">
      <c r="A7880" s="15" t="str">
        <f t="shared" si="246"/>
        <v/>
      </c>
      <c r="B7880" s="18" t="str">
        <f t="shared" si="247"/>
        <v/>
      </c>
    </row>
    <row r="7881" spans="1:2" x14ac:dyDescent="0.25">
      <c r="A7881" s="15" t="str">
        <f t="shared" si="246"/>
        <v/>
      </c>
      <c r="B7881" s="18" t="str">
        <f t="shared" si="247"/>
        <v/>
      </c>
    </row>
    <row r="7882" spans="1:2" x14ac:dyDescent="0.25">
      <c r="A7882" s="15" t="str">
        <f t="shared" si="246"/>
        <v/>
      </c>
      <c r="B7882" s="18" t="str">
        <f t="shared" si="247"/>
        <v/>
      </c>
    </row>
    <row r="7883" spans="1:2" x14ac:dyDescent="0.25">
      <c r="A7883" s="15" t="str">
        <f t="shared" si="246"/>
        <v/>
      </c>
      <c r="B7883" s="18" t="str">
        <f t="shared" si="247"/>
        <v/>
      </c>
    </row>
    <row r="7884" spans="1:2" x14ac:dyDescent="0.25">
      <c r="A7884" s="15" t="str">
        <f t="shared" si="246"/>
        <v/>
      </c>
      <c r="B7884" s="18" t="str">
        <f t="shared" si="247"/>
        <v/>
      </c>
    </row>
    <row r="7885" spans="1:2" x14ac:dyDescent="0.25">
      <c r="A7885" s="15" t="str">
        <f t="shared" si="246"/>
        <v/>
      </c>
      <c r="B7885" s="18" t="str">
        <f t="shared" si="247"/>
        <v/>
      </c>
    </row>
    <row r="7886" spans="1:2" x14ac:dyDescent="0.25">
      <c r="A7886" s="15" t="str">
        <f t="shared" si="246"/>
        <v/>
      </c>
      <c r="B7886" s="18" t="str">
        <f t="shared" si="247"/>
        <v/>
      </c>
    </row>
    <row r="7887" spans="1:2" x14ac:dyDescent="0.25">
      <c r="A7887" s="15" t="str">
        <f t="shared" si="246"/>
        <v/>
      </c>
      <c r="B7887" s="18" t="str">
        <f t="shared" si="247"/>
        <v/>
      </c>
    </row>
    <row r="7888" spans="1:2" x14ac:dyDescent="0.25">
      <c r="A7888" s="15" t="str">
        <f t="shared" si="246"/>
        <v/>
      </c>
      <c r="B7888" s="18" t="str">
        <f t="shared" si="247"/>
        <v/>
      </c>
    </row>
    <row r="7889" spans="1:2" x14ac:dyDescent="0.25">
      <c r="A7889" s="15" t="str">
        <f t="shared" si="246"/>
        <v/>
      </c>
      <c r="B7889" s="18" t="str">
        <f t="shared" si="247"/>
        <v/>
      </c>
    </row>
    <row r="7890" spans="1:2" x14ac:dyDescent="0.25">
      <c r="A7890" s="15" t="str">
        <f t="shared" si="246"/>
        <v/>
      </c>
      <c r="B7890" s="18" t="str">
        <f t="shared" si="247"/>
        <v/>
      </c>
    </row>
    <row r="7891" spans="1:2" x14ac:dyDescent="0.25">
      <c r="A7891" s="15" t="str">
        <f t="shared" si="246"/>
        <v/>
      </c>
      <c r="B7891" s="18" t="str">
        <f t="shared" si="247"/>
        <v/>
      </c>
    </row>
    <row r="7892" spans="1:2" x14ac:dyDescent="0.25">
      <c r="A7892" s="15" t="str">
        <f t="shared" si="246"/>
        <v/>
      </c>
      <c r="B7892" s="18" t="str">
        <f t="shared" si="247"/>
        <v/>
      </c>
    </row>
    <row r="7893" spans="1:2" x14ac:dyDescent="0.25">
      <c r="A7893" s="15" t="str">
        <f t="shared" si="246"/>
        <v/>
      </c>
      <c r="B7893" s="18" t="str">
        <f t="shared" si="247"/>
        <v/>
      </c>
    </row>
    <row r="7894" spans="1:2" x14ac:dyDescent="0.25">
      <c r="A7894" s="15" t="str">
        <f t="shared" si="246"/>
        <v/>
      </c>
      <c r="B7894" s="18" t="str">
        <f t="shared" si="247"/>
        <v/>
      </c>
    </row>
    <row r="7895" spans="1:2" x14ac:dyDescent="0.25">
      <c r="A7895" s="15" t="str">
        <f t="shared" si="246"/>
        <v/>
      </c>
      <c r="B7895" s="18" t="str">
        <f t="shared" si="247"/>
        <v/>
      </c>
    </row>
    <row r="7896" spans="1:2" x14ac:dyDescent="0.25">
      <c r="A7896" s="15" t="str">
        <f t="shared" si="246"/>
        <v/>
      </c>
      <c r="B7896" s="18" t="str">
        <f t="shared" si="247"/>
        <v/>
      </c>
    </row>
    <row r="7897" spans="1:2" x14ac:dyDescent="0.25">
      <c r="A7897" s="15" t="str">
        <f t="shared" si="246"/>
        <v/>
      </c>
      <c r="B7897" s="18" t="str">
        <f t="shared" si="247"/>
        <v/>
      </c>
    </row>
    <row r="7898" spans="1:2" x14ac:dyDescent="0.25">
      <c r="A7898" s="15" t="str">
        <f t="shared" si="246"/>
        <v/>
      </c>
      <c r="B7898" s="18" t="str">
        <f t="shared" si="247"/>
        <v/>
      </c>
    </row>
    <row r="7899" spans="1:2" x14ac:dyDescent="0.25">
      <c r="A7899" s="15" t="str">
        <f t="shared" si="246"/>
        <v/>
      </c>
      <c r="B7899" s="18" t="str">
        <f t="shared" si="247"/>
        <v/>
      </c>
    </row>
    <row r="7900" spans="1:2" x14ac:dyDescent="0.25">
      <c r="A7900" s="15" t="str">
        <f t="shared" si="246"/>
        <v/>
      </c>
      <c r="B7900" s="18" t="str">
        <f t="shared" si="247"/>
        <v/>
      </c>
    </row>
    <row r="7901" spans="1:2" x14ac:dyDescent="0.25">
      <c r="A7901" s="15" t="str">
        <f t="shared" si="246"/>
        <v/>
      </c>
      <c r="B7901" s="18" t="str">
        <f t="shared" si="247"/>
        <v/>
      </c>
    </row>
    <row r="7902" spans="1:2" x14ac:dyDescent="0.25">
      <c r="A7902" s="15" t="str">
        <f t="shared" si="246"/>
        <v/>
      </c>
      <c r="B7902" s="18" t="str">
        <f t="shared" si="247"/>
        <v/>
      </c>
    </row>
    <row r="7903" spans="1:2" x14ac:dyDescent="0.25">
      <c r="A7903" s="15" t="str">
        <f t="shared" si="246"/>
        <v/>
      </c>
      <c r="B7903" s="18" t="str">
        <f t="shared" si="247"/>
        <v/>
      </c>
    </row>
    <row r="7904" spans="1:2" x14ac:dyDescent="0.25">
      <c r="A7904" s="15" t="str">
        <f t="shared" si="246"/>
        <v/>
      </c>
      <c r="B7904" s="18" t="str">
        <f t="shared" si="247"/>
        <v/>
      </c>
    </row>
    <row r="7905" spans="1:2" x14ac:dyDescent="0.25">
      <c r="A7905" s="15" t="str">
        <f t="shared" si="246"/>
        <v/>
      </c>
      <c r="B7905" s="18" t="str">
        <f t="shared" si="247"/>
        <v/>
      </c>
    </row>
    <row r="7906" spans="1:2" x14ac:dyDescent="0.25">
      <c r="A7906" s="15" t="str">
        <f t="shared" si="246"/>
        <v/>
      </c>
      <c r="B7906" s="18" t="str">
        <f t="shared" si="247"/>
        <v/>
      </c>
    </row>
    <row r="7907" spans="1:2" x14ac:dyDescent="0.25">
      <c r="A7907" s="15" t="str">
        <f t="shared" si="246"/>
        <v/>
      </c>
      <c r="B7907" s="18" t="str">
        <f t="shared" si="247"/>
        <v/>
      </c>
    </row>
    <row r="7908" spans="1:2" x14ac:dyDescent="0.25">
      <c r="A7908" s="15" t="str">
        <f t="shared" si="246"/>
        <v/>
      </c>
      <c r="B7908" s="18" t="str">
        <f t="shared" si="247"/>
        <v/>
      </c>
    </row>
    <row r="7909" spans="1:2" x14ac:dyDescent="0.25">
      <c r="A7909" s="15" t="str">
        <f t="shared" si="246"/>
        <v/>
      </c>
      <c r="B7909" s="18" t="str">
        <f t="shared" si="247"/>
        <v/>
      </c>
    </row>
    <row r="7910" spans="1:2" x14ac:dyDescent="0.25">
      <c r="A7910" s="15" t="str">
        <f t="shared" si="246"/>
        <v/>
      </c>
      <c r="B7910" s="18" t="str">
        <f t="shared" si="247"/>
        <v/>
      </c>
    </row>
    <row r="7911" spans="1:2" x14ac:dyDescent="0.25">
      <c r="A7911" s="15" t="str">
        <f t="shared" si="246"/>
        <v/>
      </c>
      <c r="B7911" s="18" t="str">
        <f t="shared" si="247"/>
        <v/>
      </c>
    </row>
    <row r="7912" spans="1:2" x14ac:dyDescent="0.25">
      <c r="A7912" s="15" t="str">
        <f t="shared" si="246"/>
        <v/>
      </c>
      <c r="B7912" s="18" t="str">
        <f t="shared" si="247"/>
        <v/>
      </c>
    </row>
    <row r="7913" spans="1:2" x14ac:dyDescent="0.25">
      <c r="A7913" s="15" t="str">
        <f t="shared" si="246"/>
        <v/>
      </c>
      <c r="B7913" s="18" t="str">
        <f t="shared" si="247"/>
        <v/>
      </c>
    </row>
    <row r="7914" spans="1:2" x14ac:dyDescent="0.25">
      <c r="A7914" s="15" t="str">
        <f t="shared" si="246"/>
        <v/>
      </c>
      <c r="B7914" s="18" t="str">
        <f t="shared" si="247"/>
        <v/>
      </c>
    </row>
    <row r="7915" spans="1:2" x14ac:dyDescent="0.25">
      <c r="A7915" s="15" t="str">
        <f t="shared" si="246"/>
        <v/>
      </c>
      <c r="B7915" s="18" t="str">
        <f t="shared" si="247"/>
        <v/>
      </c>
    </row>
    <row r="7916" spans="1:2" x14ac:dyDescent="0.25">
      <c r="A7916" s="15" t="str">
        <f t="shared" si="246"/>
        <v/>
      </c>
      <c r="B7916" s="18" t="str">
        <f t="shared" si="247"/>
        <v/>
      </c>
    </row>
    <row r="7917" spans="1:2" x14ac:dyDescent="0.25">
      <c r="A7917" s="15" t="str">
        <f t="shared" si="246"/>
        <v/>
      </c>
      <c r="B7917" s="18" t="str">
        <f t="shared" si="247"/>
        <v/>
      </c>
    </row>
    <row r="7918" spans="1:2" x14ac:dyDescent="0.25">
      <c r="A7918" s="15" t="str">
        <f t="shared" si="246"/>
        <v/>
      </c>
      <c r="B7918" s="18" t="str">
        <f t="shared" si="247"/>
        <v/>
      </c>
    </row>
    <row r="7919" spans="1:2" x14ac:dyDescent="0.25">
      <c r="A7919" s="15" t="str">
        <f t="shared" si="246"/>
        <v/>
      </c>
      <c r="B7919" s="18" t="str">
        <f t="shared" si="247"/>
        <v/>
      </c>
    </row>
    <row r="7920" spans="1:2" x14ac:dyDescent="0.25">
      <c r="A7920" s="15" t="str">
        <f t="shared" si="246"/>
        <v/>
      </c>
      <c r="B7920" s="18" t="str">
        <f t="shared" si="247"/>
        <v/>
      </c>
    </row>
    <row r="7921" spans="1:2" x14ac:dyDescent="0.25">
      <c r="A7921" s="15" t="str">
        <f t="shared" si="246"/>
        <v/>
      </c>
      <c r="B7921" s="18" t="str">
        <f t="shared" si="247"/>
        <v/>
      </c>
    </row>
    <row r="7922" spans="1:2" x14ac:dyDescent="0.25">
      <c r="A7922" s="15" t="str">
        <f t="shared" si="246"/>
        <v/>
      </c>
      <c r="B7922" s="18" t="str">
        <f t="shared" si="247"/>
        <v/>
      </c>
    </row>
    <row r="7923" spans="1:2" x14ac:dyDescent="0.25">
      <c r="A7923" s="15" t="str">
        <f t="shared" si="246"/>
        <v/>
      </c>
      <c r="B7923" s="18" t="str">
        <f t="shared" si="247"/>
        <v/>
      </c>
    </row>
    <row r="7924" spans="1:2" x14ac:dyDescent="0.25">
      <c r="A7924" s="15" t="str">
        <f t="shared" si="246"/>
        <v/>
      </c>
      <c r="B7924" s="18" t="str">
        <f t="shared" si="247"/>
        <v/>
      </c>
    </row>
    <row r="7925" spans="1:2" x14ac:dyDescent="0.25">
      <c r="A7925" s="15" t="str">
        <f t="shared" si="246"/>
        <v/>
      </c>
      <c r="B7925" s="18" t="str">
        <f t="shared" si="247"/>
        <v/>
      </c>
    </row>
    <row r="7926" spans="1:2" x14ac:dyDescent="0.25">
      <c r="A7926" s="15" t="str">
        <f t="shared" si="246"/>
        <v/>
      </c>
      <c r="B7926" s="18" t="str">
        <f t="shared" si="247"/>
        <v/>
      </c>
    </row>
    <row r="7927" spans="1:2" x14ac:dyDescent="0.25">
      <c r="A7927" s="15" t="str">
        <f t="shared" si="246"/>
        <v/>
      </c>
      <c r="B7927" s="18" t="str">
        <f t="shared" si="247"/>
        <v/>
      </c>
    </row>
    <row r="7928" spans="1:2" x14ac:dyDescent="0.25">
      <c r="A7928" s="15" t="str">
        <f t="shared" si="246"/>
        <v/>
      </c>
      <c r="B7928" s="18" t="str">
        <f t="shared" si="247"/>
        <v/>
      </c>
    </row>
    <row r="7929" spans="1:2" x14ac:dyDescent="0.25">
      <c r="A7929" s="15" t="str">
        <f t="shared" si="246"/>
        <v/>
      </c>
      <c r="B7929" s="18" t="str">
        <f t="shared" si="247"/>
        <v/>
      </c>
    </row>
    <row r="7930" spans="1:2" x14ac:dyDescent="0.25">
      <c r="A7930" s="15" t="str">
        <f t="shared" si="246"/>
        <v/>
      </c>
      <c r="B7930" s="18" t="str">
        <f t="shared" si="247"/>
        <v/>
      </c>
    </row>
    <row r="7931" spans="1:2" x14ac:dyDescent="0.25">
      <c r="A7931" s="15" t="str">
        <f t="shared" si="246"/>
        <v/>
      </c>
      <c r="B7931" s="18" t="str">
        <f t="shared" si="247"/>
        <v/>
      </c>
    </row>
    <row r="7932" spans="1:2" x14ac:dyDescent="0.25">
      <c r="A7932" s="15" t="str">
        <f t="shared" si="246"/>
        <v/>
      </c>
      <c r="B7932" s="18" t="str">
        <f t="shared" si="247"/>
        <v/>
      </c>
    </row>
    <row r="7933" spans="1:2" x14ac:dyDescent="0.25">
      <c r="A7933" s="15" t="str">
        <f t="shared" si="246"/>
        <v/>
      </c>
      <c r="B7933" s="18" t="str">
        <f t="shared" si="247"/>
        <v/>
      </c>
    </row>
    <row r="7934" spans="1:2" x14ac:dyDescent="0.25">
      <c r="A7934" s="15" t="str">
        <f t="shared" si="246"/>
        <v/>
      </c>
      <c r="B7934" s="18" t="str">
        <f t="shared" si="247"/>
        <v/>
      </c>
    </row>
    <row r="7935" spans="1:2" x14ac:dyDescent="0.25">
      <c r="A7935" s="15" t="str">
        <f t="shared" si="246"/>
        <v/>
      </c>
      <c r="B7935" s="18" t="str">
        <f t="shared" si="247"/>
        <v/>
      </c>
    </row>
    <row r="7936" spans="1:2" x14ac:dyDescent="0.25">
      <c r="A7936" s="15" t="str">
        <f t="shared" si="246"/>
        <v/>
      </c>
      <c r="B7936" s="18" t="str">
        <f t="shared" si="247"/>
        <v/>
      </c>
    </row>
    <row r="7937" spans="1:2" x14ac:dyDescent="0.25">
      <c r="A7937" s="15" t="str">
        <f t="shared" si="246"/>
        <v/>
      </c>
      <c r="B7937" s="18" t="str">
        <f t="shared" si="247"/>
        <v/>
      </c>
    </row>
    <row r="7938" spans="1:2" x14ac:dyDescent="0.25">
      <c r="A7938" s="15" t="str">
        <f t="shared" ref="A7938:A8001" si="248">B7938&amp;C7938</f>
        <v/>
      </c>
      <c r="B7938" s="18" t="str">
        <f t="shared" si="247"/>
        <v/>
      </c>
    </row>
    <row r="7939" spans="1:2" x14ac:dyDescent="0.25">
      <c r="A7939" s="15" t="str">
        <f t="shared" si="248"/>
        <v/>
      </c>
      <c r="B7939" s="18" t="str">
        <f t="shared" ref="B7939:B8002" si="249">IF(C7939="","",B7938)</f>
        <v/>
      </c>
    </row>
    <row r="7940" spans="1:2" x14ac:dyDescent="0.25">
      <c r="A7940" s="15" t="str">
        <f t="shared" si="248"/>
        <v/>
      </c>
      <c r="B7940" s="18" t="str">
        <f t="shared" si="249"/>
        <v/>
      </c>
    </row>
    <row r="7941" spans="1:2" x14ac:dyDescent="0.25">
      <c r="A7941" s="15" t="str">
        <f t="shared" si="248"/>
        <v/>
      </c>
      <c r="B7941" s="18" t="str">
        <f t="shared" si="249"/>
        <v/>
      </c>
    </row>
    <row r="7942" spans="1:2" x14ac:dyDescent="0.25">
      <c r="A7942" s="15" t="str">
        <f t="shared" si="248"/>
        <v/>
      </c>
      <c r="B7942" s="18" t="str">
        <f t="shared" si="249"/>
        <v/>
      </c>
    </row>
    <row r="7943" spans="1:2" x14ac:dyDescent="0.25">
      <c r="A7943" s="15" t="str">
        <f t="shared" si="248"/>
        <v/>
      </c>
      <c r="B7943" s="18" t="str">
        <f t="shared" si="249"/>
        <v/>
      </c>
    </row>
    <row r="7944" spans="1:2" x14ac:dyDescent="0.25">
      <c r="A7944" s="15" t="str">
        <f t="shared" si="248"/>
        <v/>
      </c>
      <c r="B7944" s="18" t="str">
        <f t="shared" si="249"/>
        <v/>
      </c>
    </row>
    <row r="7945" spans="1:2" x14ac:dyDescent="0.25">
      <c r="A7945" s="15" t="str">
        <f t="shared" si="248"/>
        <v/>
      </c>
      <c r="B7945" s="18" t="str">
        <f t="shared" si="249"/>
        <v/>
      </c>
    </row>
    <row r="7946" spans="1:2" x14ac:dyDescent="0.25">
      <c r="A7946" s="15" t="str">
        <f t="shared" si="248"/>
        <v/>
      </c>
      <c r="B7946" s="18" t="str">
        <f t="shared" si="249"/>
        <v/>
      </c>
    </row>
    <row r="7947" spans="1:2" x14ac:dyDescent="0.25">
      <c r="A7947" s="15" t="str">
        <f t="shared" si="248"/>
        <v/>
      </c>
      <c r="B7947" s="18" t="str">
        <f t="shared" si="249"/>
        <v/>
      </c>
    </row>
    <row r="7948" spans="1:2" x14ac:dyDescent="0.25">
      <c r="A7948" s="15" t="str">
        <f t="shared" si="248"/>
        <v/>
      </c>
      <c r="B7948" s="18" t="str">
        <f t="shared" si="249"/>
        <v/>
      </c>
    </row>
    <row r="7949" spans="1:2" x14ac:dyDescent="0.25">
      <c r="A7949" s="15" t="str">
        <f t="shared" si="248"/>
        <v/>
      </c>
      <c r="B7949" s="18" t="str">
        <f t="shared" si="249"/>
        <v/>
      </c>
    </row>
    <row r="7950" spans="1:2" x14ac:dyDescent="0.25">
      <c r="A7950" s="15" t="str">
        <f t="shared" si="248"/>
        <v/>
      </c>
      <c r="B7950" s="18" t="str">
        <f t="shared" si="249"/>
        <v/>
      </c>
    </row>
    <row r="7951" spans="1:2" x14ac:dyDescent="0.25">
      <c r="A7951" s="15" t="str">
        <f t="shared" si="248"/>
        <v/>
      </c>
      <c r="B7951" s="18" t="str">
        <f t="shared" si="249"/>
        <v/>
      </c>
    </row>
    <row r="7952" spans="1:2" x14ac:dyDescent="0.25">
      <c r="A7952" s="15" t="str">
        <f t="shared" si="248"/>
        <v/>
      </c>
      <c r="B7952" s="18" t="str">
        <f t="shared" si="249"/>
        <v/>
      </c>
    </row>
    <row r="7953" spans="1:2" x14ac:dyDescent="0.25">
      <c r="A7953" s="15" t="str">
        <f t="shared" si="248"/>
        <v/>
      </c>
      <c r="B7953" s="18" t="str">
        <f t="shared" si="249"/>
        <v/>
      </c>
    </row>
    <row r="7954" spans="1:2" x14ac:dyDescent="0.25">
      <c r="A7954" s="15" t="str">
        <f t="shared" si="248"/>
        <v/>
      </c>
      <c r="B7954" s="18" t="str">
        <f t="shared" si="249"/>
        <v/>
      </c>
    </row>
    <row r="7955" spans="1:2" x14ac:dyDescent="0.25">
      <c r="A7955" s="15" t="str">
        <f t="shared" si="248"/>
        <v/>
      </c>
      <c r="B7955" s="18" t="str">
        <f t="shared" si="249"/>
        <v/>
      </c>
    </row>
    <row r="7956" spans="1:2" x14ac:dyDescent="0.25">
      <c r="A7956" s="15" t="str">
        <f t="shared" si="248"/>
        <v/>
      </c>
      <c r="B7956" s="18" t="str">
        <f t="shared" si="249"/>
        <v/>
      </c>
    </row>
    <row r="7957" spans="1:2" x14ac:dyDescent="0.25">
      <c r="A7957" s="15" t="str">
        <f t="shared" si="248"/>
        <v/>
      </c>
      <c r="B7957" s="18" t="str">
        <f t="shared" si="249"/>
        <v/>
      </c>
    </row>
    <row r="7958" spans="1:2" x14ac:dyDescent="0.25">
      <c r="A7958" s="15" t="str">
        <f t="shared" si="248"/>
        <v/>
      </c>
      <c r="B7958" s="18" t="str">
        <f t="shared" si="249"/>
        <v/>
      </c>
    </row>
    <row r="7959" spans="1:2" x14ac:dyDescent="0.25">
      <c r="A7959" s="15" t="str">
        <f t="shared" si="248"/>
        <v/>
      </c>
      <c r="B7959" s="18" t="str">
        <f t="shared" si="249"/>
        <v/>
      </c>
    </row>
    <row r="7960" spans="1:2" x14ac:dyDescent="0.25">
      <c r="A7960" s="15" t="str">
        <f t="shared" si="248"/>
        <v/>
      </c>
      <c r="B7960" s="18" t="str">
        <f t="shared" si="249"/>
        <v/>
      </c>
    </row>
    <row r="7961" spans="1:2" x14ac:dyDescent="0.25">
      <c r="A7961" s="15" t="str">
        <f t="shared" si="248"/>
        <v/>
      </c>
      <c r="B7961" s="18" t="str">
        <f t="shared" si="249"/>
        <v/>
      </c>
    </row>
    <row r="7962" spans="1:2" x14ac:dyDescent="0.25">
      <c r="A7962" s="15" t="str">
        <f t="shared" si="248"/>
        <v/>
      </c>
      <c r="B7962" s="18" t="str">
        <f t="shared" si="249"/>
        <v/>
      </c>
    </row>
    <row r="7963" spans="1:2" x14ac:dyDescent="0.25">
      <c r="A7963" s="15" t="str">
        <f t="shared" si="248"/>
        <v/>
      </c>
      <c r="B7963" s="18" t="str">
        <f t="shared" si="249"/>
        <v/>
      </c>
    </row>
    <row r="7964" spans="1:2" x14ac:dyDescent="0.25">
      <c r="A7964" s="15" t="str">
        <f t="shared" si="248"/>
        <v/>
      </c>
      <c r="B7964" s="18" t="str">
        <f t="shared" si="249"/>
        <v/>
      </c>
    </row>
    <row r="7965" spans="1:2" x14ac:dyDescent="0.25">
      <c r="A7965" s="15" t="str">
        <f t="shared" si="248"/>
        <v/>
      </c>
      <c r="B7965" s="18" t="str">
        <f t="shared" si="249"/>
        <v/>
      </c>
    </row>
    <row r="7966" spans="1:2" x14ac:dyDescent="0.25">
      <c r="A7966" s="15" t="str">
        <f t="shared" si="248"/>
        <v/>
      </c>
      <c r="B7966" s="18" t="str">
        <f t="shared" si="249"/>
        <v/>
      </c>
    </row>
    <row r="7967" spans="1:2" x14ac:dyDescent="0.25">
      <c r="A7967" s="15" t="str">
        <f t="shared" si="248"/>
        <v/>
      </c>
      <c r="B7967" s="18" t="str">
        <f t="shared" si="249"/>
        <v/>
      </c>
    </row>
    <row r="7968" spans="1:2" x14ac:dyDescent="0.25">
      <c r="A7968" s="15" t="str">
        <f t="shared" si="248"/>
        <v/>
      </c>
      <c r="B7968" s="18" t="str">
        <f t="shared" si="249"/>
        <v/>
      </c>
    </row>
    <row r="7969" spans="1:2" x14ac:dyDescent="0.25">
      <c r="A7969" s="15" t="str">
        <f t="shared" si="248"/>
        <v/>
      </c>
      <c r="B7969" s="18" t="str">
        <f t="shared" si="249"/>
        <v/>
      </c>
    </row>
    <row r="7970" spans="1:2" x14ac:dyDescent="0.25">
      <c r="A7970" s="15" t="str">
        <f t="shared" si="248"/>
        <v/>
      </c>
      <c r="B7970" s="18" t="str">
        <f t="shared" si="249"/>
        <v/>
      </c>
    </row>
    <row r="7971" spans="1:2" x14ac:dyDescent="0.25">
      <c r="A7971" s="15" t="str">
        <f t="shared" si="248"/>
        <v/>
      </c>
      <c r="B7971" s="18" t="str">
        <f t="shared" si="249"/>
        <v/>
      </c>
    </row>
    <row r="7972" spans="1:2" x14ac:dyDescent="0.25">
      <c r="A7972" s="15" t="str">
        <f t="shared" si="248"/>
        <v/>
      </c>
      <c r="B7972" s="18" t="str">
        <f t="shared" si="249"/>
        <v/>
      </c>
    </row>
    <row r="7973" spans="1:2" x14ac:dyDescent="0.25">
      <c r="A7973" s="15" t="str">
        <f t="shared" si="248"/>
        <v/>
      </c>
      <c r="B7973" s="18" t="str">
        <f t="shared" si="249"/>
        <v/>
      </c>
    </row>
    <row r="7974" spans="1:2" x14ac:dyDescent="0.25">
      <c r="A7974" s="15" t="str">
        <f t="shared" si="248"/>
        <v/>
      </c>
      <c r="B7974" s="18" t="str">
        <f t="shared" si="249"/>
        <v/>
      </c>
    </row>
    <row r="7975" spans="1:2" x14ac:dyDescent="0.25">
      <c r="A7975" s="15" t="str">
        <f t="shared" si="248"/>
        <v/>
      </c>
      <c r="B7975" s="18" t="str">
        <f t="shared" si="249"/>
        <v/>
      </c>
    </row>
    <row r="7976" spans="1:2" x14ac:dyDescent="0.25">
      <c r="A7976" s="15" t="str">
        <f t="shared" si="248"/>
        <v/>
      </c>
      <c r="B7976" s="18" t="str">
        <f t="shared" si="249"/>
        <v/>
      </c>
    </row>
    <row r="7977" spans="1:2" x14ac:dyDescent="0.25">
      <c r="A7977" s="15" t="str">
        <f t="shared" si="248"/>
        <v/>
      </c>
      <c r="B7977" s="18" t="str">
        <f t="shared" si="249"/>
        <v/>
      </c>
    </row>
    <row r="7978" spans="1:2" x14ac:dyDescent="0.25">
      <c r="A7978" s="15" t="str">
        <f t="shared" si="248"/>
        <v/>
      </c>
      <c r="B7978" s="18" t="str">
        <f t="shared" si="249"/>
        <v/>
      </c>
    </row>
    <row r="7979" spans="1:2" x14ac:dyDescent="0.25">
      <c r="A7979" s="15" t="str">
        <f t="shared" si="248"/>
        <v/>
      </c>
      <c r="B7979" s="18" t="str">
        <f t="shared" si="249"/>
        <v/>
      </c>
    </row>
    <row r="7980" spans="1:2" x14ac:dyDescent="0.25">
      <c r="A7980" s="15" t="str">
        <f t="shared" si="248"/>
        <v/>
      </c>
      <c r="B7980" s="18" t="str">
        <f t="shared" si="249"/>
        <v/>
      </c>
    </row>
    <row r="7981" spans="1:2" x14ac:dyDescent="0.25">
      <c r="A7981" s="15" t="str">
        <f t="shared" si="248"/>
        <v/>
      </c>
      <c r="B7981" s="18" t="str">
        <f t="shared" si="249"/>
        <v/>
      </c>
    </row>
    <row r="7982" spans="1:2" x14ac:dyDescent="0.25">
      <c r="A7982" s="15" t="str">
        <f t="shared" si="248"/>
        <v/>
      </c>
      <c r="B7982" s="18" t="str">
        <f t="shared" si="249"/>
        <v/>
      </c>
    </row>
    <row r="7983" spans="1:2" x14ac:dyDescent="0.25">
      <c r="A7983" s="15" t="str">
        <f t="shared" si="248"/>
        <v/>
      </c>
      <c r="B7983" s="18" t="str">
        <f t="shared" si="249"/>
        <v/>
      </c>
    </row>
    <row r="7984" spans="1:2" x14ac:dyDescent="0.25">
      <c r="A7984" s="15" t="str">
        <f t="shared" si="248"/>
        <v/>
      </c>
      <c r="B7984" s="18" t="str">
        <f t="shared" si="249"/>
        <v/>
      </c>
    </row>
    <row r="7985" spans="1:2" x14ac:dyDescent="0.25">
      <c r="A7985" s="15" t="str">
        <f t="shared" si="248"/>
        <v/>
      </c>
      <c r="B7985" s="18" t="str">
        <f t="shared" si="249"/>
        <v/>
      </c>
    </row>
    <row r="7986" spans="1:2" x14ac:dyDescent="0.25">
      <c r="A7986" s="15" t="str">
        <f t="shared" si="248"/>
        <v/>
      </c>
      <c r="B7986" s="18" t="str">
        <f t="shared" si="249"/>
        <v/>
      </c>
    </row>
    <row r="7987" spans="1:2" x14ac:dyDescent="0.25">
      <c r="A7987" s="15" t="str">
        <f t="shared" si="248"/>
        <v/>
      </c>
      <c r="B7987" s="18" t="str">
        <f t="shared" si="249"/>
        <v/>
      </c>
    </row>
    <row r="7988" spans="1:2" x14ac:dyDescent="0.25">
      <c r="A7988" s="15" t="str">
        <f t="shared" si="248"/>
        <v/>
      </c>
      <c r="B7988" s="18" t="str">
        <f t="shared" si="249"/>
        <v/>
      </c>
    </row>
    <row r="7989" spans="1:2" x14ac:dyDescent="0.25">
      <c r="A7989" s="15" t="str">
        <f t="shared" si="248"/>
        <v/>
      </c>
      <c r="B7989" s="18" t="str">
        <f t="shared" si="249"/>
        <v/>
      </c>
    </row>
    <row r="7990" spans="1:2" x14ac:dyDescent="0.25">
      <c r="A7990" s="15" t="str">
        <f t="shared" si="248"/>
        <v/>
      </c>
      <c r="B7990" s="18" t="str">
        <f t="shared" si="249"/>
        <v/>
      </c>
    </row>
    <row r="7991" spans="1:2" x14ac:dyDescent="0.25">
      <c r="A7991" s="15" t="str">
        <f t="shared" si="248"/>
        <v/>
      </c>
      <c r="B7991" s="18" t="str">
        <f t="shared" si="249"/>
        <v/>
      </c>
    </row>
    <row r="7992" spans="1:2" x14ac:dyDescent="0.25">
      <c r="A7992" s="15" t="str">
        <f t="shared" si="248"/>
        <v/>
      </c>
      <c r="B7992" s="18" t="str">
        <f t="shared" si="249"/>
        <v/>
      </c>
    </row>
    <row r="7993" spans="1:2" x14ac:dyDescent="0.25">
      <c r="A7993" s="15" t="str">
        <f t="shared" si="248"/>
        <v/>
      </c>
      <c r="B7993" s="18" t="str">
        <f t="shared" si="249"/>
        <v/>
      </c>
    </row>
    <row r="7994" spans="1:2" x14ac:dyDescent="0.25">
      <c r="A7994" s="15" t="str">
        <f t="shared" si="248"/>
        <v/>
      </c>
      <c r="B7994" s="18" t="str">
        <f t="shared" si="249"/>
        <v/>
      </c>
    </row>
    <row r="7995" spans="1:2" x14ac:dyDescent="0.25">
      <c r="A7995" s="15" t="str">
        <f t="shared" si="248"/>
        <v/>
      </c>
      <c r="B7995" s="18" t="str">
        <f t="shared" si="249"/>
        <v/>
      </c>
    </row>
    <row r="7996" spans="1:2" x14ac:dyDescent="0.25">
      <c r="A7996" s="15" t="str">
        <f t="shared" si="248"/>
        <v/>
      </c>
      <c r="B7996" s="18" t="str">
        <f t="shared" si="249"/>
        <v/>
      </c>
    </row>
    <row r="7997" spans="1:2" x14ac:dyDescent="0.25">
      <c r="A7997" s="15" t="str">
        <f t="shared" si="248"/>
        <v/>
      </c>
      <c r="B7997" s="18" t="str">
        <f t="shared" si="249"/>
        <v/>
      </c>
    </row>
    <row r="7998" spans="1:2" x14ac:dyDescent="0.25">
      <c r="A7998" s="15" t="str">
        <f t="shared" si="248"/>
        <v/>
      </c>
      <c r="B7998" s="18" t="str">
        <f t="shared" si="249"/>
        <v/>
      </c>
    </row>
    <row r="7999" spans="1:2" x14ac:dyDescent="0.25">
      <c r="A7999" s="15" t="str">
        <f t="shared" si="248"/>
        <v/>
      </c>
      <c r="B7999" s="18" t="str">
        <f t="shared" si="249"/>
        <v/>
      </c>
    </row>
    <row r="8000" spans="1:2" x14ac:dyDescent="0.25">
      <c r="A8000" s="15" t="str">
        <f t="shared" si="248"/>
        <v/>
      </c>
      <c r="B8000" s="18" t="str">
        <f t="shared" si="249"/>
        <v/>
      </c>
    </row>
    <row r="8001" spans="1:2" x14ac:dyDescent="0.25">
      <c r="A8001" s="15" t="str">
        <f t="shared" si="248"/>
        <v/>
      </c>
      <c r="B8001" s="18" t="str">
        <f t="shared" si="249"/>
        <v/>
      </c>
    </row>
    <row r="8002" spans="1:2" x14ac:dyDescent="0.25">
      <c r="A8002" s="15" t="str">
        <f t="shared" ref="A8002:A8065" si="250">B8002&amp;C8002</f>
        <v/>
      </c>
      <c r="B8002" s="18" t="str">
        <f t="shared" si="249"/>
        <v/>
      </c>
    </row>
    <row r="8003" spans="1:2" x14ac:dyDescent="0.25">
      <c r="A8003" s="15" t="str">
        <f t="shared" si="250"/>
        <v/>
      </c>
      <c r="B8003" s="18" t="str">
        <f t="shared" ref="B8003:B8066" si="251">IF(C8003="","",B8002)</f>
        <v/>
      </c>
    </row>
    <row r="8004" spans="1:2" x14ac:dyDescent="0.25">
      <c r="A8004" s="15" t="str">
        <f t="shared" si="250"/>
        <v/>
      </c>
      <c r="B8004" s="18" t="str">
        <f t="shared" si="251"/>
        <v/>
      </c>
    </row>
    <row r="8005" spans="1:2" x14ac:dyDescent="0.25">
      <c r="A8005" s="15" t="str">
        <f t="shared" si="250"/>
        <v/>
      </c>
      <c r="B8005" s="18" t="str">
        <f t="shared" si="251"/>
        <v/>
      </c>
    </row>
    <row r="8006" spans="1:2" x14ac:dyDescent="0.25">
      <c r="A8006" s="15" t="str">
        <f t="shared" si="250"/>
        <v/>
      </c>
      <c r="B8006" s="18" t="str">
        <f t="shared" si="251"/>
        <v/>
      </c>
    </row>
    <row r="8007" spans="1:2" x14ac:dyDescent="0.25">
      <c r="A8007" s="15" t="str">
        <f t="shared" si="250"/>
        <v/>
      </c>
      <c r="B8007" s="18" t="str">
        <f t="shared" si="251"/>
        <v/>
      </c>
    </row>
    <row r="8008" spans="1:2" x14ac:dyDescent="0.25">
      <c r="A8008" s="15" t="str">
        <f t="shared" si="250"/>
        <v/>
      </c>
      <c r="B8008" s="18" t="str">
        <f t="shared" si="251"/>
        <v/>
      </c>
    </row>
    <row r="8009" spans="1:2" x14ac:dyDescent="0.25">
      <c r="A8009" s="15" t="str">
        <f t="shared" si="250"/>
        <v/>
      </c>
      <c r="B8009" s="18" t="str">
        <f t="shared" si="251"/>
        <v/>
      </c>
    </row>
    <row r="8010" spans="1:2" x14ac:dyDescent="0.25">
      <c r="A8010" s="15" t="str">
        <f t="shared" si="250"/>
        <v/>
      </c>
      <c r="B8010" s="18" t="str">
        <f t="shared" si="251"/>
        <v/>
      </c>
    </row>
    <row r="8011" spans="1:2" x14ac:dyDescent="0.25">
      <c r="A8011" s="15" t="str">
        <f t="shared" si="250"/>
        <v/>
      </c>
      <c r="B8011" s="18" t="str">
        <f t="shared" si="251"/>
        <v/>
      </c>
    </row>
    <row r="8012" spans="1:2" x14ac:dyDescent="0.25">
      <c r="A8012" s="15" t="str">
        <f t="shared" si="250"/>
        <v/>
      </c>
      <c r="B8012" s="18" t="str">
        <f t="shared" si="251"/>
        <v/>
      </c>
    </row>
    <row r="8013" spans="1:2" x14ac:dyDescent="0.25">
      <c r="A8013" s="15" t="str">
        <f t="shared" si="250"/>
        <v/>
      </c>
      <c r="B8013" s="18" t="str">
        <f t="shared" si="251"/>
        <v/>
      </c>
    </row>
    <row r="8014" spans="1:2" x14ac:dyDescent="0.25">
      <c r="A8014" s="15" t="str">
        <f t="shared" si="250"/>
        <v/>
      </c>
      <c r="B8014" s="18" t="str">
        <f t="shared" si="251"/>
        <v/>
      </c>
    </row>
    <row r="8015" spans="1:2" x14ac:dyDescent="0.25">
      <c r="A8015" s="15" t="str">
        <f t="shared" si="250"/>
        <v/>
      </c>
      <c r="B8015" s="18" t="str">
        <f t="shared" si="251"/>
        <v/>
      </c>
    </row>
    <row r="8016" spans="1:2" x14ac:dyDescent="0.25">
      <c r="A8016" s="15" t="str">
        <f t="shared" si="250"/>
        <v/>
      </c>
      <c r="B8016" s="18" t="str">
        <f t="shared" si="251"/>
        <v/>
      </c>
    </row>
    <row r="8017" spans="1:2" x14ac:dyDescent="0.25">
      <c r="A8017" s="15" t="str">
        <f t="shared" si="250"/>
        <v/>
      </c>
      <c r="B8017" s="18" t="str">
        <f t="shared" si="251"/>
        <v/>
      </c>
    </row>
    <row r="8018" spans="1:2" x14ac:dyDescent="0.25">
      <c r="A8018" s="15" t="str">
        <f t="shared" si="250"/>
        <v/>
      </c>
      <c r="B8018" s="18" t="str">
        <f t="shared" si="251"/>
        <v/>
      </c>
    </row>
    <row r="8019" spans="1:2" x14ac:dyDescent="0.25">
      <c r="A8019" s="15" t="str">
        <f t="shared" si="250"/>
        <v/>
      </c>
      <c r="B8019" s="18" t="str">
        <f t="shared" si="251"/>
        <v/>
      </c>
    </row>
    <row r="8020" spans="1:2" x14ac:dyDescent="0.25">
      <c r="A8020" s="15" t="str">
        <f t="shared" si="250"/>
        <v/>
      </c>
      <c r="B8020" s="18" t="str">
        <f t="shared" si="251"/>
        <v/>
      </c>
    </row>
    <row r="8021" spans="1:2" x14ac:dyDescent="0.25">
      <c r="A8021" s="15" t="str">
        <f t="shared" si="250"/>
        <v/>
      </c>
      <c r="B8021" s="18" t="str">
        <f t="shared" si="251"/>
        <v/>
      </c>
    </row>
    <row r="8022" spans="1:2" x14ac:dyDescent="0.25">
      <c r="A8022" s="15" t="str">
        <f t="shared" si="250"/>
        <v/>
      </c>
      <c r="B8022" s="18" t="str">
        <f t="shared" si="251"/>
        <v/>
      </c>
    </row>
    <row r="8023" spans="1:2" x14ac:dyDescent="0.25">
      <c r="A8023" s="15" t="str">
        <f t="shared" si="250"/>
        <v/>
      </c>
      <c r="B8023" s="18" t="str">
        <f t="shared" si="251"/>
        <v/>
      </c>
    </row>
    <row r="8024" spans="1:2" x14ac:dyDescent="0.25">
      <c r="A8024" s="15" t="str">
        <f t="shared" si="250"/>
        <v/>
      </c>
      <c r="B8024" s="18" t="str">
        <f t="shared" si="251"/>
        <v/>
      </c>
    </row>
    <row r="8025" spans="1:2" x14ac:dyDescent="0.25">
      <c r="A8025" s="15" t="str">
        <f t="shared" si="250"/>
        <v/>
      </c>
      <c r="B8025" s="18" t="str">
        <f t="shared" si="251"/>
        <v/>
      </c>
    </row>
    <row r="8026" spans="1:2" x14ac:dyDescent="0.25">
      <c r="A8026" s="15" t="str">
        <f t="shared" si="250"/>
        <v/>
      </c>
      <c r="B8026" s="18" t="str">
        <f t="shared" si="251"/>
        <v/>
      </c>
    </row>
    <row r="8027" spans="1:2" x14ac:dyDescent="0.25">
      <c r="A8027" s="15" t="str">
        <f t="shared" si="250"/>
        <v/>
      </c>
      <c r="B8027" s="18" t="str">
        <f t="shared" si="251"/>
        <v/>
      </c>
    </row>
    <row r="8028" spans="1:2" x14ac:dyDescent="0.25">
      <c r="A8028" s="15" t="str">
        <f t="shared" si="250"/>
        <v/>
      </c>
      <c r="B8028" s="18" t="str">
        <f t="shared" si="251"/>
        <v/>
      </c>
    </row>
    <row r="8029" spans="1:2" x14ac:dyDescent="0.25">
      <c r="A8029" s="15" t="str">
        <f t="shared" si="250"/>
        <v/>
      </c>
      <c r="B8029" s="18" t="str">
        <f t="shared" si="251"/>
        <v/>
      </c>
    </row>
    <row r="8030" spans="1:2" x14ac:dyDescent="0.25">
      <c r="A8030" s="15" t="str">
        <f t="shared" si="250"/>
        <v/>
      </c>
      <c r="B8030" s="18" t="str">
        <f t="shared" si="251"/>
        <v/>
      </c>
    </row>
    <row r="8031" spans="1:2" x14ac:dyDescent="0.25">
      <c r="A8031" s="15" t="str">
        <f t="shared" si="250"/>
        <v/>
      </c>
      <c r="B8031" s="18" t="str">
        <f t="shared" si="251"/>
        <v/>
      </c>
    </row>
    <row r="8032" spans="1:2" x14ac:dyDescent="0.25">
      <c r="A8032" s="15" t="str">
        <f t="shared" si="250"/>
        <v/>
      </c>
      <c r="B8032" s="18" t="str">
        <f t="shared" si="251"/>
        <v/>
      </c>
    </row>
    <row r="8033" spans="1:2" x14ac:dyDescent="0.25">
      <c r="A8033" s="15" t="str">
        <f t="shared" si="250"/>
        <v/>
      </c>
      <c r="B8033" s="18" t="str">
        <f t="shared" si="251"/>
        <v/>
      </c>
    </row>
    <row r="8034" spans="1:2" x14ac:dyDescent="0.25">
      <c r="A8034" s="15" t="str">
        <f t="shared" si="250"/>
        <v/>
      </c>
      <c r="B8034" s="18" t="str">
        <f t="shared" si="251"/>
        <v/>
      </c>
    </row>
    <row r="8035" spans="1:2" x14ac:dyDescent="0.25">
      <c r="A8035" s="15" t="str">
        <f t="shared" si="250"/>
        <v/>
      </c>
      <c r="B8035" s="18" t="str">
        <f t="shared" si="251"/>
        <v/>
      </c>
    </row>
    <row r="8036" spans="1:2" x14ac:dyDescent="0.25">
      <c r="A8036" s="15" t="str">
        <f t="shared" si="250"/>
        <v/>
      </c>
      <c r="B8036" s="18" t="str">
        <f t="shared" si="251"/>
        <v/>
      </c>
    </row>
    <row r="8037" spans="1:2" x14ac:dyDescent="0.25">
      <c r="A8037" s="15" t="str">
        <f t="shared" si="250"/>
        <v/>
      </c>
      <c r="B8037" s="18" t="str">
        <f t="shared" si="251"/>
        <v/>
      </c>
    </row>
    <row r="8038" spans="1:2" x14ac:dyDescent="0.25">
      <c r="A8038" s="15" t="str">
        <f t="shared" si="250"/>
        <v/>
      </c>
      <c r="B8038" s="18" t="str">
        <f t="shared" si="251"/>
        <v/>
      </c>
    </row>
    <row r="8039" spans="1:2" x14ac:dyDescent="0.25">
      <c r="A8039" s="15" t="str">
        <f t="shared" si="250"/>
        <v/>
      </c>
      <c r="B8039" s="18" t="str">
        <f t="shared" si="251"/>
        <v/>
      </c>
    </row>
    <row r="8040" spans="1:2" x14ac:dyDescent="0.25">
      <c r="A8040" s="15" t="str">
        <f t="shared" si="250"/>
        <v/>
      </c>
      <c r="B8040" s="18" t="str">
        <f t="shared" si="251"/>
        <v/>
      </c>
    </row>
    <row r="8041" spans="1:2" x14ac:dyDescent="0.25">
      <c r="A8041" s="15" t="str">
        <f t="shared" si="250"/>
        <v/>
      </c>
      <c r="B8041" s="18" t="str">
        <f t="shared" si="251"/>
        <v/>
      </c>
    </row>
    <row r="8042" spans="1:2" x14ac:dyDescent="0.25">
      <c r="A8042" s="15" t="str">
        <f t="shared" si="250"/>
        <v/>
      </c>
      <c r="B8042" s="18" t="str">
        <f t="shared" si="251"/>
        <v/>
      </c>
    </row>
    <row r="8043" spans="1:2" x14ac:dyDescent="0.25">
      <c r="A8043" s="15" t="str">
        <f t="shared" si="250"/>
        <v/>
      </c>
      <c r="B8043" s="18" t="str">
        <f t="shared" si="251"/>
        <v/>
      </c>
    </row>
    <row r="8044" spans="1:2" x14ac:dyDescent="0.25">
      <c r="A8044" s="15" t="str">
        <f t="shared" si="250"/>
        <v/>
      </c>
      <c r="B8044" s="18" t="str">
        <f t="shared" si="251"/>
        <v/>
      </c>
    </row>
    <row r="8045" spans="1:2" x14ac:dyDescent="0.25">
      <c r="A8045" s="15" t="str">
        <f t="shared" si="250"/>
        <v/>
      </c>
      <c r="B8045" s="18" t="str">
        <f t="shared" si="251"/>
        <v/>
      </c>
    </row>
    <row r="8046" spans="1:2" x14ac:dyDescent="0.25">
      <c r="A8046" s="15" t="str">
        <f t="shared" si="250"/>
        <v/>
      </c>
      <c r="B8046" s="18" t="str">
        <f t="shared" si="251"/>
        <v/>
      </c>
    </row>
    <row r="8047" spans="1:2" x14ac:dyDescent="0.25">
      <c r="A8047" s="15" t="str">
        <f t="shared" si="250"/>
        <v/>
      </c>
      <c r="B8047" s="18" t="str">
        <f t="shared" si="251"/>
        <v/>
      </c>
    </row>
    <row r="8048" spans="1:2" x14ac:dyDescent="0.25">
      <c r="A8048" s="15" t="str">
        <f t="shared" si="250"/>
        <v/>
      </c>
      <c r="B8048" s="18" t="str">
        <f t="shared" si="251"/>
        <v/>
      </c>
    </row>
    <row r="8049" spans="1:2" x14ac:dyDescent="0.25">
      <c r="A8049" s="15" t="str">
        <f t="shared" si="250"/>
        <v/>
      </c>
      <c r="B8049" s="18" t="str">
        <f t="shared" si="251"/>
        <v/>
      </c>
    </row>
    <row r="8050" spans="1:2" x14ac:dyDescent="0.25">
      <c r="A8050" s="15" t="str">
        <f t="shared" si="250"/>
        <v/>
      </c>
      <c r="B8050" s="18" t="str">
        <f t="shared" si="251"/>
        <v/>
      </c>
    </row>
    <row r="8051" spans="1:2" x14ac:dyDescent="0.25">
      <c r="A8051" s="15" t="str">
        <f t="shared" si="250"/>
        <v/>
      </c>
      <c r="B8051" s="18" t="str">
        <f t="shared" si="251"/>
        <v/>
      </c>
    </row>
    <row r="8052" spans="1:2" x14ac:dyDescent="0.25">
      <c r="A8052" s="15" t="str">
        <f t="shared" si="250"/>
        <v/>
      </c>
      <c r="B8052" s="18" t="str">
        <f t="shared" si="251"/>
        <v/>
      </c>
    </row>
    <row r="8053" spans="1:2" x14ac:dyDescent="0.25">
      <c r="A8053" s="15" t="str">
        <f t="shared" si="250"/>
        <v/>
      </c>
      <c r="B8053" s="18" t="str">
        <f t="shared" si="251"/>
        <v/>
      </c>
    </row>
    <row r="8054" spans="1:2" x14ac:dyDescent="0.25">
      <c r="A8054" s="15" t="str">
        <f t="shared" si="250"/>
        <v/>
      </c>
      <c r="B8054" s="18" t="str">
        <f t="shared" si="251"/>
        <v/>
      </c>
    </row>
    <row r="8055" spans="1:2" x14ac:dyDescent="0.25">
      <c r="A8055" s="15" t="str">
        <f t="shared" si="250"/>
        <v/>
      </c>
      <c r="B8055" s="18" t="str">
        <f t="shared" si="251"/>
        <v/>
      </c>
    </row>
    <row r="8056" spans="1:2" x14ac:dyDescent="0.25">
      <c r="A8056" s="15" t="str">
        <f t="shared" si="250"/>
        <v/>
      </c>
      <c r="B8056" s="18" t="str">
        <f t="shared" si="251"/>
        <v/>
      </c>
    </row>
    <row r="8057" spans="1:2" x14ac:dyDescent="0.25">
      <c r="A8057" s="15" t="str">
        <f t="shared" si="250"/>
        <v/>
      </c>
      <c r="B8057" s="18" t="str">
        <f t="shared" si="251"/>
        <v/>
      </c>
    </row>
    <row r="8058" spans="1:2" x14ac:dyDescent="0.25">
      <c r="A8058" s="15" t="str">
        <f t="shared" si="250"/>
        <v/>
      </c>
      <c r="B8058" s="18" t="str">
        <f t="shared" si="251"/>
        <v/>
      </c>
    </row>
    <row r="8059" spans="1:2" x14ac:dyDescent="0.25">
      <c r="A8059" s="15" t="str">
        <f t="shared" si="250"/>
        <v/>
      </c>
      <c r="B8059" s="18" t="str">
        <f t="shared" si="251"/>
        <v/>
      </c>
    </row>
    <row r="8060" spans="1:2" x14ac:dyDescent="0.25">
      <c r="A8060" s="15" t="str">
        <f t="shared" si="250"/>
        <v/>
      </c>
      <c r="B8060" s="18" t="str">
        <f t="shared" si="251"/>
        <v/>
      </c>
    </row>
    <row r="8061" spans="1:2" x14ac:dyDescent="0.25">
      <c r="A8061" s="15" t="str">
        <f t="shared" si="250"/>
        <v/>
      </c>
      <c r="B8061" s="18" t="str">
        <f t="shared" si="251"/>
        <v/>
      </c>
    </row>
    <row r="8062" spans="1:2" x14ac:dyDescent="0.25">
      <c r="A8062" s="15" t="str">
        <f t="shared" si="250"/>
        <v/>
      </c>
      <c r="B8062" s="18" t="str">
        <f t="shared" si="251"/>
        <v/>
      </c>
    </row>
    <row r="8063" spans="1:2" x14ac:dyDescent="0.25">
      <c r="A8063" s="15" t="str">
        <f t="shared" si="250"/>
        <v/>
      </c>
      <c r="B8063" s="18" t="str">
        <f t="shared" si="251"/>
        <v/>
      </c>
    </row>
    <row r="8064" spans="1:2" x14ac:dyDescent="0.25">
      <c r="A8064" s="15" t="str">
        <f t="shared" si="250"/>
        <v/>
      </c>
      <c r="B8064" s="18" t="str">
        <f t="shared" si="251"/>
        <v/>
      </c>
    </row>
    <row r="8065" spans="1:2" x14ac:dyDescent="0.25">
      <c r="A8065" s="15" t="str">
        <f t="shared" si="250"/>
        <v/>
      </c>
      <c r="B8065" s="18" t="str">
        <f t="shared" si="251"/>
        <v/>
      </c>
    </row>
    <row r="8066" spans="1:2" x14ac:dyDescent="0.25">
      <c r="A8066" s="15" t="str">
        <f t="shared" ref="A8066:A8129" si="252">B8066&amp;C8066</f>
        <v/>
      </c>
      <c r="B8066" s="18" t="str">
        <f t="shared" si="251"/>
        <v/>
      </c>
    </row>
    <row r="8067" spans="1:2" x14ac:dyDescent="0.25">
      <c r="A8067" s="15" t="str">
        <f t="shared" si="252"/>
        <v/>
      </c>
      <c r="B8067" s="18" t="str">
        <f t="shared" ref="B8067:B8130" si="253">IF(C8067="","",B8066)</f>
        <v/>
      </c>
    </row>
    <row r="8068" spans="1:2" x14ac:dyDescent="0.25">
      <c r="A8068" s="15" t="str">
        <f t="shared" si="252"/>
        <v/>
      </c>
      <c r="B8068" s="18" t="str">
        <f t="shared" si="253"/>
        <v/>
      </c>
    </row>
    <row r="8069" spans="1:2" x14ac:dyDescent="0.25">
      <c r="A8069" s="15" t="str">
        <f t="shared" si="252"/>
        <v/>
      </c>
      <c r="B8069" s="18" t="str">
        <f t="shared" si="253"/>
        <v/>
      </c>
    </row>
    <row r="8070" spans="1:2" x14ac:dyDescent="0.25">
      <c r="A8070" s="15" t="str">
        <f t="shared" si="252"/>
        <v/>
      </c>
      <c r="B8070" s="18" t="str">
        <f t="shared" si="253"/>
        <v/>
      </c>
    </row>
    <row r="8071" spans="1:2" x14ac:dyDescent="0.25">
      <c r="A8071" s="15" t="str">
        <f t="shared" si="252"/>
        <v/>
      </c>
      <c r="B8071" s="18" t="str">
        <f t="shared" si="253"/>
        <v/>
      </c>
    </row>
    <row r="8072" spans="1:2" x14ac:dyDescent="0.25">
      <c r="A8072" s="15" t="str">
        <f t="shared" si="252"/>
        <v/>
      </c>
      <c r="B8072" s="18" t="str">
        <f t="shared" si="253"/>
        <v/>
      </c>
    </row>
    <row r="8073" spans="1:2" x14ac:dyDescent="0.25">
      <c r="A8073" s="15" t="str">
        <f t="shared" si="252"/>
        <v/>
      </c>
      <c r="B8073" s="18" t="str">
        <f t="shared" si="253"/>
        <v/>
      </c>
    </row>
    <row r="8074" spans="1:2" x14ac:dyDescent="0.25">
      <c r="A8074" s="15" t="str">
        <f t="shared" si="252"/>
        <v/>
      </c>
      <c r="B8074" s="18" t="str">
        <f t="shared" si="253"/>
        <v/>
      </c>
    </row>
    <row r="8075" spans="1:2" x14ac:dyDescent="0.25">
      <c r="A8075" s="15" t="str">
        <f t="shared" si="252"/>
        <v/>
      </c>
      <c r="B8075" s="18" t="str">
        <f t="shared" si="253"/>
        <v/>
      </c>
    </row>
    <row r="8076" spans="1:2" x14ac:dyDescent="0.25">
      <c r="A8076" s="15" t="str">
        <f t="shared" si="252"/>
        <v/>
      </c>
      <c r="B8076" s="18" t="str">
        <f t="shared" si="253"/>
        <v/>
      </c>
    </row>
    <row r="8077" spans="1:2" x14ac:dyDescent="0.25">
      <c r="A8077" s="15" t="str">
        <f t="shared" si="252"/>
        <v/>
      </c>
      <c r="B8077" s="18" t="str">
        <f t="shared" si="253"/>
        <v/>
      </c>
    </row>
    <row r="8078" spans="1:2" x14ac:dyDescent="0.25">
      <c r="A8078" s="15" t="str">
        <f t="shared" si="252"/>
        <v/>
      </c>
      <c r="B8078" s="18" t="str">
        <f t="shared" si="253"/>
        <v/>
      </c>
    </row>
    <row r="8079" spans="1:2" x14ac:dyDescent="0.25">
      <c r="A8079" s="15" t="str">
        <f t="shared" si="252"/>
        <v/>
      </c>
      <c r="B8079" s="18" t="str">
        <f t="shared" si="253"/>
        <v/>
      </c>
    </row>
    <row r="8080" spans="1:2" x14ac:dyDescent="0.25">
      <c r="A8080" s="15" t="str">
        <f t="shared" si="252"/>
        <v/>
      </c>
      <c r="B8080" s="18" t="str">
        <f t="shared" si="253"/>
        <v/>
      </c>
    </row>
    <row r="8081" spans="1:2" x14ac:dyDescent="0.25">
      <c r="A8081" s="15" t="str">
        <f t="shared" si="252"/>
        <v/>
      </c>
      <c r="B8081" s="18" t="str">
        <f t="shared" si="253"/>
        <v/>
      </c>
    </row>
    <row r="8082" spans="1:2" x14ac:dyDescent="0.25">
      <c r="A8082" s="15" t="str">
        <f t="shared" si="252"/>
        <v/>
      </c>
      <c r="B8082" s="18" t="str">
        <f t="shared" si="253"/>
        <v/>
      </c>
    </row>
    <row r="8083" spans="1:2" x14ac:dyDescent="0.25">
      <c r="A8083" s="15" t="str">
        <f t="shared" si="252"/>
        <v/>
      </c>
      <c r="B8083" s="18" t="str">
        <f t="shared" si="253"/>
        <v/>
      </c>
    </row>
    <row r="8084" spans="1:2" x14ac:dyDescent="0.25">
      <c r="A8084" s="15" t="str">
        <f t="shared" si="252"/>
        <v/>
      </c>
      <c r="B8084" s="18" t="str">
        <f t="shared" si="253"/>
        <v/>
      </c>
    </row>
    <row r="8085" spans="1:2" x14ac:dyDescent="0.25">
      <c r="A8085" s="15" t="str">
        <f t="shared" si="252"/>
        <v/>
      </c>
      <c r="B8085" s="18" t="str">
        <f t="shared" si="253"/>
        <v/>
      </c>
    </row>
    <row r="8086" spans="1:2" x14ac:dyDescent="0.25">
      <c r="A8086" s="15" t="str">
        <f t="shared" si="252"/>
        <v/>
      </c>
      <c r="B8086" s="18" t="str">
        <f t="shared" si="253"/>
        <v/>
      </c>
    </row>
    <row r="8087" spans="1:2" x14ac:dyDescent="0.25">
      <c r="A8087" s="15" t="str">
        <f t="shared" si="252"/>
        <v/>
      </c>
      <c r="B8087" s="18" t="str">
        <f t="shared" si="253"/>
        <v/>
      </c>
    </row>
    <row r="8088" spans="1:2" x14ac:dyDescent="0.25">
      <c r="A8088" s="15" t="str">
        <f t="shared" si="252"/>
        <v/>
      </c>
      <c r="B8088" s="18" t="str">
        <f t="shared" si="253"/>
        <v/>
      </c>
    </row>
    <row r="8089" spans="1:2" x14ac:dyDescent="0.25">
      <c r="A8089" s="15" t="str">
        <f t="shared" si="252"/>
        <v/>
      </c>
      <c r="B8089" s="18" t="str">
        <f t="shared" si="253"/>
        <v/>
      </c>
    </row>
    <row r="8090" spans="1:2" x14ac:dyDescent="0.25">
      <c r="A8090" s="15" t="str">
        <f t="shared" si="252"/>
        <v/>
      </c>
      <c r="B8090" s="18" t="str">
        <f t="shared" si="253"/>
        <v/>
      </c>
    </row>
    <row r="8091" spans="1:2" x14ac:dyDescent="0.25">
      <c r="A8091" s="15" t="str">
        <f t="shared" si="252"/>
        <v/>
      </c>
      <c r="B8091" s="18" t="str">
        <f t="shared" si="253"/>
        <v/>
      </c>
    </row>
    <row r="8092" spans="1:2" x14ac:dyDescent="0.25">
      <c r="A8092" s="15" t="str">
        <f t="shared" si="252"/>
        <v/>
      </c>
      <c r="B8092" s="18" t="str">
        <f t="shared" si="253"/>
        <v/>
      </c>
    </row>
    <row r="8093" spans="1:2" x14ac:dyDescent="0.25">
      <c r="A8093" s="15" t="str">
        <f t="shared" si="252"/>
        <v/>
      </c>
      <c r="B8093" s="18" t="str">
        <f t="shared" si="253"/>
        <v/>
      </c>
    </row>
    <row r="8094" spans="1:2" x14ac:dyDescent="0.25">
      <c r="A8094" s="15" t="str">
        <f t="shared" si="252"/>
        <v/>
      </c>
      <c r="B8094" s="18" t="str">
        <f t="shared" si="253"/>
        <v/>
      </c>
    </row>
    <row r="8095" spans="1:2" x14ac:dyDescent="0.25">
      <c r="A8095" s="15" t="str">
        <f t="shared" si="252"/>
        <v/>
      </c>
      <c r="B8095" s="18" t="str">
        <f t="shared" si="253"/>
        <v/>
      </c>
    </row>
    <row r="8096" spans="1:2" x14ac:dyDescent="0.25">
      <c r="A8096" s="15" t="str">
        <f t="shared" si="252"/>
        <v/>
      </c>
      <c r="B8096" s="18" t="str">
        <f t="shared" si="253"/>
        <v/>
      </c>
    </row>
    <row r="8097" spans="1:2" x14ac:dyDescent="0.25">
      <c r="A8097" s="15" t="str">
        <f t="shared" si="252"/>
        <v/>
      </c>
      <c r="B8097" s="18" t="str">
        <f t="shared" si="253"/>
        <v/>
      </c>
    </row>
    <row r="8098" spans="1:2" x14ac:dyDescent="0.25">
      <c r="A8098" s="15" t="str">
        <f t="shared" si="252"/>
        <v/>
      </c>
      <c r="B8098" s="18" t="str">
        <f t="shared" si="253"/>
        <v/>
      </c>
    </row>
    <row r="8099" spans="1:2" x14ac:dyDescent="0.25">
      <c r="A8099" s="15" t="str">
        <f t="shared" si="252"/>
        <v/>
      </c>
      <c r="B8099" s="18" t="str">
        <f t="shared" si="253"/>
        <v/>
      </c>
    </row>
    <row r="8100" spans="1:2" x14ac:dyDescent="0.25">
      <c r="A8100" s="15" t="str">
        <f t="shared" si="252"/>
        <v/>
      </c>
      <c r="B8100" s="18" t="str">
        <f t="shared" si="253"/>
        <v/>
      </c>
    </row>
    <row r="8101" spans="1:2" x14ac:dyDescent="0.25">
      <c r="A8101" s="15" t="str">
        <f t="shared" si="252"/>
        <v/>
      </c>
      <c r="B8101" s="18" t="str">
        <f t="shared" si="253"/>
        <v/>
      </c>
    </row>
    <row r="8102" spans="1:2" x14ac:dyDescent="0.25">
      <c r="A8102" s="15" t="str">
        <f t="shared" si="252"/>
        <v/>
      </c>
      <c r="B8102" s="18" t="str">
        <f t="shared" si="253"/>
        <v/>
      </c>
    </row>
    <row r="8103" spans="1:2" x14ac:dyDescent="0.25">
      <c r="A8103" s="15" t="str">
        <f t="shared" si="252"/>
        <v/>
      </c>
      <c r="B8103" s="18" t="str">
        <f t="shared" si="253"/>
        <v/>
      </c>
    </row>
    <row r="8104" spans="1:2" x14ac:dyDescent="0.25">
      <c r="A8104" s="15" t="str">
        <f t="shared" si="252"/>
        <v/>
      </c>
      <c r="B8104" s="18" t="str">
        <f t="shared" si="253"/>
        <v/>
      </c>
    </row>
    <row r="8105" spans="1:2" x14ac:dyDescent="0.25">
      <c r="A8105" s="15" t="str">
        <f t="shared" si="252"/>
        <v/>
      </c>
      <c r="B8105" s="18" t="str">
        <f t="shared" si="253"/>
        <v/>
      </c>
    </row>
    <row r="8106" spans="1:2" x14ac:dyDescent="0.25">
      <c r="A8106" s="15" t="str">
        <f t="shared" si="252"/>
        <v/>
      </c>
      <c r="B8106" s="18" t="str">
        <f t="shared" si="253"/>
        <v/>
      </c>
    </row>
    <row r="8107" spans="1:2" x14ac:dyDescent="0.25">
      <c r="A8107" s="15" t="str">
        <f t="shared" si="252"/>
        <v/>
      </c>
      <c r="B8107" s="18" t="str">
        <f t="shared" si="253"/>
        <v/>
      </c>
    </row>
    <row r="8108" spans="1:2" x14ac:dyDescent="0.25">
      <c r="A8108" s="15" t="str">
        <f t="shared" si="252"/>
        <v/>
      </c>
      <c r="B8108" s="18" t="str">
        <f t="shared" si="253"/>
        <v/>
      </c>
    </row>
    <row r="8109" spans="1:2" x14ac:dyDescent="0.25">
      <c r="A8109" s="15" t="str">
        <f t="shared" si="252"/>
        <v/>
      </c>
      <c r="B8109" s="18" t="str">
        <f t="shared" si="253"/>
        <v/>
      </c>
    </row>
    <row r="8110" spans="1:2" x14ac:dyDescent="0.25">
      <c r="A8110" s="15" t="str">
        <f t="shared" si="252"/>
        <v/>
      </c>
      <c r="B8110" s="18" t="str">
        <f t="shared" si="253"/>
        <v/>
      </c>
    </row>
    <row r="8111" spans="1:2" x14ac:dyDescent="0.25">
      <c r="A8111" s="15" t="str">
        <f t="shared" si="252"/>
        <v/>
      </c>
      <c r="B8111" s="18" t="str">
        <f t="shared" si="253"/>
        <v/>
      </c>
    </row>
    <row r="8112" spans="1:2" x14ac:dyDescent="0.25">
      <c r="A8112" s="15" t="str">
        <f t="shared" si="252"/>
        <v/>
      </c>
      <c r="B8112" s="18" t="str">
        <f t="shared" si="253"/>
        <v/>
      </c>
    </row>
    <row r="8113" spans="1:2" x14ac:dyDescent="0.25">
      <c r="A8113" s="15" t="str">
        <f t="shared" si="252"/>
        <v/>
      </c>
      <c r="B8113" s="18" t="str">
        <f t="shared" si="253"/>
        <v/>
      </c>
    </row>
    <row r="8114" spans="1:2" x14ac:dyDescent="0.25">
      <c r="A8114" s="15" t="str">
        <f t="shared" si="252"/>
        <v/>
      </c>
      <c r="B8114" s="18" t="str">
        <f t="shared" si="253"/>
        <v/>
      </c>
    </row>
    <row r="8115" spans="1:2" x14ac:dyDescent="0.25">
      <c r="A8115" s="15" t="str">
        <f t="shared" si="252"/>
        <v/>
      </c>
      <c r="B8115" s="18" t="str">
        <f t="shared" si="253"/>
        <v/>
      </c>
    </row>
    <row r="8116" spans="1:2" x14ac:dyDescent="0.25">
      <c r="A8116" s="15" t="str">
        <f t="shared" si="252"/>
        <v/>
      </c>
      <c r="B8116" s="18" t="str">
        <f t="shared" si="253"/>
        <v/>
      </c>
    </row>
    <row r="8117" spans="1:2" x14ac:dyDescent="0.25">
      <c r="A8117" s="15" t="str">
        <f t="shared" si="252"/>
        <v/>
      </c>
      <c r="B8117" s="18" t="str">
        <f t="shared" si="253"/>
        <v/>
      </c>
    </row>
    <row r="8118" spans="1:2" x14ac:dyDescent="0.25">
      <c r="A8118" s="15" t="str">
        <f t="shared" si="252"/>
        <v/>
      </c>
      <c r="B8118" s="18" t="str">
        <f t="shared" si="253"/>
        <v/>
      </c>
    </row>
    <row r="8119" spans="1:2" x14ac:dyDescent="0.25">
      <c r="A8119" s="15" t="str">
        <f t="shared" si="252"/>
        <v/>
      </c>
      <c r="B8119" s="18" t="str">
        <f t="shared" si="253"/>
        <v/>
      </c>
    </row>
    <row r="8120" spans="1:2" x14ac:dyDescent="0.25">
      <c r="A8120" s="15" t="str">
        <f t="shared" si="252"/>
        <v/>
      </c>
      <c r="B8120" s="18" t="str">
        <f t="shared" si="253"/>
        <v/>
      </c>
    </row>
    <row r="8121" spans="1:2" x14ac:dyDescent="0.25">
      <c r="A8121" s="15" t="str">
        <f t="shared" si="252"/>
        <v/>
      </c>
      <c r="B8121" s="18" t="str">
        <f t="shared" si="253"/>
        <v/>
      </c>
    </row>
    <row r="8122" spans="1:2" x14ac:dyDescent="0.25">
      <c r="A8122" s="15" t="str">
        <f t="shared" si="252"/>
        <v/>
      </c>
      <c r="B8122" s="18" t="str">
        <f t="shared" si="253"/>
        <v/>
      </c>
    </row>
    <row r="8123" spans="1:2" x14ac:dyDescent="0.25">
      <c r="A8123" s="15" t="str">
        <f t="shared" si="252"/>
        <v/>
      </c>
      <c r="B8123" s="18" t="str">
        <f t="shared" si="253"/>
        <v/>
      </c>
    </row>
    <row r="8124" spans="1:2" x14ac:dyDescent="0.25">
      <c r="A8124" s="15" t="str">
        <f t="shared" si="252"/>
        <v/>
      </c>
      <c r="B8124" s="18" t="str">
        <f t="shared" si="253"/>
        <v/>
      </c>
    </row>
    <row r="8125" spans="1:2" x14ac:dyDescent="0.25">
      <c r="A8125" s="15" t="str">
        <f t="shared" si="252"/>
        <v/>
      </c>
      <c r="B8125" s="18" t="str">
        <f t="shared" si="253"/>
        <v/>
      </c>
    </row>
    <row r="8126" spans="1:2" x14ac:dyDescent="0.25">
      <c r="A8126" s="15" t="str">
        <f t="shared" si="252"/>
        <v/>
      </c>
      <c r="B8126" s="18" t="str">
        <f t="shared" si="253"/>
        <v/>
      </c>
    </row>
    <row r="8127" spans="1:2" x14ac:dyDescent="0.25">
      <c r="A8127" s="15" t="str">
        <f t="shared" si="252"/>
        <v/>
      </c>
      <c r="B8127" s="18" t="str">
        <f t="shared" si="253"/>
        <v/>
      </c>
    </row>
    <row r="8128" spans="1:2" x14ac:dyDescent="0.25">
      <c r="A8128" s="15" t="str">
        <f t="shared" si="252"/>
        <v/>
      </c>
      <c r="B8128" s="18" t="str">
        <f t="shared" si="253"/>
        <v/>
      </c>
    </row>
    <row r="8129" spans="1:2" x14ac:dyDescent="0.25">
      <c r="A8129" s="15" t="str">
        <f t="shared" si="252"/>
        <v/>
      </c>
      <c r="B8129" s="18" t="str">
        <f t="shared" si="253"/>
        <v/>
      </c>
    </row>
    <row r="8130" spans="1:2" x14ac:dyDescent="0.25">
      <c r="A8130" s="15" t="str">
        <f t="shared" ref="A8130:A8193" si="254">B8130&amp;C8130</f>
        <v/>
      </c>
      <c r="B8130" s="18" t="str">
        <f t="shared" si="253"/>
        <v/>
      </c>
    </row>
    <row r="8131" spans="1:2" x14ac:dyDescent="0.25">
      <c r="A8131" s="15" t="str">
        <f t="shared" si="254"/>
        <v/>
      </c>
      <c r="B8131" s="18" t="str">
        <f t="shared" ref="B8131:B8194" si="255">IF(C8131="","",B8130)</f>
        <v/>
      </c>
    </row>
    <row r="8132" spans="1:2" x14ac:dyDescent="0.25">
      <c r="A8132" s="15" t="str">
        <f t="shared" si="254"/>
        <v/>
      </c>
      <c r="B8132" s="18" t="str">
        <f t="shared" si="255"/>
        <v/>
      </c>
    </row>
    <row r="8133" spans="1:2" x14ac:dyDescent="0.25">
      <c r="A8133" s="15" t="str">
        <f t="shared" si="254"/>
        <v/>
      </c>
      <c r="B8133" s="18" t="str">
        <f t="shared" si="255"/>
        <v/>
      </c>
    </row>
    <row r="8134" spans="1:2" x14ac:dyDescent="0.25">
      <c r="A8134" s="15" t="str">
        <f t="shared" si="254"/>
        <v/>
      </c>
      <c r="B8134" s="18" t="str">
        <f t="shared" si="255"/>
        <v/>
      </c>
    </row>
    <row r="8135" spans="1:2" x14ac:dyDescent="0.25">
      <c r="A8135" s="15" t="str">
        <f t="shared" si="254"/>
        <v/>
      </c>
      <c r="B8135" s="18" t="str">
        <f t="shared" si="255"/>
        <v/>
      </c>
    </row>
    <row r="8136" spans="1:2" x14ac:dyDescent="0.25">
      <c r="A8136" s="15" t="str">
        <f t="shared" si="254"/>
        <v/>
      </c>
      <c r="B8136" s="18" t="str">
        <f t="shared" si="255"/>
        <v/>
      </c>
    </row>
    <row r="8137" spans="1:2" x14ac:dyDescent="0.25">
      <c r="A8137" s="15" t="str">
        <f t="shared" si="254"/>
        <v/>
      </c>
      <c r="B8137" s="18" t="str">
        <f t="shared" si="255"/>
        <v/>
      </c>
    </row>
    <row r="8138" spans="1:2" x14ac:dyDescent="0.25">
      <c r="A8138" s="15" t="str">
        <f t="shared" si="254"/>
        <v/>
      </c>
      <c r="B8138" s="18" t="str">
        <f t="shared" si="255"/>
        <v/>
      </c>
    </row>
    <row r="8139" spans="1:2" x14ac:dyDescent="0.25">
      <c r="A8139" s="15" t="str">
        <f t="shared" si="254"/>
        <v/>
      </c>
      <c r="B8139" s="18" t="str">
        <f t="shared" si="255"/>
        <v/>
      </c>
    </row>
    <row r="8140" spans="1:2" x14ac:dyDescent="0.25">
      <c r="A8140" s="15" t="str">
        <f t="shared" si="254"/>
        <v/>
      </c>
      <c r="B8140" s="18" t="str">
        <f t="shared" si="255"/>
        <v/>
      </c>
    </row>
    <row r="8141" spans="1:2" x14ac:dyDescent="0.25">
      <c r="A8141" s="15" t="str">
        <f t="shared" si="254"/>
        <v/>
      </c>
      <c r="B8141" s="18" t="str">
        <f t="shared" si="255"/>
        <v/>
      </c>
    </row>
    <row r="8142" spans="1:2" x14ac:dyDescent="0.25">
      <c r="A8142" s="15" t="str">
        <f t="shared" si="254"/>
        <v/>
      </c>
      <c r="B8142" s="18" t="str">
        <f t="shared" si="255"/>
        <v/>
      </c>
    </row>
    <row r="8143" spans="1:2" x14ac:dyDescent="0.25">
      <c r="A8143" s="15" t="str">
        <f t="shared" si="254"/>
        <v/>
      </c>
      <c r="B8143" s="18" t="str">
        <f t="shared" si="255"/>
        <v/>
      </c>
    </row>
    <row r="8144" spans="1:2" x14ac:dyDescent="0.25">
      <c r="A8144" s="15" t="str">
        <f t="shared" si="254"/>
        <v/>
      </c>
      <c r="B8144" s="18" t="str">
        <f t="shared" si="255"/>
        <v/>
      </c>
    </row>
    <row r="8145" spans="1:2" x14ac:dyDescent="0.25">
      <c r="A8145" s="15" t="str">
        <f t="shared" si="254"/>
        <v/>
      </c>
      <c r="B8145" s="18" t="str">
        <f t="shared" si="255"/>
        <v/>
      </c>
    </row>
    <row r="8146" spans="1:2" x14ac:dyDescent="0.25">
      <c r="A8146" s="15" t="str">
        <f t="shared" si="254"/>
        <v/>
      </c>
      <c r="B8146" s="18" t="str">
        <f t="shared" si="255"/>
        <v/>
      </c>
    </row>
    <row r="8147" spans="1:2" x14ac:dyDescent="0.25">
      <c r="A8147" s="15" t="str">
        <f t="shared" si="254"/>
        <v/>
      </c>
      <c r="B8147" s="18" t="str">
        <f t="shared" si="255"/>
        <v/>
      </c>
    </row>
    <row r="8148" spans="1:2" x14ac:dyDescent="0.25">
      <c r="A8148" s="15" t="str">
        <f t="shared" si="254"/>
        <v/>
      </c>
      <c r="B8148" s="18" t="str">
        <f t="shared" si="255"/>
        <v/>
      </c>
    </row>
    <row r="8149" spans="1:2" x14ac:dyDescent="0.25">
      <c r="A8149" s="15" t="str">
        <f t="shared" si="254"/>
        <v/>
      </c>
      <c r="B8149" s="18" t="str">
        <f t="shared" si="255"/>
        <v/>
      </c>
    </row>
    <row r="8150" spans="1:2" x14ac:dyDescent="0.25">
      <c r="A8150" s="15" t="str">
        <f t="shared" si="254"/>
        <v/>
      </c>
      <c r="B8150" s="18" t="str">
        <f t="shared" si="255"/>
        <v/>
      </c>
    </row>
    <row r="8151" spans="1:2" x14ac:dyDescent="0.25">
      <c r="A8151" s="15" t="str">
        <f t="shared" si="254"/>
        <v/>
      </c>
      <c r="B8151" s="18" t="str">
        <f t="shared" si="255"/>
        <v/>
      </c>
    </row>
    <row r="8152" spans="1:2" x14ac:dyDescent="0.25">
      <c r="A8152" s="15" t="str">
        <f t="shared" si="254"/>
        <v/>
      </c>
      <c r="B8152" s="18" t="str">
        <f t="shared" si="255"/>
        <v/>
      </c>
    </row>
    <row r="8153" spans="1:2" x14ac:dyDescent="0.25">
      <c r="A8153" s="15" t="str">
        <f t="shared" si="254"/>
        <v/>
      </c>
      <c r="B8153" s="18" t="str">
        <f t="shared" si="255"/>
        <v/>
      </c>
    </row>
    <row r="8154" spans="1:2" x14ac:dyDescent="0.25">
      <c r="A8154" s="15" t="str">
        <f t="shared" si="254"/>
        <v/>
      </c>
      <c r="B8154" s="18" t="str">
        <f t="shared" si="255"/>
        <v/>
      </c>
    </row>
    <row r="8155" spans="1:2" x14ac:dyDescent="0.25">
      <c r="A8155" s="15" t="str">
        <f t="shared" si="254"/>
        <v/>
      </c>
      <c r="B8155" s="18" t="str">
        <f t="shared" si="255"/>
        <v/>
      </c>
    </row>
    <row r="8156" spans="1:2" x14ac:dyDescent="0.25">
      <c r="A8156" s="15" t="str">
        <f t="shared" si="254"/>
        <v/>
      </c>
      <c r="B8156" s="18" t="str">
        <f t="shared" si="255"/>
        <v/>
      </c>
    </row>
    <row r="8157" spans="1:2" x14ac:dyDescent="0.25">
      <c r="A8157" s="15" t="str">
        <f t="shared" si="254"/>
        <v/>
      </c>
      <c r="B8157" s="18" t="str">
        <f t="shared" si="255"/>
        <v/>
      </c>
    </row>
    <row r="8158" spans="1:2" x14ac:dyDescent="0.25">
      <c r="A8158" s="15" t="str">
        <f t="shared" si="254"/>
        <v/>
      </c>
      <c r="B8158" s="18" t="str">
        <f t="shared" si="255"/>
        <v/>
      </c>
    </row>
    <row r="8159" spans="1:2" x14ac:dyDescent="0.25">
      <c r="A8159" s="15" t="str">
        <f t="shared" si="254"/>
        <v/>
      </c>
      <c r="B8159" s="18" t="str">
        <f t="shared" si="255"/>
        <v/>
      </c>
    </row>
    <row r="8160" spans="1:2" x14ac:dyDescent="0.25">
      <c r="A8160" s="15" t="str">
        <f t="shared" si="254"/>
        <v/>
      </c>
      <c r="B8160" s="18" t="str">
        <f t="shared" si="255"/>
        <v/>
      </c>
    </row>
    <row r="8161" spans="1:2" x14ac:dyDescent="0.25">
      <c r="A8161" s="15" t="str">
        <f t="shared" si="254"/>
        <v/>
      </c>
      <c r="B8161" s="18" t="str">
        <f t="shared" si="255"/>
        <v/>
      </c>
    </row>
    <row r="8162" spans="1:2" x14ac:dyDescent="0.25">
      <c r="A8162" s="15" t="str">
        <f t="shared" si="254"/>
        <v/>
      </c>
      <c r="B8162" s="18" t="str">
        <f t="shared" si="255"/>
        <v/>
      </c>
    </row>
    <row r="8163" spans="1:2" x14ac:dyDescent="0.25">
      <c r="A8163" s="15" t="str">
        <f t="shared" si="254"/>
        <v/>
      </c>
      <c r="B8163" s="18" t="str">
        <f t="shared" si="255"/>
        <v/>
      </c>
    </row>
    <row r="8164" spans="1:2" x14ac:dyDescent="0.25">
      <c r="A8164" s="15" t="str">
        <f t="shared" si="254"/>
        <v/>
      </c>
      <c r="B8164" s="18" t="str">
        <f t="shared" si="255"/>
        <v/>
      </c>
    </row>
    <row r="8165" spans="1:2" x14ac:dyDescent="0.25">
      <c r="A8165" s="15" t="str">
        <f t="shared" si="254"/>
        <v/>
      </c>
      <c r="B8165" s="18" t="str">
        <f t="shared" si="255"/>
        <v/>
      </c>
    </row>
    <row r="8166" spans="1:2" x14ac:dyDescent="0.25">
      <c r="A8166" s="15" t="str">
        <f t="shared" si="254"/>
        <v/>
      </c>
      <c r="B8166" s="18" t="str">
        <f t="shared" si="255"/>
        <v/>
      </c>
    </row>
    <row r="8167" spans="1:2" x14ac:dyDescent="0.25">
      <c r="A8167" s="15" t="str">
        <f t="shared" si="254"/>
        <v/>
      </c>
      <c r="B8167" s="18" t="str">
        <f t="shared" si="255"/>
        <v/>
      </c>
    </row>
    <row r="8168" spans="1:2" x14ac:dyDescent="0.25">
      <c r="A8168" s="15" t="str">
        <f t="shared" si="254"/>
        <v/>
      </c>
      <c r="B8168" s="18" t="str">
        <f t="shared" si="255"/>
        <v/>
      </c>
    </row>
    <row r="8169" spans="1:2" x14ac:dyDescent="0.25">
      <c r="A8169" s="15" t="str">
        <f t="shared" si="254"/>
        <v/>
      </c>
      <c r="B8169" s="18" t="str">
        <f t="shared" si="255"/>
        <v/>
      </c>
    </row>
    <row r="8170" spans="1:2" x14ac:dyDescent="0.25">
      <c r="A8170" s="15" t="str">
        <f t="shared" si="254"/>
        <v/>
      </c>
      <c r="B8170" s="18" t="str">
        <f t="shared" si="255"/>
        <v/>
      </c>
    </row>
    <row r="8171" spans="1:2" x14ac:dyDescent="0.25">
      <c r="A8171" s="15" t="str">
        <f t="shared" si="254"/>
        <v/>
      </c>
      <c r="B8171" s="18" t="str">
        <f t="shared" si="255"/>
        <v/>
      </c>
    </row>
    <row r="8172" spans="1:2" x14ac:dyDescent="0.25">
      <c r="A8172" s="15" t="str">
        <f t="shared" si="254"/>
        <v/>
      </c>
      <c r="B8172" s="18" t="str">
        <f t="shared" si="255"/>
        <v/>
      </c>
    </row>
    <row r="8173" spans="1:2" x14ac:dyDescent="0.25">
      <c r="A8173" s="15" t="str">
        <f t="shared" si="254"/>
        <v/>
      </c>
      <c r="B8173" s="18" t="str">
        <f t="shared" si="255"/>
        <v/>
      </c>
    </row>
    <row r="8174" spans="1:2" x14ac:dyDescent="0.25">
      <c r="A8174" s="15" t="str">
        <f t="shared" si="254"/>
        <v/>
      </c>
      <c r="B8174" s="18" t="str">
        <f t="shared" si="255"/>
        <v/>
      </c>
    </row>
    <row r="8175" spans="1:2" x14ac:dyDescent="0.25">
      <c r="A8175" s="15" t="str">
        <f t="shared" si="254"/>
        <v/>
      </c>
      <c r="B8175" s="18" t="str">
        <f t="shared" si="255"/>
        <v/>
      </c>
    </row>
    <row r="8176" spans="1:2" x14ac:dyDescent="0.25">
      <c r="A8176" s="15" t="str">
        <f t="shared" si="254"/>
        <v/>
      </c>
      <c r="B8176" s="18" t="str">
        <f t="shared" si="255"/>
        <v/>
      </c>
    </row>
    <row r="8177" spans="1:2" x14ac:dyDescent="0.25">
      <c r="A8177" s="15" t="str">
        <f t="shared" si="254"/>
        <v/>
      </c>
      <c r="B8177" s="18" t="str">
        <f t="shared" si="255"/>
        <v/>
      </c>
    </row>
    <row r="8178" spans="1:2" x14ac:dyDescent="0.25">
      <c r="A8178" s="15" t="str">
        <f t="shared" si="254"/>
        <v/>
      </c>
      <c r="B8178" s="18" t="str">
        <f t="shared" si="255"/>
        <v/>
      </c>
    </row>
    <row r="8179" spans="1:2" x14ac:dyDescent="0.25">
      <c r="A8179" s="15" t="str">
        <f t="shared" si="254"/>
        <v/>
      </c>
      <c r="B8179" s="18" t="str">
        <f t="shared" si="255"/>
        <v/>
      </c>
    </row>
    <row r="8180" spans="1:2" x14ac:dyDescent="0.25">
      <c r="A8180" s="15" t="str">
        <f t="shared" si="254"/>
        <v/>
      </c>
      <c r="B8180" s="18" t="str">
        <f t="shared" si="255"/>
        <v/>
      </c>
    </row>
    <row r="8181" spans="1:2" x14ac:dyDescent="0.25">
      <c r="A8181" s="15" t="str">
        <f t="shared" si="254"/>
        <v/>
      </c>
      <c r="B8181" s="18" t="str">
        <f t="shared" si="255"/>
        <v/>
      </c>
    </row>
    <row r="8182" spans="1:2" x14ac:dyDescent="0.25">
      <c r="A8182" s="15" t="str">
        <f t="shared" si="254"/>
        <v/>
      </c>
      <c r="B8182" s="18" t="str">
        <f t="shared" si="255"/>
        <v/>
      </c>
    </row>
    <row r="8183" spans="1:2" x14ac:dyDescent="0.25">
      <c r="A8183" s="15" t="str">
        <f t="shared" si="254"/>
        <v/>
      </c>
      <c r="B8183" s="18" t="str">
        <f t="shared" si="255"/>
        <v/>
      </c>
    </row>
    <row r="8184" spans="1:2" x14ac:dyDescent="0.25">
      <c r="A8184" s="15" t="str">
        <f t="shared" si="254"/>
        <v/>
      </c>
      <c r="B8184" s="18" t="str">
        <f t="shared" si="255"/>
        <v/>
      </c>
    </row>
    <row r="8185" spans="1:2" x14ac:dyDescent="0.25">
      <c r="A8185" s="15" t="str">
        <f t="shared" si="254"/>
        <v/>
      </c>
      <c r="B8185" s="18" t="str">
        <f t="shared" si="255"/>
        <v/>
      </c>
    </row>
    <row r="8186" spans="1:2" x14ac:dyDescent="0.25">
      <c r="A8186" s="15" t="str">
        <f t="shared" si="254"/>
        <v/>
      </c>
      <c r="B8186" s="18" t="str">
        <f t="shared" si="255"/>
        <v/>
      </c>
    </row>
    <row r="8187" spans="1:2" x14ac:dyDescent="0.25">
      <c r="A8187" s="15" t="str">
        <f t="shared" si="254"/>
        <v/>
      </c>
      <c r="B8187" s="18" t="str">
        <f t="shared" si="255"/>
        <v/>
      </c>
    </row>
    <row r="8188" spans="1:2" x14ac:dyDescent="0.25">
      <c r="A8188" s="15" t="str">
        <f t="shared" si="254"/>
        <v/>
      </c>
      <c r="B8188" s="18" t="str">
        <f t="shared" si="255"/>
        <v/>
      </c>
    </row>
    <row r="8189" spans="1:2" x14ac:dyDescent="0.25">
      <c r="A8189" s="15" t="str">
        <f t="shared" si="254"/>
        <v/>
      </c>
      <c r="B8189" s="18" t="str">
        <f t="shared" si="255"/>
        <v/>
      </c>
    </row>
    <row r="8190" spans="1:2" x14ac:dyDescent="0.25">
      <c r="A8190" s="15" t="str">
        <f t="shared" si="254"/>
        <v/>
      </c>
      <c r="B8190" s="18" t="str">
        <f t="shared" si="255"/>
        <v/>
      </c>
    </row>
    <row r="8191" spans="1:2" x14ac:dyDescent="0.25">
      <c r="A8191" s="15" t="str">
        <f t="shared" si="254"/>
        <v/>
      </c>
      <c r="B8191" s="18" t="str">
        <f t="shared" si="255"/>
        <v/>
      </c>
    </row>
    <row r="8192" spans="1:2" x14ac:dyDescent="0.25">
      <c r="A8192" s="15" t="str">
        <f t="shared" si="254"/>
        <v/>
      </c>
      <c r="B8192" s="18" t="str">
        <f t="shared" si="255"/>
        <v/>
      </c>
    </row>
    <row r="8193" spans="1:2" x14ac:dyDescent="0.25">
      <c r="A8193" s="15" t="str">
        <f t="shared" si="254"/>
        <v/>
      </c>
      <c r="B8193" s="18" t="str">
        <f t="shared" si="255"/>
        <v/>
      </c>
    </row>
    <row r="8194" spans="1:2" x14ac:dyDescent="0.25">
      <c r="A8194" s="15" t="str">
        <f t="shared" ref="A8194:A8257" si="256">B8194&amp;C8194</f>
        <v/>
      </c>
      <c r="B8194" s="18" t="str">
        <f t="shared" si="255"/>
        <v/>
      </c>
    </row>
    <row r="8195" spans="1:2" x14ac:dyDescent="0.25">
      <c r="A8195" s="15" t="str">
        <f t="shared" si="256"/>
        <v/>
      </c>
      <c r="B8195" s="18" t="str">
        <f t="shared" ref="B8195:B8258" si="257">IF(C8195="","",B8194)</f>
        <v/>
      </c>
    </row>
    <row r="8196" spans="1:2" x14ac:dyDescent="0.25">
      <c r="A8196" s="15" t="str">
        <f t="shared" si="256"/>
        <v/>
      </c>
      <c r="B8196" s="18" t="str">
        <f t="shared" si="257"/>
        <v/>
      </c>
    </row>
    <row r="8197" spans="1:2" x14ac:dyDescent="0.25">
      <c r="A8197" s="15" t="str">
        <f t="shared" si="256"/>
        <v/>
      </c>
      <c r="B8197" s="18" t="str">
        <f t="shared" si="257"/>
        <v/>
      </c>
    </row>
    <row r="8198" spans="1:2" x14ac:dyDescent="0.25">
      <c r="A8198" s="15" t="str">
        <f t="shared" si="256"/>
        <v/>
      </c>
      <c r="B8198" s="18" t="str">
        <f t="shared" si="257"/>
        <v/>
      </c>
    </row>
    <row r="8199" spans="1:2" x14ac:dyDescent="0.25">
      <c r="A8199" s="15" t="str">
        <f t="shared" si="256"/>
        <v/>
      </c>
      <c r="B8199" s="18" t="str">
        <f t="shared" si="257"/>
        <v/>
      </c>
    </row>
    <row r="8200" spans="1:2" x14ac:dyDescent="0.25">
      <c r="A8200" s="15" t="str">
        <f t="shared" si="256"/>
        <v/>
      </c>
      <c r="B8200" s="18" t="str">
        <f t="shared" si="257"/>
        <v/>
      </c>
    </row>
    <row r="8201" spans="1:2" x14ac:dyDescent="0.25">
      <c r="A8201" s="15" t="str">
        <f t="shared" si="256"/>
        <v/>
      </c>
      <c r="B8201" s="18" t="str">
        <f t="shared" si="257"/>
        <v/>
      </c>
    </row>
    <row r="8202" spans="1:2" x14ac:dyDescent="0.25">
      <c r="A8202" s="15" t="str">
        <f t="shared" si="256"/>
        <v/>
      </c>
      <c r="B8202" s="18" t="str">
        <f t="shared" si="257"/>
        <v/>
      </c>
    </row>
    <row r="8203" spans="1:2" x14ac:dyDescent="0.25">
      <c r="A8203" s="15" t="str">
        <f t="shared" si="256"/>
        <v/>
      </c>
      <c r="B8203" s="18" t="str">
        <f t="shared" si="257"/>
        <v/>
      </c>
    </row>
    <row r="8204" spans="1:2" x14ac:dyDescent="0.25">
      <c r="A8204" s="15" t="str">
        <f t="shared" si="256"/>
        <v/>
      </c>
      <c r="B8204" s="18" t="str">
        <f t="shared" si="257"/>
        <v/>
      </c>
    </row>
    <row r="8205" spans="1:2" x14ac:dyDescent="0.25">
      <c r="A8205" s="15" t="str">
        <f t="shared" si="256"/>
        <v/>
      </c>
      <c r="B8205" s="18" t="str">
        <f t="shared" si="257"/>
        <v/>
      </c>
    </row>
    <row r="8206" spans="1:2" x14ac:dyDescent="0.25">
      <c r="A8206" s="15" t="str">
        <f t="shared" si="256"/>
        <v/>
      </c>
      <c r="B8206" s="18" t="str">
        <f t="shared" si="257"/>
        <v/>
      </c>
    </row>
    <row r="8207" spans="1:2" x14ac:dyDescent="0.25">
      <c r="A8207" s="15" t="str">
        <f t="shared" si="256"/>
        <v/>
      </c>
      <c r="B8207" s="18" t="str">
        <f t="shared" si="257"/>
        <v/>
      </c>
    </row>
    <row r="8208" spans="1:2" x14ac:dyDescent="0.25">
      <c r="A8208" s="15" t="str">
        <f t="shared" si="256"/>
        <v/>
      </c>
      <c r="B8208" s="18" t="str">
        <f t="shared" si="257"/>
        <v/>
      </c>
    </row>
    <row r="8209" spans="1:2" x14ac:dyDescent="0.25">
      <c r="A8209" s="15" t="str">
        <f t="shared" si="256"/>
        <v/>
      </c>
      <c r="B8209" s="18" t="str">
        <f t="shared" si="257"/>
        <v/>
      </c>
    </row>
    <row r="8210" spans="1:2" x14ac:dyDescent="0.25">
      <c r="A8210" s="15" t="str">
        <f t="shared" si="256"/>
        <v/>
      </c>
      <c r="B8210" s="18" t="str">
        <f t="shared" si="257"/>
        <v/>
      </c>
    </row>
    <row r="8211" spans="1:2" x14ac:dyDescent="0.25">
      <c r="A8211" s="15" t="str">
        <f t="shared" si="256"/>
        <v/>
      </c>
      <c r="B8211" s="18" t="str">
        <f t="shared" si="257"/>
        <v/>
      </c>
    </row>
    <row r="8212" spans="1:2" x14ac:dyDescent="0.25">
      <c r="A8212" s="15" t="str">
        <f t="shared" si="256"/>
        <v/>
      </c>
      <c r="B8212" s="18" t="str">
        <f t="shared" si="257"/>
        <v/>
      </c>
    </row>
    <row r="8213" spans="1:2" x14ac:dyDescent="0.25">
      <c r="A8213" s="15" t="str">
        <f t="shared" si="256"/>
        <v/>
      </c>
      <c r="B8213" s="18" t="str">
        <f t="shared" si="257"/>
        <v/>
      </c>
    </row>
    <row r="8214" spans="1:2" x14ac:dyDescent="0.25">
      <c r="A8214" s="15" t="str">
        <f t="shared" si="256"/>
        <v/>
      </c>
      <c r="B8214" s="18" t="str">
        <f t="shared" si="257"/>
        <v/>
      </c>
    </row>
    <row r="8215" spans="1:2" x14ac:dyDescent="0.25">
      <c r="A8215" s="15" t="str">
        <f t="shared" si="256"/>
        <v/>
      </c>
      <c r="B8215" s="18" t="str">
        <f t="shared" si="257"/>
        <v/>
      </c>
    </row>
    <row r="8216" spans="1:2" x14ac:dyDescent="0.25">
      <c r="A8216" s="15" t="str">
        <f t="shared" si="256"/>
        <v/>
      </c>
      <c r="B8216" s="18" t="str">
        <f t="shared" si="257"/>
        <v/>
      </c>
    </row>
    <row r="8217" spans="1:2" x14ac:dyDescent="0.25">
      <c r="A8217" s="15" t="str">
        <f t="shared" si="256"/>
        <v/>
      </c>
      <c r="B8217" s="18" t="str">
        <f t="shared" si="257"/>
        <v/>
      </c>
    </row>
    <row r="8218" spans="1:2" x14ac:dyDescent="0.25">
      <c r="A8218" s="15" t="str">
        <f t="shared" si="256"/>
        <v/>
      </c>
      <c r="B8218" s="18" t="str">
        <f t="shared" si="257"/>
        <v/>
      </c>
    </row>
    <row r="8219" spans="1:2" x14ac:dyDescent="0.25">
      <c r="A8219" s="15" t="str">
        <f t="shared" si="256"/>
        <v/>
      </c>
      <c r="B8219" s="18" t="str">
        <f t="shared" si="257"/>
        <v/>
      </c>
    </row>
    <row r="8220" spans="1:2" x14ac:dyDescent="0.25">
      <c r="A8220" s="15" t="str">
        <f t="shared" si="256"/>
        <v/>
      </c>
      <c r="B8220" s="18" t="str">
        <f t="shared" si="257"/>
        <v/>
      </c>
    </row>
    <row r="8221" spans="1:2" x14ac:dyDescent="0.25">
      <c r="A8221" s="15" t="str">
        <f t="shared" si="256"/>
        <v/>
      </c>
      <c r="B8221" s="18" t="str">
        <f t="shared" si="257"/>
        <v/>
      </c>
    </row>
    <row r="8222" spans="1:2" x14ac:dyDescent="0.25">
      <c r="A8222" s="15" t="str">
        <f t="shared" si="256"/>
        <v/>
      </c>
      <c r="B8222" s="18" t="str">
        <f t="shared" si="257"/>
        <v/>
      </c>
    </row>
    <row r="8223" spans="1:2" x14ac:dyDescent="0.25">
      <c r="A8223" s="15" t="str">
        <f t="shared" si="256"/>
        <v/>
      </c>
      <c r="B8223" s="18" t="str">
        <f t="shared" si="257"/>
        <v/>
      </c>
    </row>
    <row r="8224" spans="1:2" x14ac:dyDescent="0.25">
      <c r="A8224" s="15" t="str">
        <f t="shared" si="256"/>
        <v/>
      </c>
      <c r="B8224" s="18" t="str">
        <f t="shared" si="257"/>
        <v/>
      </c>
    </row>
    <row r="8225" spans="1:2" x14ac:dyDescent="0.25">
      <c r="A8225" s="15" t="str">
        <f t="shared" si="256"/>
        <v/>
      </c>
      <c r="B8225" s="18" t="str">
        <f t="shared" si="257"/>
        <v/>
      </c>
    </row>
    <row r="8226" spans="1:2" x14ac:dyDescent="0.25">
      <c r="A8226" s="15" t="str">
        <f t="shared" si="256"/>
        <v/>
      </c>
      <c r="B8226" s="18" t="str">
        <f t="shared" si="257"/>
        <v/>
      </c>
    </row>
    <row r="8227" spans="1:2" x14ac:dyDescent="0.25">
      <c r="A8227" s="15" t="str">
        <f t="shared" si="256"/>
        <v/>
      </c>
      <c r="B8227" s="18" t="str">
        <f t="shared" si="257"/>
        <v/>
      </c>
    </row>
    <row r="8228" spans="1:2" x14ac:dyDescent="0.25">
      <c r="A8228" s="15" t="str">
        <f t="shared" si="256"/>
        <v/>
      </c>
      <c r="B8228" s="18" t="str">
        <f t="shared" si="257"/>
        <v/>
      </c>
    </row>
    <row r="8229" spans="1:2" x14ac:dyDescent="0.25">
      <c r="A8229" s="15" t="str">
        <f t="shared" si="256"/>
        <v/>
      </c>
      <c r="B8229" s="18" t="str">
        <f t="shared" si="257"/>
        <v/>
      </c>
    </row>
    <row r="8230" spans="1:2" x14ac:dyDescent="0.25">
      <c r="A8230" s="15" t="str">
        <f t="shared" si="256"/>
        <v/>
      </c>
      <c r="B8230" s="18" t="str">
        <f t="shared" si="257"/>
        <v/>
      </c>
    </row>
    <row r="8231" spans="1:2" x14ac:dyDescent="0.25">
      <c r="A8231" s="15" t="str">
        <f t="shared" si="256"/>
        <v/>
      </c>
      <c r="B8231" s="18" t="str">
        <f t="shared" si="257"/>
        <v/>
      </c>
    </row>
    <row r="8232" spans="1:2" x14ac:dyDescent="0.25">
      <c r="A8232" s="15" t="str">
        <f t="shared" si="256"/>
        <v/>
      </c>
      <c r="B8232" s="18" t="str">
        <f t="shared" si="257"/>
        <v/>
      </c>
    </row>
    <row r="8233" spans="1:2" x14ac:dyDescent="0.25">
      <c r="A8233" s="15" t="str">
        <f t="shared" si="256"/>
        <v/>
      </c>
      <c r="B8233" s="18" t="str">
        <f t="shared" si="257"/>
        <v/>
      </c>
    </row>
    <row r="8234" spans="1:2" x14ac:dyDescent="0.25">
      <c r="A8234" s="15" t="str">
        <f t="shared" si="256"/>
        <v/>
      </c>
      <c r="B8234" s="18" t="str">
        <f t="shared" si="257"/>
        <v/>
      </c>
    </row>
    <row r="8235" spans="1:2" x14ac:dyDescent="0.25">
      <c r="A8235" s="15" t="str">
        <f t="shared" si="256"/>
        <v/>
      </c>
      <c r="B8235" s="18" t="str">
        <f t="shared" si="257"/>
        <v/>
      </c>
    </row>
    <row r="8236" spans="1:2" x14ac:dyDescent="0.25">
      <c r="A8236" s="15" t="str">
        <f t="shared" si="256"/>
        <v/>
      </c>
      <c r="B8236" s="18" t="str">
        <f t="shared" si="257"/>
        <v/>
      </c>
    </row>
    <row r="8237" spans="1:2" x14ac:dyDescent="0.25">
      <c r="A8237" s="15" t="str">
        <f t="shared" si="256"/>
        <v/>
      </c>
      <c r="B8237" s="18" t="str">
        <f t="shared" si="257"/>
        <v/>
      </c>
    </row>
    <row r="8238" spans="1:2" x14ac:dyDescent="0.25">
      <c r="A8238" s="15" t="str">
        <f t="shared" si="256"/>
        <v/>
      </c>
      <c r="B8238" s="18" t="str">
        <f t="shared" si="257"/>
        <v/>
      </c>
    </row>
    <row r="8239" spans="1:2" x14ac:dyDescent="0.25">
      <c r="A8239" s="15" t="str">
        <f t="shared" si="256"/>
        <v/>
      </c>
      <c r="B8239" s="18" t="str">
        <f t="shared" si="257"/>
        <v/>
      </c>
    </row>
    <row r="8240" spans="1:2" x14ac:dyDescent="0.25">
      <c r="A8240" s="15" t="str">
        <f t="shared" si="256"/>
        <v/>
      </c>
      <c r="B8240" s="18" t="str">
        <f t="shared" si="257"/>
        <v/>
      </c>
    </row>
    <row r="8241" spans="1:2" x14ac:dyDescent="0.25">
      <c r="A8241" s="15" t="str">
        <f t="shared" si="256"/>
        <v/>
      </c>
      <c r="B8241" s="18" t="str">
        <f t="shared" si="257"/>
        <v/>
      </c>
    </row>
    <row r="8242" spans="1:2" x14ac:dyDescent="0.25">
      <c r="A8242" s="15" t="str">
        <f t="shared" si="256"/>
        <v/>
      </c>
      <c r="B8242" s="18" t="str">
        <f t="shared" si="257"/>
        <v/>
      </c>
    </row>
    <row r="8243" spans="1:2" x14ac:dyDescent="0.25">
      <c r="A8243" s="15" t="str">
        <f t="shared" si="256"/>
        <v/>
      </c>
      <c r="B8243" s="18" t="str">
        <f t="shared" si="257"/>
        <v/>
      </c>
    </row>
    <row r="8244" spans="1:2" x14ac:dyDescent="0.25">
      <c r="A8244" s="15" t="str">
        <f t="shared" si="256"/>
        <v/>
      </c>
      <c r="B8244" s="18" t="str">
        <f t="shared" si="257"/>
        <v/>
      </c>
    </row>
    <row r="8245" spans="1:2" x14ac:dyDescent="0.25">
      <c r="A8245" s="15" t="str">
        <f t="shared" si="256"/>
        <v/>
      </c>
      <c r="B8245" s="18" t="str">
        <f t="shared" si="257"/>
        <v/>
      </c>
    </row>
    <row r="8246" spans="1:2" x14ac:dyDescent="0.25">
      <c r="A8246" s="15" t="str">
        <f t="shared" si="256"/>
        <v/>
      </c>
      <c r="B8246" s="18" t="str">
        <f t="shared" si="257"/>
        <v/>
      </c>
    </row>
    <row r="8247" spans="1:2" x14ac:dyDescent="0.25">
      <c r="A8247" s="15" t="str">
        <f t="shared" si="256"/>
        <v/>
      </c>
      <c r="B8247" s="18" t="str">
        <f t="shared" si="257"/>
        <v/>
      </c>
    </row>
    <row r="8248" spans="1:2" x14ac:dyDescent="0.25">
      <c r="A8248" s="15" t="str">
        <f t="shared" si="256"/>
        <v/>
      </c>
      <c r="B8248" s="18" t="str">
        <f t="shared" si="257"/>
        <v/>
      </c>
    </row>
    <row r="8249" spans="1:2" x14ac:dyDescent="0.25">
      <c r="A8249" s="15" t="str">
        <f t="shared" si="256"/>
        <v/>
      </c>
      <c r="B8249" s="18" t="str">
        <f t="shared" si="257"/>
        <v/>
      </c>
    </row>
    <row r="8250" spans="1:2" x14ac:dyDescent="0.25">
      <c r="A8250" s="15" t="str">
        <f t="shared" si="256"/>
        <v/>
      </c>
      <c r="B8250" s="18" t="str">
        <f t="shared" si="257"/>
        <v/>
      </c>
    </row>
    <row r="8251" spans="1:2" x14ac:dyDescent="0.25">
      <c r="A8251" s="15" t="str">
        <f t="shared" si="256"/>
        <v/>
      </c>
      <c r="B8251" s="18" t="str">
        <f t="shared" si="257"/>
        <v/>
      </c>
    </row>
    <row r="8252" spans="1:2" x14ac:dyDescent="0.25">
      <c r="A8252" s="15" t="str">
        <f t="shared" si="256"/>
        <v/>
      </c>
      <c r="B8252" s="18" t="str">
        <f t="shared" si="257"/>
        <v/>
      </c>
    </row>
    <row r="8253" spans="1:2" x14ac:dyDescent="0.25">
      <c r="A8253" s="15" t="str">
        <f t="shared" si="256"/>
        <v/>
      </c>
      <c r="B8253" s="18" t="str">
        <f t="shared" si="257"/>
        <v/>
      </c>
    </row>
    <row r="8254" spans="1:2" x14ac:dyDescent="0.25">
      <c r="A8254" s="15" t="str">
        <f t="shared" si="256"/>
        <v/>
      </c>
      <c r="B8254" s="18" t="str">
        <f t="shared" si="257"/>
        <v/>
      </c>
    </row>
    <row r="8255" spans="1:2" x14ac:dyDescent="0.25">
      <c r="A8255" s="15" t="str">
        <f t="shared" si="256"/>
        <v/>
      </c>
      <c r="B8255" s="18" t="str">
        <f t="shared" si="257"/>
        <v/>
      </c>
    </row>
    <row r="8256" spans="1:2" x14ac:dyDescent="0.25">
      <c r="A8256" s="15" t="str">
        <f t="shared" si="256"/>
        <v/>
      </c>
      <c r="B8256" s="18" t="str">
        <f t="shared" si="257"/>
        <v/>
      </c>
    </row>
    <row r="8257" spans="1:2" x14ac:dyDescent="0.25">
      <c r="A8257" s="15" t="str">
        <f t="shared" si="256"/>
        <v/>
      </c>
      <c r="B8257" s="18" t="str">
        <f t="shared" si="257"/>
        <v/>
      </c>
    </row>
    <row r="8258" spans="1:2" x14ac:dyDescent="0.25">
      <c r="A8258" s="15" t="str">
        <f t="shared" ref="A8258:A8321" si="258">B8258&amp;C8258</f>
        <v/>
      </c>
      <c r="B8258" s="18" t="str">
        <f t="shared" si="257"/>
        <v/>
      </c>
    </row>
    <row r="8259" spans="1:2" x14ac:dyDescent="0.25">
      <c r="A8259" s="15" t="str">
        <f t="shared" si="258"/>
        <v/>
      </c>
      <c r="B8259" s="18" t="str">
        <f t="shared" ref="B8259:B8322" si="259">IF(C8259="","",B8258)</f>
        <v/>
      </c>
    </row>
    <row r="8260" spans="1:2" x14ac:dyDescent="0.25">
      <c r="A8260" s="15" t="str">
        <f t="shared" si="258"/>
        <v/>
      </c>
      <c r="B8260" s="18" t="str">
        <f t="shared" si="259"/>
        <v/>
      </c>
    </row>
    <row r="8261" spans="1:2" x14ac:dyDescent="0.25">
      <c r="A8261" s="15" t="str">
        <f t="shared" si="258"/>
        <v/>
      </c>
      <c r="B8261" s="18" t="str">
        <f t="shared" si="259"/>
        <v/>
      </c>
    </row>
    <row r="8262" spans="1:2" x14ac:dyDescent="0.25">
      <c r="A8262" s="15" t="str">
        <f t="shared" si="258"/>
        <v/>
      </c>
      <c r="B8262" s="18" t="str">
        <f t="shared" si="259"/>
        <v/>
      </c>
    </row>
    <row r="8263" spans="1:2" x14ac:dyDescent="0.25">
      <c r="A8263" s="15" t="str">
        <f t="shared" si="258"/>
        <v/>
      </c>
      <c r="B8263" s="18" t="str">
        <f t="shared" si="259"/>
        <v/>
      </c>
    </row>
    <row r="8264" spans="1:2" x14ac:dyDescent="0.25">
      <c r="A8264" s="15" t="str">
        <f t="shared" si="258"/>
        <v/>
      </c>
      <c r="B8264" s="18" t="str">
        <f t="shared" si="259"/>
        <v/>
      </c>
    </row>
    <row r="8265" spans="1:2" x14ac:dyDescent="0.25">
      <c r="A8265" s="15" t="str">
        <f t="shared" si="258"/>
        <v/>
      </c>
      <c r="B8265" s="18" t="str">
        <f t="shared" si="259"/>
        <v/>
      </c>
    </row>
    <row r="8266" spans="1:2" x14ac:dyDescent="0.25">
      <c r="A8266" s="15" t="str">
        <f t="shared" si="258"/>
        <v/>
      </c>
      <c r="B8266" s="18" t="str">
        <f t="shared" si="259"/>
        <v/>
      </c>
    </row>
    <row r="8267" spans="1:2" x14ac:dyDescent="0.25">
      <c r="A8267" s="15" t="str">
        <f t="shared" si="258"/>
        <v/>
      </c>
      <c r="B8267" s="18" t="str">
        <f t="shared" si="259"/>
        <v/>
      </c>
    </row>
    <row r="8268" spans="1:2" x14ac:dyDescent="0.25">
      <c r="A8268" s="15" t="str">
        <f t="shared" si="258"/>
        <v/>
      </c>
      <c r="B8268" s="18" t="str">
        <f t="shared" si="259"/>
        <v/>
      </c>
    </row>
    <row r="8269" spans="1:2" x14ac:dyDescent="0.25">
      <c r="A8269" s="15" t="str">
        <f t="shared" si="258"/>
        <v/>
      </c>
      <c r="B8269" s="18" t="str">
        <f t="shared" si="259"/>
        <v/>
      </c>
    </row>
    <row r="8270" spans="1:2" x14ac:dyDescent="0.25">
      <c r="A8270" s="15" t="str">
        <f t="shared" si="258"/>
        <v/>
      </c>
      <c r="B8270" s="18" t="str">
        <f t="shared" si="259"/>
        <v/>
      </c>
    </row>
    <row r="8271" spans="1:2" x14ac:dyDescent="0.25">
      <c r="A8271" s="15" t="str">
        <f t="shared" si="258"/>
        <v/>
      </c>
      <c r="B8271" s="18" t="str">
        <f t="shared" si="259"/>
        <v/>
      </c>
    </row>
    <row r="8272" spans="1:2" x14ac:dyDescent="0.25">
      <c r="A8272" s="15" t="str">
        <f t="shared" si="258"/>
        <v/>
      </c>
      <c r="B8272" s="18" t="str">
        <f t="shared" si="259"/>
        <v/>
      </c>
    </row>
    <row r="8273" spans="1:2" x14ac:dyDescent="0.25">
      <c r="A8273" s="15" t="str">
        <f t="shared" si="258"/>
        <v/>
      </c>
      <c r="B8273" s="18" t="str">
        <f t="shared" si="259"/>
        <v/>
      </c>
    </row>
    <row r="8274" spans="1:2" x14ac:dyDescent="0.25">
      <c r="A8274" s="15" t="str">
        <f t="shared" si="258"/>
        <v/>
      </c>
      <c r="B8274" s="18" t="str">
        <f t="shared" si="259"/>
        <v/>
      </c>
    </row>
    <row r="8275" spans="1:2" x14ac:dyDescent="0.25">
      <c r="A8275" s="15" t="str">
        <f t="shared" si="258"/>
        <v/>
      </c>
      <c r="B8275" s="18" t="str">
        <f t="shared" si="259"/>
        <v/>
      </c>
    </row>
    <row r="8276" spans="1:2" x14ac:dyDescent="0.25">
      <c r="A8276" s="15" t="str">
        <f t="shared" si="258"/>
        <v/>
      </c>
      <c r="B8276" s="18" t="str">
        <f t="shared" si="259"/>
        <v/>
      </c>
    </row>
    <row r="8277" spans="1:2" x14ac:dyDescent="0.25">
      <c r="A8277" s="15" t="str">
        <f t="shared" si="258"/>
        <v/>
      </c>
      <c r="B8277" s="18" t="str">
        <f t="shared" si="259"/>
        <v/>
      </c>
    </row>
    <row r="8278" spans="1:2" x14ac:dyDescent="0.25">
      <c r="A8278" s="15" t="str">
        <f t="shared" si="258"/>
        <v/>
      </c>
      <c r="B8278" s="18" t="str">
        <f t="shared" si="259"/>
        <v/>
      </c>
    </row>
    <row r="8279" spans="1:2" x14ac:dyDescent="0.25">
      <c r="A8279" s="15" t="str">
        <f t="shared" si="258"/>
        <v/>
      </c>
      <c r="B8279" s="18" t="str">
        <f t="shared" si="259"/>
        <v/>
      </c>
    </row>
    <row r="8280" spans="1:2" x14ac:dyDescent="0.25">
      <c r="A8280" s="15" t="str">
        <f t="shared" si="258"/>
        <v/>
      </c>
      <c r="B8280" s="18" t="str">
        <f t="shared" si="259"/>
        <v/>
      </c>
    </row>
    <row r="8281" spans="1:2" x14ac:dyDescent="0.25">
      <c r="A8281" s="15" t="str">
        <f t="shared" si="258"/>
        <v/>
      </c>
      <c r="B8281" s="18" t="str">
        <f t="shared" si="259"/>
        <v/>
      </c>
    </row>
    <row r="8282" spans="1:2" x14ac:dyDescent="0.25">
      <c r="A8282" s="15" t="str">
        <f t="shared" si="258"/>
        <v/>
      </c>
      <c r="B8282" s="18" t="str">
        <f t="shared" si="259"/>
        <v/>
      </c>
    </row>
    <row r="8283" spans="1:2" x14ac:dyDescent="0.25">
      <c r="A8283" s="15" t="str">
        <f t="shared" si="258"/>
        <v/>
      </c>
      <c r="B8283" s="18" t="str">
        <f t="shared" si="259"/>
        <v/>
      </c>
    </row>
    <row r="8284" spans="1:2" x14ac:dyDescent="0.25">
      <c r="A8284" s="15" t="str">
        <f t="shared" si="258"/>
        <v/>
      </c>
      <c r="B8284" s="18" t="str">
        <f t="shared" si="259"/>
        <v/>
      </c>
    </row>
    <row r="8285" spans="1:2" x14ac:dyDescent="0.25">
      <c r="A8285" s="15" t="str">
        <f t="shared" si="258"/>
        <v/>
      </c>
      <c r="B8285" s="18" t="str">
        <f t="shared" si="259"/>
        <v/>
      </c>
    </row>
    <row r="8286" spans="1:2" x14ac:dyDescent="0.25">
      <c r="A8286" s="15" t="str">
        <f t="shared" si="258"/>
        <v/>
      </c>
      <c r="B8286" s="18" t="str">
        <f t="shared" si="259"/>
        <v/>
      </c>
    </row>
    <row r="8287" spans="1:2" x14ac:dyDescent="0.25">
      <c r="A8287" s="15" t="str">
        <f t="shared" si="258"/>
        <v/>
      </c>
      <c r="B8287" s="18" t="str">
        <f t="shared" si="259"/>
        <v/>
      </c>
    </row>
    <row r="8288" spans="1:2" x14ac:dyDescent="0.25">
      <c r="A8288" s="15" t="str">
        <f t="shared" si="258"/>
        <v/>
      </c>
      <c r="B8288" s="18" t="str">
        <f t="shared" si="259"/>
        <v/>
      </c>
    </row>
    <row r="8289" spans="1:2" x14ac:dyDescent="0.25">
      <c r="A8289" s="15" t="str">
        <f t="shared" si="258"/>
        <v/>
      </c>
      <c r="B8289" s="18" t="str">
        <f t="shared" si="259"/>
        <v/>
      </c>
    </row>
    <row r="8290" spans="1:2" x14ac:dyDescent="0.25">
      <c r="A8290" s="15" t="str">
        <f t="shared" si="258"/>
        <v/>
      </c>
      <c r="B8290" s="18" t="str">
        <f t="shared" si="259"/>
        <v/>
      </c>
    </row>
    <row r="8291" spans="1:2" x14ac:dyDescent="0.25">
      <c r="A8291" s="15" t="str">
        <f t="shared" si="258"/>
        <v/>
      </c>
      <c r="B8291" s="18" t="str">
        <f t="shared" si="259"/>
        <v/>
      </c>
    </row>
    <row r="8292" spans="1:2" x14ac:dyDescent="0.25">
      <c r="A8292" s="15" t="str">
        <f t="shared" si="258"/>
        <v/>
      </c>
      <c r="B8292" s="18" t="str">
        <f t="shared" si="259"/>
        <v/>
      </c>
    </row>
    <row r="8293" spans="1:2" x14ac:dyDescent="0.25">
      <c r="A8293" s="15" t="str">
        <f t="shared" si="258"/>
        <v/>
      </c>
      <c r="B8293" s="18" t="str">
        <f t="shared" si="259"/>
        <v/>
      </c>
    </row>
    <row r="8294" spans="1:2" x14ac:dyDescent="0.25">
      <c r="A8294" s="15" t="str">
        <f t="shared" si="258"/>
        <v/>
      </c>
      <c r="B8294" s="18" t="str">
        <f t="shared" si="259"/>
        <v/>
      </c>
    </row>
    <row r="8295" spans="1:2" x14ac:dyDescent="0.25">
      <c r="A8295" s="15" t="str">
        <f t="shared" si="258"/>
        <v/>
      </c>
      <c r="B8295" s="18" t="str">
        <f t="shared" si="259"/>
        <v/>
      </c>
    </row>
    <row r="8296" spans="1:2" x14ac:dyDescent="0.25">
      <c r="A8296" s="15" t="str">
        <f t="shared" si="258"/>
        <v/>
      </c>
      <c r="B8296" s="18" t="str">
        <f t="shared" si="259"/>
        <v/>
      </c>
    </row>
    <row r="8297" spans="1:2" x14ac:dyDescent="0.25">
      <c r="A8297" s="15" t="str">
        <f t="shared" si="258"/>
        <v/>
      </c>
      <c r="B8297" s="18" t="str">
        <f t="shared" si="259"/>
        <v/>
      </c>
    </row>
    <row r="8298" spans="1:2" x14ac:dyDescent="0.25">
      <c r="A8298" s="15" t="str">
        <f t="shared" si="258"/>
        <v/>
      </c>
      <c r="B8298" s="18" t="str">
        <f t="shared" si="259"/>
        <v/>
      </c>
    </row>
    <row r="8299" spans="1:2" x14ac:dyDescent="0.25">
      <c r="A8299" s="15" t="str">
        <f t="shared" si="258"/>
        <v/>
      </c>
      <c r="B8299" s="18" t="str">
        <f t="shared" si="259"/>
        <v/>
      </c>
    </row>
    <row r="8300" spans="1:2" x14ac:dyDescent="0.25">
      <c r="A8300" s="15" t="str">
        <f t="shared" si="258"/>
        <v/>
      </c>
      <c r="B8300" s="18" t="str">
        <f t="shared" si="259"/>
        <v/>
      </c>
    </row>
    <row r="8301" spans="1:2" x14ac:dyDescent="0.25">
      <c r="A8301" s="15" t="str">
        <f t="shared" si="258"/>
        <v/>
      </c>
      <c r="B8301" s="18" t="str">
        <f t="shared" si="259"/>
        <v/>
      </c>
    </row>
    <row r="8302" spans="1:2" x14ac:dyDescent="0.25">
      <c r="A8302" s="15" t="str">
        <f t="shared" si="258"/>
        <v/>
      </c>
      <c r="B8302" s="18" t="str">
        <f t="shared" si="259"/>
        <v/>
      </c>
    </row>
    <row r="8303" spans="1:2" x14ac:dyDescent="0.25">
      <c r="A8303" s="15" t="str">
        <f t="shared" si="258"/>
        <v/>
      </c>
      <c r="B8303" s="18" t="str">
        <f t="shared" si="259"/>
        <v/>
      </c>
    </row>
    <row r="8304" spans="1:2" x14ac:dyDescent="0.25">
      <c r="A8304" s="15" t="str">
        <f t="shared" si="258"/>
        <v/>
      </c>
      <c r="B8304" s="18" t="str">
        <f t="shared" si="259"/>
        <v/>
      </c>
    </row>
    <row r="8305" spans="1:2" x14ac:dyDescent="0.25">
      <c r="A8305" s="15" t="str">
        <f t="shared" si="258"/>
        <v/>
      </c>
      <c r="B8305" s="18" t="str">
        <f t="shared" si="259"/>
        <v/>
      </c>
    </row>
    <row r="8306" spans="1:2" x14ac:dyDescent="0.25">
      <c r="A8306" s="15" t="str">
        <f t="shared" si="258"/>
        <v/>
      </c>
      <c r="B8306" s="18" t="str">
        <f t="shared" si="259"/>
        <v/>
      </c>
    </row>
    <row r="8307" spans="1:2" x14ac:dyDescent="0.25">
      <c r="A8307" s="15" t="str">
        <f t="shared" si="258"/>
        <v/>
      </c>
      <c r="B8307" s="18" t="str">
        <f t="shared" si="259"/>
        <v/>
      </c>
    </row>
    <row r="8308" spans="1:2" x14ac:dyDescent="0.25">
      <c r="A8308" s="15" t="str">
        <f t="shared" si="258"/>
        <v/>
      </c>
      <c r="B8308" s="18" t="str">
        <f t="shared" si="259"/>
        <v/>
      </c>
    </row>
    <row r="8309" spans="1:2" x14ac:dyDescent="0.25">
      <c r="A8309" s="15" t="str">
        <f t="shared" si="258"/>
        <v/>
      </c>
      <c r="B8309" s="18" t="str">
        <f t="shared" si="259"/>
        <v/>
      </c>
    </row>
    <row r="8310" spans="1:2" x14ac:dyDescent="0.25">
      <c r="A8310" s="15" t="str">
        <f t="shared" si="258"/>
        <v/>
      </c>
      <c r="B8310" s="18" t="str">
        <f t="shared" si="259"/>
        <v/>
      </c>
    </row>
    <row r="8311" spans="1:2" x14ac:dyDescent="0.25">
      <c r="A8311" s="15" t="str">
        <f t="shared" si="258"/>
        <v/>
      </c>
      <c r="B8311" s="18" t="str">
        <f t="shared" si="259"/>
        <v/>
      </c>
    </row>
    <row r="8312" spans="1:2" x14ac:dyDescent="0.25">
      <c r="A8312" s="15" t="str">
        <f t="shared" si="258"/>
        <v/>
      </c>
      <c r="B8312" s="18" t="str">
        <f t="shared" si="259"/>
        <v/>
      </c>
    </row>
    <row r="8313" spans="1:2" x14ac:dyDescent="0.25">
      <c r="A8313" s="15" t="str">
        <f t="shared" si="258"/>
        <v/>
      </c>
      <c r="B8313" s="18" t="str">
        <f t="shared" si="259"/>
        <v/>
      </c>
    </row>
    <row r="8314" spans="1:2" x14ac:dyDescent="0.25">
      <c r="A8314" s="15" t="str">
        <f t="shared" si="258"/>
        <v/>
      </c>
      <c r="B8314" s="18" t="str">
        <f t="shared" si="259"/>
        <v/>
      </c>
    </row>
    <row r="8315" spans="1:2" x14ac:dyDescent="0.25">
      <c r="A8315" s="15" t="str">
        <f t="shared" si="258"/>
        <v/>
      </c>
      <c r="B8315" s="18" t="str">
        <f t="shared" si="259"/>
        <v/>
      </c>
    </row>
    <row r="8316" spans="1:2" x14ac:dyDescent="0.25">
      <c r="A8316" s="15" t="str">
        <f t="shared" si="258"/>
        <v/>
      </c>
      <c r="B8316" s="18" t="str">
        <f t="shared" si="259"/>
        <v/>
      </c>
    </row>
    <row r="8317" spans="1:2" x14ac:dyDescent="0.25">
      <c r="A8317" s="15" t="str">
        <f t="shared" si="258"/>
        <v/>
      </c>
      <c r="B8317" s="18" t="str">
        <f t="shared" si="259"/>
        <v/>
      </c>
    </row>
    <row r="8318" spans="1:2" x14ac:dyDescent="0.25">
      <c r="A8318" s="15" t="str">
        <f t="shared" si="258"/>
        <v/>
      </c>
      <c r="B8318" s="18" t="str">
        <f t="shared" si="259"/>
        <v/>
      </c>
    </row>
    <row r="8319" spans="1:2" x14ac:dyDescent="0.25">
      <c r="A8319" s="15" t="str">
        <f t="shared" si="258"/>
        <v/>
      </c>
      <c r="B8319" s="18" t="str">
        <f t="shared" si="259"/>
        <v/>
      </c>
    </row>
    <row r="8320" spans="1:2" x14ac:dyDescent="0.25">
      <c r="A8320" s="15" t="str">
        <f t="shared" si="258"/>
        <v/>
      </c>
      <c r="B8320" s="18" t="str">
        <f t="shared" si="259"/>
        <v/>
      </c>
    </row>
    <row r="8321" spans="1:2" x14ac:dyDescent="0.25">
      <c r="A8321" s="15" t="str">
        <f t="shared" si="258"/>
        <v/>
      </c>
      <c r="B8321" s="18" t="str">
        <f t="shared" si="259"/>
        <v/>
      </c>
    </row>
    <row r="8322" spans="1:2" x14ac:dyDescent="0.25">
      <c r="A8322" s="15" t="str">
        <f t="shared" ref="A8322:A8385" si="260">B8322&amp;C8322</f>
        <v/>
      </c>
      <c r="B8322" s="18" t="str">
        <f t="shared" si="259"/>
        <v/>
      </c>
    </row>
    <row r="8323" spans="1:2" x14ac:dyDescent="0.25">
      <c r="A8323" s="15" t="str">
        <f t="shared" si="260"/>
        <v/>
      </c>
      <c r="B8323" s="18" t="str">
        <f t="shared" ref="B8323:B8386" si="261">IF(C8323="","",B8322)</f>
        <v/>
      </c>
    </row>
    <row r="8324" spans="1:2" x14ac:dyDescent="0.25">
      <c r="A8324" s="15" t="str">
        <f t="shared" si="260"/>
        <v/>
      </c>
      <c r="B8324" s="18" t="str">
        <f t="shared" si="261"/>
        <v/>
      </c>
    </row>
    <row r="8325" spans="1:2" x14ac:dyDescent="0.25">
      <c r="A8325" s="15" t="str">
        <f t="shared" si="260"/>
        <v/>
      </c>
      <c r="B8325" s="18" t="str">
        <f t="shared" si="261"/>
        <v/>
      </c>
    </row>
    <row r="8326" spans="1:2" x14ac:dyDescent="0.25">
      <c r="A8326" s="15" t="str">
        <f t="shared" si="260"/>
        <v/>
      </c>
      <c r="B8326" s="18" t="str">
        <f t="shared" si="261"/>
        <v/>
      </c>
    </row>
    <row r="8327" spans="1:2" x14ac:dyDescent="0.25">
      <c r="A8327" s="15" t="str">
        <f t="shared" si="260"/>
        <v/>
      </c>
      <c r="B8327" s="18" t="str">
        <f t="shared" si="261"/>
        <v/>
      </c>
    </row>
    <row r="8328" spans="1:2" x14ac:dyDescent="0.25">
      <c r="A8328" s="15" t="str">
        <f t="shared" si="260"/>
        <v/>
      </c>
      <c r="B8328" s="18" t="str">
        <f t="shared" si="261"/>
        <v/>
      </c>
    </row>
    <row r="8329" spans="1:2" x14ac:dyDescent="0.25">
      <c r="A8329" s="15" t="str">
        <f t="shared" si="260"/>
        <v/>
      </c>
      <c r="B8329" s="18" t="str">
        <f t="shared" si="261"/>
        <v/>
      </c>
    </row>
    <row r="8330" spans="1:2" x14ac:dyDescent="0.25">
      <c r="A8330" s="15" t="str">
        <f t="shared" si="260"/>
        <v/>
      </c>
      <c r="B8330" s="18" t="str">
        <f t="shared" si="261"/>
        <v/>
      </c>
    </row>
    <row r="8331" spans="1:2" x14ac:dyDescent="0.25">
      <c r="A8331" s="15" t="str">
        <f t="shared" si="260"/>
        <v/>
      </c>
      <c r="B8331" s="18" t="str">
        <f t="shared" si="261"/>
        <v/>
      </c>
    </row>
    <row r="8332" spans="1:2" x14ac:dyDescent="0.25">
      <c r="A8332" s="15" t="str">
        <f t="shared" si="260"/>
        <v/>
      </c>
      <c r="B8332" s="18" t="str">
        <f t="shared" si="261"/>
        <v/>
      </c>
    </row>
    <row r="8333" spans="1:2" x14ac:dyDescent="0.25">
      <c r="A8333" s="15" t="str">
        <f t="shared" si="260"/>
        <v/>
      </c>
      <c r="B8333" s="18" t="str">
        <f t="shared" si="261"/>
        <v/>
      </c>
    </row>
    <row r="8334" spans="1:2" x14ac:dyDescent="0.25">
      <c r="A8334" s="15" t="str">
        <f t="shared" si="260"/>
        <v/>
      </c>
      <c r="B8334" s="18" t="str">
        <f t="shared" si="261"/>
        <v/>
      </c>
    </row>
    <row r="8335" spans="1:2" x14ac:dyDescent="0.25">
      <c r="A8335" s="15" t="str">
        <f t="shared" si="260"/>
        <v/>
      </c>
      <c r="B8335" s="18" t="str">
        <f t="shared" si="261"/>
        <v/>
      </c>
    </row>
    <row r="8336" spans="1:2" x14ac:dyDescent="0.25">
      <c r="A8336" s="15" t="str">
        <f t="shared" si="260"/>
        <v/>
      </c>
      <c r="B8336" s="18" t="str">
        <f t="shared" si="261"/>
        <v/>
      </c>
    </row>
    <row r="8337" spans="1:2" x14ac:dyDescent="0.25">
      <c r="A8337" s="15" t="str">
        <f t="shared" si="260"/>
        <v/>
      </c>
      <c r="B8337" s="18" t="str">
        <f t="shared" si="261"/>
        <v/>
      </c>
    </row>
    <row r="8338" spans="1:2" x14ac:dyDescent="0.25">
      <c r="A8338" s="15" t="str">
        <f t="shared" si="260"/>
        <v/>
      </c>
      <c r="B8338" s="18" t="str">
        <f t="shared" si="261"/>
        <v/>
      </c>
    </row>
    <row r="8339" spans="1:2" x14ac:dyDescent="0.25">
      <c r="A8339" s="15" t="str">
        <f t="shared" si="260"/>
        <v/>
      </c>
      <c r="B8339" s="18" t="str">
        <f t="shared" si="261"/>
        <v/>
      </c>
    </row>
    <row r="8340" spans="1:2" x14ac:dyDescent="0.25">
      <c r="A8340" s="15" t="str">
        <f t="shared" si="260"/>
        <v/>
      </c>
      <c r="B8340" s="18" t="str">
        <f t="shared" si="261"/>
        <v/>
      </c>
    </row>
    <row r="8341" spans="1:2" x14ac:dyDescent="0.25">
      <c r="A8341" s="15" t="str">
        <f t="shared" si="260"/>
        <v/>
      </c>
      <c r="B8341" s="18" t="str">
        <f t="shared" si="261"/>
        <v/>
      </c>
    </row>
    <row r="8342" spans="1:2" x14ac:dyDescent="0.25">
      <c r="A8342" s="15" t="str">
        <f t="shared" si="260"/>
        <v/>
      </c>
      <c r="B8342" s="18" t="str">
        <f t="shared" si="261"/>
        <v/>
      </c>
    </row>
    <row r="8343" spans="1:2" x14ac:dyDescent="0.25">
      <c r="A8343" s="15" t="str">
        <f t="shared" si="260"/>
        <v/>
      </c>
      <c r="B8343" s="18" t="str">
        <f t="shared" si="261"/>
        <v/>
      </c>
    </row>
    <row r="8344" spans="1:2" x14ac:dyDescent="0.25">
      <c r="A8344" s="15" t="str">
        <f t="shared" si="260"/>
        <v/>
      </c>
      <c r="B8344" s="18" t="str">
        <f t="shared" si="261"/>
        <v/>
      </c>
    </row>
    <row r="8345" spans="1:2" x14ac:dyDescent="0.25">
      <c r="A8345" s="15" t="str">
        <f t="shared" si="260"/>
        <v/>
      </c>
      <c r="B8345" s="18" t="str">
        <f t="shared" si="261"/>
        <v/>
      </c>
    </row>
    <row r="8346" spans="1:2" x14ac:dyDescent="0.25">
      <c r="A8346" s="15" t="str">
        <f t="shared" si="260"/>
        <v/>
      </c>
      <c r="B8346" s="18" t="str">
        <f t="shared" si="261"/>
        <v/>
      </c>
    </row>
    <row r="8347" spans="1:2" x14ac:dyDescent="0.25">
      <c r="A8347" s="15" t="str">
        <f t="shared" si="260"/>
        <v/>
      </c>
      <c r="B8347" s="18" t="str">
        <f t="shared" si="261"/>
        <v/>
      </c>
    </row>
    <row r="8348" spans="1:2" x14ac:dyDescent="0.25">
      <c r="A8348" s="15" t="str">
        <f t="shared" si="260"/>
        <v/>
      </c>
      <c r="B8348" s="18" t="str">
        <f t="shared" si="261"/>
        <v/>
      </c>
    </row>
    <row r="8349" spans="1:2" x14ac:dyDescent="0.25">
      <c r="A8349" s="15" t="str">
        <f t="shared" si="260"/>
        <v/>
      </c>
      <c r="B8349" s="18" t="str">
        <f t="shared" si="261"/>
        <v/>
      </c>
    </row>
    <row r="8350" spans="1:2" x14ac:dyDescent="0.25">
      <c r="A8350" s="15" t="str">
        <f t="shared" si="260"/>
        <v/>
      </c>
      <c r="B8350" s="18" t="str">
        <f t="shared" si="261"/>
        <v/>
      </c>
    </row>
    <row r="8351" spans="1:2" x14ac:dyDescent="0.25">
      <c r="A8351" s="15" t="str">
        <f t="shared" si="260"/>
        <v/>
      </c>
      <c r="B8351" s="18" t="str">
        <f t="shared" si="261"/>
        <v/>
      </c>
    </row>
    <row r="8352" spans="1:2" x14ac:dyDescent="0.25">
      <c r="A8352" s="15" t="str">
        <f t="shared" si="260"/>
        <v/>
      </c>
      <c r="B8352" s="18" t="str">
        <f t="shared" si="261"/>
        <v/>
      </c>
    </row>
    <row r="8353" spans="1:2" x14ac:dyDescent="0.25">
      <c r="A8353" s="15" t="str">
        <f t="shared" si="260"/>
        <v/>
      </c>
      <c r="B8353" s="18" t="str">
        <f t="shared" si="261"/>
        <v/>
      </c>
    </row>
    <row r="8354" spans="1:2" x14ac:dyDescent="0.25">
      <c r="A8354" s="15" t="str">
        <f t="shared" si="260"/>
        <v/>
      </c>
      <c r="B8354" s="18" t="str">
        <f t="shared" si="261"/>
        <v/>
      </c>
    </row>
    <row r="8355" spans="1:2" x14ac:dyDescent="0.25">
      <c r="A8355" s="15" t="str">
        <f t="shared" si="260"/>
        <v/>
      </c>
      <c r="B8355" s="18" t="str">
        <f t="shared" si="261"/>
        <v/>
      </c>
    </row>
    <row r="8356" spans="1:2" x14ac:dyDescent="0.25">
      <c r="A8356" s="15" t="str">
        <f t="shared" si="260"/>
        <v/>
      </c>
      <c r="B8356" s="18" t="str">
        <f t="shared" si="261"/>
        <v/>
      </c>
    </row>
    <row r="8357" spans="1:2" x14ac:dyDescent="0.25">
      <c r="A8357" s="15" t="str">
        <f t="shared" si="260"/>
        <v/>
      </c>
      <c r="B8357" s="18" t="str">
        <f t="shared" si="261"/>
        <v/>
      </c>
    </row>
    <row r="8358" spans="1:2" x14ac:dyDescent="0.25">
      <c r="A8358" s="15" t="str">
        <f t="shared" si="260"/>
        <v/>
      </c>
      <c r="B8358" s="18" t="str">
        <f t="shared" si="261"/>
        <v/>
      </c>
    </row>
    <row r="8359" spans="1:2" x14ac:dyDescent="0.25">
      <c r="A8359" s="15" t="str">
        <f t="shared" si="260"/>
        <v/>
      </c>
      <c r="B8359" s="18" t="str">
        <f t="shared" si="261"/>
        <v/>
      </c>
    </row>
    <row r="8360" spans="1:2" x14ac:dyDescent="0.25">
      <c r="A8360" s="15" t="str">
        <f t="shared" si="260"/>
        <v/>
      </c>
      <c r="B8360" s="18" t="str">
        <f t="shared" si="261"/>
        <v/>
      </c>
    </row>
    <row r="8361" spans="1:2" x14ac:dyDescent="0.25">
      <c r="A8361" s="15" t="str">
        <f t="shared" si="260"/>
        <v/>
      </c>
      <c r="B8361" s="18" t="str">
        <f t="shared" si="261"/>
        <v/>
      </c>
    </row>
    <row r="8362" spans="1:2" x14ac:dyDescent="0.25">
      <c r="A8362" s="15" t="str">
        <f t="shared" si="260"/>
        <v/>
      </c>
      <c r="B8362" s="18" t="str">
        <f t="shared" si="261"/>
        <v/>
      </c>
    </row>
    <row r="8363" spans="1:2" x14ac:dyDescent="0.25">
      <c r="A8363" s="15" t="str">
        <f t="shared" si="260"/>
        <v/>
      </c>
      <c r="B8363" s="18" t="str">
        <f t="shared" si="261"/>
        <v/>
      </c>
    </row>
    <row r="8364" spans="1:2" x14ac:dyDescent="0.25">
      <c r="A8364" s="15" t="str">
        <f t="shared" si="260"/>
        <v/>
      </c>
      <c r="B8364" s="18" t="str">
        <f t="shared" si="261"/>
        <v/>
      </c>
    </row>
    <row r="8365" spans="1:2" x14ac:dyDescent="0.25">
      <c r="A8365" s="15" t="str">
        <f t="shared" si="260"/>
        <v/>
      </c>
      <c r="B8365" s="18" t="str">
        <f t="shared" si="261"/>
        <v/>
      </c>
    </row>
    <row r="8366" spans="1:2" x14ac:dyDescent="0.25">
      <c r="A8366" s="15" t="str">
        <f t="shared" si="260"/>
        <v/>
      </c>
      <c r="B8366" s="18" t="str">
        <f t="shared" si="261"/>
        <v/>
      </c>
    </row>
    <row r="8367" spans="1:2" x14ac:dyDescent="0.25">
      <c r="A8367" s="15" t="str">
        <f t="shared" si="260"/>
        <v/>
      </c>
      <c r="B8367" s="18" t="str">
        <f t="shared" si="261"/>
        <v/>
      </c>
    </row>
    <row r="8368" spans="1:2" x14ac:dyDescent="0.25">
      <c r="A8368" s="15" t="str">
        <f t="shared" si="260"/>
        <v/>
      </c>
      <c r="B8368" s="18" t="str">
        <f t="shared" si="261"/>
        <v/>
      </c>
    </row>
    <row r="8369" spans="1:2" x14ac:dyDescent="0.25">
      <c r="A8369" s="15" t="str">
        <f t="shared" si="260"/>
        <v/>
      </c>
      <c r="B8369" s="18" t="str">
        <f t="shared" si="261"/>
        <v/>
      </c>
    </row>
    <row r="8370" spans="1:2" x14ac:dyDescent="0.25">
      <c r="A8370" s="15" t="str">
        <f t="shared" si="260"/>
        <v/>
      </c>
      <c r="B8370" s="18" t="str">
        <f t="shared" si="261"/>
        <v/>
      </c>
    </row>
    <row r="8371" spans="1:2" x14ac:dyDescent="0.25">
      <c r="A8371" s="15" t="str">
        <f t="shared" si="260"/>
        <v/>
      </c>
      <c r="B8371" s="18" t="str">
        <f t="shared" si="261"/>
        <v/>
      </c>
    </row>
    <row r="8372" spans="1:2" x14ac:dyDescent="0.25">
      <c r="A8372" s="15" t="str">
        <f t="shared" si="260"/>
        <v/>
      </c>
      <c r="B8372" s="18" t="str">
        <f t="shared" si="261"/>
        <v/>
      </c>
    </row>
    <row r="8373" spans="1:2" x14ac:dyDescent="0.25">
      <c r="A8373" s="15" t="str">
        <f t="shared" si="260"/>
        <v/>
      </c>
      <c r="B8373" s="18" t="str">
        <f t="shared" si="261"/>
        <v/>
      </c>
    </row>
    <row r="8374" spans="1:2" x14ac:dyDescent="0.25">
      <c r="A8374" s="15" t="str">
        <f t="shared" si="260"/>
        <v/>
      </c>
      <c r="B8374" s="18" t="str">
        <f t="shared" si="261"/>
        <v/>
      </c>
    </row>
    <row r="8375" spans="1:2" x14ac:dyDescent="0.25">
      <c r="A8375" s="15" t="str">
        <f t="shared" si="260"/>
        <v/>
      </c>
      <c r="B8375" s="18" t="str">
        <f t="shared" si="261"/>
        <v/>
      </c>
    </row>
    <row r="8376" spans="1:2" x14ac:dyDescent="0.25">
      <c r="A8376" s="15" t="str">
        <f t="shared" si="260"/>
        <v/>
      </c>
      <c r="B8376" s="18" t="str">
        <f t="shared" si="261"/>
        <v/>
      </c>
    </row>
    <row r="8377" spans="1:2" x14ac:dyDescent="0.25">
      <c r="A8377" s="15" t="str">
        <f t="shared" si="260"/>
        <v/>
      </c>
      <c r="B8377" s="18" t="str">
        <f t="shared" si="261"/>
        <v/>
      </c>
    </row>
    <row r="8378" spans="1:2" x14ac:dyDescent="0.25">
      <c r="A8378" s="15" t="str">
        <f t="shared" si="260"/>
        <v/>
      </c>
      <c r="B8378" s="18" t="str">
        <f t="shared" si="261"/>
        <v/>
      </c>
    </row>
    <row r="8379" spans="1:2" x14ac:dyDescent="0.25">
      <c r="A8379" s="15" t="str">
        <f t="shared" si="260"/>
        <v/>
      </c>
      <c r="B8379" s="18" t="str">
        <f t="shared" si="261"/>
        <v/>
      </c>
    </row>
    <row r="8380" spans="1:2" x14ac:dyDescent="0.25">
      <c r="A8380" s="15" t="str">
        <f t="shared" si="260"/>
        <v/>
      </c>
      <c r="B8380" s="18" t="str">
        <f t="shared" si="261"/>
        <v/>
      </c>
    </row>
    <row r="8381" spans="1:2" x14ac:dyDescent="0.25">
      <c r="A8381" s="15" t="str">
        <f t="shared" si="260"/>
        <v/>
      </c>
      <c r="B8381" s="18" t="str">
        <f t="shared" si="261"/>
        <v/>
      </c>
    </row>
    <row r="8382" spans="1:2" x14ac:dyDescent="0.25">
      <c r="A8382" s="15" t="str">
        <f t="shared" si="260"/>
        <v/>
      </c>
      <c r="B8382" s="18" t="str">
        <f t="shared" si="261"/>
        <v/>
      </c>
    </row>
    <row r="8383" spans="1:2" x14ac:dyDescent="0.25">
      <c r="A8383" s="15" t="str">
        <f t="shared" si="260"/>
        <v/>
      </c>
      <c r="B8383" s="18" t="str">
        <f t="shared" si="261"/>
        <v/>
      </c>
    </row>
    <row r="8384" spans="1:2" x14ac:dyDescent="0.25">
      <c r="A8384" s="15" t="str">
        <f t="shared" si="260"/>
        <v/>
      </c>
      <c r="B8384" s="18" t="str">
        <f t="shared" si="261"/>
        <v/>
      </c>
    </row>
    <row r="8385" spans="1:2" x14ac:dyDescent="0.25">
      <c r="A8385" s="15" t="str">
        <f t="shared" si="260"/>
        <v/>
      </c>
      <c r="B8385" s="18" t="str">
        <f t="shared" si="261"/>
        <v/>
      </c>
    </row>
    <row r="8386" spans="1:2" x14ac:dyDescent="0.25">
      <c r="A8386" s="15" t="str">
        <f t="shared" ref="A8386:A8449" si="262">B8386&amp;C8386</f>
        <v/>
      </c>
      <c r="B8386" s="18" t="str">
        <f t="shared" si="261"/>
        <v/>
      </c>
    </row>
    <row r="8387" spans="1:2" x14ac:dyDescent="0.25">
      <c r="A8387" s="15" t="str">
        <f t="shared" si="262"/>
        <v/>
      </c>
      <c r="B8387" s="18" t="str">
        <f t="shared" ref="B8387:B8450" si="263">IF(C8387="","",B8386)</f>
        <v/>
      </c>
    </row>
    <row r="8388" spans="1:2" x14ac:dyDescent="0.25">
      <c r="A8388" s="15" t="str">
        <f t="shared" si="262"/>
        <v/>
      </c>
      <c r="B8388" s="18" t="str">
        <f t="shared" si="263"/>
        <v/>
      </c>
    </row>
    <row r="8389" spans="1:2" x14ac:dyDescent="0.25">
      <c r="A8389" s="15" t="str">
        <f t="shared" si="262"/>
        <v/>
      </c>
      <c r="B8389" s="18" t="str">
        <f t="shared" si="263"/>
        <v/>
      </c>
    </row>
    <row r="8390" spans="1:2" x14ac:dyDescent="0.25">
      <c r="A8390" s="15" t="str">
        <f t="shared" si="262"/>
        <v/>
      </c>
      <c r="B8390" s="18" t="str">
        <f t="shared" si="263"/>
        <v/>
      </c>
    </row>
    <row r="8391" spans="1:2" x14ac:dyDescent="0.25">
      <c r="A8391" s="15" t="str">
        <f t="shared" si="262"/>
        <v/>
      </c>
      <c r="B8391" s="18" t="str">
        <f t="shared" si="263"/>
        <v/>
      </c>
    </row>
    <row r="8392" spans="1:2" x14ac:dyDescent="0.25">
      <c r="A8392" s="15" t="str">
        <f t="shared" si="262"/>
        <v/>
      </c>
      <c r="B8392" s="18" t="str">
        <f t="shared" si="263"/>
        <v/>
      </c>
    </row>
    <row r="8393" spans="1:2" x14ac:dyDescent="0.25">
      <c r="A8393" s="15" t="str">
        <f t="shared" si="262"/>
        <v/>
      </c>
      <c r="B8393" s="18" t="str">
        <f t="shared" si="263"/>
        <v/>
      </c>
    </row>
    <row r="8394" spans="1:2" x14ac:dyDescent="0.25">
      <c r="A8394" s="15" t="str">
        <f t="shared" si="262"/>
        <v/>
      </c>
      <c r="B8394" s="18" t="str">
        <f t="shared" si="263"/>
        <v/>
      </c>
    </row>
    <row r="8395" spans="1:2" x14ac:dyDescent="0.25">
      <c r="A8395" s="15" t="str">
        <f t="shared" si="262"/>
        <v/>
      </c>
      <c r="B8395" s="18" t="str">
        <f t="shared" si="263"/>
        <v/>
      </c>
    </row>
    <row r="8396" spans="1:2" x14ac:dyDescent="0.25">
      <c r="A8396" s="15" t="str">
        <f t="shared" si="262"/>
        <v/>
      </c>
      <c r="B8396" s="18" t="str">
        <f t="shared" si="263"/>
        <v/>
      </c>
    </row>
    <row r="8397" spans="1:2" x14ac:dyDescent="0.25">
      <c r="A8397" s="15" t="str">
        <f t="shared" si="262"/>
        <v/>
      </c>
      <c r="B8397" s="18" t="str">
        <f t="shared" si="263"/>
        <v/>
      </c>
    </row>
    <row r="8398" spans="1:2" x14ac:dyDescent="0.25">
      <c r="A8398" s="15" t="str">
        <f t="shared" si="262"/>
        <v/>
      </c>
      <c r="B8398" s="18" t="str">
        <f t="shared" si="263"/>
        <v/>
      </c>
    </row>
    <row r="8399" spans="1:2" x14ac:dyDescent="0.25">
      <c r="A8399" s="15" t="str">
        <f t="shared" si="262"/>
        <v/>
      </c>
      <c r="B8399" s="18" t="str">
        <f t="shared" si="263"/>
        <v/>
      </c>
    </row>
    <row r="8400" spans="1:2" x14ac:dyDescent="0.25">
      <c r="A8400" s="15" t="str">
        <f t="shared" si="262"/>
        <v/>
      </c>
      <c r="B8400" s="18" t="str">
        <f t="shared" si="263"/>
        <v/>
      </c>
    </row>
    <row r="8401" spans="1:2" x14ac:dyDescent="0.25">
      <c r="A8401" s="15" t="str">
        <f t="shared" si="262"/>
        <v/>
      </c>
      <c r="B8401" s="18" t="str">
        <f t="shared" si="263"/>
        <v/>
      </c>
    </row>
    <row r="8402" spans="1:2" x14ac:dyDescent="0.25">
      <c r="A8402" s="15" t="str">
        <f t="shared" si="262"/>
        <v/>
      </c>
      <c r="B8402" s="18" t="str">
        <f t="shared" si="263"/>
        <v/>
      </c>
    </row>
    <row r="8403" spans="1:2" x14ac:dyDescent="0.25">
      <c r="A8403" s="15" t="str">
        <f t="shared" si="262"/>
        <v/>
      </c>
      <c r="B8403" s="18" t="str">
        <f t="shared" si="263"/>
        <v/>
      </c>
    </row>
    <row r="8404" spans="1:2" x14ac:dyDescent="0.25">
      <c r="A8404" s="15" t="str">
        <f t="shared" si="262"/>
        <v/>
      </c>
      <c r="B8404" s="18" t="str">
        <f t="shared" si="263"/>
        <v/>
      </c>
    </row>
    <row r="8405" spans="1:2" x14ac:dyDescent="0.25">
      <c r="A8405" s="15" t="str">
        <f t="shared" si="262"/>
        <v/>
      </c>
      <c r="B8405" s="18" t="str">
        <f t="shared" si="263"/>
        <v/>
      </c>
    </row>
    <row r="8406" spans="1:2" x14ac:dyDescent="0.25">
      <c r="A8406" s="15" t="str">
        <f t="shared" si="262"/>
        <v/>
      </c>
      <c r="B8406" s="18" t="str">
        <f t="shared" si="263"/>
        <v/>
      </c>
    </row>
    <row r="8407" spans="1:2" x14ac:dyDescent="0.25">
      <c r="A8407" s="15" t="str">
        <f t="shared" si="262"/>
        <v/>
      </c>
      <c r="B8407" s="18" t="str">
        <f t="shared" si="263"/>
        <v/>
      </c>
    </row>
    <row r="8408" spans="1:2" x14ac:dyDescent="0.25">
      <c r="A8408" s="15" t="str">
        <f t="shared" si="262"/>
        <v/>
      </c>
      <c r="B8408" s="18" t="str">
        <f t="shared" si="263"/>
        <v/>
      </c>
    </row>
    <row r="8409" spans="1:2" x14ac:dyDescent="0.25">
      <c r="A8409" s="15" t="str">
        <f t="shared" si="262"/>
        <v/>
      </c>
      <c r="B8409" s="18" t="str">
        <f t="shared" si="263"/>
        <v/>
      </c>
    </row>
    <row r="8410" spans="1:2" x14ac:dyDescent="0.25">
      <c r="A8410" s="15" t="str">
        <f t="shared" si="262"/>
        <v/>
      </c>
      <c r="B8410" s="18" t="str">
        <f t="shared" si="263"/>
        <v/>
      </c>
    </row>
    <row r="8411" spans="1:2" x14ac:dyDescent="0.25">
      <c r="A8411" s="15" t="str">
        <f t="shared" si="262"/>
        <v/>
      </c>
      <c r="B8411" s="18" t="str">
        <f t="shared" si="263"/>
        <v/>
      </c>
    </row>
    <row r="8412" spans="1:2" x14ac:dyDescent="0.25">
      <c r="A8412" s="15" t="str">
        <f t="shared" si="262"/>
        <v/>
      </c>
      <c r="B8412" s="18" t="str">
        <f t="shared" si="263"/>
        <v/>
      </c>
    </row>
    <row r="8413" spans="1:2" x14ac:dyDescent="0.25">
      <c r="A8413" s="15" t="str">
        <f t="shared" si="262"/>
        <v/>
      </c>
      <c r="B8413" s="18" t="str">
        <f t="shared" si="263"/>
        <v/>
      </c>
    </row>
    <row r="8414" spans="1:2" x14ac:dyDescent="0.25">
      <c r="A8414" s="15" t="str">
        <f t="shared" si="262"/>
        <v/>
      </c>
      <c r="B8414" s="18" t="str">
        <f t="shared" si="263"/>
        <v/>
      </c>
    </row>
    <row r="8415" spans="1:2" x14ac:dyDescent="0.25">
      <c r="A8415" s="15" t="str">
        <f t="shared" si="262"/>
        <v/>
      </c>
      <c r="B8415" s="18" t="str">
        <f t="shared" si="263"/>
        <v/>
      </c>
    </row>
    <row r="8416" spans="1:2" x14ac:dyDescent="0.25">
      <c r="A8416" s="15" t="str">
        <f t="shared" si="262"/>
        <v/>
      </c>
      <c r="B8416" s="18" t="str">
        <f t="shared" si="263"/>
        <v/>
      </c>
    </row>
    <row r="8417" spans="1:2" x14ac:dyDescent="0.25">
      <c r="A8417" s="15" t="str">
        <f t="shared" si="262"/>
        <v/>
      </c>
      <c r="B8417" s="18" t="str">
        <f t="shared" si="263"/>
        <v/>
      </c>
    </row>
    <row r="8418" spans="1:2" x14ac:dyDescent="0.25">
      <c r="A8418" s="15" t="str">
        <f t="shared" si="262"/>
        <v/>
      </c>
      <c r="B8418" s="18" t="str">
        <f t="shared" si="263"/>
        <v/>
      </c>
    </row>
    <row r="8419" spans="1:2" x14ac:dyDescent="0.25">
      <c r="A8419" s="15" t="str">
        <f t="shared" si="262"/>
        <v/>
      </c>
      <c r="B8419" s="18" t="str">
        <f t="shared" si="263"/>
        <v/>
      </c>
    </row>
    <row r="8420" spans="1:2" x14ac:dyDescent="0.25">
      <c r="A8420" s="15" t="str">
        <f t="shared" si="262"/>
        <v/>
      </c>
      <c r="B8420" s="18" t="str">
        <f t="shared" si="263"/>
        <v/>
      </c>
    </row>
    <row r="8421" spans="1:2" x14ac:dyDescent="0.25">
      <c r="A8421" s="15" t="str">
        <f t="shared" si="262"/>
        <v/>
      </c>
      <c r="B8421" s="18" t="str">
        <f t="shared" si="263"/>
        <v/>
      </c>
    </row>
    <row r="8422" spans="1:2" x14ac:dyDescent="0.25">
      <c r="A8422" s="15" t="str">
        <f t="shared" si="262"/>
        <v/>
      </c>
      <c r="B8422" s="18" t="str">
        <f t="shared" si="263"/>
        <v/>
      </c>
    </row>
    <row r="8423" spans="1:2" x14ac:dyDescent="0.25">
      <c r="A8423" s="15" t="str">
        <f t="shared" si="262"/>
        <v/>
      </c>
      <c r="B8423" s="18" t="str">
        <f t="shared" si="263"/>
        <v/>
      </c>
    </row>
    <row r="8424" spans="1:2" x14ac:dyDescent="0.25">
      <c r="A8424" s="15" t="str">
        <f t="shared" si="262"/>
        <v/>
      </c>
      <c r="B8424" s="18" t="str">
        <f t="shared" si="263"/>
        <v/>
      </c>
    </row>
    <row r="8425" spans="1:2" x14ac:dyDescent="0.25">
      <c r="A8425" s="15" t="str">
        <f t="shared" si="262"/>
        <v/>
      </c>
      <c r="B8425" s="18" t="str">
        <f t="shared" si="263"/>
        <v/>
      </c>
    </row>
    <row r="8426" spans="1:2" x14ac:dyDescent="0.25">
      <c r="A8426" s="15" t="str">
        <f t="shared" si="262"/>
        <v/>
      </c>
      <c r="B8426" s="18" t="str">
        <f t="shared" si="263"/>
        <v/>
      </c>
    </row>
    <row r="8427" spans="1:2" x14ac:dyDescent="0.25">
      <c r="A8427" s="15" t="str">
        <f t="shared" si="262"/>
        <v/>
      </c>
      <c r="B8427" s="18" t="str">
        <f t="shared" si="263"/>
        <v/>
      </c>
    </row>
    <row r="8428" spans="1:2" x14ac:dyDescent="0.25">
      <c r="A8428" s="15" t="str">
        <f t="shared" si="262"/>
        <v/>
      </c>
      <c r="B8428" s="18" t="str">
        <f t="shared" si="263"/>
        <v/>
      </c>
    </row>
    <row r="8429" spans="1:2" x14ac:dyDescent="0.25">
      <c r="A8429" s="15" t="str">
        <f t="shared" si="262"/>
        <v/>
      </c>
      <c r="B8429" s="18" t="str">
        <f t="shared" si="263"/>
        <v/>
      </c>
    </row>
    <row r="8430" spans="1:2" x14ac:dyDescent="0.25">
      <c r="A8430" s="15" t="str">
        <f t="shared" si="262"/>
        <v/>
      </c>
      <c r="B8430" s="18" t="str">
        <f t="shared" si="263"/>
        <v/>
      </c>
    </row>
    <row r="8431" spans="1:2" x14ac:dyDescent="0.25">
      <c r="A8431" s="15" t="str">
        <f t="shared" si="262"/>
        <v/>
      </c>
      <c r="B8431" s="18" t="str">
        <f t="shared" si="263"/>
        <v/>
      </c>
    </row>
    <row r="8432" spans="1:2" x14ac:dyDescent="0.25">
      <c r="A8432" s="15" t="str">
        <f t="shared" si="262"/>
        <v/>
      </c>
      <c r="B8432" s="18" t="str">
        <f t="shared" si="263"/>
        <v/>
      </c>
    </row>
    <row r="8433" spans="1:2" x14ac:dyDescent="0.25">
      <c r="A8433" s="15" t="str">
        <f t="shared" si="262"/>
        <v/>
      </c>
      <c r="B8433" s="18" t="str">
        <f t="shared" si="263"/>
        <v/>
      </c>
    </row>
    <row r="8434" spans="1:2" x14ac:dyDescent="0.25">
      <c r="A8434" s="15" t="str">
        <f t="shared" si="262"/>
        <v/>
      </c>
      <c r="B8434" s="18" t="str">
        <f t="shared" si="263"/>
        <v/>
      </c>
    </row>
    <row r="8435" spans="1:2" x14ac:dyDescent="0.25">
      <c r="A8435" s="15" t="str">
        <f t="shared" si="262"/>
        <v/>
      </c>
      <c r="B8435" s="18" t="str">
        <f t="shared" si="263"/>
        <v/>
      </c>
    </row>
    <row r="8436" spans="1:2" x14ac:dyDescent="0.25">
      <c r="A8436" s="15" t="str">
        <f t="shared" si="262"/>
        <v/>
      </c>
      <c r="B8436" s="18" t="str">
        <f t="shared" si="263"/>
        <v/>
      </c>
    </row>
    <row r="8437" spans="1:2" x14ac:dyDescent="0.25">
      <c r="A8437" s="15" t="str">
        <f t="shared" si="262"/>
        <v/>
      </c>
      <c r="B8437" s="18" t="str">
        <f t="shared" si="263"/>
        <v/>
      </c>
    </row>
    <row r="8438" spans="1:2" x14ac:dyDescent="0.25">
      <c r="A8438" s="15" t="str">
        <f t="shared" si="262"/>
        <v/>
      </c>
      <c r="B8438" s="18" t="str">
        <f t="shared" si="263"/>
        <v/>
      </c>
    </row>
    <row r="8439" spans="1:2" x14ac:dyDescent="0.25">
      <c r="A8439" s="15" t="str">
        <f t="shared" si="262"/>
        <v/>
      </c>
      <c r="B8439" s="18" t="str">
        <f t="shared" si="263"/>
        <v/>
      </c>
    </row>
    <row r="8440" spans="1:2" x14ac:dyDescent="0.25">
      <c r="A8440" s="15" t="str">
        <f t="shared" si="262"/>
        <v/>
      </c>
      <c r="B8440" s="18" t="str">
        <f t="shared" si="263"/>
        <v/>
      </c>
    </row>
    <row r="8441" spans="1:2" x14ac:dyDescent="0.25">
      <c r="A8441" s="15" t="str">
        <f t="shared" si="262"/>
        <v/>
      </c>
      <c r="B8441" s="18" t="str">
        <f t="shared" si="263"/>
        <v/>
      </c>
    </row>
    <row r="8442" spans="1:2" x14ac:dyDescent="0.25">
      <c r="A8442" s="15" t="str">
        <f t="shared" si="262"/>
        <v/>
      </c>
      <c r="B8442" s="18" t="str">
        <f t="shared" si="263"/>
        <v/>
      </c>
    </row>
    <row r="8443" spans="1:2" x14ac:dyDescent="0.25">
      <c r="A8443" s="15" t="str">
        <f t="shared" si="262"/>
        <v/>
      </c>
      <c r="B8443" s="18" t="str">
        <f t="shared" si="263"/>
        <v/>
      </c>
    </row>
    <row r="8444" spans="1:2" x14ac:dyDescent="0.25">
      <c r="A8444" s="15" t="str">
        <f t="shared" si="262"/>
        <v/>
      </c>
      <c r="B8444" s="18" t="str">
        <f t="shared" si="263"/>
        <v/>
      </c>
    </row>
    <row r="8445" spans="1:2" x14ac:dyDescent="0.25">
      <c r="A8445" s="15" t="str">
        <f t="shared" si="262"/>
        <v/>
      </c>
      <c r="B8445" s="18" t="str">
        <f t="shared" si="263"/>
        <v/>
      </c>
    </row>
    <row r="8446" spans="1:2" x14ac:dyDescent="0.25">
      <c r="A8446" s="15" t="str">
        <f t="shared" si="262"/>
        <v/>
      </c>
      <c r="B8446" s="18" t="str">
        <f t="shared" si="263"/>
        <v/>
      </c>
    </row>
    <row r="8447" spans="1:2" x14ac:dyDescent="0.25">
      <c r="A8447" s="15" t="str">
        <f t="shared" si="262"/>
        <v/>
      </c>
      <c r="B8447" s="18" t="str">
        <f t="shared" si="263"/>
        <v/>
      </c>
    </row>
    <row r="8448" spans="1:2" x14ac:dyDescent="0.25">
      <c r="A8448" s="15" t="str">
        <f t="shared" si="262"/>
        <v/>
      </c>
      <c r="B8448" s="18" t="str">
        <f t="shared" si="263"/>
        <v/>
      </c>
    </row>
    <row r="8449" spans="1:2" x14ac:dyDescent="0.25">
      <c r="A8449" s="15" t="str">
        <f t="shared" si="262"/>
        <v/>
      </c>
      <c r="B8449" s="18" t="str">
        <f t="shared" si="263"/>
        <v/>
      </c>
    </row>
    <row r="8450" spans="1:2" x14ac:dyDescent="0.25">
      <c r="A8450" s="15" t="str">
        <f t="shared" ref="A8450:A8513" si="264">B8450&amp;C8450</f>
        <v/>
      </c>
      <c r="B8450" s="18" t="str">
        <f t="shared" si="263"/>
        <v/>
      </c>
    </row>
    <row r="8451" spans="1:2" x14ac:dyDescent="0.25">
      <c r="A8451" s="15" t="str">
        <f t="shared" si="264"/>
        <v/>
      </c>
      <c r="B8451" s="18" t="str">
        <f t="shared" ref="B8451:B8514" si="265">IF(C8451="","",B8450)</f>
        <v/>
      </c>
    </row>
    <row r="8452" spans="1:2" x14ac:dyDescent="0.25">
      <c r="A8452" s="15" t="str">
        <f t="shared" si="264"/>
        <v/>
      </c>
      <c r="B8452" s="18" t="str">
        <f t="shared" si="265"/>
        <v/>
      </c>
    </row>
    <row r="8453" spans="1:2" x14ac:dyDescent="0.25">
      <c r="A8453" s="15" t="str">
        <f t="shared" si="264"/>
        <v/>
      </c>
      <c r="B8453" s="18" t="str">
        <f t="shared" si="265"/>
        <v/>
      </c>
    </row>
    <row r="8454" spans="1:2" x14ac:dyDescent="0.25">
      <c r="A8454" s="15" t="str">
        <f t="shared" si="264"/>
        <v/>
      </c>
      <c r="B8454" s="18" t="str">
        <f t="shared" si="265"/>
        <v/>
      </c>
    </row>
    <row r="8455" spans="1:2" x14ac:dyDescent="0.25">
      <c r="A8455" s="15" t="str">
        <f t="shared" si="264"/>
        <v/>
      </c>
      <c r="B8455" s="18" t="str">
        <f t="shared" si="265"/>
        <v/>
      </c>
    </row>
    <row r="8456" spans="1:2" x14ac:dyDescent="0.25">
      <c r="A8456" s="15" t="str">
        <f t="shared" si="264"/>
        <v/>
      </c>
      <c r="B8456" s="18" t="str">
        <f t="shared" si="265"/>
        <v/>
      </c>
    </row>
    <row r="8457" spans="1:2" x14ac:dyDescent="0.25">
      <c r="A8457" s="15" t="str">
        <f t="shared" si="264"/>
        <v/>
      </c>
      <c r="B8457" s="18" t="str">
        <f t="shared" si="265"/>
        <v/>
      </c>
    </row>
    <row r="8458" spans="1:2" x14ac:dyDescent="0.25">
      <c r="A8458" s="15" t="str">
        <f t="shared" si="264"/>
        <v/>
      </c>
      <c r="B8458" s="18" t="str">
        <f t="shared" si="265"/>
        <v/>
      </c>
    </row>
    <row r="8459" spans="1:2" x14ac:dyDescent="0.25">
      <c r="A8459" s="15" t="str">
        <f t="shared" si="264"/>
        <v/>
      </c>
      <c r="B8459" s="18" t="str">
        <f t="shared" si="265"/>
        <v/>
      </c>
    </row>
    <row r="8460" spans="1:2" x14ac:dyDescent="0.25">
      <c r="A8460" s="15" t="str">
        <f t="shared" si="264"/>
        <v/>
      </c>
      <c r="B8460" s="18" t="str">
        <f t="shared" si="265"/>
        <v/>
      </c>
    </row>
    <row r="8461" spans="1:2" x14ac:dyDescent="0.25">
      <c r="A8461" s="15" t="str">
        <f t="shared" si="264"/>
        <v/>
      </c>
      <c r="B8461" s="18" t="str">
        <f t="shared" si="265"/>
        <v/>
      </c>
    </row>
    <row r="8462" spans="1:2" x14ac:dyDescent="0.25">
      <c r="A8462" s="15" t="str">
        <f t="shared" si="264"/>
        <v/>
      </c>
      <c r="B8462" s="18" t="str">
        <f t="shared" si="265"/>
        <v/>
      </c>
    </row>
    <row r="8463" spans="1:2" x14ac:dyDescent="0.25">
      <c r="A8463" s="15" t="str">
        <f t="shared" si="264"/>
        <v/>
      </c>
      <c r="B8463" s="18" t="str">
        <f t="shared" si="265"/>
        <v/>
      </c>
    </row>
    <row r="8464" spans="1:2" x14ac:dyDescent="0.25">
      <c r="A8464" s="15" t="str">
        <f t="shared" si="264"/>
        <v/>
      </c>
      <c r="B8464" s="18" t="str">
        <f t="shared" si="265"/>
        <v/>
      </c>
    </row>
    <row r="8465" spans="1:2" x14ac:dyDescent="0.25">
      <c r="A8465" s="15" t="str">
        <f t="shared" si="264"/>
        <v/>
      </c>
      <c r="B8465" s="18" t="str">
        <f t="shared" si="265"/>
        <v/>
      </c>
    </row>
    <row r="8466" spans="1:2" x14ac:dyDescent="0.25">
      <c r="A8466" s="15" t="str">
        <f t="shared" si="264"/>
        <v/>
      </c>
      <c r="B8466" s="18" t="str">
        <f t="shared" si="265"/>
        <v/>
      </c>
    </row>
    <row r="8467" spans="1:2" x14ac:dyDescent="0.25">
      <c r="A8467" s="15" t="str">
        <f t="shared" si="264"/>
        <v/>
      </c>
      <c r="B8467" s="18" t="str">
        <f t="shared" si="265"/>
        <v/>
      </c>
    </row>
    <row r="8468" spans="1:2" x14ac:dyDescent="0.25">
      <c r="A8468" s="15" t="str">
        <f t="shared" si="264"/>
        <v/>
      </c>
      <c r="B8468" s="18" t="str">
        <f t="shared" si="265"/>
        <v/>
      </c>
    </row>
    <row r="8469" spans="1:2" x14ac:dyDescent="0.25">
      <c r="A8469" s="15" t="str">
        <f t="shared" si="264"/>
        <v/>
      </c>
      <c r="B8469" s="18" t="str">
        <f t="shared" si="265"/>
        <v/>
      </c>
    </row>
    <row r="8470" spans="1:2" x14ac:dyDescent="0.25">
      <c r="A8470" s="15" t="str">
        <f t="shared" si="264"/>
        <v/>
      </c>
      <c r="B8470" s="18" t="str">
        <f t="shared" si="265"/>
        <v/>
      </c>
    </row>
    <row r="8471" spans="1:2" x14ac:dyDescent="0.25">
      <c r="A8471" s="15" t="str">
        <f t="shared" si="264"/>
        <v/>
      </c>
      <c r="B8471" s="18" t="str">
        <f t="shared" si="265"/>
        <v/>
      </c>
    </row>
    <row r="8472" spans="1:2" x14ac:dyDescent="0.25">
      <c r="A8472" s="15" t="str">
        <f t="shared" si="264"/>
        <v/>
      </c>
      <c r="B8472" s="18" t="str">
        <f t="shared" si="265"/>
        <v/>
      </c>
    </row>
    <row r="8473" spans="1:2" x14ac:dyDescent="0.25">
      <c r="A8473" s="15" t="str">
        <f t="shared" si="264"/>
        <v/>
      </c>
      <c r="B8473" s="18" t="str">
        <f t="shared" si="265"/>
        <v/>
      </c>
    </row>
    <row r="8474" spans="1:2" x14ac:dyDescent="0.25">
      <c r="A8474" s="15" t="str">
        <f t="shared" si="264"/>
        <v/>
      </c>
      <c r="B8474" s="18" t="str">
        <f t="shared" si="265"/>
        <v/>
      </c>
    </row>
    <row r="8475" spans="1:2" x14ac:dyDescent="0.25">
      <c r="A8475" s="15" t="str">
        <f t="shared" si="264"/>
        <v/>
      </c>
      <c r="B8475" s="18" t="str">
        <f t="shared" si="265"/>
        <v/>
      </c>
    </row>
    <row r="8476" spans="1:2" x14ac:dyDescent="0.25">
      <c r="A8476" s="15" t="str">
        <f t="shared" si="264"/>
        <v/>
      </c>
      <c r="B8476" s="18" t="str">
        <f t="shared" si="265"/>
        <v/>
      </c>
    </row>
    <row r="8477" spans="1:2" x14ac:dyDescent="0.25">
      <c r="A8477" s="15" t="str">
        <f t="shared" si="264"/>
        <v/>
      </c>
      <c r="B8477" s="18" t="str">
        <f t="shared" si="265"/>
        <v/>
      </c>
    </row>
    <row r="8478" spans="1:2" x14ac:dyDescent="0.25">
      <c r="A8478" s="15" t="str">
        <f t="shared" si="264"/>
        <v/>
      </c>
      <c r="B8478" s="18" t="str">
        <f t="shared" si="265"/>
        <v/>
      </c>
    </row>
    <row r="8479" spans="1:2" x14ac:dyDescent="0.25">
      <c r="A8479" s="15" t="str">
        <f t="shared" si="264"/>
        <v/>
      </c>
      <c r="B8479" s="18" t="str">
        <f t="shared" si="265"/>
        <v/>
      </c>
    </row>
    <row r="8480" spans="1:2" x14ac:dyDescent="0.25">
      <c r="A8480" s="15" t="str">
        <f t="shared" si="264"/>
        <v/>
      </c>
      <c r="B8480" s="18" t="str">
        <f t="shared" si="265"/>
        <v/>
      </c>
    </row>
    <row r="8481" spans="1:2" x14ac:dyDescent="0.25">
      <c r="A8481" s="15" t="str">
        <f t="shared" si="264"/>
        <v/>
      </c>
      <c r="B8481" s="18" t="str">
        <f t="shared" si="265"/>
        <v/>
      </c>
    </row>
    <row r="8482" spans="1:2" x14ac:dyDescent="0.25">
      <c r="A8482" s="15" t="str">
        <f t="shared" si="264"/>
        <v/>
      </c>
      <c r="B8482" s="18" t="str">
        <f t="shared" si="265"/>
        <v/>
      </c>
    </row>
    <row r="8483" spans="1:2" x14ac:dyDescent="0.25">
      <c r="A8483" s="15" t="str">
        <f t="shared" si="264"/>
        <v/>
      </c>
      <c r="B8483" s="18" t="str">
        <f t="shared" si="265"/>
        <v/>
      </c>
    </row>
    <row r="8484" spans="1:2" x14ac:dyDescent="0.25">
      <c r="A8484" s="15" t="str">
        <f t="shared" si="264"/>
        <v/>
      </c>
      <c r="B8484" s="18" t="str">
        <f t="shared" si="265"/>
        <v/>
      </c>
    </row>
    <row r="8485" spans="1:2" x14ac:dyDescent="0.25">
      <c r="A8485" s="15" t="str">
        <f t="shared" si="264"/>
        <v/>
      </c>
      <c r="B8485" s="18" t="str">
        <f t="shared" si="265"/>
        <v/>
      </c>
    </row>
    <row r="8486" spans="1:2" x14ac:dyDescent="0.25">
      <c r="A8486" s="15" t="str">
        <f t="shared" si="264"/>
        <v/>
      </c>
      <c r="B8486" s="18" t="str">
        <f t="shared" si="265"/>
        <v/>
      </c>
    </row>
    <row r="8487" spans="1:2" x14ac:dyDescent="0.25">
      <c r="A8487" s="15" t="str">
        <f t="shared" si="264"/>
        <v/>
      </c>
      <c r="B8487" s="18" t="str">
        <f t="shared" si="265"/>
        <v/>
      </c>
    </row>
    <row r="8488" spans="1:2" x14ac:dyDescent="0.25">
      <c r="A8488" s="15" t="str">
        <f t="shared" si="264"/>
        <v/>
      </c>
      <c r="B8488" s="18" t="str">
        <f t="shared" si="265"/>
        <v/>
      </c>
    </row>
    <row r="8489" spans="1:2" x14ac:dyDescent="0.25">
      <c r="A8489" s="15" t="str">
        <f t="shared" si="264"/>
        <v/>
      </c>
      <c r="B8489" s="18" t="str">
        <f t="shared" si="265"/>
        <v/>
      </c>
    </row>
    <row r="8490" spans="1:2" x14ac:dyDescent="0.25">
      <c r="A8490" s="15" t="str">
        <f t="shared" si="264"/>
        <v/>
      </c>
      <c r="B8490" s="18" t="str">
        <f t="shared" si="265"/>
        <v/>
      </c>
    </row>
    <row r="8491" spans="1:2" x14ac:dyDescent="0.25">
      <c r="A8491" s="15" t="str">
        <f t="shared" si="264"/>
        <v/>
      </c>
      <c r="B8491" s="18" t="str">
        <f t="shared" si="265"/>
        <v/>
      </c>
    </row>
    <row r="8492" spans="1:2" x14ac:dyDescent="0.25">
      <c r="A8492" s="15" t="str">
        <f t="shared" si="264"/>
        <v/>
      </c>
      <c r="B8492" s="18" t="str">
        <f t="shared" si="265"/>
        <v/>
      </c>
    </row>
    <row r="8493" spans="1:2" x14ac:dyDescent="0.25">
      <c r="A8493" s="15" t="str">
        <f t="shared" si="264"/>
        <v/>
      </c>
      <c r="B8493" s="18" t="str">
        <f t="shared" si="265"/>
        <v/>
      </c>
    </row>
    <row r="8494" spans="1:2" x14ac:dyDescent="0.25">
      <c r="A8494" s="15" t="str">
        <f t="shared" si="264"/>
        <v/>
      </c>
      <c r="B8494" s="18" t="str">
        <f t="shared" si="265"/>
        <v/>
      </c>
    </row>
    <row r="8495" spans="1:2" x14ac:dyDescent="0.25">
      <c r="A8495" s="15" t="str">
        <f t="shared" si="264"/>
        <v/>
      </c>
      <c r="B8495" s="18" t="str">
        <f t="shared" si="265"/>
        <v/>
      </c>
    </row>
    <row r="8496" spans="1:2" x14ac:dyDescent="0.25">
      <c r="A8496" s="15" t="str">
        <f t="shared" si="264"/>
        <v/>
      </c>
      <c r="B8496" s="18" t="str">
        <f t="shared" si="265"/>
        <v/>
      </c>
    </row>
    <row r="8497" spans="1:2" x14ac:dyDescent="0.25">
      <c r="A8497" s="15" t="str">
        <f t="shared" si="264"/>
        <v/>
      </c>
      <c r="B8497" s="18" t="str">
        <f t="shared" si="265"/>
        <v/>
      </c>
    </row>
    <row r="8498" spans="1:2" x14ac:dyDescent="0.25">
      <c r="A8498" s="15" t="str">
        <f t="shared" si="264"/>
        <v/>
      </c>
      <c r="B8498" s="18" t="str">
        <f t="shared" si="265"/>
        <v/>
      </c>
    </row>
    <row r="8499" spans="1:2" x14ac:dyDescent="0.25">
      <c r="A8499" s="15" t="str">
        <f t="shared" si="264"/>
        <v/>
      </c>
      <c r="B8499" s="18" t="str">
        <f t="shared" si="265"/>
        <v/>
      </c>
    </row>
    <row r="8500" spans="1:2" x14ac:dyDescent="0.25">
      <c r="A8500" s="15" t="str">
        <f t="shared" si="264"/>
        <v/>
      </c>
      <c r="B8500" s="18" t="str">
        <f t="shared" si="265"/>
        <v/>
      </c>
    </row>
    <row r="8501" spans="1:2" x14ac:dyDescent="0.25">
      <c r="A8501" s="15" t="str">
        <f t="shared" si="264"/>
        <v/>
      </c>
      <c r="B8501" s="18" t="str">
        <f t="shared" si="265"/>
        <v/>
      </c>
    </row>
    <row r="8502" spans="1:2" x14ac:dyDescent="0.25">
      <c r="A8502" s="15" t="str">
        <f t="shared" si="264"/>
        <v/>
      </c>
      <c r="B8502" s="18" t="str">
        <f t="shared" si="265"/>
        <v/>
      </c>
    </row>
    <row r="8503" spans="1:2" x14ac:dyDescent="0.25">
      <c r="A8503" s="15" t="str">
        <f t="shared" si="264"/>
        <v/>
      </c>
      <c r="B8503" s="18" t="str">
        <f t="shared" si="265"/>
        <v/>
      </c>
    </row>
    <row r="8504" spans="1:2" x14ac:dyDescent="0.25">
      <c r="A8504" s="15" t="str">
        <f t="shared" si="264"/>
        <v/>
      </c>
      <c r="B8504" s="18" t="str">
        <f t="shared" si="265"/>
        <v/>
      </c>
    </row>
    <row r="8505" spans="1:2" x14ac:dyDescent="0.25">
      <c r="A8505" s="15" t="str">
        <f t="shared" si="264"/>
        <v/>
      </c>
      <c r="B8505" s="18" t="str">
        <f t="shared" si="265"/>
        <v/>
      </c>
    </row>
    <row r="8506" spans="1:2" x14ac:dyDescent="0.25">
      <c r="A8506" s="15" t="str">
        <f t="shared" si="264"/>
        <v/>
      </c>
      <c r="B8506" s="18" t="str">
        <f t="shared" si="265"/>
        <v/>
      </c>
    </row>
    <row r="8507" spans="1:2" x14ac:dyDescent="0.25">
      <c r="A8507" s="15" t="str">
        <f t="shared" si="264"/>
        <v/>
      </c>
      <c r="B8507" s="18" t="str">
        <f t="shared" si="265"/>
        <v/>
      </c>
    </row>
    <row r="8508" spans="1:2" x14ac:dyDescent="0.25">
      <c r="A8508" s="15" t="str">
        <f t="shared" si="264"/>
        <v/>
      </c>
      <c r="B8508" s="18" t="str">
        <f t="shared" si="265"/>
        <v/>
      </c>
    </row>
    <row r="8509" spans="1:2" x14ac:dyDescent="0.25">
      <c r="A8509" s="15" t="str">
        <f t="shared" si="264"/>
        <v/>
      </c>
      <c r="B8509" s="18" t="str">
        <f t="shared" si="265"/>
        <v/>
      </c>
    </row>
    <row r="8510" spans="1:2" x14ac:dyDescent="0.25">
      <c r="A8510" s="15" t="str">
        <f t="shared" si="264"/>
        <v/>
      </c>
      <c r="B8510" s="18" t="str">
        <f t="shared" si="265"/>
        <v/>
      </c>
    </row>
    <row r="8511" spans="1:2" x14ac:dyDescent="0.25">
      <c r="A8511" s="15" t="str">
        <f t="shared" si="264"/>
        <v/>
      </c>
      <c r="B8511" s="18" t="str">
        <f t="shared" si="265"/>
        <v/>
      </c>
    </row>
    <row r="8512" spans="1:2" x14ac:dyDescent="0.25">
      <c r="A8512" s="15" t="str">
        <f t="shared" si="264"/>
        <v/>
      </c>
      <c r="B8512" s="18" t="str">
        <f t="shared" si="265"/>
        <v/>
      </c>
    </row>
    <row r="8513" spans="1:2" x14ac:dyDescent="0.25">
      <c r="A8513" s="15" t="str">
        <f t="shared" si="264"/>
        <v/>
      </c>
      <c r="B8513" s="18" t="str">
        <f t="shared" si="265"/>
        <v/>
      </c>
    </row>
    <row r="8514" spans="1:2" x14ac:dyDescent="0.25">
      <c r="A8514" s="15" t="str">
        <f t="shared" ref="A8514:A8577" si="266">B8514&amp;C8514</f>
        <v/>
      </c>
      <c r="B8514" s="18" t="str">
        <f t="shared" si="265"/>
        <v/>
      </c>
    </row>
    <row r="8515" spans="1:2" x14ac:dyDescent="0.25">
      <c r="A8515" s="15" t="str">
        <f t="shared" si="266"/>
        <v/>
      </c>
      <c r="B8515" s="18" t="str">
        <f t="shared" ref="B8515:B8578" si="267">IF(C8515="","",B8514)</f>
        <v/>
      </c>
    </row>
    <row r="8516" spans="1:2" x14ac:dyDescent="0.25">
      <c r="A8516" s="15" t="str">
        <f t="shared" si="266"/>
        <v/>
      </c>
      <c r="B8516" s="18" t="str">
        <f t="shared" si="267"/>
        <v/>
      </c>
    </row>
    <row r="8517" spans="1:2" x14ac:dyDescent="0.25">
      <c r="A8517" s="15" t="str">
        <f t="shared" si="266"/>
        <v/>
      </c>
      <c r="B8517" s="18" t="str">
        <f t="shared" si="267"/>
        <v/>
      </c>
    </row>
    <row r="8518" spans="1:2" x14ac:dyDescent="0.25">
      <c r="A8518" s="15" t="str">
        <f t="shared" si="266"/>
        <v/>
      </c>
      <c r="B8518" s="18" t="str">
        <f t="shared" si="267"/>
        <v/>
      </c>
    </row>
    <row r="8519" spans="1:2" x14ac:dyDescent="0.25">
      <c r="A8519" s="15" t="str">
        <f t="shared" si="266"/>
        <v/>
      </c>
      <c r="B8519" s="18" t="str">
        <f t="shared" si="267"/>
        <v/>
      </c>
    </row>
    <row r="8520" spans="1:2" x14ac:dyDescent="0.25">
      <c r="A8520" s="15" t="str">
        <f t="shared" si="266"/>
        <v/>
      </c>
      <c r="B8520" s="18" t="str">
        <f t="shared" si="267"/>
        <v/>
      </c>
    </row>
    <row r="8521" spans="1:2" x14ac:dyDescent="0.25">
      <c r="A8521" s="15" t="str">
        <f t="shared" si="266"/>
        <v/>
      </c>
      <c r="B8521" s="18" t="str">
        <f t="shared" si="267"/>
        <v/>
      </c>
    </row>
    <row r="8522" spans="1:2" x14ac:dyDescent="0.25">
      <c r="A8522" s="15" t="str">
        <f t="shared" si="266"/>
        <v/>
      </c>
      <c r="B8522" s="18" t="str">
        <f t="shared" si="267"/>
        <v/>
      </c>
    </row>
    <row r="8523" spans="1:2" x14ac:dyDescent="0.25">
      <c r="A8523" s="15" t="str">
        <f t="shared" si="266"/>
        <v/>
      </c>
      <c r="B8523" s="18" t="str">
        <f t="shared" si="267"/>
        <v/>
      </c>
    </row>
    <row r="8524" spans="1:2" x14ac:dyDescent="0.25">
      <c r="A8524" s="15" t="str">
        <f t="shared" si="266"/>
        <v/>
      </c>
      <c r="B8524" s="18" t="str">
        <f t="shared" si="267"/>
        <v/>
      </c>
    </row>
    <row r="8525" spans="1:2" x14ac:dyDescent="0.25">
      <c r="A8525" s="15" t="str">
        <f t="shared" si="266"/>
        <v/>
      </c>
      <c r="B8525" s="18" t="str">
        <f t="shared" si="267"/>
        <v/>
      </c>
    </row>
    <row r="8526" spans="1:2" x14ac:dyDescent="0.25">
      <c r="A8526" s="15" t="str">
        <f t="shared" si="266"/>
        <v/>
      </c>
      <c r="B8526" s="18" t="str">
        <f t="shared" si="267"/>
        <v/>
      </c>
    </row>
    <row r="8527" spans="1:2" x14ac:dyDescent="0.25">
      <c r="A8527" s="15" t="str">
        <f t="shared" si="266"/>
        <v/>
      </c>
      <c r="B8527" s="18" t="str">
        <f t="shared" si="267"/>
        <v/>
      </c>
    </row>
    <row r="8528" spans="1:2" x14ac:dyDescent="0.25">
      <c r="A8528" s="15" t="str">
        <f t="shared" si="266"/>
        <v/>
      </c>
      <c r="B8528" s="18" t="str">
        <f t="shared" si="267"/>
        <v/>
      </c>
    </row>
    <row r="8529" spans="1:2" x14ac:dyDescent="0.25">
      <c r="A8529" s="15" t="str">
        <f t="shared" si="266"/>
        <v/>
      </c>
      <c r="B8529" s="18" t="str">
        <f t="shared" si="267"/>
        <v/>
      </c>
    </row>
    <row r="8530" spans="1:2" x14ac:dyDescent="0.25">
      <c r="A8530" s="15" t="str">
        <f t="shared" si="266"/>
        <v/>
      </c>
      <c r="B8530" s="18" t="str">
        <f t="shared" si="267"/>
        <v/>
      </c>
    </row>
    <row r="8531" spans="1:2" x14ac:dyDescent="0.25">
      <c r="A8531" s="15" t="str">
        <f t="shared" si="266"/>
        <v/>
      </c>
      <c r="B8531" s="18" t="str">
        <f t="shared" si="267"/>
        <v/>
      </c>
    </row>
    <row r="8532" spans="1:2" x14ac:dyDescent="0.25">
      <c r="A8532" s="15" t="str">
        <f t="shared" si="266"/>
        <v/>
      </c>
      <c r="B8532" s="18" t="str">
        <f t="shared" si="267"/>
        <v/>
      </c>
    </row>
    <row r="8533" spans="1:2" x14ac:dyDescent="0.25">
      <c r="A8533" s="15" t="str">
        <f t="shared" si="266"/>
        <v/>
      </c>
      <c r="B8533" s="18" t="str">
        <f t="shared" si="267"/>
        <v/>
      </c>
    </row>
    <row r="8534" spans="1:2" x14ac:dyDescent="0.25">
      <c r="A8534" s="15" t="str">
        <f t="shared" si="266"/>
        <v/>
      </c>
      <c r="B8534" s="18" t="str">
        <f t="shared" si="267"/>
        <v/>
      </c>
    </row>
    <row r="8535" spans="1:2" x14ac:dyDescent="0.25">
      <c r="A8535" s="15" t="str">
        <f t="shared" si="266"/>
        <v/>
      </c>
      <c r="B8535" s="18" t="str">
        <f t="shared" si="267"/>
        <v/>
      </c>
    </row>
    <row r="8536" spans="1:2" x14ac:dyDescent="0.25">
      <c r="A8536" s="15" t="str">
        <f t="shared" si="266"/>
        <v/>
      </c>
      <c r="B8536" s="18" t="str">
        <f t="shared" si="267"/>
        <v/>
      </c>
    </row>
    <row r="8537" spans="1:2" x14ac:dyDescent="0.25">
      <c r="A8537" s="15" t="str">
        <f t="shared" si="266"/>
        <v/>
      </c>
      <c r="B8537" s="18" t="str">
        <f t="shared" si="267"/>
        <v/>
      </c>
    </row>
    <row r="8538" spans="1:2" x14ac:dyDescent="0.25">
      <c r="A8538" s="15" t="str">
        <f t="shared" si="266"/>
        <v/>
      </c>
      <c r="B8538" s="18" t="str">
        <f t="shared" si="267"/>
        <v/>
      </c>
    </row>
    <row r="8539" spans="1:2" x14ac:dyDescent="0.25">
      <c r="A8539" s="15" t="str">
        <f t="shared" si="266"/>
        <v/>
      </c>
      <c r="B8539" s="18" t="str">
        <f t="shared" si="267"/>
        <v/>
      </c>
    </row>
    <row r="8540" spans="1:2" x14ac:dyDescent="0.25">
      <c r="A8540" s="15" t="str">
        <f t="shared" si="266"/>
        <v/>
      </c>
      <c r="B8540" s="18" t="str">
        <f t="shared" si="267"/>
        <v/>
      </c>
    </row>
    <row r="8541" spans="1:2" x14ac:dyDescent="0.25">
      <c r="A8541" s="15" t="str">
        <f t="shared" si="266"/>
        <v/>
      </c>
      <c r="B8541" s="18" t="str">
        <f t="shared" si="267"/>
        <v/>
      </c>
    </row>
    <row r="8542" spans="1:2" x14ac:dyDescent="0.25">
      <c r="A8542" s="15" t="str">
        <f t="shared" si="266"/>
        <v/>
      </c>
      <c r="B8542" s="18" t="str">
        <f t="shared" si="267"/>
        <v/>
      </c>
    </row>
    <row r="8543" spans="1:2" x14ac:dyDescent="0.25">
      <c r="A8543" s="15" t="str">
        <f t="shared" si="266"/>
        <v/>
      </c>
      <c r="B8543" s="18" t="str">
        <f t="shared" si="267"/>
        <v/>
      </c>
    </row>
    <row r="8544" spans="1:2" x14ac:dyDescent="0.25">
      <c r="A8544" s="15" t="str">
        <f t="shared" si="266"/>
        <v/>
      </c>
      <c r="B8544" s="18" t="str">
        <f t="shared" si="267"/>
        <v/>
      </c>
    </row>
    <row r="8545" spans="1:2" x14ac:dyDescent="0.25">
      <c r="A8545" s="15" t="str">
        <f t="shared" si="266"/>
        <v/>
      </c>
      <c r="B8545" s="18" t="str">
        <f t="shared" si="267"/>
        <v/>
      </c>
    </row>
    <row r="8546" spans="1:2" x14ac:dyDescent="0.25">
      <c r="A8546" s="15" t="str">
        <f t="shared" si="266"/>
        <v/>
      </c>
      <c r="B8546" s="18" t="str">
        <f t="shared" si="267"/>
        <v/>
      </c>
    </row>
    <row r="8547" spans="1:2" x14ac:dyDescent="0.25">
      <c r="A8547" s="15" t="str">
        <f t="shared" si="266"/>
        <v/>
      </c>
      <c r="B8547" s="18" t="str">
        <f t="shared" si="267"/>
        <v/>
      </c>
    </row>
    <row r="8548" spans="1:2" x14ac:dyDescent="0.25">
      <c r="A8548" s="15" t="str">
        <f t="shared" si="266"/>
        <v/>
      </c>
      <c r="B8548" s="18" t="str">
        <f t="shared" si="267"/>
        <v/>
      </c>
    </row>
    <row r="8549" spans="1:2" x14ac:dyDescent="0.25">
      <c r="A8549" s="15" t="str">
        <f t="shared" si="266"/>
        <v/>
      </c>
      <c r="B8549" s="18" t="str">
        <f t="shared" si="267"/>
        <v/>
      </c>
    </row>
    <row r="8550" spans="1:2" x14ac:dyDescent="0.25">
      <c r="A8550" s="15" t="str">
        <f t="shared" si="266"/>
        <v/>
      </c>
      <c r="B8550" s="18" t="str">
        <f t="shared" si="267"/>
        <v/>
      </c>
    </row>
    <row r="8551" spans="1:2" x14ac:dyDescent="0.25">
      <c r="A8551" s="15" t="str">
        <f t="shared" si="266"/>
        <v/>
      </c>
      <c r="B8551" s="18" t="str">
        <f t="shared" si="267"/>
        <v/>
      </c>
    </row>
    <row r="8552" spans="1:2" x14ac:dyDescent="0.25">
      <c r="A8552" s="15" t="str">
        <f t="shared" si="266"/>
        <v/>
      </c>
      <c r="B8552" s="18" t="str">
        <f t="shared" si="267"/>
        <v/>
      </c>
    </row>
    <row r="8553" spans="1:2" x14ac:dyDescent="0.25">
      <c r="A8553" s="15" t="str">
        <f t="shared" si="266"/>
        <v/>
      </c>
      <c r="B8553" s="18" t="str">
        <f t="shared" si="267"/>
        <v/>
      </c>
    </row>
    <row r="8554" spans="1:2" x14ac:dyDescent="0.25">
      <c r="A8554" s="15" t="str">
        <f t="shared" si="266"/>
        <v/>
      </c>
      <c r="B8554" s="18" t="str">
        <f t="shared" si="267"/>
        <v/>
      </c>
    </row>
    <row r="8555" spans="1:2" x14ac:dyDescent="0.25">
      <c r="A8555" s="15" t="str">
        <f t="shared" si="266"/>
        <v/>
      </c>
      <c r="B8555" s="18" t="str">
        <f t="shared" si="267"/>
        <v/>
      </c>
    </row>
    <row r="8556" spans="1:2" x14ac:dyDescent="0.25">
      <c r="A8556" s="15" t="str">
        <f t="shared" si="266"/>
        <v/>
      </c>
      <c r="B8556" s="18" t="str">
        <f t="shared" si="267"/>
        <v/>
      </c>
    </row>
    <row r="8557" spans="1:2" x14ac:dyDescent="0.25">
      <c r="A8557" s="15" t="str">
        <f t="shared" si="266"/>
        <v/>
      </c>
      <c r="B8557" s="18" t="str">
        <f t="shared" si="267"/>
        <v/>
      </c>
    </row>
    <row r="8558" spans="1:2" x14ac:dyDescent="0.25">
      <c r="A8558" s="15" t="str">
        <f t="shared" si="266"/>
        <v/>
      </c>
      <c r="B8558" s="18" t="str">
        <f t="shared" si="267"/>
        <v/>
      </c>
    </row>
    <row r="8559" spans="1:2" x14ac:dyDescent="0.25">
      <c r="A8559" s="15" t="str">
        <f t="shared" si="266"/>
        <v/>
      </c>
      <c r="B8559" s="18" t="str">
        <f t="shared" si="267"/>
        <v/>
      </c>
    </row>
    <row r="8560" spans="1:2" x14ac:dyDescent="0.25">
      <c r="A8560" s="15" t="str">
        <f t="shared" si="266"/>
        <v/>
      </c>
      <c r="B8560" s="18" t="str">
        <f t="shared" si="267"/>
        <v/>
      </c>
    </row>
    <row r="8561" spans="1:2" x14ac:dyDescent="0.25">
      <c r="A8561" s="15" t="str">
        <f t="shared" si="266"/>
        <v/>
      </c>
      <c r="B8561" s="18" t="str">
        <f t="shared" si="267"/>
        <v/>
      </c>
    </row>
    <row r="8562" spans="1:2" x14ac:dyDescent="0.25">
      <c r="A8562" s="15" t="str">
        <f t="shared" si="266"/>
        <v/>
      </c>
      <c r="B8562" s="18" t="str">
        <f t="shared" si="267"/>
        <v/>
      </c>
    </row>
    <row r="8563" spans="1:2" x14ac:dyDescent="0.25">
      <c r="A8563" s="15" t="str">
        <f t="shared" si="266"/>
        <v/>
      </c>
      <c r="B8563" s="18" t="str">
        <f t="shared" si="267"/>
        <v/>
      </c>
    </row>
    <row r="8564" spans="1:2" x14ac:dyDescent="0.25">
      <c r="A8564" s="15" t="str">
        <f t="shared" si="266"/>
        <v/>
      </c>
      <c r="B8564" s="18" t="str">
        <f t="shared" si="267"/>
        <v/>
      </c>
    </row>
    <row r="8565" spans="1:2" x14ac:dyDescent="0.25">
      <c r="A8565" s="15" t="str">
        <f t="shared" si="266"/>
        <v/>
      </c>
      <c r="B8565" s="18" t="str">
        <f t="shared" si="267"/>
        <v/>
      </c>
    </row>
    <row r="8566" spans="1:2" x14ac:dyDescent="0.25">
      <c r="A8566" s="15" t="str">
        <f t="shared" si="266"/>
        <v/>
      </c>
      <c r="B8566" s="18" t="str">
        <f t="shared" si="267"/>
        <v/>
      </c>
    </row>
    <row r="8567" spans="1:2" x14ac:dyDescent="0.25">
      <c r="A8567" s="15" t="str">
        <f t="shared" si="266"/>
        <v/>
      </c>
      <c r="B8567" s="18" t="str">
        <f t="shared" si="267"/>
        <v/>
      </c>
    </row>
    <row r="8568" spans="1:2" x14ac:dyDescent="0.25">
      <c r="A8568" s="15" t="str">
        <f t="shared" si="266"/>
        <v/>
      </c>
      <c r="B8568" s="18" t="str">
        <f t="shared" si="267"/>
        <v/>
      </c>
    </row>
    <row r="8569" spans="1:2" x14ac:dyDescent="0.25">
      <c r="A8569" s="15" t="str">
        <f t="shared" si="266"/>
        <v/>
      </c>
      <c r="B8569" s="18" t="str">
        <f t="shared" si="267"/>
        <v/>
      </c>
    </row>
    <row r="8570" spans="1:2" x14ac:dyDescent="0.25">
      <c r="A8570" s="15" t="str">
        <f t="shared" si="266"/>
        <v/>
      </c>
      <c r="B8570" s="18" t="str">
        <f t="shared" si="267"/>
        <v/>
      </c>
    </row>
    <row r="8571" spans="1:2" x14ac:dyDescent="0.25">
      <c r="A8571" s="15" t="str">
        <f t="shared" si="266"/>
        <v/>
      </c>
      <c r="B8571" s="18" t="str">
        <f t="shared" si="267"/>
        <v/>
      </c>
    </row>
    <row r="8572" spans="1:2" x14ac:dyDescent="0.25">
      <c r="A8572" s="15" t="str">
        <f t="shared" si="266"/>
        <v/>
      </c>
      <c r="B8572" s="18" t="str">
        <f t="shared" si="267"/>
        <v/>
      </c>
    </row>
    <row r="8573" spans="1:2" x14ac:dyDescent="0.25">
      <c r="A8573" s="15" t="str">
        <f t="shared" si="266"/>
        <v/>
      </c>
      <c r="B8573" s="18" t="str">
        <f t="shared" si="267"/>
        <v/>
      </c>
    </row>
    <row r="8574" spans="1:2" x14ac:dyDescent="0.25">
      <c r="A8574" s="15" t="str">
        <f t="shared" si="266"/>
        <v/>
      </c>
      <c r="B8574" s="18" t="str">
        <f t="shared" si="267"/>
        <v/>
      </c>
    </row>
    <row r="8575" spans="1:2" x14ac:dyDescent="0.25">
      <c r="A8575" s="15" t="str">
        <f t="shared" si="266"/>
        <v/>
      </c>
      <c r="B8575" s="18" t="str">
        <f t="shared" si="267"/>
        <v/>
      </c>
    </row>
    <row r="8576" spans="1:2" x14ac:dyDescent="0.25">
      <c r="A8576" s="15" t="str">
        <f t="shared" si="266"/>
        <v/>
      </c>
      <c r="B8576" s="18" t="str">
        <f t="shared" si="267"/>
        <v/>
      </c>
    </row>
    <row r="8577" spans="1:2" x14ac:dyDescent="0.25">
      <c r="A8577" s="15" t="str">
        <f t="shared" si="266"/>
        <v/>
      </c>
      <c r="B8577" s="18" t="str">
        <f t="shared" si="267"/>
        <v/>
      </c>
    </row>
    <row r="8578" spans="1:2" x14ac:dyDescent="0.25">
      <c r="A8578" s="15" t="str">
        <f t="shared" ref="A8578:A8641" si="268">B8578&amp;C8578</f>
        <v/>
      </c>
      <c r="B8578" s="18" t="str">
        <f t="shared" si="267"/>
        <v/>
      </c>
    </row>
    <row r="8579" spans="1:2" x14ac:dyDescent="0.25">
      <c r="A8579" s="15" t="str">
        <f t="shared" si="268"/>
        <v/>
      </c>
      <c r="B8579" s="18" t="str">
        <f t="shared" ref="B8579:B8642" si="269">IF(C8579="","",B8578)</f>
        <v/>
      </c>
    </row>
    <row r="8580" spans="1:2" x14ac:dyDescent="0.25">
      <c r="A8580" s="15" t="str">
        <f t="shared" si="268"/>
        <v/>
      </c>
      <c r="B8580" s="18" t="str">
        <f t="shared" si="269"/>
        <v/>
      </c>
    </row>
    <row r="8581" spans="1:2" x14ac:dyDescent="0.25">
      <c r="A8581" s="15" t="str">
        <f t="shared" si="268"/>
        <v/>
      </c>
      <c r="B8581" s="18" t="str">
        <f t="shared" si="269"/>
        <v/>
      </c>
    </row>
    <row r="8582" spans="1:2" x14ac:dyDescent="0.25">
      <c r="A8582" s="15" t="str">
        <f t="shared" si="268"/>
        <v/>
      </c>
      <c r="B8582" s="18" t="str">
        <f t="shared" si="269"/>
        <v/>
      </c>
    </row>
    <row r="8583" spans="1:2" x14ac:dyDescent="0.25">
      <c r="A8583" s="15" t="str">
        <f t="shared" si="268"/>
        <v/>
      </c>
      <c r="B8583" s="18" t="str">
        <f t="shared" si="269"/>
        <v/>
      </c>
    </row>
    <row r="8584" spans="1:2" x14ac:dyDescent="0.25">
      <c r="A8584" s="15" t="str">
        <f t="shared" si="268"/>
        <v/>
      </c>
      <c r="B8584" s="18" t="str">
        <f t="shared" si="269"/>
        <v/>
      </c>
    </row>
    <row r="8585" spans="1:2" x14ac:dyDescent="0.25">
      <c r="A8585" s="15" t="str">
        <f t="shared" si="268"/>
        <v/>
      </c>
      <c r="B8585" s="18" t="str">
        <f t="shared" si="269"/>
        <v/>
      </c>
    </row>
    <row r="8586" spans="1:2" x14ac:dyDescent="0.25">
      <c r="A8586" s="15" t="str">
        <f t="shared" si="268"/>
        <v/>
      </c>
      <c r="B8586" s="18" t="str">
        <f t="shared" si="269"/>
        <v/>
      </c>
    </row>
    <row r="8587" spans="1:2" x14ac:dyDescent="0.25">
      <c r="A8587" s="15" t="str">
        <f t="shared" si="268"/>
        <v/>
      </c>
      <c r="B8587" s="18" t="str">
        <f t="shared" si="269"/>
        <v/>
      </c>
    </row>
    <row r="8588" spans="1:2" x14ac:dyDescent="0.25">
      <c r="A8588" s="15" t="str">
        <f t="shared" si="268"/>
        <v/>
      </c>
      <c r="B8588" s="18" t="str">
        <f t="shared" si="269"/>
        <v/>
      </c>
    </row>
    <row r="8589" spans="1:2" x14ac:dyDescent="0.25">
      <c r="A8589" s="15" t="str">
        <f t="shared" si="268"/>
        <v/>
      </c>
      <c r="B8589" s="18" t="str">
        <f t="shared" si="269"/>
        <v/>
      </c>
    </row>
    <row r="8590" spans="1:2" x14ac:dyDescent="0.25">
      <c r="A8590" s="15" t="str">
        <f t="shared" si="268"/>
        <v/>
      </c>
      <c r="B8590" s="18" t="str">
        <f t="shared" si="269"/>
        <v/>
      </c>
    </row>
    <row r="8591" spans="1:2" x14ac:dyDescent="0.25">
      <c r="A8591" s="15" t="str">
        <f t="shared" si="268"/>
        <v/>
      </c>
      <c r="B8591" s="18" t="str">
        <f t="shared" si="269"/>
        <v/>
      </c>
    </row>
    <row r="8592" spans="1:2" x14ac:dyDescent="0.25">
      <c r="A8592" s="15" t="str">
        <f t="shared" si="268"/>
        <v/>
      </c>
      <c r="B8592" s="18" t="str">
        <f t="shared" si="269"/>
        <v/>
      </c>
    </row>
    <row r="8593" spans="1:2" x14ac:dyDescent="0.25">
      <c r="A8593" s="15" t="str">
        <f t="shared" si="268"/>
        <v/>
      </c>
      <c r="B8593" s="18" t="str">
        <f t="shared" si="269"/>
        <v/>
      </c>
    </row>
    <row r="8594" spans="1:2" x14ac:dyDescent="0.25">
      <c r="A8594" s="15" t="str">
        <f t="shared" si="268"/>
        <v/>
      </c>
      <c r="B8594" s="18" t="str">
        <f t="shared" si="269"/>
        <v/>
      </c>
    </row>
    <row r="8595" spans="1:2" x14ac:dyDescent="0.25">
      <c r="A8595" s="15" t="str">
        <f t="shared" si="268"/>
        <v/>
      </c>
      <c r="B8595" s="18" t="str">
        <f t="shared" si="269"/>
        <v/>
      </c>
    </row>
    <row r="8596" spans="1:2" x14ac:dyDescent="0.25">
      <c r="A8596" s="15" t="str">
        <f t="shared" si="268"/>
        <v/>
      </c>
      <c r="B8596" s="18" t="str">
        <f t="shared" si="269"/>
        <v/>
      </c>
    </row>
    <row r="8597" spans="1:2" x14ac:dyDescent="0.25">
      <c r="A8597" s="15" t="str">
        <f t="shared" si="268"/>
        <v/>
      </c>
      <c r="B8597" s="18" t="str">
        <f t="shared" si="269"/>
        <v/>
      </c>
    </row>
    <row r="8598" spans="1:2" x14ac:dyDescent="0.25">
      <c r="A8598" s="15" t="str">
        <f t="shared" si="268"/>
        <v/>
      </c>
      <c r="B8598" s="18" t="str">
        <f t="shared" si="269"/>
        <v/>
      </c>
    </row>
    <row r="8599" spans="1:2" x14ac:dyDescent="0.25">
      <c r="A8599" s="15" t="str">
        <f t="shared" si="268"/>
        <v/>
      </c>
      <c r="B8599" s="18" t="str">
        <f t="shared" si="269"/>
        <v/>
      </c>
    </row>
    <row r="8600" spans="1:2" x14ac:dyDescent="0.25">
      <c r="A8600" s="15" t="str">
        <f t="shared" si="268"/>
        <v/>
      </c>
      <c r="B8600" s="18" t="str">
        <f t="shared" si="269"/>
        <v/>
      </c>
    </row>
    <row r="8601" spans="1:2" x14ac:dyDescent="0.25">
      <c r="A8601" s="15" t="str">
        <f t="shared" si="268"/>
        <v/>
      </c>
      <c r="B8601" s="18" t="str">
        <f t="shared" si="269"/>
        <v/>
      </c>
    </row>
    <row r="8602" spans="1:2" x14ac:dyDescent="0.25">
      <c r="A8602" s="15" t="str">
        <f t="shared" si="268"/>
        <v/>
      </c>
      <c r="B8602" s="18" t="str">
        <f t="shared" si="269"/>
        <v/>
      </c>
    </row>
    <row r="8603" spans="1:2" x14ac:dyDescent="0.25">
      <c r="A8603" s="15" t="str">
        <f t="shared" si="268"/>
        <v/>
      </c>
      <c r="B8603" s="18" t="str">
        <f t="shared" si="269"/>
        <v/>
      </c>
    </row>
    <row r="8604" spans="1:2" x14ac:dyDescent="0.25">
      <c r="A8604" s="15" t="str">
        <f t="shared" si="268"/>
        <v/>
      </c>
      <c r="B8604" s="18" t="str">
        <f t="shared" si="269"/>
        <v/>
      </c>
    </row>
    <row r="8605" spans="1:2" x14ac:dyDescent="0.25">
      <c r="A8605" s="15" t="str">
        <f t="shared" si="268"/>
        <v/>
      </c>
      <c r="B8605" s="18" t="str">
        <f t="shared" si="269"/>
        <v/>
      </c>
    </row>
    <row r="8606" spans="1:2" x14ac:dyDescent="0.25">
      <c r="A8606" s="15" t="str">
        <f t="shared" si="268"/>
        <v/>
      </c>
      <c r="B8606" s="18" t="str">
        <f t="shared" si="269"/>
        <v/>
      </c>
    </row>
    <row r="8607" spans="1:2" x14ac:dyDescent="0.25">
      <c r="A8607" s="15" t="str">
        <f t="shared" si="268"/>
        <v/>
      </c>
      <c r="B8607" s="18" t="str">
        <f t="shared" si="269"/>
        <v/>
      </c>
    </row>
    <row r="8608" spans="1:2" x14ac:dyDescent="0.25">
      <c r="A8608" s="15" t="str">
        <f t="shared" si="268"/>
        <v/>
      </c>
      <c r="B8608" s="18" t="str">
        <f t="shared" si="269"/>
        <v/>
      </c>
    </row>
    <row r="8609" spans="1:2" x14ac:dyDescent="0.25">
      <c r="A8609" s="15" t="str">
        <f t="shared" si="268"/>
        <v/>
      </c>
      <c r="B8609" s="18" t="str">
        <f t="shared" si="269"/>
        <v/>
      </c>
    </row>
    <row r="8610" spans="1:2" x14ac:dyDescent="0.25">
      <c r="A8610" s="15" t="str">
        <f t="shared" si="268"/>
        <v/>
      </c>
      <c r="B8610" s="18" t="str">
        <f t="shared" si="269"/>
        <v/>
      </c>
    </row>
    <row r="8611" spans="1:2" x14ac:dyDescent="0.25">
      <c r="A8611" s="15" t="str">
        <f t="shared" si="268"/>
        <v/>
      </c>
      <c r="B8611" s="18" t="str">
        <f t="shared" si="269"/>
        <v/>
      </c>
    </row>
    <row r="8612" spans="1:2" x14ac:dyDescent="0.25">
      <c r="A8612" s="15" t="str">
        <f t="shared" si="268"/>
        <v/>
      </c>
      <c r="B8612" s="18" t="str">
        <f t="shared" si="269"/>
        <v/>
      </c>
    </row>
    <row r="8613" spans="1:2" x14ac:dyDescent="0.25">
      <c r="A8613" s="15" t="str">
        <f t="shared" si="268"/>
        <v/>
      </c>
      <c r="B8613" s="18" t="str">
        <f t="shared" si="269"/>
        <v/>
      </c>
    </row>
    <row r="8614" spans="1:2" x14ac:dyDescent="0.25">
      <c r="A8614" s="15" t="str">
        <f t="shared" si="268"/>
        <v/>
      </c>
      <c r="B8614" s="18" t="str">
        <f t="shared" si="269"/>
        <v/>
      </c>
    </row>
    <row r="8615" spans="1:2" x14ac:dyDescent="0.25">
      <c r="A8615" s="15" t="str">
        <f t="shared" si="268"/>
        <v/>
      </c>
      <c r="B8615" s="18" t="str">
        <f t="shared" si="269"/>
        <v/>
      </c>
    </row>
    <row r="8616" spans="1:2" x14ac:dyDescent="0.25">
      <c r="A8616" s="15" t="str">
        <f t="shared" si="268"/>
        <v/>
      </c>
      <c r="B8616" s="18" t="str">
        <f t="shared" si="269"/>
        <v/>
      </c>
    </row>
    <row r="8617" spans="1:2" x14ac:dyDescent="0.25">
      <c r="A8617" s="15" t="str">
        <f t="shared" si="268"/>
        <v/>
      </c>
      <c r="B8617" s="18" t="str">
        <f t="shared" si="269"/>
        <v/>
      </c>
    </row>
    <row r="8618" spans="1:2" x14ac:dyDescent="0.25">
      <c r="A8618" s="15" t="str">
        <f t="shared" si="268"/>
        <v/>
      </c>
      <c r="B8618" s="18" t="str">
        <f t="shared" si="269"/>
        <v/>
      </c>
    </row>
    <row r="8619" spans="1:2" x14ac:dyDescent="0.25">
      <c r="A8619" s="15" t="str">
        <f t="shared" si="268"/>
        <v/>
      </c>
      <c r="B8619" s="18" t="str">
        <f t="shared" si="269"/>
        <v/>
      </c>
    </row>
    <row r="8620" spans="1:2" x14ac:dyDescent="0.25">
      <c r="A8620" s="15" t="str">
        <f t="shared" si="268"/>
        <v/>
      </c>
      <c r="B8620" s="18" t="str">
        <f t="shared" si="269"/>
        <v/>
      </c>
    </row>
    <row r="8621" spans="1:2" x14ac:dyDescent="0.25">
      <c r="A8621" s="15" t="str">
        <f t="shared" si="268"/>
        <v/>
      </c>
      <c r="B8621" s="18" t="str">
        <f t="shared" si="269"/>
        <v/>
      </c>
    </row>
    <row r="8622" spans="1:2" x14ac:dyDescent="0.25">
      <c r="A8622" s="15" t="str">
        <f t="shared" si="268"/>
        <v/>
      </c>
      <c r="B8622" s="18" t="str">
        <f t="shared" si="269"/>
        <v/>
      </c>
    </row>
    <row r="8623" spans="1:2" x14ac:dyDescent="0.25">
      <c r="A8623" s="15" t="str">
        <f t="shared" si="268"/>
        <v/>
      </c>
      <c r="B8623" s="18" t="str">
        <f t="shared" si="269"/>
        <v/>
      </c>
    </row>
    <row r="8624" spans="1:2" x14ac:dyDescent="0.25">
      <c r="A8624" s="15" t="str">
        <f t="shared" si="268"/>
        <v/>
      </c>
      <c r="B8624" s="18" t="str">
        <f t="shared" si="269"/>
        <v/>
      </c>
    </row>
    <row r="8625" spans="1:2" x14ac:dyDescent="0.25">
      <c r="A8625" s="15" t="str">
        <f t="shared" si="268"/>
        <v/>
      </c>
      <c r="B8625" s="18" t="str">
        <f t="shared" si="269"/>
        <v/>
      </c>
    </row>
    <row r="8626" spans="1:2" x14ac:dyDescent="0.25">
      <c r="A8626" s="15" t="str">
        <f t="shared" si="268"/>
        <v/>
      </c>
      <c r="B8626" s="18" t="str">
        <f t="shared" si="269"/>
        <v/>
      </c>
    </row>
    <row r="8627" spans="1:2" x14ac:dyDescent="0.25">
      <c r="A8627" s="15" t="str">
        <f t="shared" si="268"/>
        <v/>
      </c>
      <c r="B8627" s="18" t="str">
        <f t="shared" si="269"/>
        <v/>
      </c>
    </row>
    <row r="8628" spans="1:2" x14ac:dyDescent="0.25">
      <c r="A8628" s="15" t="str">
        <f t="shared" si="268"/>
        <v/>
      </c>
      <c r="B8628" s="18" t="str">
        <f t="shared" si="269"/>
        <v/>
      </c>
    </row>
    <row r="8629" spans="1:2" x14ac:dyDescent="0.25">
      <c r="A8629" s="15" t="str">
        <f t="shared" si="268"/>
        <v/>
      </c>
      <c r="B8629" s="18" t="str">
        <f t="shared" si="269"/>
        <v/>
      </c>
    </row>
    <row r="8630" spans="1:2" x14ac:dyDescent="0.25">
      <c r="A8630" s="15" t="str">
        <f t="shared" si="268"/>
        <v/>
      </c>
      <c r="B8630" s="18" t="str">
        <f t="shared" si="269"/>
        <v/>
      </c>
    </row>
    <row r="8631" spans="1:2" x14ac:dyDescent="0.25">
      <c r="A8631" s="15" t="str">
        <f t="shared" si="268"/>
        <v/>
      </c>
      <c r="B8631" s="18" t="str">
        <f t="shared" si="269"/>
        <v/>
      </c>
    </row>
    <row r="8632" spans="1:2" x14ac:dyDescent="0.25">
      <c r="A8632" s="15" t="str">
        <f t="shared" si="268"/>
        <v/>
      </c>
      <c r="B8632" s="18" t="str">
        <f t="shared" si="269"/>
        <v/>
      </c>
    </row>
    <row r="8633" spans="1:2" x14ac:dyDescent="0.25">
      <c r="A8633" s="15" t="str">
        <f t="shared" si="268"/>
        <v/>
      </c>
      <c r="B8633" s="18" t="str">
        <f t="shared" si="269"/>
        <v/>
      </c>
    </row>
    <row r="8634" spans="1:2" x14ac:dyDescent="0.25">
      <c r="A8634" s="15" t="str">
        <f t="shared" si="268"/>
        <v/>
      </c>
      <c r="B8634" s="18" t="str">
        <f t="shared" si="269"/>
        <v/>
      </c>
    </row>
    <row r="8635" spans="1:2" x14ac:dyDescent="0.25">
      <c r="A8635" s="15" t="str">
        <f t="shared" si="268"/>
        <v/>
      </c>
      <c r="B8635" s="18" t="str">
        <f t="shared" si="269"/>
        <v/>
      </c>
    </row>
    <row r="8636" spans="1:2" x14ac:dyDescent="0.25">
      <c r="A8636" s="15" t="str">
        <f t="shared" si="268"/>
        <v/>
      </c>
      <c r="B8636" s="18" t="str">
        <f t="shared" si="269"/>
        <v/>
      </c>
    </row>
    <row r="8637" spans="1:2" x14ac:dyDescent="0.25">
      <c r="A8637" s="15" t="str">
        <f t="shared" si="268"/>
        <v/>
      </c>
      <c r="B8637" s="18" t="str">
        <f t="shared" si="269"/>
        <v/>
      </c>
    </row>
    <row r="8638" spans="1:2" x14ac:dyDescent="0.25">
      <c r="A8638" s="15" t="str">
        <f t="shared" si="268"/>
        <v/>
      </c>
      <c r="B8638" s="18" t="str">
        <f t="shared" si="269"/>
        <v/>
      </c>
    </row>
    <row r="8639" spans="1:2" x14ac:dyDescent="0.25">
      <c r="A8639" s="15" t="str">
        <f t="shared" si="268"/>
        <v/>
      </c>
      <c r="B8639" s="18" t="str">
        <f t="shared" si="269"/>
        <v/>
      </c>
    </row>
    <row r="8640" spans="1:2" x14ac:dyDescent="0.25">
      <c r="A8640" s="15" t="str">
        <f t="shared" si="268"/>
        <v/>
      </c>
      <c r="B8640" s="18" t="str">
        <f t="shared" si="269"/>
        <v/>
      </c>
    </row>
    <row r="8641" spans="1:2" x14ac:dyDescent="0.25">
      <c r="A8641" s="15" t="str">
        <f t="shared" si="268"/>
        <v/>
      </c>
      <c r="B8641" s="18" t="str">
        <f t="shared" si="269"/>
        <v/>
      </c>
    </row>
    <row r="8642" spans="1:2" x14ac:dyDescent="0.25">
      <c r="A8642" s="15" t="str">
        <f t="shared" ref="A8642:A8705" si="270">B8642&amp;C8642</f>
        <v/>
      </c>
      <c r="B8642" s="18" t="str">
        <f t="shared" si="269"/>
        <v/>
      </c>
    </row>
    <row r="8643" spans="1:2" x14ac:dyDescent="0.25">
      <c r="A8643" s="15" t="str">
        <f t="shared" si="270"/>
        <v/>
      </c>
      <c r="B8643" s="18" t="str">
        <f t="shared" ref="B8643:B8706" si="271">IF(C8643="","",B8642)</f>
        <v/>
      </c>
    </row>
    <row r="8644" spans="1:2" x14ac:dyDescent="0.25">
      <c r="A8644" s="15" t="str">
        <f t="shared" si="270"/>
        <v/>
      </c>
      <c r="B8644" s="18" t="str">
        <f t="shared" si="271"/>
        <v/>
      </c>
    </row>
    <row r="8645" spans="1:2" x14ac:dyDescent="0.25">
      <c r="A8645" s="15" t="str">
        <f t="shared" si="270"/>
        <v/>
      </c>
      <c r="B8645" s="18" t="str">
        <f t="shared" si="271"/>
        <v/>
      </c>
    </row>
    <row r="8646" spans="1:2" x14ac:dyDescent="0.25">
      <c r="A8646" s="15" t="str">
        <f t="shared" si="270"/>
        <v/>
      </c>
      <c r="B8646" s="18" t="str">
        <f t="shared" si="271"/>
        <v/>
      </c>
    </row>
    <row r="8647" spans="1:2" x14ac:dyDescent="0.25">
      <c r="A8647" s="15" t="str">
        <f t="shared" si="270"/>
        <v/>
      </c>
      <c r="B8647" s="18" t="str">
        <f t="shared" si="271"/>
        <v/>
      </c>
    </row>
    <row r="8648" spans="1:2" x14ac:dyDescent="0.25">
      <c r="A8648" s="15" t="str">
        <f t="shared" si="270"/>
        <v/>
      </c>
      <c r="B8648" s="18" t="str">
        <f t="shared" si="271"/>
        <v/>
      </c>
    </row>
    <row r="8649" spans="1:2" x14ac:dyDescent="0.25">
      <c r="A8649" s="15" t="str">
        <f t="shared" si="270"/>
        <v/>
      </c>
      <c r="B8649" s="18" t="str">
        <f t="shared" si="271"/>
        <v/>
      </c>
    </row>
    <row r="8650" spans="1:2" x14ac:dyDescent="0.25">
      <c r="A8650" s="15" t="str">
        <f t="shared" si="270"/>
        <v/>
      </c>
      <c r="B8650" s="18" t="str">
        <f t="shared" si="271"/>
        <v/>
      </c>
    </row>
    <row r="8651" spans="1:2" x14ac:dyDescent="0.25">
      <c r="A8651" s="15" t="str">
        <f t="shared" si="270"/>
        <v/>
      </c>
      <c r="B8651" s="18" t="str">
        <f t="shared" si="271"/>
        <v/>
      </c>
    </row>
    <row r="8652" spans="1:2" x14ac:dyDescent="0.25">
      <c r="A8652" s="15" t="str">
        <f t="shared" si="270"/>
        <v/>
      </c>
      <c r="B8652" s="18" t="str">
        <f t="shared" si="271"/>
        <v/>
      </c>
    </row>
    <row r="8653" spans="1:2" x14ac:dyDescent="0.25">
      <c r="A8653" s="15" t="str">
        <f t="shared" si="270"/>
        <v/>
      </c>
      <c r="B8653" s="18" t="str">
        <f t="shared" si="271"/>
        <v/>
      </c>
    </row>
    <row r="8654" spans="1:2" x14ac:dyDescent="0.25">
      <c r="A8654" s="15" t="str">
        <f t="shared" si="270"/>
        <v/>
      </c>
      <c r="B8654" s="18" t="str">
        <f t="shared" si="271"/>
        <v/>
      </c>
    </row>
    <row r="8655" spans="1:2" x14ac:dyDescent="0.25">
      <c r="A8655" s="15" t="str">
        <f t="shared" si="270"/>
        <v/>
      </c>
      <c r="B8655" s="18" t="str">
        <f t="shared" si="271"/>
        <v/>
      </c>
    </row>
    <row r="8656" spans="1:2" x14ac:dyDescent="0.25">
      <c r="A8656" s="15" t="str">
        <f t="shared" si="270"/>
        <v/>
      </c>
      <c r="B8656" s="18" t="str">
        <f t="shared" si="271"/>
        <v/>
      </c>
    </row>
    <row r="8657" spans="1:2" x14ac:dyDescent="0.25">
      <c r="A8657" s="15" t="str">
        <f t="shared" si="270"/>
        <v/>
      </c>
      <c r="B8657" s="18" t="str">
        <f t="shared" si="271"/>
        <v/>
      </c>
    </row>
    <row r="8658" spans="1:2" x14ac:dyDescent="0.25">
      <c r="A8658" s="15" t="str">
        <f t="shared" si="270"/>
        <v/>
      </c>
      <c r="B8658" s="18" t="str">
        <f t="shared" si="271"/>
        <v/>
      </c>
    </row>
    <row r="8659" spans="1:2" x14ac:dyDescent="0.25">
      <c r="A8659" s="15" t="str">
        <f t="shared" si="270"/>
        <v/>
      </c>
      <c r="B8659" s="18" t="str">
        <f t="shared" si="271"/>
        <v/>
      </c>
    </row>
    <row r="8660" spans="1:2" x14ac:dyDescent="0.25">
      <c r="A8660" s="15" t="str">
        <f t="shared" si="270"/>
        <v/>
      </c>
      <c r="B8660" s="18" t="str">
        <f t="shared" si="271"/>
        <v/>
      </c>
    </row>
    <row r="8661" spans="1:2" x14ac:dyDescent="0.25">
      <c r="A8661" s="15" t="str">
        <f t="shared" si="270"/>
        <v/>
      </c>
      <c r="B8661" s="18" t="str">
        <f t="shared" si="271"/>
        <v/>
      </c>
    </row>
    <row r="8662" spans="1:2" x14ac:dyDescent="0.25">
      <c r="A8662" s="15" t="str">
        <f t="shared" si="270"/>
        <v/>
      </c>
      <c r="B8662" s="18" t="str">
        <f t="shared" si="271"/>
        <v/>
      </c>
    </row>
    <row r="8663" spans="1:2" x14ac:dyDescent="0.25">
      <c r="A8663" s="15" t="str">
        <f t="shared" si="270"/>
        <v/>
      </c>
      <c r="B8663" s="18" t="str">
        <f t="shared" si="271"/>
        <v/>
      </c>
    </row>
    <row r="8664" spans="1:2" x14ac:dyDescent="0.25">
      <c r="A8664" s="15" t="str">
        <f t="shared" si="270"/>
        <v/>
      </c>
      <c r="B8664" s="18" t="str">
        <f t="shared" si="271"/>
        <v/>
      </c>
    </row>
    <row r="8665" spans="1:2" x14ac:dyDescent="0.25">
      <c r="A8665" s="15" t="str">
        <f t="shared" si="270"/>
        <v/>
      </c>
      <c r="B8665" s="18" t="str">
        <f t="shared" si="271"/>
        <v/>
      </c>
    </row>
    <row r="8666" spans="1:2" x14ac:dyDescent="0.25">
      <c r="A8666" s="15" t="str">
        <f t="shared" si="270"/>
        <v/>
      </c>
      <c r="B8666" s="18" t="str">
        <f t="shared" si="271"/>
        <v/>
      </c>
    </row>
    <row r="8667" spans="1:2" x14ac:dyDescent="0.25">
      <c r="A8667" s="15" t="str">
        <f t="shared" si="270"/>
        <v/>
      </c>
      <c r="B8667" s="18" t="str">
        <f t="shared" si="271"/>
        <v/>
      </c>
    </row>
    <row r="8668" spans="1:2" x14ac:dyDescent="0.25">
      <c r="A8668" s="15" t="str">
        <f t="shared" si="270"/>
        <v/>
      </c>
      <c r="B8668" s="18" t="str">
        <f t="shared" si="271"/>
        <v/>
      </c>
    </row>
    <row r="8669" spans="1:2" x14ac:dyDescent="0.25">
      <c r="A8669" s="15" t="str">
        <f t="shared" si="270"/>
        <v/>
      </c>
      <c r="B8669" s="18" t="str">
        <f t="shared" si="271"/>
        <v/>
      </c>
    </row>
    <row r="8670" spans="1:2" x14ac:dyDescent="0.25">
      <c r="A8670" s="15" t="str">
        <f t="shared" si="270"/>
        <v/>
      </c>
      <c r="B8670" s="18" t="str">
        <f t="shared" si="271"/>
        <v/>
      </c>
    </row>
    <row r="8671" spans="1:2" x14ac:dyDescent="0.25">
      <c r="A8671" s="15" t="str">
        <f t="shared" si="270"/>
        <v/>
      </c>
      <c r="B8671" s="18" t="str">
        <f t="shared" si="271"/>
        <v/>
      </c>
    </row>
    <row r="8672" spans="1:2" x14ac:dyDescent="0.25">
      <c r="A8672" s="15" t="str">
        <f t="shared" si="270"/>
        <v/>
      </c>
      <c r="B8672" s="18" t="str">
        <f t="shared" si="271"/>
        <v/>
      </c>
    </row>
    <row r="8673" spans="1:2" x14ac:dyDescent="0.25">
      <c r="A8673" s="15" t="str">
        <f t="shared" si="270"/>
        <v/>
      </c>
      <c r="B8673" s="18" t="str">
        <f t="shared" si="271"/>
        <v/>
      </c>
    </row>
    <row r="8674" spans="1:2" x14ac:dyDescent="0.25">
      <c r="A8674" s="15" t="str">
        <f t="shared" si="270"/>
        <v/>
      </c>
      <c r="B8674" s="18" t="str">
        <f t="shared" si="271"/>
        <v/>
      </c>
    </row>
    <row r="8675" spans="1:2" x14ac:dyDescent="0.25">
      <c r="A8675" s="15" t="str">
        <f t="shared" si="270"/>
        <v/>
      </c>
      <c r="B8675" s="18" t="str">
        <f t="shared" si="271"/>
        <v/>
      </c>
    </row>
    <row r="8676" spans="1:2" x14ac:dyDescent="0.25">
      <c r="A8676" s="15" t="str">
        <f t="shared" si="270"/>
        <v/>
      </c>
      <c r="B8676" s="18" t="str">
        <f t="shared" si="271"/>
        <v/>
      </c>
    </row>
    <row r="8677" spans="1:2" x14ac:dyDescent="0.25">
      <c r="A8677" s="15" t="str">
        <f t="shared" si="270"/>
        <v/>
      </c>
      <c r="B8677" s="18" t="str">
        <f t="shared" si="271"/>
        <v/>
      </c>
    </row>
    <row r="8678" spans="1:2" x14ac:dyDescent="0.25">
      <c r="A8678" s="15" t="str">
        <f t="shared" si="270"/>
        <v/>
      </c>
      <c r="B8678" s="18" t="str">
        <f t="shared" si="271"/>
        <v/>
      </c>
    </row>
    <row r="8679" spans="1:2" x14ac:dyDescent="0.25">
      <c r="A8679" s="15" t="str">
        <f t="shared" si="270"/>
        <v/>
      </c>
      <c r="B8679" s="18" t="str">
        <f t="shared" si="271"/>
        <v/>
      </c>
    </row>
    <row r="8680" spans="1:2" x14ac:dyDescent="0.25">
      <c r="A8680" s="15" t="str">
        <f t="shared" si="270"/>
        <v/>
      </c>
      <c r="B8680" s="18" t="str">
        <f t="shared" si="271"/>
        <v/>
      </c>
    </row>
    <row r="8681" spans="1:2" x14ac:dyDescent="0.25">
      <c r="A8681" s="15" t="str">
        <f t="shared" si="270"/>
        <v/>
      </c>
      <c r="B8681" s="18" t="str">
        <f t="shared" si="271"/>
        <v/>
      </c>
    </row>
    <row r="8682" spans="1:2" x14ac:dyDescent="0.25">
      <c r="A8682" s="15" t="str">
        <f t="shared" si="270"/>
        <v/>
      </c>
      <c r="B8682" s="18" t="str">
        <f t="shared" si="271"/>
        <v/>
      </c>
    </row>
    <row r="8683" spans="1:2" x14ac:dyDescent="0.25">
      <c r="A8683" s="15" t="str">
        <f t="shared" si="270"/>
        <v/>
      </c>
      <c r="B8683" s="18" t="str">
        <f t="shared" si="271"/>
        <v/>
      </c>
    </row>
    <row r="8684" spans="1:2" x14ac:dyDescent="0.25">
      <c r="A8684" s="15" t="str">
        <f t="shared" si="270"/>
        <v/>
      </c>
      <c r="B8684" s="18" t="str">
        <f t="shared" si="271"/>
        <v/>
      </c>
    </row>
    <row r="8685" spans="1:2" x14ac:dyDescent="0.25">
      <c r="A8685" s="15" t="str">
        <f t="shared" si="270"/>
        <v/>
      </c>
      <c r="B8685" s="18" t="str">
        <f t="shared" si="271"/>
        <v/>
      </c>
    </row>
    <row r="8686" spans="1:2" x14ac:dyDescent="0.25">
      <c r="A8686" s="15" t="str">
        <f t="shared" si="270"/>
        <v/>
      </c>
      <c r="B8686" s="18" t="str">
        <f t="shared" si="271"/>
        <v/>
      </c>
    </row>
    <row r="8687" spans="1:2" x14ac:dyDescent="0.25">
      <c r="A8687" s="15" t="str">
        <f t="shared" si="270"/>
        <v/>
      </c>
      <c r="B8687" s="18" t="str">
        <f t="shared" si="271"/>
        <v/>
      </c>
    </row>
    <row r="8688" spans="1:2" x14ac:dyDescent="0.25">
      <c r="A8688" s="15" t="str">
        <f t="shared" si="270"/>
        <v/>
      </c>
      <c r="B8688" s="18" t="str">
        <f t="shared" si="271"/>
        <v/>
      </c>
    </row>
    <row r="8689" spans="1:2" x14ac:dyDescent="0.25">
      <c r="A8689" s="15" t="str">
        <f t="shared" si="270"/>
        <v/>
      </c>
      <c r="B8689" s="18" t="str">
        <f t="shared" si="271"/>
        <v/>
      </c>
    </row>
    <row r="8690" spans="1:2" x14ac:dyDescent="0.25">
      <c r="A8690" s="15" t="str">
        <f t="shared" si="270"/>
        <v/>
      </c>
      <c r="B8690" s="18" t="str">
        <f t="shared" si="271"/>
        <v/>
      </c>
    </row>
    <row r="8691" spans="1:2" x14ac:dyDescent="0.25">
      <c r="A8691" s="15" t="str">
        <f t="shared" si="270"/>
        <v/>
      </c>
      <c r="B8691" s="18" t="str">
        <f t="shared" si="271"/>
        <v/>
      </c>
    </row>
    <row r="8692" spans="1:2" x14ac:dyDescent="0.25">
      <c r="A8692" s="15" t="str">
        <f t="shared" si="270"/>
        <v/>
      </c>
      <c r="B8692" s="18" t="str">
        <f t="shared" si="271"/>
        <v/>
      </c>
    </row>
    <row r="8693" spans="1:2" x14ac:dyDescent="0.25">
      <c r="A8693" s="15" t="str">
        <f t="shared" si="270"/>
        <v/>
      </c>
      <c r="B8693" s="18" t="str">
        <f t="shared" si="271"/>
        <v/>
      </c>
    </row>
    <row r="8694" spans="1:2" x14ac:dyDescent="0.25">
      <c r="A8694" s="15" t="str">
        <f t="shared" si="270"/>
        <v/>
      </c>
      <c r="B8694" s="18" t="str">
        <f t="shared" si="271"/>
        <v/>
      </c>
    </row>
    <row r="8695" spans="1:2" x14ac:dyDescent="0.25">
      <c r="A8695" s="15" t="str">
        <f t="shared" si="270"/>
        <v/>
      </c>
      <c r="B8695" s="18" t="str">
        <f t="shared" si="271"/>
        <v/>
      </c>
    </row>
    <row r="8696" spans="1:2" x14ac:dyDescent="0.25">
      <c r="A8696" s="15" t="str">
        <f t="shared" si="270"/>
        <v/>
      </c>
      <c r="B8696" s="18" t="str">
        <f t="shared" si="271"/>
        <v/>
      </c>
    </row>
    <row r="8697" spans="1:2" x14ac:dyDescent="0.25">
      <c r="A8697" s="15" t="str">
        <f t="shared" si="270"/>
        <v/>
      </c>
      <c r="B8697" s="18" t="str">
        <f t="shared" si="271"/>
        <v/>
      </c>
    </row>
    <row r="8698" spans="1:2" x14ac:dyDescent="0.25">
      <c r="A8698" s="15" t="str">
        <f t="shared" si="270"/>
        <v/>
      </c>
      <c r="B8698" s="18" t="str">
        <f t="shared" si="271"/>
        <v/>
      </c>
    </row>
    <row r="8699" spans="1:2" x14ac:dyDescent="0.25">
      <c r="A8699" s="15" t="str">
        <f t="shared" si="270"/>
        <v/>
      </c>
      <c r="B8699" s="18" t="str">
        <f t="shared" si="271"/>
        <v/>
      </c>
    </row>
    <row r="8700" spans="1:2" x14ac:dyDescent="0.25">
      <c r="A8700" s="15" t="str">
        <f t="shared" si="270"/>
        <v/>
      </c>
      <c r="B8700" s="18" t="str">
        <f t="shared" si="271"/>
        <v/>
      </c>
    </row>
    <row r="8701" spans="1:2" x14ac:dyDescent="0.25">
      <c r="A8701" s="15" t="str">
        <f t="shared" si="270"/>
        <v/>
      </c>
      <c r="B8701" s="18" t="str">
        <f t="shared" si="271"/>
        <v/>
      </c>
    </row>
    <row r="8702" spans="1:2" x14ac:dyDescent="0.25">
      <c r="A8702" s="15" t="str">
        <f t="shared" si="270"/>
        <v/>
      </c>
      <c r="B8702" s="18" t="str">
        <f t="shared" si="271"/>
        <v/>
      </c>
    </row>
    <row r="8703" spans="1:2" x14ac:dyDescent="0.25">
      <c r="A8703" s="15" t="str">
        <f t="shared" si="270"/>
        <v/>
      </c>
      <c r="B8703" s="18" t="str">
        <f t="shared" si="271"/>
        <v/>
      </c>
    </row>
    <row r="8704" spans="1:2" x14ac:dyDescent="0.25">
      <c r="A8704" s="15" t="str">
        <f t="shared" si="270"/>
        <v/>
      </c>
      <c r="B8704" s="18" t="str">
        <f t="shared" si="271"/>
        <v/>
      </c>
    </row>
    <row r="8705" spans="1:2" x14ac:dyDescent="0.25">
      <c r="A8705" s="15" t="str">
        <f t="shared" si="270"/>
        <v/>
      </c>
      <c r="B8705" s="18" t="str">
        <f t="shared" si="271"/>
        <v/>
      </c>
    </row>
    <row r="8706" spans="1:2" x14ac:dyDescent="0.25">
      <c r="A8706" s="15" t="str">
        <f t="shared" ref="A8706:A8769" si="272">B8706&amp;C8706</f>
        <v/>
      </c>
      <c r="B8706" s="18" t="str">
        <f t="shared" si="271"/>
        <v/>
      </c>
    </row>
    <row r="8707" spans="1:2" x14ac:dyDescent="0.25">
      <c r="A8707" s="15" t="str">
        <f t="shared" si="272"/>
        <v/>
      </c>
      <c r="B8707" s="18" t="str">
        <f t="shared" ref="B8707:B8770" si="273">IF(C8707="","",B8706)</f>
        <v/>
      </c>
    </row>
    <row r="8708" spans="1:2" x14ac:dyDescent="0.25">
      <c r="A8708" s="15" t="str">
        <f t="shared" si="272"/>
        <v/>
      </c>
      <c r="B8708" s="18" t="str">
        <f t="shared" si="273"/>
        <v/>
      </c>
    </row>
    <row r="8709" spans="1:2" x14ac:dyDescent="0.25">
      <c r="A8709" s="15" t="str">
        <f t="shared" si="272"/>
        <v/>
      </c>
      <c r="B8709" s="18" t="str">
        <f t="shared" si="273"/>
        <v/>
      </c>
    </row>
    <row r="8710" spans="1:2" x14ac:dyDescent="0.25">
      <c r="A8710" s="15" t="str">
        <f t="shared" si="272"/>
        <v/>
      </c>
      <c r="B8710" s="18" t="str">
        <f t="shared" si="273"/>
        <v/>
      </c>
    </row>
    <row r="8711" spans="1:2" x14ac:dyDescent="0.25">
      <c r="A8711" s="15" t="str">
        <f t="shared" si="272"/>
        <v/>
      </c>
      <c r="B8711" s="18" t="str">
        <f t="shared" si="273"/>
        <v/>
      </c>
    </row>
    <row r="8712" spans="1:2" x14ac:dyDescent="0.25">
      <c r="A8712" s="15" t="str">
        <f t="shared" si="272"/>
        <v/>
      </c>
      <c r="B8712" s="18" t="str">
        <f t="shared" si="273"/>
        <v/>
      </c>
    </row>
    <row r="8713" spans="1:2" x14ac:dyDescent="0.25">
      <c r="A8713" s="15" t="str">
        <f t="shared" si="272"/>
        <v/>
      </c>
      <c r="B8713" s="18" t="str">
        <f t="shared" si="273"/>
        <v/>
      </c>
    </row>
    <row r="8714" spans="1:2" x14ac:dyDescent="0.25">
      <c r="A8714" s="15" t="str">
        <f t="shared" si="272"/>
        <v/>
      </c>
      <c r="B8714" s="18" t="str">
        <f t="shared" si="273"/>
        <v/>
      </c>
    </row>
    <row r="8715" spans="1:2" x14ac:dyDescent="0.25">
      <c r="A8715" s="15" t="str">
        <f t="shared" si="272"/>
        <v/>
      </c>
      <c r="B8715" s="18" t="str">
        <f t="shared" si="273"/>
        <v/>
      </c>
    </row>
    <row r="8716" spans="1:2" x14ac:dyDescent="0.25">
      <c r="A8716" s="15" t="str">
        <f t="shared" si="272"/>
        <v/>
      </c>
      <c r="B8716" s="18" t="str">
        <f t="shared" si="273"/>
        <v/>
      </c>
    </row>
    <row r="8717" spans="1:2" x14ac:dyDescent="0.25">
      <c r="A8717" s="15" t="str">
        <f t="shared" si="272"/>
        <v/>
      </c>
      <c r="B8717" s="18" t="str">
        <f t="shared" si="273"/>
        <v/>
      </c>
    </row>
    <row r="8718" spans="1:2" x14ac:dyDescent="0.25">
      <c r="A8718" s="15" t="str">
        <f t="shared" si="272"/>
        <v/>
      </c>
      <c r="B8718" s="18" t="str">
        <f t="shared" si="273"/>
        <v/>
      </c>
    </row>
    <row r="8719" spans="1:2" x14ac:dyDescent="0.25">
      <c r="A8719" s="15" t="str">
        <f t="shared" si="272"/>
        <v/>
      </c>
      <c r="B8719" s="18" t="str">
        <f t="shared" si="273"/>
        <v/>
      </c>
    </row>
    <row r="8720" spans="1:2" x14ac:dyDescent="0.25">
      <c r="A8720" s="15" t="str">
        <f t="shared" si="272"/>
        <v/>
      </c>
      <c r="B8720" s="18" t="str">
        <f t="shared" si="273"/>
        <v/>
      </c>
    </row>
    <row r="8721" spans="1:2" x14ac:dyDescent="0.25">
      <c r="A8721" s="15" t="str">
        <f t="shared" si="272"/>
        <v/>
      </c>
      <c r="B8721" s="18" t="str">
        <f t="shared" si="273"/>
        <v/>
      </c>
    </row>
    <row r="8722" spans="1:2" x14ac:dyDescent="0.25">
      <c r="A8722" s="15" t="str">
        <f t="shared" si="272"/>
        <v/>
      </c>
      <c r="B8722" s="18" t="str">
        <f t="shared" si="273"/>
        <v/>
      </c>
    </row>
    <row r="8723" spans="1:2" x14ac:dyDescent="0.25">
      <c r="A8723" s="15" t="str">
        <f t="shared" si="272"/>
        <v/>
      </c>
      <c r="B8723" s="18" t="str">
        <f t="shared" si="273"/>
        <v/>
      </c>
    </row>
    <row r="8724" spans="1:2" x14ac:dyDescent="0.25">
      <c r="A8724" s="15" t="str">
        <f t="shared" si="272"/>
        <v/>
      </c>
      <c r="B8724" s="18" t="str">
        <f t="shared" si="273"/>
        <v/>
      </c>
    </row>
    <row r="8725" spans="1:2" x14ac:dyDescent="0.25">
      <c r="A8725" s="15" t="str">
        <f t="shared" si="272"/>
        <v/>
      </c>
      <c r="B8725" s="18" t="str">
        <f t="shared" si="273"/>
        <v/>
      </c>
    </row>
    <row r="8726" spans="1:2" x14ac:dyDescent="0.25">
      <c r="A8726" s="15" t="str">
        <f t="shared" si="272"/>
        <v/>
      </c>
      <c r="B8726" s="18" t="str">
        <f t="shared" si="273"/>
        <v/>
      </c>
    </row>
    <row r="8727" spans="1:2" x14ac:dyDescent="0.25">
      <c r="A8727" s="15" t="str">
        <f t="shared" si="272"/>
        <v/>
      </c>
      <c r="B8727" s="18" t="str">
        <f t="shared" si="273"/>
        <v/>
      </c>
    </row>
    <row r="8728" spans="1:2" x14ac:dyDescent="0.25">
      <c r="A8728" s="15" t="str">
        <f t="shared" si="272"/>
        <v/>
      </c>
      <c r="B8728" s="18" t="str">
        <f t="shared" si="273"/>
        <v/>
      </c>
    </row>
    <row r="8729" spans="1:2" x14ac:dyDescent="0.25">
      <c r="A8729" s="15" t="str">
        <f t="shared" si="272"/>
        <v/>
      </c>
      <c r="B8729" s="18" t="str">
        <f t="shared" si="273"/>
        <v/>
      </c>
    </row>
    <row r="8730" spans="1:2" x14ac:dyDescent="0.25">
      <c r="A8730" s="15" t="str">
        <f t="shared" si="272"/>
        <v/>
      </c>
      <c r="B8730" s="18" t="str">
        <f t="shared" si="273"/>
        <v/>
      </c>
    </row>
    <row r="8731" spans="1:2" x14ac:dyDescent="0.25">
      <c r="A8731" s="15" t="str">
        <f t="shared" si="272"/>
        <v/>
      </c>
      <c r="B8731" s="18" t="str">
        <f t="shared" si="273"/>
        <v/>
      </c>
    </row>
    <row r="8732" spans="1:2" x14ac:dyDescent="0.25">
      <c r="A8732" s="15" t="str">
        <f t="shared" si="272"/>
        <v/>
      </c>
      <c r="B8732" s="18" t="str">
        <f t="shared" si="273"/>
        <v/>
      </c>
    </row>
    <row r="8733" spans="1:2" x14ac:dyDescent="0.25">
      <c r="A8733" s="15" t="str">
        <f t="shared" si="272"/>
        <v/>
      </c>
      <c r="B8733" s="18" t="str">
        <f t="shared" si="273"/>
        <v/>
      </c>
    </row>
    <row r="8734" spans="1:2" x14ac:dyDescent="0.25">
      <c r="A8734" s="15" t="str">
        <f t="shared" si="272"/>
        <v/>
      </c>
      <c r="B8734" s="18" t="str">
        <f t="shared" si="273"/>
        <v/>
      </c>
    </row>
    <row r="8735" spans="1:2" x14ac:dyDescent="0.25">
      <c r="A8735" s="15" t="str">
        <f t="shared" si="272"/>
        <v/>
      </c>
      <c r="B8735" s="18" t="str">
        <f t="shared" si="273"/>
        <v/>
      </c>
    </row>
    <row r="8736" spans="1:2" x14ac:dyDescent="0.25">
      <c r="A8736" s="15" t="str">
        <f t="shared" si="272"/>
        <v/>
      </c>
      <c r="B8736" s="18" t="str">
        <f t="shared" si="273"/>
        <v/>
      </c>
    </row>
    <row r="8737" spans="1:2" x14ac:dyDescent="0.25">
      <c r="A8737" s="15" t="str">
        <f t="shared" si="272"/>
        <v/>
      </c>
      <c r="B8737" s="18" t="str">
        <f t="shared" si="273"/>
        <v/>
      </c>
    </row>
    <row r="8738" spans="1:2" x14ac:dyDescent="0.25">
      <c r="A8738" s="15" t="str">
        <f t="shared" si="272"/>
        <v/>
      </c>
      <c r="B8738" s="18" t="str">
        <f t="shared" si="273"/>
        <v/>
      </c>
    </row>
    <row r="8739" spans="1:2" x14ac:dyDescent="0.25">
      <c r="A8739" s="15" t="str">
        <f t="shared" si="272"/>
        <v/>
      </c>
      <c r="B8739" s="18" t="str">
        <f t="shared" si="273"/>
        <v/>
      </c>
    </row>
    <row r="8740" spans="1:2" x14ac:dyDescent="0.25">
      <c r="A8740" s="15" t="str">
        <f t="shared" si="272"/>
        <v/>
      </c>
      <c r="B8740" s="18" t="str">
        <f t="shared" si="273"/>
        <v/>
      </c>
    </row>
    <row r="8741" spans="1:2" x14ac:dyDescent="0.25">
      <c r="A8741" s="15" t="str">
        <f t="shared" si="272"/>
        <v/>
      </c>
      <c r="B8741" s="18" t="str">
        <f t="shared" si="273"/>
        <v/>
      </c>
    </row>
    <row r="8742" spans="1:2" x14ac:dyDescent="0.25">
      <c r="A8742" s="15" t="str">
        <f t="shared" si="272"/>
        <v/>
      </c>
      <c r="B8742" s="18" t="str">
        <f t="shared" si="273"/>
        <v/>
      </c>
    </row>
    <row r="8743" spans="1:2" x14ac:dyDescent="0.25">
      <c r="A8743" s="15" t="str">
        <f t="shared" si="272"/>
        <v/>
      </c>
      <c r="B8743" s="18" t="str">
        <f t="shared" si="273"/>
        <v/>
      </c>
    </row>
    <row r="8744" spans="1:2" x14ac:dyDescent="0.25">
      <c r="A8744" s="15" t="str">
        <f t="shared" si="272"/>
        <v/>
      </c>
      <c r="B8744" s="18" t="str">
        <f t="shared" si="273"/>
        <v/>
      </c>
    </row>
    <row r="8745" spans="1:2" x14ac:dyDescent="0.25">
      <c r="A8745" s="15" t="str">
        <f t="shared" si="272"/>
        <v/>
      </c>
      <c r="B8745" s="18" t="str">
        <f t="shared" si="273"/>
        <v/>
      </c>
    </row>
    <row r="8746" spans="1:2" x14ac:dyDescent="0.25">
      <c r="A8746" s="15" t="str">
        <f t="shared" si="272"/>
        <v/>
      </c>
      <c r="B8746" s="18" t="str">
        <f t="shared" si="273"/>
        <v/>
      </c>
    </row>
    <row r="8747" spans="1:2" x14ac:dyDescent="0.25">
      <c r="A8747" s="15" t="str">
        <f t="shared" si="272"/>
        <v/>
      </c>
      <c r="B8747" s="18" t="str">
        <f t="shared" si="273"/>
        <v/>
      </c>
    </row>
    <row r="8748" spans="1:2" x14ac:dyDescent="0.25">
      <c r="A8748" s="15" t="str">
        <f t="shared" si="272"/>
        <v/>
      </c>
      <c r="B8748" s="18" t="str">
        <f t="shared" si="273"/>
        <v/>
      </c>
    </row>
    <row r="8749" spans="1:2" x14ac:dyDescent="0.25">
      <c r="A8749" s="15" t="str">
        <f t="shared" si="272"/>
        <v/>
      </c>
      <c r="B8749" s="18" t="str">
        <f t="shared" si="273"/>
        <v/>
      </c>
    </row>
    <row r="8750" spans="1:2" x14ac:dyDescent="0.25">
      <c r="A8750" s="15" t="str">
        <f t="shared" si="272"/>
        <v/>
      </c>
      <c r="B8750" s="18" t="str">
        <f t="shared" si="273"/>
        <v/>
      </c>
    </row>
    <row r="8751" spans="1:2" x14ac:dyDescent="0.25">
      <c r="A8751" s="15" t="str">
        <f t="shared" si="272"/>
        <v/>
      </c>
      <c r="B8751" s="18" t="str">
        <f t="shared" si="273"/>
        <v/>
      </c>
    </row>
    <row r="8752" spans="1:2" x14ac:dyDescent="0.25">
      <c r="A8752" s="15" t="str">
        <f t="shared" si="272"/>
        <v/>
      </c>
      <c r="B8752" s="18" t="str">
        <f t="shared" si="273"/>
        <v/>
      </c>
    </row>
    <row r="8753" spans="1:2" x14ac:dyDescent="0.25">
      <c r="A8753" s="15" t="str">
        <f t="shared" si="272"/>
        <v/>
      </c>
      <c r="B8753" s="18" t="str">
        <f t="shared" si="273"/>
        <v/>
      </c>
    </row>
    <row r="8754" spans="1:2" x14ac:dyDescent="0.25">
      <c r="A8754" s="15" t="str">
        <f t="shared" si="272"/>
        <v/>
      </c>
      <c r="B8754" s="18" t="str">
        <f t="shared" si="273"/>
        <v/>
      </c>
    </row>
    <row r="8755" spans="1:2" x14ac:dyDescent="0.25">
      <c r="A8755" s="15" t="str">
        <f t="shared" si="272"/>
        <v/>
      </c>
      <c r="B8755" s="18" t="str">
        <f t="shared" si="273"/>
        <v/>
      </c>
    </row>
    <row r="8756" spans="1:2" x14ac:dyDescent="0.25">
      <c r="A8756" s="15" t="str">
        <f t="shared" si="272"/>
        <v/>
      </c>
      <c r="B8756" s="18" t="str">
        <f t="shared" si="273"/>
        <v/>
      </c>
    </row>
    <row r="8757" spans="1:2" x14ac:dyDescent="0.25">
      <c r="A8757" s="15" t="str">
        <f t="shared" si="272"/>
        <v/>
      </c>
      <c r="B8757" s="18" t="str">
        <f t="shared" si="273"/>
        <v/>
      </c>
    </row>
    <row r="8758" spans="1:2" x14ac:dyDescent="0.25">
      <c r="A8758" s="15" t="str">
        <f t="shared" si="272"/>
        <v/>
      </c>
      <c r="B8758" s="18" t="str">
        <f t="shared" si="273"/>
        <v/>
      </c>
    </row>
    <row r="8759" spans="1:2" x14ac:dyDescent="0.25">
      <c r="A8759" s="15" t="str">
        <f t="shared" si="272"/>
        <v/>
      </c>
      <c r="B8759" s="18" t="str">
        <f t="shared" si="273"/>
        <v/>
      </c>
    </row>
    <row r="8760" spans="1:2" x14ac:dyDescent="0.25">
      <c r="A8760" s="15" t="str">
        <f t="shared" si="272"/>
        <v/>
      </c>
      <c r="B8760" s="18" t="str">
        <f t="shared" si="273"/>
        <v/>
      </c>
    </row>
    <row r="8761" spans="1:2" x14ac:dyDescent="0.25">
      <c r="A8761" s="15" t="str">
        <f t="shared" si="272"/>
        <v/>
      </c>
      <c r="B8761" s="18" t="str">
        <f t="shared" si="273"/>
        <v/>
      </c>
    </row>
    <row r="8762" spans="1:2" x14ac:dyDescent="0.25">
      <c r="A8762" s="15" t="str">
        <f t="shared" si="272"/>
        <v/>
      </c>
      <c r="B8762" s="18" t="str">
        <f t="shared" si="273"/>
        <v/>
      </c>
    </row>
    <row r="8763" spans="1:2" x14ac:dyDescent="0.25">
      <c r="A8763" s="15" t="str">
        <f t="shared" si="272"/>
        <v/>
      </c>
      <c r="B8763" s="18" t="str">
        <f t="shared" si="273"/>
        <v/>
      </c>
    </row>
    <row r="8764" spans="1:2" x14ac:dyDescent="0.25">
      <c r="A8764" s="15" t="str">
        <f t="shared" si="272"/>
        <v/>
      </c>
      <c r="B8764" s="18" t="str">
        <f t="shared" si="273"/>
        <v/>
      </c>
    </row>
    <row r="8765" spans="1:2" x14ac:dyDescent="0.25">
      <c r="A8765" s="15" t="str">
        <f t="shared" si="272"/>
        <v/>
      </c>
      <c r="B8765" s="18" t="str">
        <f t="shared" si="273"/>
        <v/>
      </c>
    </row>
    <row r="8766" spans="1:2" x14ac:dyDescent="0.25">
      <c r="A8766" s="15" t="str">
        <f t="shared" si="272"/>
        <v/>
      </c>
      <c r="B8766" s="18" t="str">
        <f t="shared" si="273"/>
        <v/>
      </c>
    </row>
    <row r="8767" spans="1:2" x14ac:dyDescent="0.25">
      <c r="A8767" s="15" t="str">
        <f t="shared" si="272"/>
        <v/>
      </c>
      <c r="B8767" s="18" t="str">
        <f t="shared" si="273"/>
        <v/>
      </c>
    </row>
    <row r="8768" spans="1:2" x14ac:dyDescent="0.25">
      <c r="A8768" s="15" t="str">
        <f t="shared" si="272"/>
        <v/>
      </c>
      <c r="B8768" s="18" t="str">
        <f t="shared" si="273"/>
        <v/>
      </c>
    </row>
    <row r="8769" spans="1:2" x14ac:dyDescent="0.25">
      <c r="A8769" s="15" t="str">
        <f t="shared" si="272"/>
        <v/>
      </c>
      <c r="B8769" s="18" t="str">
        <f t="shared" si="273"/>
        <v/>
      </c>
    </row>
    <row r="8770" spans="1:2" x14ac:dyDescent="0.25">
      <c r="A8770" s="15" t="str">
        <f t="shared" ref="A8770:A8833" si="274">B8770&amp;C8770</f>
        <v/>
      </c>
      <c r="B8770" s="18" t="str">
        <f t="shared" si="273"/>
        <v/>
      </c>
    </row>
    <row r="8771" spans="1:2" x14ac:dyDescent="0.25">
      <c r="A8771" s="15" t="str">
        <f t="shared" si="274"/>
        <v/>
      </c>
      <c r="B8771" s="18" t="str">
        <f t="shared" ref="B8771:B8834" si="275">IF(C8771="","",B8770)</f>
        <v/>
      </c>
    </row>
    <row r="8772" spans="1:2" x14ac:dyDescent="0.25">
      <c r="A8772" s="15" t="str">
        <f t="shared" si="274"/>
        <v/>
      </c>
      <c r="B8772" s="18" t="str">
        <f t="shared" si="275"/>
        <v/>
      </c>
    </row>
    <row r="8773" spans="1:2" x14ac:dyDescent="0.25">
      <c r="A8773" s="15" t="str">
        <f t="shared" si="274"/>
        <v/>
      </c>
      <c r="B8773" s="18" t="str">
        <f t="shared" si="275"/>
        <v/>
      </c>
    </row>
    <row r="8774" spans="1:2" x14ac:dyDescent="0.25">
      <c r="A8774" s="15" t="str">
        <f t="shared" si="274"/>
        <v/>
      </c>
      <c r="B8774" s="18" t="str">
        <f t="shared" si="275"/>
        <v/>
      </c>
    </row>
    <row r="8775" spans="1:2" x14ac:dyDescent="0.25">
      <c r="A8775" s="15" t="str">
        <f t="shared" si="274"/>
        <v/>
      </c>
      <c r="B8775" s="18" t="str">
        <f t="shared" si="275"/>
        <v/>
      </c>
    </row>
    <row r="8776" spans="1:2" x14ac:dyDescent="0.25">
      <c r="A8776" s="15" t="str">
        <f t="shared" si="274"/>
        <v/>
      </c>
      <c r="B8776" s="18" t="str">
        <f t="shared" si="275"/>
        <v/>
      </c>
    </row>
    <row r="8777" spans="1:2" x14ac:dyDescent="0.25">
      <c r="A8777" s="15" t="str">
        <f t="shared" si="274"/>
        <v/>
      </c>
      <c r="B8777" s="18" t="str">
        <f t="shared" si="275"/>
        <v/>
      </c>
    </row>
    <row r="8778" spans="1:2" x14ac:dyDescent="0.25">
      <c r="A8778" s="15" t="str">
        <f t="shared" si="274"/>
        <v/>
      </c>
      <c r="B8778" s="18" t="str">
        <f t="shared" si="275"/>
        <v/>
      </c>
    </row>
    <row r="8779" spans="1:2" x14ac:dyDescent="0.25">
      <c r="A8779" s="15" t="str">
        <f t="shared" si="274"/>
        <v/>
      </c>
      <c r="B8779" s="18" t="str">
        <f t="shared" si="275"/>
        <v/>
      </c>
    </row>
    <row r="8780" spans="1:2" x14ac:dyDescent="0.25">
      <c r="A8780" s="15" t="str">
        <f t="shared" si="274"/>
        <v/>
      </c>
      <c r="B8780" s="18" t="str">
        <f t="shared" si="275"/>
        <v/>
      </c>
    </row>
    <row r="8781" spans="1:2" x14ac:dyDescent="0.25">
      <c r="A8781" s="15" t="str">
        <f t="shared" si="274"/>
        <v/>
      </c>
      <c r="B8781" s="18" t="str">
        <f t="shared" si="275"/>
        <v/>
      </c>
    </row>
    <row r="8782" spans="1:2" x14ac:dyDescent="0.25">
      <c r="A8782" s="15" t="str">
        <f t="shared" si="274"/>
        <v/>
      </c>
      <c r="B8782" s="18" t="str">
        <f t="shared" si="275"/>
        <v/>
      </c>
    </row>
    <row r="8783" spans="1:2" x14ac:dyDescent="0.25">
      <c r="A8783" s="15" t="str">
        <f t="shared" si="274"/>
        <v/>
      </c>
      <c r="B8783" s="18" t="str">
        <f t="shared" si="275"/>
        <v/>
      </c>
    </row>
    <row r="8784" spans="1:2" x14ac:dyDescent="0.25">
      <c r="A8784" s="15" t="str">
        <f t="shared" si="274"/>
        <v/>
      </c>
      <c r="B8784" s="18" t="str">
        <f t="shared" si="275"/>
        <v/>
      </c>
    </row>
    <row r="8785" spans="1:2" x14ac:dyDescent="0.25">
      <c r="A8785" s="15" t="str">
        <f t="shared" si="274"/>
        <v/>
      </c>
      <c r="B8785" s="18" t="str">
        <f t="shared" si="275"/>
        <v/>
      </c>
    </row>
    <row r="8786" spans="1:2" x14ac:dyDescent="0.25">
      <c r="A8786" s="15" t="str">
        <f t="shared" si="274"/>
        <v/>
      </c>
      <c r="B8786" s="18" t="str">
        <f t="shared" si="275"/>
        <v/>
      </c>
    </row>
    <row r="8787" spans="1:2" x14ac:dyDescent="0.25">
      <c r="A8787" s="15" t="str">
        <f t="shared" si="274"/>
        <v/>
      </c>
      <c r="B8787" s="18" t="str">
        <f t="shared" si="275"/>
        <v/>
      </c>
    </row>
    <row r="8788" spans="1:2" x14ac:dyDescent="0.25">
      <c r="A8788" s="15" t="str">
        <f t="shared" si="274"/>
        <v/>
      </c>
      <c r="B8788" s="18" t="str">
        <f t="shared" si="275"/>
        <v/>
      </c>
    </row>
    <row r="8789" spans="1:2" x14ac:dyDescent="0.25">
      <c r="A8789" s="15" t="str">
        <f t="shared" si="274"/>
        <v/>
      </c>
      <c r="B8789" s="18" t="str">
        <f t="shared" si="275"/>
        <v/>
      </c>
    </row>
    <row r="8790" spans="1:2" x14ac:dyDescent="0.25">
      <c r="A8790" s="15" t="str">
        <f t="shared" si="274"/>
        <v/>
      </c>
      <c r="B8790" s="18" t="str">
        <f t="shared" si="275"/>
        <v/>
      </c>
    </row>
    <row r="8791" spans="1:2" x14ac:dyDescent="0.25">
      <c r="A8791" s="15" t="str">
        <f t="shared" si="274"/>
        <v/>
      </c>
      <c r="B8791" s="18" t="str">
        <f t="shared" si="275"/>
        <v/>
      </c>
    </row>
    <row r="8792" spans="1:2" x14ac:dyDescent="0.25">
      <c r="A8792" s="15" t="str">
        <f t="shared" si="274"/>
        <v/>
      </c>
      <c r="B8792" s="18" t="str">
        <f t="shared" si="275"/>
        <v/>
      </c>
    </row>
    <row r="8793" spans="1:2" x14ac:dyDescent="0.25">
      <c r="A8793" s="15" t="str">
        <f t="shared" si="274"/>
        <v/>
      </c>
      <c r="B8793" s="18" t="str">
        <f t="shared" si="275"/>
        <v/>
      </c>
    </row>
    <row r="8794" spans="1:2" x14ac:dyDescent="0.25">
      <c r="A8794" s="15" t="str">
        <f t="shared" si="274"/>
        <v/>
      </c>
      <c r="B8794" s="18" t="str">
        <f t="shared" si="275"/>
        <v/>
      </c>
    </row>
    <row r="8795" spans="1:2" x14ac:dyDescent="0.25">
      <c r="A8795" s="15" t="str">
        <f t="shared" si="274"/>
        <v/>
      </c>
      <c r="B8795" s="18" t="str">
        <f t="shared" si="275"/>
        <v/>
      </c>
    </row>
    <row r="8796" spans="1:2" x14ac:dyDescent="0.25">
      <c r="A8796" s="15" t="str">
        <f t="shared" si="274"/>
        <v/>
      </c>
      <c r="B8796" s="18" t="str">
        <f t="shared" si="275"/>
        <v/>
      </c>
    </row>
    <row r="8797" spans="1:2" x14ac:dyDescent="0.25">
      <c r="A8797" s="15" t="str">
        <f t="shared" si="274"/>
        <v/>
      </c>
      <c r="B8797" s="18" t="str">
        <f t="shared" si="275"/>
        <v/>
      </c>
    </row>
    <row r="8798" spans="1:2" x14ac:dyDescent="0.25">
      <c r="A8798" s="15" t="str">
        <f t="shared" si="274"/>
        <v/>
      </c>
      <c r="B8798" s="18" t="str">
        <f t="shared" si="275"/>
        <v/>
      </c>
    </row>
    <row r="8799" spans="1:2" x14ac:dyDescent="0.25">
      <c r="A8799" s="15" t="str">
        <f t="shared" si="274"/>
        <v/>
      </c>
      <c r="B8799" s="18" t="str">
        <f t="shared" si="275"/>
        <v/>
      </c>
    </row>
    <row r="8800" spans="1:2" x14ac:dyDescent="0.25">
      <c r="A8800" s="15" t="str">
        <f t="shared" si="274"/>
        <v/>
      </c>
      <c r="B8800" s="18" t="str">
        <f t="shared" si="275"/>
        <v/>
      </c>
    </row>
    <row r="8801" spans="1:2" x14ac:dyDescent="0.25">
      <c r="A8801" s="15" t="str">
        <f t="shared" si="274"/>
        <v/>
      </c>
      <c r="B8801" s="18" t="str">
        <f t="shared" si="275"/>
        <v/>
      </c>
    </row>
    <row r="8802" spans="1:2" x14ac:dyDescent="0.25">
      <c r="A8802" s="15" t="str">
        <f t="shared" si="274"/>
        <v/>
      </c>
      <c r="B8802" s="18" t="str">
        <f t="shared" si="275"/>
        <v/>
      </c>
    </row>
    <row r="8803" spans="1:2" x14ac:dyDescent="0.25">
      <c r="A8803" s="15" t="str">
        <f t="shared" si="274"/>
        <v/>
      </c>
      <c r="B8803" s="18" t="str">
        <f t="shared" si="275"/>
        <v/>
      </c>
    </row>
    <row r="8804" spans="1:2" x14ac:dyDescent="0.25">
      <c r="A8804" s="15" t="str">
        <f t="shared" si="274"/>
        <v/>
      </c>
      <c r="B8804" s="18" t="str">
        <f t="shared" si="275"/>
        <v/>
      </c>
    </row>
    <row r="8805" spans="1:2" x14ac:dyDescent="0.25">
      <c r="A8805" s="15" t="str">
        <f t="shared" si="274"/>
        <v/>
      </c>
      <c r="B8805" s="18" t="str">
        <f t="shared" si="275"/>
        <v/>
      </c>
    </row>
    <row r="8806" spans="1:2" x14ac:dyDescent="0.25">
      <c r="A8806" s="15" t="str">
        <f t="shared" si="274"/>
        <v/>
      </c>
      <c r="B8806" s="18" t="str">
        <f t="shared" si="275"/>
        <v/>
      </c>
    </row>
    <row r="8807" spans="1:2" x14ac:dyDescent="0.25">
      <c r="A8807" s="15" t="str">
        <f t="shared" si="274"/>
        <v/>
      </c>
      <c r="B8807" s="18" t="str">
        <f t="shared" si="275"/>
        <v/>
      </c>
    </row>
    <row r="8808" spans="1:2" x14ac:dyDescent="0.25">
      <c r="A8808" s="15" t="str">
        <f t="shared" si="274"/>
        <v/>
      </c>
      <c r="B8808" s="18" t="str">
        <f t="shared" si="275"/>
        <v/>
      </c>
    </row>
    <row r="8809" spans="1:2" x14ac:dyDescent="0.25">
      <c r="A8809" s="15" t="str">
        <f t="shared" si="274"/>
        <v/>
      </c>
      <c r="B8809" s="18" t="str">
        <f t="shared" si="275"/>
        <v/>
      </c>
    </row>
    <row r="8810" spans="1:2" x14ac:dyDescent="0.25">
      <c r="A8810" s="15" t="str">
        <f t="shared" si="274"/>
        <v/>
      </c>
      <c r="B8810" s="18" t="str">
        <f t="shared" si="275"/>
        <v/>
      </c>
    </row>
    <row r="8811" spans="1:2" x14ac:dyDescent="0.25">
      <c r="A8811" s="15" t="str">
        <f t="shared" si="274"/>
        <v/>
      </c>
      <c r="B8811" s="18" t="str">
        <f t="shared" si="275"/>
        <v/>
      </c>
    </row>
    <row r="8812" spans="1:2" x14ac:dyDescent="0.25">
      <c r="A8812" s="15" t="str">
        <f t="shared" si="274"/>
        <v/>
      </c>
      <c r="B8812" s="18" t="str">
        <f t="shared" si="275"/>
        <v/>
      </c>
    </row>
    <row r="8813" spans="1:2" x14ac:dyDescent="0.25">
      <c r="A8813" s="15" t="str">
        <f t="shared" si="274"/>
        <v/>
      </c>
      <c r="B8813" s="18" t="str">
        <f t="shared" si="275"/>
        <v/>
      </c>
    </row>
    <row r="8814" spans="1:2" x14ac:dyDescent="0.25">
      <c r="A8814" s="15" t="str">
        <f t="shared" si="274"/>
        <v/>
      </c>
      <c r="B8814" s="18" t="str">
        <f t="shared" si="275"/>
        <v/>
      </c>
    </row>
    <row r="8815" spans="1:2" x14ac:dyDescent="0.25">
      <c r="A8815" s="15" t="str">
        <f t="shared" si="274"/>
        <v/>
      </c>
      <c r="B8815" s="18" t="str">
        <f t="shared" si="275"/>
        <v/>
      </c>
    </row>
    <row r="8816" spans="1:2" x14ac:dyDescent="0.25">
      <c r="A8816" s="15" t="str">
        <f t="shared" si="274"/>
        <v/>
      </c>
      <c r="B8816" s="18" t="str">
        <f t="shared" si="275"/>
        <v/>
      </c>
    </row>
    <row r="8817" spans="1:2" x14ac:dyDescent="0.25">
      <c r="A8817" s="15" t="str">
        <f t="shared" si="274"/>
        <v/>
      </c>
      <c r="B8817" s="18" t="str">
        <f t="shared" si="275"/>
        <v/>
      </c>
    </row>
    <row r="8818" spans="1:2" x14ac:dyDescent="0.25">
      <c r="A8818" s="15" t="str">
        <f t="shared" si="274"/>
        <v/>
      </c>
      <c r="B8818" s="18" t="str">
        <f t="shared" si="275"/>
        <v/>
      </c>
    </row>
    <row r="8819" spans="1:2" x14ac:dyDescent="0.25">
      <c r="A8819" s="15" t="str">
        <f t="shared" si="274"/>
        <v/>
      </c>
      <c r="B8819" s="18" t="str">
        <f t="shared" si="275"/>
        <v/>
      </c>
    </row>
    <row r="8820" spans="1:2" x14ac:dyDescent="0.25">
      <c r="A8820" s="15" t="str">
        <f t="shared" si="274"/>
        <v/>
      </c>
      <c r="B8820" s="18" t="str">
        <f t="shared" si="275"/>
        <v/>
      </c>
    </row>
    <row r="8821" spans="1:2" x14ac:dyDescent="0.25">
      <c r="A8821" s="15" t="str">
        <f t="shared" si="274"/>
        <v/>
      </c>
      <c r="B8821" s="18" t="str">
        <f t="shared" si="275"/>
        <v/>
      </c>
    </row>
    <row r="8822" spans="1:2" x14ac:dyDescent="0.25">
      <c r="A8822" s="15" t="str">
        <f t="shared" si="274"/>
        <v/>
      </c>
      <c r="B8822" s="18" t="str">
        <f t="shared" si="275"/>
        <v/>
      </c>
    </row>
    <row r="8823" spans="1:2" x14ac:dyDescent="0.25">
      <c r="A8823" s="15" t="str">
        <f t="shared" si="274"/>
        <v/>
      </c>
      <c r="B8823" s="18" t="str">
        <f t="shared" si="275"/>
        <v/>
      </c>
    </row>
    <row r="8824" spans="1:2" x14ac:dyDescent="0.25">
      <c r="A8824" s="15" t="str">
        <f t="shared" si="274"/>
        <v/>
      </c>
      <c r="B8824" s="18" t="str">
        <f t="shared" si="275"/>
        <v/>
      </c>
    </row>
    <row r="8825" spans="1:2" x14ac:dyDescent="0.25">
      <c r="A8825" s="15" t="str">
        <f t="shared" si="274"/>
        <v/>
      </c>
      <c r="B8825" s="18" t="str">
        <f t="shared" si="275"/>
        <v/>
      </c>
    </row>
    <row r="8826" spans="1:2" x14ac:dyDescent="0.25">
      <c r="A8826" s="15" t="str">
        <f t="shared" si="274"/>
        <v/>
      </c>
      <c r="B8826" s="18" t="str">
        <f t="shared" si="275"/>
        <v/>
      </c>
    </row>
    <row r="8827" spans="1:2" x14ac:dyDescent="0.25">
      <c r="A8827" s="15" t="str">
        <f t="shared" si="274"/>
        <v/>
      </c>
      <c r="B8827" s="18" t="str">
        <f t="shared" si="275"/>
        <v/>
      </c>
    </row>
    <row r="8828" spans="1:2" x14ac:dyDescent="0.25">
      <c r="A8828" s="15" t="str">
        <f t="shared" si="274"/>
        <v/>
      </c>
      <c r="B8828" s="18" t="str">
        <f t="shared" si="275"/>
        <v/>
      </c>
    </row>
    <row r="8829" spans="1:2" x14ac:dyDescent="0.25">
      <c r="A8829" s="15" t="str">
        <f t="shared" si="274"/>
        <v/>
      </c>
      <c r="B8829" s="18" t="str">
        <f t="shared" si="275"/>
        <v/>
      </c>
    </row>
    <row r="8830" spans="1:2" x14ac:dyDescent="0.25">
      <c r="A8830" s="15" t="str">
        <f t="shared" si="274"/>
        <v/>
      </c>
      <c r="B8830" s="18" t="str">
        <f t="shared" si="275"/>
        <v/>
      </c>
    </row>
    <row r="8831" spans="1:2" x14ac:dyDescent="0.25">
      <c r="A8831" s="15" t="str">
        <f t="shared" si="274"/>
        <v/>
      </c>
      <c r="B8831" s="18" t="str">
        <f t="shared" si="275"/>
        <v/>
      </c>
    </row>
    <row r="8832" spans="1:2" x14ac:dyDescent="0.25">
      <c r="A8832" s="15" t="str">
        <f t="shared" si="274"/>
        <v/>
      </c>
      <c r="B8832" s="18" t="str">
        <f t="shared" si="275"/>
        <v/>
      </c>
    </row>
    <row r="8833" spans="1:2" x14ac:dyDescent="0.25">
      <c r="A8833" s="15" t="str">
        <f t="shared" si="274"/>
        <v/>
      </c>
      <c r="B8833" s="18" t="str">
        <f t="shared" si="275"/>
        <v/>
      </c>
    </row>
    <row r="8834" spans="1:2" x14ac:dyDescent="0.25">
      <c r="A8834" s="15" t="str">
        <f t="shared" ref="A8834:A8897" si="276">B8834&amp;C8834</f>
        <v/>
      </c>
      <c r="B8834" s="18" t="str">
        <f t="shared" si="275"/>
        <v/>
      </c>
    </row>
    <row r="8835" spans="1:2" x14ac:dyDescent="0.25">
      <c r="A8835" s="15" t="str">
        <f t="shared" si="276"/>
        <v/>
      </c>
      <c r="B8835" s="18" t="str">
        <f t="shared" ref="B8835:B8898" si="277">IF(C8835="","",B8834)</f>
        <v/>
      </c>
    </row>
    <row r="8836" spans="1:2" x14ac:dyDescent="0.25">
      <c r="A8836" s="15" t="str">
        <f t="shared" si="276"/>
        <v/>
      </c>
      <c r="B8836" s="18" t="str">
        <f t="shared" si="277"/>
        <v/>
      </c>
    </row>
    <row r="8837" spans="1:2" x14ac:dyDescent="0.25">
      <c r="A8837" s="15" t="str">
        <f t="shared" si="276"/>
        <v/>
      </c>
      <c r="B8837" s="18" t="str">
        <f t="shared" si="277"/>
        <v/>
      </c>
    </row>
    <row r="8838" spans="1:2" x14ac:dyDescent="0.25">
      <c r="A8838" s="15" t="str">
        <f t="shared" si="276"/>
        <v/>
      </c>
      <c r="B8838" s="18" t="str">
        <f t="shared" si="277"/>
        <v/>
      </c>
    </row>
    <row r="8839" spans="1:2" x14ac:dyDescent="0.25">
      <c r="A8839" s="15" t="str">
        <f t="shared" si="276"/>
        <v/>
      </c>
      <c r="B8839" s="18" t="str">
        <f t="shared" si="277"/>
        <v/>
      </c>
    </row>
    <row r="8840" spans="1:2" x14ac:dyDescent="0.25">
      <c r="A8840" s="15" t="str">
        <f t="shared" si="276"/>
        <v/>
      </c>
      <c r="B8840" s="18" t="str">
        <f t="shared" si="277"/>
        <v/>
      </c>
    </row>
    <row r="8841" spans="1:2" x14ac:dyDescent="0.25">
      <c r="A8841" s="15" t="str">
        <f t="shared" si="276"/>
        <v/>
      </c>
      <c r="B8841" s="18" t="str">
        <f t="shared" si="277"/>
        <v/>
      </c>
    </row>
    <row r="8842" spans="1:2" x14ac:dyDescent="0.25">
      <c r="A8842" s="15" t="str">
        <f t="shared" si="276"/>
        <v/>
      </c>
      <c r="B8842" s="18" t="str">
        <f t="shared" si="277"/>
        <v/>
      </c>
    </row>
    <row r="8843" spans="1:2" x14ac:dyDescent="0.25">
      <c r="A8843" s="15" t="str">
        <f t="shared" si="276"/>
        <v/>
      </c>
      <c r="B8843" s="18" t="str">
        <f t="shared" si="277"/>
        <v/>
      </c>
    </row>
    <row r="8844" spans="1:2" x14ac:dyDescent="0.25">
      <c r="A8844" s="15" t="str">
        <f t="shared" si="276"/>
        <v/>
      </c>
      <c r="B8844" s="18" t="str">
        <f t="shared" si="277"/>
        <v/>
      </c>
    </row>
    <row r="8845" spans="1:2" x14ac:dyDescent="0.25">
      <c r="A8845" s="15" t="str">
        <f t="shared" si="276"/>
        <v/>
      </c>
      <c r="B8845" s="18" t="str">
        <f t="shared" si="277"/>
        <v/>
      </c>
    </row>
    <row r="8846" spans="1:2" x14ac:dyDescent="0.25">
      <c r="A8846" s="15" t="str">
        <f t="shared" si="276"/>
        <v/>
      </c>
      <c r="B8846" s="18" t="str">
        <f t="shared" si="277"/>
        <v/>
      </c>
    </row>
    <row r="8847" spans="1:2" x14ac:dyDescent="0.25">
      <c r="A8847" s="15" t="str">
        <f t="shared" si="276"/>
        <v/>
      </c>
      <c r="B8847" s="18" t="str">
        <f t="shared" si="277"/>
        <v/>
      </c>
    </row>
    <row r="8848" spans="1:2" x14ac:dyDescent="0.25">
      <c r="A8848" s="15" t="str">
        <f t="shared" si="276"/>
        <v/>
      </c>
      <c r="B8848" s="18" t="str">
        <f t="shared" si="277"/>
        <v/>
      </c>
    </row>
    <row r="8849" spans="1:2" x14ac:dyDescent="0.25">
      <c r="A8849" s="15" t="str">
        <f t="shared" si="276"/>
        <v/>
      </c>
      <c r="B8849" s="18" t="str">
        <f t="shared" si="277"/>
        <v/>
      </c>
    </row>
    <row r="8850" spans="1:2" x14ac:dyDescent="0.25">
      <c r="A8850" s="15" t="str">
        <f t="shared" si="276"/>
        <v/>
      </c>
      <c r="B8850" s="18" t="str">
        <f t="shared" si="277"/>
        <v/>
      </c>
    </row>
    <row r="8851" spans="1:2" x14ac:dyDescent="0.25">
      <c r="A8851" s="15" t="str">
        <f t="shared" si="276"/>
        <v/>
      </c>
      <c r="B8851" s="18" t="str">
        <f t="shared" si="277"/>
        <v/>
      </c>
    </row>
    <row r="8852" spans="1:2" x14ac:dyDescent="0.25">
      <c r="A8852" s="15" t="str">
        <f t="shared" si="276"/>
        <v/>
      </c>
      <c r="B8852" s="18" t="str">
        <f t="shared" si="277"/>
        <v/>
      </c>
    </row>
    <row r="8853" spans="1:2" x14ac:dyDescent="0.25">
      <c r="A8853" s="15" t="str">
        <f t="shared" si="276"/>
        <v/>
      </c>
      <c r="B8853" s="18" t="str">
        <f t="shared" si="277"/>
        <v/>
      </c>
    </row>
    <row r="8854" spans="1:2" x14ac:dyDescent="0.25">
      <c r="A8854" s="15" t="str">
        <f t="shared" si="276"/>
        <v/>
      </c>
      <c r="B8854" s="18" t="str">
        <f t="shared" si="277"/>
        <v/>
      </c>
    </row>
    <row r="8855" spans="1:2" x14ac:dyDescent="0.25">
      <c r="A8855" s="15" t="str">
        <f t="shared" si="276"/>
        <v/>
      </c>
      <c r="B8855" s="18" t="str">
        <f t="shared" si="277"/>
        <v/>
      </c>
    </row>
    <row r="8856" spans="1:2" x14ac:dyDescent="0.25">
      <c r="A8856" s="15" t="str">
        <f t="shared" si="276"/>
        <v/>
      </c>
      <c r="B8856" s="18" t="str">
        <f t="shared" si="277"/>
        <v/>
      </c>
    </row>
    <row r="8857" spans="1:2" x14ac:dyDescent="0.25">
      <c r="A8857" s="15" t="str">
        <f t="shared" si="276"/>
        <v/>
      </c>
      <c r="B8857" s="18" t="str">
        <f t="shared" si="277"/>
        <v/>
      </c>
    </row>
    <row r="8858" spans="1:2" x14ac:dyDescent="0.25">
      <c r="A8858" s="15" t="str">
        <f t="shared" si="276"/>
        <v/>
      </c>
      <c r="B8858" s="18" t="str">
        <f t="shared" si="277"/>
        <v/>
      </c>
    </row>
    <row r="8859" spans="1:2" x14ac:dyDescent="0.25">
      <c r="A8859" s="15" t="str">
        <f t="shared" si="276"/>
        <v/>
      </c>
      <c r="B8859" s="18" t="str">
        <f t="shared" si="277"/>
        <v/>
      </c>
    </row>
    <row r="8860" spans="1:2" x14ac:dyDescent="0.25">
      <c r="A8860" s="15" t="str">
        <f t="shared" si="276"/>
        <v/>
      </c>
      <c r="B8860" s="18" t="str">
        <f t="shared" si="277"/>
        <v/>
      </c>
    </row>
    <row r="8861" spans="1:2" x14ac:dyDescent="0.25">
      <c r="A8861" s="15" t="str">
        <f t="shared" si="276"/>
        <v/>
      </c>
      <c r="B8861" s="18" t="str">
        <f t="shared" si="277"/>
        <v/>
      </c>
    </row>
    <row r="8862" spans="1:2" x14ac:dyDescent="0.25">
      <c r="A8862" s="15" t="str">
        <f t="shared" si="276"/>
        <v/>
      </c>
      <c r="B8862" s="18" t="str">
        <f t="shared" si="277"/>
        <v/>
      </c>
    </row>
    <row r="8863" spans="1:2" x14ac:dyDescent="0.25">
      <c r="A8863" s="15" t="str">
        <f t="shared" si="276"/>
        <v/>
      </c>
      <c r="B8863" s="18" t="str">
        <f t="shared" si="277"/>
        <v/>
      </c>
    </row>
    <row r="8864" spans="1:2" x14ac:dyDescent="0.25">
      <c r="A8864" s="15" t="str">
        <f t="shared" si="276"/>
        <v/>
      </c>
      <c r="B8864" s="18" t="str">
        <f t="shared" si="277"/>
        <v/>
      </c>
    </row>
    <row r="8865" spans="1:2" x14ac:dyDescent="0.25">
      <c r="A8865" s="15" t="str">
        <f t="shared" si="276"/>
        <v/>
      </c>
      <c r="B8865" s="18" t="str">
        <f t="shared" si="277"/>
        <v/>
      </c>
    </row>
    <row r="8866" spans="1:2" x14ac:dyDescent="0.25">
      <c r="A8866" s="15" t="str">
        <f t="shared" si="276"/>
        <v/>
      </c>
      <c r="B8866" s="18" t="str">
        <f t="shared" si="277"/>
        <v/>
      </c>
    </row>
    <row r="8867" spans="1:2" x14ac:dyDescent="0.25">
      <c r="A8867" s="15" t="str">
        <f t="shared" si="276"/>
        <v/>
      </c>
      <c r="B8867" s="18" t="str">
        <f t="shared" si="277"/>
        <v/>
      </c>
    </row>
    <row r="8868" spans="1:2" x14ac:dyDescent="0.25">
      <c r="A8868" s="15" t="str">
        <f t="shared" si="276"/>
        <v/>
      </c>
      <c r="B8868" s="18" t="str">
        <f t="shared" si="277"/>
        <v/>
      </c>
    </row>
    <row r="8869" spans="1:2" x14ac:dyDescent="0.25">
      <c r="A8869" s="15" t="str">
        <f t="shared" si="276"/>
        <v/>
      </c>
      <c r="B8869" s="18" t="str">
        <f t="shared" si="277"/>
        <v/>
      </c>
    </row>
    <row r="8870" spans="1:2" x14ac:dyDescent="0.25">
      <c r="A8870" s="15" t="str">
        <f t="shared" si="276"/>
        <v/>
      </c>
      <c r="B8870" s="18" t="str">
        <f t="shared" si="277"/>
        <v/>
      </c>
    </row>
    <row r="8871" spans="1:2" x14ac:dyDescent="0.25">
      <c r="A8871" s="15" t="str">
        <f t="shared" si="276"/>
        <v/>
      </c>
      <c r="B8871" s="18" t="str">
        <f t="shared" si="277"/>
        <v/>
      </c>
    </row>
    <row r="8872" spans="1:2" x14ac:dyDescent="0.25">
      <c r="A8872" s="15" t="str">
        <f t="shared" si="276"/>
        <v/>
      </c>
      <c r="B8872" s="18" t="str">
        <f t="shared" si="277"/>
        <v/>
      </c>
    </row>
    <row r="8873" spans="1:2" x14ac:dyDescent="0.25">
      <c r="A8873" s="15" t="str">
        <f t="shared" si="276"/>
        <v/>
      </c>
      <c r="B8873" s="18" t="str">
        <f t="shared" si="277"/>
        <v/>
      </c>
    </row>
    <row r="8874" spans="1:2" x14ac:dyDescent="0.25">
      <c r="A8874" s="15" t="str">
        <f t="shared" si="276"/>
        <v/>
      </c>
      <c r="B8874" s="18" t="str">
        <f t="shared" si="277"/>
        <v/>
      </c>
    </row>
    <row r="8875" spans="1:2" x14ac:dyDescent="0.25">
      <c r="A8875" s="15" t="str">
        <f t="shared" si="276"/>
        <v/>
      </c>
      <c r="B8875" s="18" t="str">
        <f t="shared" si="277"/>
        <v/>
      </c>
    </row>
    <row r="8876" spans="1:2" x14ac:dyDescent="0.25">
      <c r="A8876" s="15" t="str">
        <f t="shared" si="276"/>
        <v/>
      </c>
      <c r="B8876" s="18" t="str">
        <f t="shared" si="277"/>
        <v/>
      </c>
    </row>
    <row r="8877" spans="1:2" x14ac:dyDescent="0.25">
      <c r="A8877" s="15" t="str">
        <f t="shared" si="276"/>
        <v/>
      </c>
      <c r="B8877" s="18" t="str">
        <f t="shared" si="277"/>
        <v/>
      </c>
    </row>
    <row r="8878" spans="1:2" x14ac:dyDescent="0.25">
      <c r="A8878" s="15" t="str">
        <f t="shared" si="276"/>
        <v/>
      </c>
      <c r="B8878" s="18" t="str">
        <f t="shared" si="277"/>
        <v/>
      </c>
    </row>
    <row r="8879" spans="1:2" x14ac:dyDescent="0.25">
      <c r="A8879" s="15" t="str">
        <f t="shared" si="276"/>
        <v/>
      </c>
      <c r="B8879" s="18" t="str">
        <f t="shared" si="277"/>
        <v/>
      </c>
    </row>
    <row r="8880" spans="1:2" x14ac:dyDescent="0.25">
      <c r="A8880" s="15" t="str">
        <f t="shared" si="276"/>
        <v/>
      </c>
      <c r="B8880" s="18" t="str">
        <f t="shared" si="277"/>
        <v/>
      </c>
    </row>
    <row r="8881" spans="1:2" x14ac:dyDescent="0.25">
      <c r="A8881" s="15" t="str">
        <f t="shared" si="276"/>
        <v/>
      </c>
      <c r="B8881" s="18" t="str">
        <f t="shared" si="277"/>
        <v/>
      </c>
    </row>
    <row r="8882" spans="1:2" x14ac:dyDescent="0.25">
      <c r="A8882" s="15" t="str">
        <f t="shared" si="276"/>
        <v/>
      </c>
      <c r="B8882" s="18" t="str">
        <f t="shared" si="277"/>
        <v/>
      </c>
    </row>
    <row r="8883" spans="1:2" x14ac:dyDescent="0.25">
      <c r="A8883" s="15" t="str">
        <f t="shared" si="276"/>
        <v/>
      </c>
      <c r="B8883" s="18" t="str">
        <f t="shared" si="277"/>
        <v/>
      </c>
    </row>
    <row r="8884" spans="1:2" x14ac:dyDescent="0.25">
      <c r="A8884" s="15" t="str">
        <f t="shared" si="276"/>
        <v/>
      </c>
      <c r="B8884" s="18" t="str">
        <f t="shared" si="277"/>
        <v/>
      </c>
    </row>
    <row r="8885" spans="1:2" x14ac:dyDescent="0.25">
      <c r="A8885" s="15" t="str">
        <f t="shared" si="276"/>
        <v/>
      </c>
      <c r="B8885" s="18" t="str">
        <f t="shared" si="277"/>
        <v/>
      </c>
    </row>
    <row r="8886" spans="1:2" x14ac:dyDescent="0.25">
      <c r="A8886" s="15" t="str">
        <f t="shared" si="276"/>
        <v/>
      </c>
      <c r="B8886" s="18" t="str">
        <f t="shared" si="277"/>
        <v/>
      </c>
    </row>
    <row r="8887" spans="1:2" x14ac:dyDescent="0.25">
      <c r="A8887" s="15" t="str">
        <f t="shared" si="276"/>
        <v/>
      </c>
      <c r="B8887" s="18" t="str">
        <f t="shared" si="277"/>
        <v/>
      </c>
    </row>
    <row r="8888" spans="1:2" x14ac:dyDescent="0.25">
      <c r="A8888" s="15" t="str">
        <f t="shared" si="276"/>
        <v/>
      </c>
      <c r="B8888" s="18" t="str">
        <f t="shared" si="277"/>
        <v/>
      </c>
    </row>
    <row r="8889" spans="1:2" x14ac:dyDescent="0.25">
      <c r="A8889" s="15" t="str">
        <f t="shared" si="276"/>
        <v/>
      </c>
      <c r="B8889" s="18" t="str">
        <f t="shared" si="277"/>
        <v/>
      </c>
    </row>
    <row r="8890" spans="1:2" x14ac:dyDescent="0.25">
      <c r="A8890" s="15" t="str">
        <f t="shared" si="276"/>
        <v/>
      </c>
      <c r="B8890" s="18" t="str">
        <f t="shared" si="277"/>
        <v/>
      </c>
    </row>
    <row r="8891" spans="1:2" x14ac:dyDescent="0.25">
      <c r="A8891" s="15" t="str">
        <f t="shared" si="276"/>
        <v/>
      </c>
      <c r="B8891" s="18" t="str">
        <f t="shared" si="277"/>
        <v/>
      </c>
    </row>
    <row r="8892" spans="1:2" x14ac:dyDescent="0.25">
      <c r="A8892" s="15" t="str">
        <f t="shared" si="276"/>
        <v/>
      </c>
      <c r="B8892" s="18" t="str">
        <f t="shared" si="277"/>
        <v/>
      </c>
    </row>
    <row r="8893" spans="1:2" x14ac:dyDescent="0.25">
      <c r="A8893" s="15" t="str">
        <f t="shared" si="276"/>
        <v/>
      </c>
      <c r="B8893" s="18" t="str">
        <f t="shared" si="277"/>
        <v/>
      </c>
    </row>
    <row r="8894" spans="1:2" x14ac:dyDescent="0.25">
      <c r="A8894" s="15" t="str">
        <f t="shared" si="276"/>
        <v/>
      </c>
      <c r="B8894" s="18" t="str">
        <f t="shared" si="277"/>
        <v/>
      </c>
    </row>
    <row r="8895" spans="1:2" x14ac:dyDescent="0.25">
      <c r="A8895" s="15" t="str">
        <f t="shared" si="276"/>
        <v/>
      </c>
      <c r="B8895" s="18" t="str">
        <f t="shared" si="277"/>
        <v/>
      </c>
    </row>
    <row r="8896" spans="1:2" x14ac:dyDescent="0.25">
      <c r="A8896" s="15" t="str">
        <f t="shared" si="276"/>
        <v/>
      </c>
      <c r="B8896" s="18" t="str">
        <f t="shared" si="277"/>
        <v/>
      </c>
    </row>
    <row r="8897" spans="1:2" x14ac:dyDescent="0.25">
      <c r="A8897" s="15" t="str">
        <f t="shared" si="276"/>
        <v/>
      </c>
      <c r="B8897" s="18" t="str">
        <f t="shared" si="277"/>
        <v/>
      </c>
    </row>
    <row r="8898" spans="1:2" x14ac:dyDescent="0.25">
      <c r="A8898" s="15" t="str">
        <f t="shared" ref="A8898:A8961" si="278">B8898&amp;C8898</f>
        <v/>
      </c>
      <c r="B8898" s="18" t="str">
        <f t="shared" si="277"/>
        <v/>
      </c>
    </row>
    <row r="8899" spans="1:2" x14ac:dyDescent="0.25">
      <c r="A8899" s="15" t="str">
        <f t="shared" si="278"/>
        <v/>
      </c>
      <c r="B8899" s="18" t="str">
        <f t="shared" ref="B8899:B8962" si="279">IF(C8899="","",B8898)</f>
        <v/>
      </c>
    </row>
    <row r="8900" spans="1:2" x14ac:dyDescent="0.25">
      <c r="A8900" s="15" t="str">
        <f t="shared" si="278"/>
        <v/>
      </c>
      <c r="B8900" s="18" t="str">
        <f t="shared" si="279"/>
        <v/>
      </c>
    </row>
    <row r="8901" spans="1:2" x14ac:dyDescent="0.25">
      <c r="A8901" s="15" t="str">
        <f t="shared" si="278"/>
        <v/>
      </c>
      <c r="B8901" s="18" t="str">
        <f t="shared" si="279"/>
        <v/>
      </c>
    </row>
    <row r="8902" spans="1:2" x14ac:dyDescent="0.25">
      <c r="A8902" s="15" t="str">
        <f t="shared" si="278"/>
        <v/>
      </c>
      <c r="B8902" s="18" t="str">
        <f t="shared" si="279"/>
        <v/>
      </c>
    </row>
    <row r="8903" spans="1:2" x14ac:dyDescent="0.25">
      <c r="A8903" s="15" t="str">
        <f t="shared" si="278"/>
        <v/>
      </c>
      <c r="B8903" s="18" t="str">
        <f t="shared" si="279"/>
        <v/>
      </c>
    </row>
    <row r="8904" spans="1:2" x14ac:dyDescent="0.25">
      <c r="A8904" s="15" t="str">
        <f t="shared" si="278"/>
        <v/>
      </c>
      <c r="B8904" s="18" t="str">
        <f t="shared" si="279"/>
        <v/>
      </c>
    </row>
    <row r="8905" spans="1:2" x14ac:dyDescent="0.25">
      <c r="A8905" s="15" t="str">
        <f t="shared" si="278"/>
        <v/>
      </c>
      <c r="B8905" s="18" t="str">
        <f t="shared" si="279"/>
        <v/>
      </c>
    </row>
    <row r="8906" spans="1:2" x14ac:dyDescent="0.25">
      <c r="A8906" s="15" t="str">
        <f t="shared" si="278"/>
        <v/>
      </c>
      <c r="B8906" s="18" t="str">
        <f t="shared" si="279"/>
        <v/>
      </c>
    </row>
    <row r="8907" spans="1:2" x14ac:dyDescent="0.25">
      <c r="A8907" s="15" t="str">
        <f t="shared" si="278"/>
        <v/>
      </c>
      <c r="B8907" s="18" t="str">
        <f t="shared" si="279"/>
        <v/>
      </c>
    </row>
    <row r="8908" spans="1:2" x14ac:dyDescent="0.25">
      <c r="A8908" s="15" t="str">
        <f t="shared" si="278"/>
        <v/>
      </c>
      <c r="B8908" s="18" t="str">
        <f t="shared" si="279"/>
        <v/>
      </c>
    </row>
    <row r="8909" spans="1:2" x14ac:dyDescent="0.25">
      <c r="A8909" s="15" t="str">
        <f t="shared" si="278"/>
        <v/>
      </c>
      <c r="B8909" s="18" t="str">
        <f t="shared" si="279"/>
        <v/>
      </c>
    </row>
    <row r="8910" spans="1:2" x14ac:dyDescent="0.25">
      <c r="A8910" s="15" t="str">
        <f t="shared" si="278"/>
        <v/>
      </c>
      <c r="B8910" s="18" t="str">
        <f t="shared" si="279"/>
        <v/>
      </c>
    </row>
    <row r="8911" spans="1:2" x14ac:dyDescent="0.25">
      <c r="A8911" s="15" t="str">
        <f t="shared" si="278"/>
        <v/>
      </c>
      <c r="B8911" s="18" t="str">
        <f t="shared" si="279"/>
        <v/>
      </c>
    </row>
    <row r="8912" spans="1:2" x14ac:dyDescent="0.25">
      <c r="A8912" s="15" t="str">
        <f t="shared" si="278"/>
        <v/>
      </c>
      <c r="B8912" s="18" t="str">
        <f t="shared" si="279"/>
        <v/>
      </c>
    </row>
    <row r="8913" spans="1:2" x14ac:dyDescent="0.25">
      <c r="A8913" s="15" t="str">
        <f t="shared" si="278"/>
        <v/>
      </c>
      <c r="B8913" s="18" t="str">
        <f t="shared" si="279"/>
        <v/>
      </c>
    </row>
    <row r="8914" spans="1:2" x14ac:dyDescent="0.25">
      <c r="A8914" s="15" t="str">
        <f t="shared" si="278"/>
        <v/>
      </c>
      <c r="B8914" s="18" t="str">
        <f t="shared" si="279"/>
        <v/>
      </c>
    </row>
    <row r="8915" spans="1:2" x14ac:dyDescent="0.25">
      <c r="A8915" s="15" t="str">
        <f t="shared" si="278"/>
        <v/>
      </c>
      <c r="B8915" s="18" t="str">
        <f t="shared" si="279"/>
        <v/>
      </c>
    </row>
    <row r="8916" spans="1:2" x14ac:dyDescent="0.25">
      <c r="A8916" s="15" t="str">
        <f t="shared" si="278"/>
        <v/>
      </c>
      <c r="B8916" s="18" t="str">
        <f t="shared" si="279"/>
        <v/>
      </c>
    </row>
    <row r="8917" spans="1:2" x14ac:dyDescent="0.25">
      <c r="A8917" s="15" t="str">
        <f t="shared" si="278"/>
        <v/>
      </c>
      <c r="B8917" s="18" t="str">
        <f t="shared" si="279"/>
        <v/>
      </c>
    </row>
    <row r="8918" spans="1:2" x14ac:dyDescent="0.25">
      <c r="A8918" s="15" t="str">
        <f t="shared" si="278"/>
        <v/>
      </c>
      <c r="B8918" s="18" t="str">
        <f t="shared" si="279"/>
        <v/>
      </c>
    </row>
    <row r="8919" spans="1:2" x14ac:dyDescent="0.25">
      <c r="A8919" s="15" t="str">
        <f t="shared" si="278"/>
        <v/>
      </c>
      <c r="B8919" s="18" t="str">
        <f t="shared" si="279"/>
        <v/>
      </c>
    </row>
    <row r="8920" spans="1:2" x14ac:dyDescent="0.25">
      <c r="A8920" s="15" t="str">
        <f t="shared" si="278"/>
        <v/>
      </c>
      <c r="B8920" s="18" t="str">
        <f t="shared" si="279"/>
        <v/>
      </c>
    </row>
    <row r="8921" spans="1:2" x14ac:dyDescent="0.25">
      <c r="A8921" s="15" t="str">
        <f t="shared" si="278"/>
        <v/>
      </c>
      <c r="B8921" s="18" t="str">
        <f t="shared" si="279"/>
        <v/>
      </c>
    </row>
    <row r="8922" spans="1:2" x14ac:dyDescent="0.25">
      <c r="A8922" s="15" t="str">
        <f t="shared" si="278"/>
        <v/>
      </c>
      <c r="B8922" s="18" t="str">
        <f t="shared" si="279"/>
        <v/>
      </c>
    </row>
    <row r="8923" spans="1:2" x14ac:dyDescent="0.25">
      <c r="A8923" s="15" t="str">
        <f t="shared" si="278"/>
        <v/>
      </c>
      <c r="B8923" s="18" t="str">
        <f t="shared" si="279"/>
        <v/>
      </c>
    </row>
    <row r="8924" spans="1:2" x14ac:dyDescent="0.25">
      <c r="A8924" s="15" t="str">
        <f t="shared" si="278"/>
        <v/>
      </c>
      <c r="B8924" s="18" t="str">
        <f t="shared" si="279"/>
        <v/>
      </c>
    </row>
    <row r="8925" spans="1:2" x14ac:dyDescent="0.25">
      <c r="A8925" s="15" t="str">
        <f t="shared" si="278"/>
        <v/>
      </c>
      <c r="B8925" s="18" t="str">
        <f t="shared" si="279"/>
        <v/>
      </c>
    </row>
    <row r="8926" spans="1:2" x14ac:dyDescent="0.25">
      <c r="A8926" s="15" t="str">
        <f t="shared" si="278"/>
        <v/>
      </c>
      <c r="B8926" s="18" t="str">
        <f t="shared" si="279"/>
        <v/>
      </c>
    </row>
    <row r="8927" spans="1:2" x14ac:dyDescent="0.25">
      <c r="A8927" s="15" t="str">
        <f t="shared" si="278"/>
        <v/>
      </c>
      <c r="B8927" s="18" t="str">
        <f t="shared" si="279"/>
        <v/>
      </c>
    </row>
    <row r="8928" spans="1:2" x14ac:dyDescent="0.25">
      <c r="A8928" s="15" t="str">
        <f t="shared" si="278"/>
        <v/>
      </c>
      <c r="B8928" s="18" t="str">
        <f t="shared" si="279"/>
        <v/>
      </c>
    </row>
    <row r="8929" spans="1:2" x14ac:dyDescent="0.25">
      <c r="A8929" s="15" t="str">
        <f t="shared" si="278"/>
        <v/>
      </c>
      <c r="B8929" s="18" t="str">
        <f t="shared" si="279"/>
        <v/>
      </c>
    </row>
    <row r="8930" spans="1:2" x14ac:dyDescent="0.25">
      <c r="A8930" s="15" t="str">
        <f t="shared" si="278"/>
        <v/>
      </c>
      <c r="B8930" s="18" t="str">
        <f t="shared" si="279"/>
        <v/>
      </c>
    </row>
    <row r="8931" spans="1:2" x14ac:dyDescent="0.25">
      <c r="A8931" s="15" t="str">
        <f t="shared" si="278"/>
        <v/>
      </c>
      <c r="B8931" s="18" t="str">
        <f t="shared" si="279"/>
        <v/>
      </c>
    </row>
    <row r="8932" spans="1:2" x14ac:dyDescent="0.25">
      <c r="A8932" s="15" t="str">
        <f t="shared" si="278"/>
        <v/>
      </c>
      <c r="B8932" s="18" t="str">
        <f t="shared" si="279"/>
        <v/>
      </c>
    </row>
    <row r="8933" spans="1:2" x14ac:dyDescent="0.25">
      <c r="A8933" s="15" t="str">
        <f t="shared" si="278"/>
        <v/>
      </c>
      <c r="B8933" s="18" t="str">
        <f t="shared" si="279"/>
        <v/>
      </c>
    </row>
    <row r="8934" spans="1:2" x14ac:dyDescent="0.25">
      <c r="A8934" s="15" t="str">
        <f t="shared" si="278"/>
        <v/>
      </c>
      <c r="B8934" s="18" t="str">
        <f t="shared" si="279"/>
        <v/>
      </c>
    </row>
    <row r="8935" spans="1:2" x14ac:dyDescent="0.25">
      <c r="A8935" s="15" t="str">
        <f t="shared" si="278"/>
        <v/>
      </c>
      <c r="B8935" s="18" t="str">
        <f t="shared" si="279"/>
        <v/>
      </c>
    </row>
    <row r="8936" spans="1:2" x14ac:dyDescent="0.25">
      <c r="A8936" s="15" t="str">
        <f t="shared" si="278"/>
        <v/>
      </c>
      <c r="B8936" s="18" t="str">
        <f t="shared" si="279"/>
        <v/>
      </c>
    </row>
    <row r="8937" spans="1:2" x14ac:dyDescent="0.25">
      <c r="A8937" s="15" t="str">
        <f t="shared" si="278"/>
        <v/>
      </c>
      <c r="B8937" s="18" t="str">
        <f t="shared" si="279"/>
        <v/>
      </c>
    </row>
    <row r="8938" spans="1:2" x14ac:dyDescent="0.25">
      <c r="A8938" s="15" t="str">
        <f t="shared" si="278"/>
        <v/>
      </c>
      <c r="B8938" s="18" t="str">
        <f t="shared" si="279"/>
        <v/>
      </c>
    </row>
    <row r="8939" spans="1:2" x14ac:dyDescent="0.25">
      <c r="A8939" s="15" t="str">
        <f t="shared" si="278"/>
        <v/>
      </c>
      <c r="B8939" s="18" t="str">
        <f t="shared" si="279"/>
        <v/>
      </c>
    </row>
    <row r="8940" spans="1:2" x14ac:dyDescent="0.25">
      <c r="A8940" s="15" t="str">
        <f t="shared" si="278"/>
        <v/>
      </c>
      <c r="B8940" s="18" t="str">
        <f t="shared" si="279"/>
        <v/>
      </c>
    </row>
    <row r="8941" spans="1:2" x14ac:dyDescent="0.25">
      <c r="A8941" s="15" t="str">
        <f t="shared" si="278"/>
        <v/>
      </c>
      <c r="B8941" s="18" t="str">
        <f t="shared" si="279"/>
        <v/>
      </c>
    </row>
    <row r="8942" spans="1:2" x14ac:dyDescent="0.25">
      <c r="A8942" s="15" t="str">
        <f t="shared" si="278"/>
        <v/>
      </c>
      <c r="B8942" s="18" t="str">
        <f t="shared" si="279"/>
        <v/>
      </c>
    </row>
    <row r="8943" spans="1:2" x14ac:dyDescent="0.25">
      <c r="A8943" s="15" t="str">
        <f t="shared" si="278"/>
        <v/>
      </c>
      <c r="B8943" s="18" t="str">
        <f t="shared" si="279"/>
        <v/>
      </c>
    </row>
    <row r="8944" spans="1:2" x14ac:dyDescent="0.25">
      <c r="A8944" s="15" t="str">
        <f t="shared" si="278"/>
        <v/>
      </c>
      <c r="B8944" s="18" t="str">
        <f t="shared" si="279"/>
        <v/>
      </c>
    </row>
    <row r="8945" spans="1:2" x14ac:dyDescent="0.25">
      <c r="A8945" s="15" t="str">
        <f t="shared" si="278"/>
        <v/>
      </c>
      <c r="B8945" s="18" t="str">
        <f t="shared" si="279"/>
        <v/>
      </c>
    </row>
    <row r="8946" spans="1:2" x14ac:dyDescent="0.25">
      <c r="A8946" s="15" t="str">
        <f t="shared" si="278"/>
        <v/>
      </c>
      <c r="B8946" s="18" t="str">
        <f t="shared" si="279"/>
        <v/>
      </c>
    </row>
    <row r="8947" spans="1:2" x14ac:dyDescent="0.25">
      <c r="A8947" s="15" t="str">
        <f t="shared" si="278"/>
        <v/>
      </c>
      <c r="B8947" s="18" t="str">
        <f t="shared" si="279"/>
        <v/>
      </c>
    </row>
    <row r="8948" spans="1:2" x14ac:dyDescent="0.25">
      <c r="A8948" s="15" t="str">
        <f t="shared" si="278"/>
        <v/>
      </c>
      <c r="B8948" s="18" t="str">
        <f t="shared" si="279"/>
        <v/>
      </c>
    </row>
    <row r="8949" spans="1:2" x14ac:dyDescent="0.25">
      <c r="A8949" s="15" t="str">
        <f t="shared" si="278"/>
        <v/>
      </c>
      <c r="B8949" s="18" t="str">
        <f t="shared" si="279"/>
        <v/>
      </c>
    </row>
    <row r="8950" spans="1:2" x14ac:dyDescent="0.25">
      <c r="A8950" s="15" t="str">
        <f t="shared" si="278"/>
        <v/>
      </c>
      <c r="B8950" s="18" t="str">
        <f t="shared" si="279"/>
        <v/>
      </c>
    </row>
    <row r="8951" spans="1:2" x14ac:dyDescent="0.25">
      <c r="A8951" s="15" t="str">
        <f t="shared" si="278"/>
        <v/>
      </c>
      <c r="B8951" s="18" t="str">
        <f t="shared" si="279"/>
        <v/>
      </c>
    </row>
    <row r="8952" spans="1:2" x14ac:dyDescent="0.25">
      <c r="A8952" s="15" t="str">
        <f t="shared" si="278"/>
        <v/>
      </c>
      <c r="B8952" s="18" t="str">
        <f t="shared" si="279"/>
        <v/>
      </c>
    </row>
    <row r="8953" spans="1:2" x14ac:dyDescent="0.25">
      <c r="A8953" s="15" t="str">
        <f t="shared" si="278"/>
        <v/>
      </c>
      <c r="B8953" s="18" t="str">
        <f t="shared" si="279"/>
        <v/>
      </c>
    </row>
    <row r="8954" spans="1:2" x14ac:dyDescent="0.25">
      <c r="A8954" s="15" t="str">
        <f t="shared" si="278"/>
        <v/>
      </c>
      <c r="B8954" s="18" t="str">
        <f t="shared" si="279"/>
        <v/>
      </c>
    </row>
    <row r="8955" spans="1:2" x14ac:dyDescent="0.25">
      <c r="A8955" s="15" t="str">
        <f t="shared" si="278"/>
        <v/>
      </c>
      <c r="B8955" s="18" t="str">
        <f t="shared" si="279"/>
        <v/>
      </c>
    </row>
    <row r="8956" spans="1:2" x14ac:dyDescent="0.25">
      <c r="A8956" s="15" t="str">
        <f t="shared" si="278"/>
        <v/>
      </c>
      <c r="B8956" s="18" t="str">
        <f t="shared" si="279"/>
        <v/>
      </c>
    </row>
    <row r="8957" spans="1:2" x14ac:dyDescent="0.25">
      <c r="A8957" s="15" t="str">
        <f t="shared" si="278"/>
        <v/>
      </c>
      <c r="B8957" s="18" t="str">
        <f t="shared" si="279"/>
        <v/>
      </c>
    </row>
    <row r="8958" spans="1:2" x14ac:dyDescent="0.25">
      <c r="A8958" s="15" t="str">
        <f t="shared" si="278"/>
        <v/>
      </c>
      <c r="B8958" s="18" t="str">
        <f t="shared" si="279"/>
        <v/>
      </c>
    </row>
    <row r="8959" spans="1:2" x14ac:dyDescent="0.25">
      <c r="A8959" s="15" t="str">
        <f t="shared" si="278"/>
        <v/>
      </c>
      <c r="B8959" s="18" t="str">
        <f t="shared" si="279"/>
        <v/>
      </c>
    </row>
    <row r="8960" spans="1:2" x14ac:dyDescent="0.25">
      <c r="A8960" s="15" t="str">
        <f t="shared" si="278"/>
        <v/>
      </c>
      <c r="B8960" s="18" t="str">
        <f t="shared" si="279"/>
        <v/>
      </c>
    </row>
    <row r="8961" spans="1:2" x14ac:dyDescent="0.25">
      <c r="A8961" s="15" t="str">
        <f t="shared" si="278"/>
        <v/>
      </c>
      <c r="B8961" s="18" t="str">
        <f t="shared" si="279"/>
        <v/>
      </c>
    </row>
    <row r="8962" spans="1:2" x14ac:dyDescent="0.25">
      <c r="A8962" s="15" t="str">
        <f t="shared" ref="A8962:A9025" si="280">B8962&amp;C8962</f>
        <v/>
      </c>
      <c r="B8962" s="18" t="str">
        <f t="shared" si="279"/>
        <v/>
      </c>
    </row>
    <row r="8963" spans="1:2" x14ac:dyDescent="0.25">
      <c r="A8963" s="15" t="str">
        <f t="shared" si="280"/>
        <v/>
      </c>
      <c r="B8963" s="18" t="str">
        <f t="shared" ref="B8963:B9026" si="281">IF(C8963="","",B8962)</f>
        <v/>
      </c>
    </row>
    <row r="8964" spans="1:2" x14ac:dyDescent="0.25">
      <c r="A8964" s="15" t="str">
        <f t="shared" si="280"/>
        <v/>
      </c>
      <c r="B8964" s="18" t="str">
        <f t="shared" si="281"/>
        <v/>
      </c>
    </row>
    <row r="8965" spans="1:2" x14ac:dyDescent="0.25">
      <c r="A8965" s="15" t="str">
        <f t="shared" si="280"/>
        <v/>
      </c>
      <c r="B8965" s="18" t="str">
        <f t="shared" si="281"/>
        <v/>
      </c>
    </row>
    <row r="8966" spans="1:2" x14ac:dyDescent="0.25">
      <c r="A8966" s="15" t="str">
        <f t="shared" si="280"/>
        <v/>
      </c>
      <c r="B8966" s="18" t="str">
        <f t="shared" si="281"/>
        <v/>
      </c>
    </row>
    <row r="8967" spans="1:2" x14ac:dyDescent="0.25">
      <c r="A8967" s="15" t="str">
        <f t="shared" si="280"/>
        <v/>
      </c>
      <c r="B8967" s="18" t="str">
        <f t="shared" si="281"/>
        <v/>
      </c>
    </row>
    <row r="8968" spans="1:2" x14ac:dyDescent="0.25">
      <c r="A8968" s="15" t="str">
        <f t="shared" si="280"/>
        <v/>
      </c>
      <c r="B8968" s="18" t="str">
        <f t="shared" si="281"/>
        <v/>
      </c>
    </row>
    <row r="8969" spans="1:2" x14ac:dyDescent="0.25">
      <c r="A8969" s="15" t="str">
        <f t="shared" si="280"/>
        <v/>
      </c>
      <c r="B8969" s="18" t="str">
        <f t="shared" si="281"/>
        <v/>
      </c>
    </row>
    <row r="8970" spans="1:2" x14ac:dyDescent="0.25">
      <c r="A8970" s="15" t="str">
        <f t="shared" si="280"/>
        <v/>
      </c>
      <c r="B8970" s="18" t="str">
        <f t="shared" si="281"/>
        <v/>
      </c>
    </row>
    <row r="8971" spans="1:2" x14ac:dyDescent="0.25">
      <c r="A8971" s="15" t="str">
        <f t="shared" si="280"/>
        <v/>
      </c>
      <c r="B8971" s="18" t="str">
        <f t="shared" si="281"/>
        <v/>
      </c>
    </row>
    <row r="8972" spans="1:2" x14ac:dyDescent="0.25">
      <c r="A8972" s="15" t="str">
        <f t="shared" si="280"/>
        <v/>
      </c>
      <c r="B8972" s="18" t="str">
        <f t="shared" si="281"/>
        <v/>
      </c>
    </row>
    <row r="8973" spans="1:2" x14ac:dyDescent="0.25">
      <c r="A8973" s="15" t="str">
        <f t="shared" si="280"/>
        <v/>
      </c>
      <c r="B8973" s="18" t="str">
        <f t="shared" si="281"/>
        <v/>
      </c>
    </row>
    <row r="8974" spans="1:2" x14ac:dyDescent="0.25">
      <c r="A8974" s="15" t="str">
        <f t="shared" si="280"/>
        <v/>
      </c>
      <c r="B8974" s="18" t="str">
        <f t="shared" si="281"/>
        <v/>
      </c>
    </row>
    <row r="8975" spans="1:2" x14ac:dyDescent="0.25">
      <c r="A8975" s="15" t="str">
        <f t="shared" si="280"/>
        <v/>
      </c>
      <c r="B8975" s="18" t="str">
        <f t="shared" si="281"/>
        <v/>
      </c>
    </row>
    <row r="8976" spans="1:2" x14ac:dyDescent="0.25">
      <c r="A8976" s="15" t="str">
        <f t="shared" si="280"/>
        <v/>
      </c>
      <c r="B8976" s="18" t="str">
        <f t="shared" si="281"/>
        <v/>
      </c>
    </row>
    <row r="8977" spans="1:2" x14ac:dyDescent="0.25">
      <c r="A8977" s="15" t="str">
        <f t="shared" si="280"/>
        <v/>
      </c>
      <c r="B8977" s="18" t="str">
        <f t="shared" si="281"/>
        <v/>
      </c>
    </row>
    <row r="8978" spans="1:2" x14ac:dyDescent="0.25">
      <c r="A8978" s="15" t="str">
        <f t="shared" si="280"/>
        <v/>
      </c>
      <c r="B8978" s="18" t="str">
        <f t="shared" si="281"/>
        <v/>
      </c>
    </row>
    <row r="8979" spans="1:2" x14ac:dyDescent="0.25">
      <c r="A8979" s="15" t="str">
        <f t="shared" si="280"/>
        <v/>
      </c>
      <c r="B8979" s="18" t="str">
        <f t="shared" si="281"/>
        <v/>
      </c>
    </row>
    <row r="8980" spans="1:2" x14ac:dyDescent="0.25">
      <c r="A8980" s="15" t="str">
        <f t="shared" si="280"/>
        <v/>
      </c>
      <c r="B8980" s="18" t="str">
        <f t="shared" si="281"/>
        <v/>
      </c>
    </row>
    <row r="8981" spans="1:2" x14ac:dyDescent="0.25">
      <c r="A8981" s="15" t="str">
        <f t="shared" si="280"/>
        <v/>
      </c>
      <c r="B8981" s="18" t="str">
        <f t="shared" si="281"/>
        <v/>
      </c>
    </row>
    <row r="8982" spans="1:2" x14ac:dyDescent="0.25">
      <c r="A8982" s="15" t="str">
        <f t="shared" si="280"/>
        <v/>
      </c>
      <c r="B8982" s="18" t="str">
        <f t="shared" si="281"/>
        <v/>
      </c>
    </row>
    <row r="8983" spans="1:2" x14ac:dyDescent="0.25">
      <c r="A8983" s="15" t="str">
        <f t="shared" si="280"/>
        <v/>
      </c>
      <c r="B8983" s="18" t="str">
        <f t="shared" si="281"/>
        <v/>
      </c>
    </row>
    <row r="8984" spans="1:2" x14ac:dyDescent="0.25">
      <c r="A8984" s="15" t="str">
        <f t="shared" si="280"/>
        <v/>
      </c>
      <c r="B8984" s="18" t="str">
        <f t="shared" si="281"/>
        <v/>
      </c>
    </row>
    <row r="8985" spans="1:2" x14ac:dyDescent="0.25">
      <c r="A8985" s="15" t="str">
        <f t="shared" si="280"/>
        <v/>
      </c>
      <c r="B8985" s="18" t="str">
        <f t="shared" si="281"/>
        <v/>
      </c>
    </row>
    <row r="8986" spans="1:2" x14ac:dyDescent="0.25">
      <c r="A8986" s="15" t="str">
        <f t="shared" si="280"/>
        <v/>
      </c>
      <c r="B8986" s="18" t="str">
        <f t="shared" si="281"/>
        <v/>
      </c>
    </row>
    <row r="8987" spans="1:2" x14ac:dyDescent="0.25">
      <c r="A8987" s="15" t="str">
        <f t="shared" si="280"/>
        <v/>
      </c>
      <c r="B8987" s="18" t="str">
        <f t="shared" si="281"/>
        <v/>
      </c>
    </row>
    <row r="8988" spans="1:2" x14ac:dyDescent="0.25">
      <c r="A8988" s="15" t="str">
        <f t="shared" si="280"/>
        <v/>
      </c>
      <c r="B8988" s="18" t="str">
        <f t="shared" si="281"/>
        <v/>
      </c>
    </row>
    <row r="8989" spans="1:2" x14ac:dyDescent="0.25">
      <c r="A8989" s="15" t="str">
        <f t="shared" si="280"/>
        <v/>
      </c>
      <c r="B8989" s="18" t="str">
        <f t="shared" si="281"/>
        <v/>
      </c>
    </row>
    <row r="8990" spans="1:2" x14ac:dyDescent="0.25">
      <c r="A8990" s="15" t="str">
        <f t="shared" si="280"/>
        <v/>
      </c>
      <c r="B8990" s="18" t="str">
        <f t="shared" si="281"/>
        <v/>
      </c>
    </row>
    <row r="8991" spans="1:2" x14ac:dyDescent="0.25">
      <c r="A8991" s="15" t="str">
        <f t="shared" si="280"/>
        <v/>
      </c>
      <c r="B8991" s="18" t="str">
        <f t="shared" si="281"/>
        <v/>
      </c>
    </row>
    <row r="8992" spans="1:2" x14ac:dyDescent="0.25">
      <c r="A8992" s="15" t="str">
        <f t="shared" si="280"/>
        <v/>
      </c>
      <c r="B8992" s="18" t="str">
        <f t="shared" si="281"/>
        <v/>
      </c>
    </row>
    <row r="8993" spans="1:2" x14ac:dyDescent="0.25">
      <c r="A8993" s="15" t="str">
        <f t="shared" si="280"/>
        <v/>
      </c>
      <c r="B8993" s="18" t="str">
        <f t="shared" si="281"/>
        <v/>
      </c>
    </row>
    <row r="8994" spans="1:2" x14ac:dyDescent="0.25">
      <c r="A8994" s="15" t="str">
        <f t="shared" si="280"/>
        <v/>
      </c>
      <c r="B8994" s="18" t="str">
        <f t="shared" si="281"/>
        <v/>
      </c>
    </row>
    <row r="8995" spans="1:2" x14ac:dyDescent="0.25">
      <c r="A8995" s="15" t="str">
        <f t="shared" si="280"/>
        <v/>
      </c>
      <c r="B8995" s="18" t="str">
        <f t="shared" si="281"/>
        <v/>
      </c>
    </row>
    <row r="8996" spans="1:2" x14ac:dyDescent="0.25">
      <c r="A8996" s="15" t="str">
        <f t="shared" si="280"/>
        <v/>
      </c>
      <c r="B8996" s="18" t="str">
        <f t="shared" si="281"/>
        <v/>
      </c>
    </row>
    <row r="8997" spans="1:2" x14ac:dyDescent="0.25">
      <c r="A8997" s="15" t="str">
        <f t="shared" si="280"/>
        <v/>
      </c>
      <c r="B8997" s="18" t="str">
        <f t="shared" si="281"/>
        <v/>
      </c>
    </row>
    <row r="8998" spans="1:2" x14ac:dyDescent="0.25">
      <c r="A8998" s="15" t="str">
        <f t="shared" si="280"/>
        <v/>
      </c>
      <c r="B8998" s="18" t="str">
        <f t="shared" si="281"/>
        <v/>
      </c>
    </row>
    <row r="8999" spans="1:2" x14ac:dyDescent="0.25">
      <c r="A8999" s="15" t="str">
        <f t="shared" si="280"/>
        <v/>
      </c>
      <c r="B8999" s="18" t="str">
        <f t="shared" si="281"/>
        <v/>
      </c>
    </row>
    <row r="9000" spans="1:2" x14ac:dyDescent="0.25">
      <c r="A9000" s="15" t="str">
        <f t="shared" si="280"/>
        <v/>
      </c>
      <c r="B9000" s="18" t="str">
        <f t="shared" si="281"/>
        <v/>
      </c>
    </row>
    <row r="9001" spans="1:2" x14ac:dyDescent="0.25">
      <c r="A9001" s="15" t="str">
        <f t="shared" si="280"/>
        <v/>
      </c>
      <c r="B9001" s="18" t="str">
        <f t="shared" si="281"/>
        <v/>
      </c>
    </row>
    <row r="9002" spans="1:2" x14ac:dyDescent="0.25">
      <c r="A9002" s="15" t="str">
        <f t="shared" si="280"/>
        <v/>
      </c>
      <c r="B9002" s="18" t="str">
        <f t="shared" si="281"/>
        <v/>
      </c>
    </row>
    <row r="9003" spans="1:2" x14ac:dyDescent="0.25">
      <c r="A9003" s="15" t="str">
        <f t="shared" si="280"/>
        <v/>
      </c>
      <c r="B9003" s="18" t="str">
        <f t="shared" si="281"/>
        <v/>
      </c>
    </row>
    <row r="9004" spans="1:2" x14ac:dyDescent="0.25">
      <c r="A9004" s="15" t="str">
        <f t="shared" si="280"/>
        <v/>
      </c>
      <c r="B9004" s="18" t="str">
        <f t="shared" si="281"/>
        <v/>
      </c>
    </row>
    <row r="9005" spans="1:2" x14ac:dyDescent="0.25">
      <c r="A9005" s="15" t="str">
        <f t="shared" si="280"/>
        <v/>
      </c>
      <c r="B9005" s="18" t="str">
        <f t="shared" si="281"/>
        <v/>
      </c>
    </row>
    <row r="9006" spans="1:2" x14ac:dyDescent="0.25">
      <c r="A9006" s="15" t="str">
        <f t="shared" si="280"/>
        <v/>
      </c>
      <c r="B9006" s="18" t="str">
        <f t="shared" si="281"/>
        <v/>
      </c>
    </row>
    <row r="9007" spans="1:2" x14ac:dyDescent="0.25">
      <c r="A9007" s="15" t="str">
        <f t="shared" si="280"/>
        <v/>
      </c>
      <c r="B9007" s="18" t="str">
        <f t="shared" si="281"/>
        <v/>
      </c>
    </row>
    <row r="9008" spans="1:2" x14ac:dyDescent="0.25">
      <c r="A9008" s="15" t="str">
        <f t="shared" si="280"/>
        <v/>
      </c>
      <c r="B9008" s="18" t="str">
        <f t="shared" si="281"/>
        <v/>
      </c>
    </row>
    <row r="9009" spans="1:2" x14ac:dyDescent="0.25">
      <c r="A9009" s="15" t="str">
        <f t="shared" si="280"/>
        <v/>
      </c>
      <c r="B9009" s="18" t="str">
        <f t="shared" si="281"/>
        <v/>
      </c>
    </row>
    <row r="9010" spans="1:2" x14ac:dyDescent="0.25">
      <c r="A9010" s="15" t="str">
        <f t="shared" si="280"/>
        <v/>
      </c>
      <c r="B9010" s="18" t="str">
        <f t="shared" si="281"/>
        <v/>
      </c>
    </row>
    <row r="9011" spans="1:2" x14ac:dyDescent="0.25">
      <c r="A9011" s="15" t="str">
        <f t="shared" si="280"/>
        <v/>
      </c>
      <c r="B9011" s="18" t="str">
        <f t="shared" si="281"/>
        <v/>
      </c>
    </row>
    <row r="9012" spans="1:2" x14ac:dyDescent="0.25">
      <c r="A9012" s="15" t="str">
        <f t="shared" si="280"/>
        <v/>
      </c>
      <c r="B9012" s="18" t="str">
        <f t="shared" si="281"/>
        <v/>
      </c>
    </row>
    <row r="9013" spans="1:2" x14ac:dyDescent="0.25">
      <c r="A9013" s="15" t="str">
        <f t="shared" si="280"/>
        <v/>
      </c>
      <c r="B9013" s="18" t="str">
        <f t="shared" si="281"/>
        <v/>
      </c>
    </row>
    <row r="9014" spans="1:2" x14ac:dyDescent="0.25">
      <c r="A9014" s="15" t="str">
        <f t="shared" si="280"/>
        <v/>
      </c>
      <c r="B9014" s="18" t="str">
        <f t="shared" si="281"/>
        <v/>
      </c>
    </row>
    <row r="9015" spans="1:2" x14ac:dyDescent="0.25">
      <c r="A9015" s="15" t="str">
        <f t="shared" si="280"/>
        <v/>
      </c>
      <c r="B9015" s="18" t="str">
        <f t="shared" si="281"/>
        <v/>
      </c>
    </row>
    <row r="9016" spans="1:2" x14ac:dyDescent="0.25">
      <c r="A9016" s="15" t="str">
        <f t="shared" si="280"/>
        <v/>
      </c>
      <c r="B9016" s="18" t="str">
        <f t="shared" si="281"/>
        <v/>
      </c>
    </row>
    <row r="9017" spans="1:2" x14ac:dyDescent="0.25">
      <c r="A9017" s="15" t="str">
        <f t="shared" si="280"/>
        <v/>
      </c>
      <c r="B9017" s="18" t="str">
        <f t="shared" si="281"/>
        <v/>
      </c>
    </row>
    <row r="9018" spans="1:2" x14ac:dyDescent="0.25">
      <c r="A9018" s="15" t="str">
        <f t="shared" si="280"/>
        <v/>
      </c>
      <c r="B9018" s="18" t="str">
        <f t="shared" si="281"/>
        <v/>
      </c>
    </row>
    <row r="9019" spans="1:2" x14ac:dyDescent="0.25">
      <c r="A9019" s="15" t="str">
        <f t="shared" si="280"/>
        <v/>
      </c>
      <c r="B9019" s="18" t="str">
        <f t="shared" si="281"/>
        <v/>
      </c>
    </row>
    <row r="9020" spans="1:2" x14ac:dyDescent="0.25">
      <c r="A9020" s="15" t="str">
        <f t="shared" si="280"/>
        <v/>
      </c>
      <c r="B9020" s="18" t="str">
        <f t="shared" si="281"/>
        <v/>
      </c>
    </row>
    <row r="9021" spans="1:2" x14ac:dyDescent="0.25">
      <c r="A9021" s="15" t="str">
        <f t="shared" si="280"/>
        <v/>
      </c>
      <c r="B9021" s="18" t="str">
        <f t="shared" si="281"/>
        <v/>
      </c>
    </row>
    <row r="9022" spans="1:2" x14ac:dyDescent="0.25">
      <c r="A9022" s="15" t="str">
        <f t="shared" si="280"/>
        <v/>
      </c>
      <c r="B9022" s="18" t="str">
        <f t="shared" si="281"/>
        <v/>
      </c>
    </row>
    <row r="9023" spans="1:2" x14ac:dyDescent="0.25">
      <c r="A9023" s="15" t="str">
        <f t="shared" si="280"/>
        <v/>
      </c>
      <c r="B9023" s="18" t="str">
        <f t="shared" si="281"/>
        <v/>
      </c>
    </row>
    <row r="9024" spans="1:2" x14ac:dyDescent="0.25">
      <c r="A9024" s="15" t="str">
        <f t="shared" si="280"/>
        <v/>
      </c>
      <c r="B9024" s="18" t="str">
        <f t="shared" si="281"/>
        <v/>
      </c>
    </row>
    <row r="9025" spans="1:2" x14ac:dyDescent="0.25">
      <c r="A9025" s="15" t="str">
        <f t="shared" si="280"/>
        <v/>
      </c>
      <c r="B9025" s="18" t="str">
        <f t="shared" si="281"/>
        <v/>
      </c>
    </row>
    <row r="9026" spans="1:2" x14ac:dyDescent="0.25">
      <c r="A9026" s="15" t="str">
        <f t="shared" ref="A9026:A9089" si="282">B9026&amp;C9026</f>
        <v/>
      </c>
      <c r="B9026" s="18" t="str">
        <f t="shared" si="281"/>
        <v/>
      </c>
    </row>
    <row r="9027" spans="1:2" x14ac:dyDescent="0.25">
      <c r="A9027" s="15" t="str">
        <f t="shared" si="282"/>
        <v/>
      </c>
      <c r="B9027" s="18" t="str">
        <f t="shared" ref="B9027:B9090" si="283">IF(C9027="","",B9026)</f>
        <v/>
      </c>
    </row>
    <row r="9028" spans="1:2" x14ac:dyDescent="0.25">
      <c r="A9028" s="15" t="str">
        <f t="shared" si="282"/>
        <v/>
      </c>
      <c r="B9028" s="18" t="str">
        <f t="shared" si="283"/>
        <v/>
      </c>
    </row>
    <row r="9029" spans="1:2" x14ac:dyDescent="0.25">
      <c r="A9029" s="15" t="str">
        <f t="shared" si="282"/>
        <v/>
      </c>
      <c r="B9029" s="18" t="str">
        <f t="shared" si="283"/>
        <v/>
      </c>
    </row>
    <row r="9030" spans="1:2" x14ac:dyDescent="0.25">
      <c r="A9030" s="15" t="str">
        <f t="shared" si="282"/>
        <v/>
      </c>
      <c r="B9030" s="18" t="str">
        <f t="shared" si="283"/>
        <v/>
      </c>
    </row>
    <row r="9031" spans="1:2" x14ac:dyDescent="0.25">
      <c r="A9031" s="15" t="str">
        <f t="shared" si="282"/>
        <v/>
      </c>
      <c r="B9031" s="18" t="str">
        <f t="shared" si="283"/>
        <v/>
      </c>
    </row>
    <row r="9032" spans="1:2" x14ac:dyDescent="0.25">
      <c r="A9032" s="15" t="str">
        <f t="shared" si="282"/>
        <v/>
      </c>
      <c r="B9032" s="18" t="str">
        <f t="shared" si="283"/>
        <v/>
      </c>
    </row>
    <row r="9033" spans="1:2" x14ac:dyDescent="0.25">
      <c r="A9033" s="15" t="str">
        <f t="shared" si="282"/>
        <v/>
      </c>
      <c r="B9033" s="18" t="str">
        <f t="shared" si="283"/>
        <v/>
      </c>
    </row>
    <row r="9034" spans="1:2" x14ac:dyDescent="0.25">
      <c r="A9034" s="15" t="str">
        <f t="shared" si="282"/>
        <v/>
      </c>
      <c r="B9034" s="18" t="str">
        <f t="shared" si="283"/>
        <v/>
      </c>
    </row>
    <row r="9035" spans="1:2" x14ac:dyDescent="0.25">
      <c r="A9035" s="15" t="str">
        <f t="shared" si="282"/>
        <v/>
      </c>
      <c r="B9035" s="18" t="str">
        <f t="shared" si="283"/>
        <v/>
      </c>
    </row>
    <row r="9036" spans="1:2" x14ac:dyDescent="0.25">
      <c r="A9036" s="15" t="str">
        <f t="shared" si="282"/>
        <v/>
      </c>
      <c r="B9036" s="18" t="str">
        <f t="shared" si="283"/>
        <v/>
      </c>
    </row>
    <row r="9037" spans="1:2" x14ac:dyDescent="0.25">
      <c r="A9037" s="15" t="str">
        <f t="shared" si="282"/>
        <v/>
      </c>
      <c r="B9037" s="18" t="str">
        <f t="shared" si="283"/>
        <v/>
      </c>
    </row>
    <row r="9038" spans="1:2" x14ac:dyDescent="0.25">
      <c r="A9038" s="15" t="str">
        <f t="shared" si="282"/>
        <v/>
      </c>
      <c r="B9038" s="18" t="str">
        <f t="shared" si="283"/>
        <v/>
      </c>
    </row>
    <row r="9039" spans="1:2" x14ac:dyDescent="0.25">
      <c r="A9039" s="15" t="str">
        <f t="shared" si="282"/>
        <v/>
      </c>
      <c r="B9039" s="18" t="str">
        <f t="shared" si="283"/>
        <v/>
      </c>
    </row>
    <row r="9040" spans="1:2" x14ac:dyDescent="0.25">
      <c r="A9040" s="15" t="str">
        <f t="shared" si="282"/>
        <v/>
      </c>
      <c r="B9040" s="18" t="str">
        <f t="shared" si="283"/>
        <v/>
      </c>
    </row>
    <row r="9041" spans="1:2" x14ac:dyDescent="0.25">
      <c r="A9041" s="15" t="str">
        <f t="shared" si="282"/>
        <v/>
      </c>
      <c r="B9041" s="18" t="str">
        <f t="shared" si="283"/>
        <v/>
      </c>
    </row>
    <row r="9042" spans="1:2" x14ac:dyDescent="0.25">
      <c r="A9042" s="15" t="str">
        <f t="shared" si="282"/>
        <v/>
      </c>
      <c r="B9042" s="18" t="str">
        <f t="shared" si="283"/>
        <v/>
      </c>
    </row>
    <row r="9043" spans="1:2" x14ac:dyDescent="0.25">
      <c r="A9043" s="15" t="str">
        <f t="shared" si="282"/>
        <v/>
      </c>
      <c r="B9043" s="18" t="str">
        <f t="shared" si="283"/>
        <v/>
      </c>
    </row>
    <row r="9044" spans="1:2" x14ac:dyDescent="0.25">
      <c r="A9044" s="15" t="str">
        <f t="shared" si="282"/>
        <v/>
      </c>
      <c r="B9044" s="18" t="str">
        <f t="shared" si="283"/>
        <v/>
      </c>
    </row>
    <row r="9045" spans="1:2" x14ac:dyDescent="0.25">
      <c r="A9045" s="15" t="str">
        <f t="shared" si="282"/>
        <v/>
      </c>
      <c r="B9045" s="18" t="str">
        <f t="shared" si="283"/>
        <v/>
      </c>
    </row>
    <row r="9046" spans="1:2" x14ac:dyDescent="0.25">
      <c r="A9046" s="15" t="str">
        <f t="shared" si="282"/>
        <v/>
      </c>
      <c r="B9046" s="18" t="str">
        <f t="shared" si="283"/>
        <v/>
      </c>
    </row>
    <row r="9047" spans="1:2" x14ac:dyDescent="0.25">
      <c r="A9047" s="15" t="str">
        <f t="shared" si="282"/>
        <v/>
      </c>
      <c r="B9047" s="18" t="str">
        <f t="shared" si="283"/>
        <v/>
      </c>
    </row>
    <row r="9048" spans="1:2" x14ac:dyDescent="0.25">
      <c r="A9048" s="15" t="str">
        <f t="shared" si="282"/>
        <v/>
      </c>
      <c r="B9048" s="18" t="str">
        <f t="shared" si="283"/>
        <v/>
      </c>
    </row>
    <row r="9049" spans="1:2" x14ac:dyDescent="0.25">
      <c r="A9049" s="15" t="str">
        <f t="shared" si="282"/>
        <v/>
      </c>
      <c r="B9049" s="18" t="str">
        <f t="shared" si="283"/>
        <v/>
      </c>
    </row>
    <row r="9050" spans="1:2" x14ac:dyDescent="0.25">
      <c r="A9050" s="15" t="str">
        <f t="shared" si="282"/>
        <v/>
      </c>
      <c r="B9050" s="18" t="str">
        <f t="shared" si="283"/>
        <v/>
      </c>
    </row>
    <row r="9051" spans="1:2" x14ac:dyDescent="0.25">
      <c r="A9051" s="15" t="str">
        <f t="shared" si="282"/>
        <v/>
      </c>
      <c r="B9051" s="18" t="str">
        <f t="shared" si="283"/>
        <v/>
      </c>
    </row>
    <row r="9052" spans="1:2" x14ac:dyDescent="0.25">
      <c r="A9052" s="15" t="str">
        <f t="shared" si="282"/>
        <v/>
      </c>
      <c r="B9052" s="18" t="str">
        <f t="shared" si="283"/>
        <v/>
      </c>
    </row>
    <row r="9053" spans="1:2" x14ac:dyDescent="0.25">
      <c r="A9053" s="15" t="str">
        <f t="shared" si="282"/>
        <v/>
      </c>
      <c r="B9053" s="18" t="str">
        <f t="shared" si="283"/>
        <v/>
      </c>
    </row>
    <row r="9054" spans="1:2" x14ac:dyDescent="0.25">
      <c r="A9054" s="15" t="str">
        <f t="shared" si="282"/>
        <v/>
      </c>
      <c r="B9054" s="18" t="str">
        <f t="shared" si="283"/>
        <v/>
      </c>
    </row>
    <row r="9055" spans="1:2" x14ac:dyDescent="0.25">
      <c r="A9055" s="15" t="str">
        <f t="shared" si="282"/>
        <v/>
      </c>
      <c r="B9055" s="18" t="str">
        <f t="shared" si="283"/>
        <v/>
      </c>
    </row>
    <row r="9056" spans="1:2" x14ac:dyDescent="0.25">
      <c r="A9056" s="15" t="str">
        <f t="shared" si="282"/>
        <v/>
      </c>
      <c r="B9056" s="18" t="str">
        <f t="shared" si="283"/>
        <v/>
      </c>
    </row>
    <row r="9057" spans="1:2" x14ac:dyDescent="0.25">
      <c r="A9057" s="15" t="str">
        <f t="shared" si="282"/>
        <v/>
      </c>
      <c r="B9057" s="18" t="str">
        <f t="shared" si="283"/>
        <v/>
      </c>
    </row>
    <row r="9058" spans="1:2" x14ac:dyDescent="0.25">
      <c r="A9058" s="15" t="str">
        <f t="shared" si="282"/>
        <v/>
      </c>
      <c r="B9058" s="18" t="str">
        <f t="shared" si="283"/>
        <v/>
      </c>
    </row>
    <row r="9059" spans="1:2" x14ac:dyDescent="0.25">
      <c r="A9059" s="15" t="str">
        <f t="shared" si="282"/>
        <v/>
      </c>
      <c r="B9059" s="18" t="str">
        <f t="shared" si="283"/>
        <v/>
      </c>
    </row>
    <row r="9060" spans="1:2" x14ac:dyDescent="0.25">
      <c r="A9060" s="15" t="str">
        <f t="shared" si="282"/>
        <v/>
      </c>
      <c r="B9060" s="18" t="str">
        <f t="shared" si="283"/>
        <v/>
      </c>
    </row>
    <row r="9061" spans="1:2" x14ac:dyDescent="0.25">
      <c r="A9061" s="15" t="str">
        <f t="shared" si="282"/>
        <v/>
      </c>
      <c r="B9061" s="18" t="str">
        <f t="shared" si="283"/>
        <v/>
      </c>
    </row>
    <row r="9062" spans="1:2" x14ac:dyDescent="0.25">
      <c r="A9062" s="15" t="str">
        <f t="shared" si="282"/>
        <v/>
      </c>
      <c r="B9062" s="18" t="str">
        <f t="shared" si="283"/>
        <v/>
      </c>
    </row>
    <row r="9063" spans="1:2" x14ac:dyDescent="0.25">
      <c r="A9063" s="15" t="str">
        <f t="shared" si="282"/>
        <v/>
      </c>
      <c r="B9063" s="18" t="str">
        <f t="shared" si="283"/>
        <v/>
      </c>
    </row>
    <row r="9064" spans="1:2" x14ac:dyDescent="0.25">
      <c r="A9064" s="15" t="str">
        <f t="shared" si="282"/>
        <v/>
      </c>
      <c r="B9064" s="18" t="str">
        <f t="shared" si="283"/>
        <v/>
      </c>
    </row>
    <row r="9065" spans="1:2" x14ac:dyDescent="0.25">
      <c r="A9065" s="15" t="str">
        <f t="shared" si="282"/>
        <v/>
      </c>
      <c r="B9065" s="18" t="str">
        <f t="shared" si="283"/>
        <v/>
      </c>
    </row>
    <row r="9066" spans="1:2" x14ac:dyDescent="0.25">
      <c r="A9066" s="15" t="str">
        <f t="shared" si="282"/>
        <v/>
      </c>
      <c r="B9066" s="18" t="str">
        <f t="shared" si="283"/>
        <v/>
      </c>
    </row>
    <row r="9067" spans="1:2" x14ac:dyDescent="0.25">
      <c r="A9067" s="15" t="str">
        <f t="shared" si="282"/>
        <v/>
      </c>
      <c r="B9067" s="18" t="str">
        <f t="shared" si="283"/>
        <v/>
      </c>
    </row>
    <row r="9068" spans="1:2" x14ac:dyDescent="0.25">
      <c r="A9068" s="15" t="str">
        <f t="shared" si="282"/>
        <v/>
      </c>
      <c r="B9068" s="18" t="str">
        <f t="shared" si="283"/>
        <v/>
      </c>
    </row>
    <row r="9069" spans="1:2" x14ac:dyDescent="0.25">
      <c r="A9069" s="15" t="str">
        <f t="shared" si="282"/>
        <v/>
      </c>
      <c r="B9069" s="18" t="str">
        <f t="shared" si="283"/>
        <v/>
      </c>
    </row>
    <row r="9070" spans="1:2" x14ac:dyDescent="0.25">
      <c r="A9070" s="15" t="str">
        <f t="shared" si="282"/>
        <v/>
      </c>
      <c r="B9070" s="18" t="str">
        <f t="shared" si="283"/>
        <v/>
      </c>
    </row>
    <row r="9071" spans="1:2" x14ac:dyDescent="0.25">
      <c r="A9071" s="15" t="str">
        <f t="shared" si="282"/>
        <v/>
      </c>
      <c r="B9071" s="18" t="str">
        <f t="shared" si="283"/>
        <v/>
      </c>
    </row>
    <row r="9072" spans="1:2" x14ac:dyDescent="0.25">
      <c r="A9072" s="15" t="str">
        <f t="shared" si="282"/>
        <v/>
      </c>
      <c r="B9072" s="18" t="str">
        <f t="shared" si="283"/>
        <v/>
      </c>
    </row>
    <row r="9073" spans="1:2" x14ac:dyDescent="0.25">
      <c r="A9073" s="15" t="str">
        <f t="shared" si="282"/>
        <v/>
      </c>
      <c r="B9073" s="18" t="str">
        <f t="shared" si="283"/>
        <v/>
      </c>
    </row>
    <row r="9074" spans="1:2" x14ac:dyDescent="0.25">
      <c r="A9074" s="15" t="str">
        <f t="shared" si="282"/>
        <v/>
      </c>
      <c r="B9074" s="18" t="str">
        <f t="shared" si="283"/>
        <v/>
      </c>
    </row>
    <row r="9075" spans="1:2" x14ac:dyDescent="0.25">
      <c r="A9075" s="15" t="str">
        <f t="shared" si="282"/>
        <v/>
      </c>
      <c r="B9075" s="18" t="str">
        <f t="shared" si="283"/>
        <v/>
      </c>
    </row>
    <row r="9076" spans="1:2" x14ac:dyDescent="0.25">
      <c r="A9076" s="15" t="str">
        <f t="shared" si="282"/>
        <v/>
      </c>
      <c r="B9076" s="18" t="str">
        <f t="shared" si="283"/>
        <v/>
      </c>
    </row>
    <row r="9077" spans="1:2" x14ac:dyDescent="0.25">
      <c r="A9077" s="15" t="str">
        <f t="shared" si="282"/>
        <v/>
      </c>
      <c r="B9077" s="18" t="str">
        <f t="shared" si="283"/>
        <v/>
      </c>
    </row>
    <row r="9078" spans="1:2" x14ac:dyDescent="0.25">
      <c r="A9078" s="15" t="str">
        <f t="shared" si="282"/>
        <v/>
      </c>
      <c r="B9078" s="18" t="str">
        <f t="shared" si="283"/>
        <v/>
      </c>
    </row>
    <row r="9079" spans="1:2" x14ac:dyDescent="0.25">
      <c r="A9079" s="15" t="str">
        <f t="shared" si="282"/>
        <v/>
      </c>
      <c r="B9079" s="18" t="str">
        <f t="shared" si="283"/>
        <v/>
      </c>
    </row>
    <row r="9080" spans="1:2" x14ac:dyDescent="0.25">
      <c r="A9080" s="15" t="str">
        <f t="shared" si="282"/>
        <v/>
      </c>
      <c r="B9080" s="18" t="str">
        <f t="shared" si="283"/>
        <v/>
      </c>
    </row>
    <row r="9081" spans="1:2" x14ac:dyDescent="0.25">
      <c r="A9081" s="15" t="str">
        <f t="shared" si="282"/>
        <v/>
      </c>
      <c r="B9081" s="18" t="str">
        <f t="shared" si="283"/>
        <v/>
      </c>
    </row>
    <row r="9082" spans="1:2" x14ac:dyDescent="0.25">
      <c r="A9082" s="15" t="str">
        <f t="shared" si="282"/>
        <v/>
      </c>
      <c r="B9082" s="18" t="str">
        <f t="shared" si="283"/>
        <v/>
      </c>
    </row>
    <row r="9083" spans="1:2" x14ac:dyDescent="0.25">
      <c r="A9083" s="15" t="str">
        <f t="shared" si="282"/>
        <v/>
      </c>
      <c r="B9083" s="18" t="str">
        <f t="shared" si="283"/>
        <v/>
      </c>
    </row>
    <row r="9084" spans="1:2" x14ac:dyDescent="0.25">
      <c r="A9084" s="15" t="str">
        <f t="shared" si="282"/>
        <v/>
      </c>
      <c r="B9084" s="18" t="str">
        <f t="shared" si="283"/>
        <v/>
      </c>
    </row>
    <row r="9085" spans="1:2" x14ac:dyDescent="0.25">
      <c r="A9085" s="15" t="str">
        <f t="shared" si="282"/>
        <v/>
      </c>
      <c r="B9085" s="18" t="str">
        <f t="shared" si="283"/>
        <v/>
      </c>
    </row>
    <row r="9086" spans="1:2" x14ac:dyDescent="0.25">
      <c r="A9086" s="15" t="str">
        <f t="shared" si="282"/>
        <v/>
      </c>
      <c r="B9086" s="18" t="str">
        <f t="shared" si="283"/>
        <v/>
      </c>
    </row>
    <row r="9087" spans="1:2" x14ac:dyDescent="0.25">
      <c r="A9087" s="15" t="str">
        <f t="shared" si="282"/>
        <v/>
      </c>
      <c r="B9087" s="18" t="str">
        <f t="shared" si="283"/>
        <v/>
      </c>
    </row>
    <row r="9088" spans="1:2" x14ac:dyDescent="0.25">
      <c r="A9088" s="15" t="str">
        <f t="shared" si="282"/>
        <v/>
      </c>
      <c r="B9088" s="18" t="str">
        <f t="shared" si="283"/>
        <v/>
      </c>
    </row>
    <row r="9089" spans="1:2" x14ac:dyDescent="0.25">
      <c r="A9089" s="15" t="str">
        <f t="shared" si="282"/>
        <v/>
      </c>
      <c r="B9089" s="18" t="str">
        <f t="shared" si="283"/>
        <v/>
      </c>
    </row>
    <row r="9090" spans="1:2" x14ac:dyDescent="0.25">
      <c r="A9090" s="15" t="str">
        <f t="shared" ref="A9090:A9153" si="284">B9090&amp;C9090</f>
        <v/>
      </c>
      <c r="B9090" s="18" t="str">
        <f t="shared" si="283"/>
        <v/>
      </c>
    </row>
    <row r="9091" spans="1:2" x14ac:dyDescent="0.25">
      <c r="A9091" s="15" t="str">
        <f t="shared" si="284"/>
        <v/>
      </c>
      <c r="B9091" s="18" t="str">
        <f t="shared" ref="B9091:B9154" si="285">IF(C9091="","",B9090)</f>
        <v/>
      </c>
    </row>
    <row r="9092" spans="1:2" x14ac:dyDescent="0.25">
      <c r="A9092" s="15" t="str">
        <f t="shared" si="284"/>
        <v/>
      </c>
      <c r="B9092" s="18" t="str">
        <f t="shared" si="285"/>
        <v/>
      </c>
    </row>
    <row r="9093" spans="1:2" x14ac:dyDescent="0.25">
      <c r="A9093" s="15" t="str">
        <f t="shared" si="284"/>
        <v/>
      </c>
      <c r="B9093" s="18" t="str">
        <f t="shared" si="285"/>
        <v/>
      </c>
    </row>
    <row r="9094" spans="1:2" x14ac:dyDescent="0.25">
      <c r="A9094" s="15" t="str">
        <f t="shared" si="284"/>
        <v/>
      </c>
      <c r="B9094" s="18" t="str">
        <f t="shared" si="285"/>
        <v/>
      </c>
    </row>
    <row r="9095" spans="1:2" x14ac:dyDescent="0.25">
      <c r="A9095" s="15" t="str">
        <f t="shared" si="284"/>
        <v/>
      </c>
      <c r="B9095" s="18" t="str">
        <f t="shared" si="285"/>
        <v/>
      </c>
    </row>
    <row r="9096" spans="1:2" x14ac:dyDescent="0.25">
      <c r="A9096" s="15" t="str">
        <f t="shared" si="284"/>
        <v/>
      </c>
      <c r="B9096" s="18" t="str">
        <f t="shared" si="285"/>
        <v/>
      </c>
    </row>
    <row r="9097" spans="1:2" x14ac:dyDescent="0.25">
      <c r="A9097" s="15" t="str">
        <f t="shared" si="284"/>
        <v/>
      </c>
      <c r="B9097" s="18" t="str">
        <f t="shared" si="285"/>
        <v/>
      </c>
    </row>
    <row r="9098" spans="1:2" x14ac:dyDescent="0.25">
      <c r="A9098" s="15" t="str">
        <f t="shared" si="284"/>
        <v/>
      </c>
      <c r="B9098" s="18" t="str">
        <f t="shared" si="285"/>
        <v/>
      </c>
    </row>
    <row r="9099" spans="1:2" x14ac:dyDescent="0.25">
      <c r="A9099" s="15" t="str">
        <f t="shared" si="284"/>
        <v/>
      </c>
      <c r="B9099" s="18" t="str">
        <f t="shared" si="285"/>
        <v/>
      </c>
    </row>
    <row r="9100" spans="1:2" x14ac:dyDescent="0.25">
      <c r="A9100" s="15" t="str">
        <f t="shared" si="284"/>
        <v/>
      </c>
      <c r="B9100" s="18" t="str">
        <f t="shared" si="285"/>
        <v/>
      </c>
    </row>
    <row r="9101" spans="1:2" x14ac:dyDescent="0.25">
      <c r="A9101" s="15" t="str">
        <f t="shared" si="284"/>
        <v/>
      </c>
      <c r="B9101" s="18" t="str">
        <f t="shared" si="285"/>
        <v/>
      </c>
    </row>
    <row r="9102" spans="1:2" x14ac:dyDescent="0.25">
      <c r="A9102" s="15" t="str">
        <f t="shared" si="284"/>
        <v/>
      </c>
      <c r="B9102" s="18" t="str">
        <f t="shared" si="285"/>
        <v/>
      </c>
    </row>
    <row r="9103" spans="1:2" x14ac:dyDescent="0.25">
      <c r="A9103" s="15" t="str">
        <f t="shared" si="284"/>
        <v/>
      </c>
      <c r="B9103" s="18" t="str">
        <f t="shared" si="285"/>
        <v/>
      </c>
    </row>
    <row r="9104" spans="1:2" x14ac:dyDescent="0.25">
      <c r="A9104" s="15" t="str">
        <f t="shared" si="284"/>
        <v/>
      </c>
      <c r="B9104" s="18" t="str">
        <f t="shared" si="285"/>
        <v/>
      </c>
    </row>
    <row r="9105" spans="1:2" x14ac:dyDescent="0.25">
      <c r="A9105" s="15" t="str">
        <f t="shared" si="284"/>
        <v/>
      </c>
      <c r="B9105" s="18" t="str">
        <f t="shared" si="285"/>
        <v/>
      </c>
    </row>
    <row r="9106" spans="1:2" x14ac:dyDescent="0.25">
      <c r="A9106" s="15" t="str">
        <f t="shared" si="284"/>
        <v/>
      </c>
      <c r="B9106" s="18" t="str">
        <f t="shared" si="285"/>
        <v/>
      </c>
    </row>
    <row r="9107" spans="1:2" x14ac:dyDescent="0.25">
      <c r="A9107" s="15" t="str">
        <f t="shared" si="284"/>
        <v/>
      </c>
      <c r="B9107" s="18" t="str">
        <f t="shared" si="285"/>
        <v/>
      </c>
    </row>
    <row r="9108" spans="1:2" x14ac:dyDescent="0.25">
      <c r="A9108" s="15" t="str">
        <f t="shared" si="284"/>
        <v/>
      </c>
      <c r="B9108" s="18" t="str">
        <f t="shared" si="285"/>
        <v/>
      </c>
    </row>
    <row r="9109" spans="1:2" x14ac:dyDescent="0.25">
      <c r="A9109" s="15" t="str">
        <f t="shared" si="284"/>
        <v/>
      </c>
      <c r="B9109" s="18" t="str">
        <f t="shared" si="285"/>
        <v/>
      </c>
    </row>
    <row r="9110" spans="1:2" x14ac:dyDescent="0.25">
      <c r="A9110" s="15" t="str">
        <f t="shared" si="284"/>
        <v/>
      </c>
      <c r="B9110" s="18" t="str">
        <f t="shared" si="285"/>
        <v/>
      </c>
    </row>
    <row r="9111" spans="1:2" x14ac:dyDescent="0.25">
      <c r="A9111" s="15" t="str">
        <f t="shared" si="284"/>
        <v/>
      </c>
      <c r="B9111" s="18" t="str">
        <f t="shared" si="285"/>
        <v/>
      </c>
    </row>
    <row r="9112" spans="1:2" x14ac:dyDescent="0.25">
      <c r="A9112" s="15" t="str">
        <f t="shared" si="284"/>
        <v/>
      </c>
      <c r="B9112" s="18" t="str">
        <f t="shared" si="285"/>
        <v/>
      </c>
    </row>
    <row r="9113" spans="1:2" x14ac:dyDescent="0.25">
      <c r="A9113" s="15" t="str">
        <f t="shared" si="284"/>
        <v/>
      </c>
      <c r="B9113" s="18" t="str">
        <f t="shared" si="285"/>
        <v/>
      </c>
    </row>
    <row r="9114" spans="1:2" x14ac:dyDescent="0.25">
      <c r="A9114" s="15" t="str">
        <f t="shared" si="284"/>
        <v/>
      </c>
      <c r="B9114" s="18" t="str">
        <f t="shared" si="285"/>
        <v/>
      </c>
    </row>
    <row r="9115" spans="1:2" x14ac:dyDescent="0.25">
      <c r="A9115" s="15" t="str">
        <f t="shared" si="284"/>
        <v/>
      </c>
      <c r="B9115" s="18" t="str">
        <f t="shared" si="285"/>
        <v/>
      </c>
    </row>
    <row r="9116" spans="1:2" x14ac:dyDescent="0.25">
      <c r="A9116" s="15" t="str">
        <f t="shared" si="284"/>
        <v/>
      </c>
      <c r="B9116" s="18" t="str">
        <f t="shared" si="285"/>
        <v/>
      </c>
    </row>
    <row r="9117" spans="1:2" x14ac:dyDescent="0.25">
      <c r="A9117" s="15" t="str">
        <f t="shared" si="284"/>
        <v/>
      </c>
      <c r="B9117" s="18" t="str">
        <f t="shared" si="285"/>
        <v/>
      </c>
    </row>
    <row r="9118" spans="1:2" x14ac:dyDescent="0.25">
      <c r="A9118" s="15" t="str">
        <f t="shared" si="284"/>
        <v/>
      </c>
      <c r="B9118" s="18" t="str">
        <f t="shared" si="285"/>
        <v/>
      </c>
    </row>
    <row r="9119" spans="1:2" x14ac:dyDescent="0.25">
      <c r="A9119" s="15" t="str">
        <f t="shared" si="284"/>
        <v/>
      </c>
      <c r="B9119" s="18" t="str">
        <f t="shared" si="285"/>
        <v/>
      </c>
    </row>
    <row r="9120" spans="1:2" x14ac:dyDescent="0.25">
      <c r="A9120" s="15" t="str">
        <f t="shared" si="284"/>
        <v/>
      </c>
      <c r="B9120" s="18" t="str">
        <f t="shared" si="285"/>
        <v/>
      </c>
    </row>
    <row r="9121" spans="1:2" x14ac:dyDescent="0.25">
      <c r="A9121" s="15" t="str">
        <f t="shared" si="284"/>
        <v/>
      </c>
      <c r="B9121" s="18" t="str">
        <f t="shared" si="285"/>
        <v/>
      </c>
    </row>
    <row r="9122" spans="1:2" x14ac:dyDescent="0.25">
      <c r="A9122" s="15" t="str">
        <f t="shared" si="284"/>
        <v/>
      </c>
      <c r="B9122" s="18" t="str">
        <f t="shared" si="285"/>
        <v/>
      </c>
    </row>
    <row r="9123" spans="1:2" x14ac:dyDescent="0.25">
      <c r="A9123" s="15" t="str">
        <f t="shared" si="284"/>
        <v/>
      </c>
      <c r="B9123" s="18" t="str">
        <f t="shared" si="285"/>
        <v/>
      </c>
    </row>
    <row r="9124" spans="1:2" x14ac:dyDescent="0.25">
      <c r="A9124" s="15" t="str">
        <f t="shared" si="284"/>
        <v/>
      </c>
      <c r="B9124" s="18" t="str">
        <f t="shared" si="285"/>
        <v/>
      </c>
    </row>
    <row r="9125" spans="1:2" x14ac:dyDescent="0.25">
      <c r="A9125" s="15" t="str">
        <f t="shared" si="284"/>
        <v/>
      </c>
      <c r="B9125" s="18" t="str">
        <f t="shared" si="285"/>
        <v/>
      </c>
    </row>
    <row r="9126" spans="1:2" x14ac:dyDescent="0.25">
      <c r="A9126" s="15" t="str">
        <f t="shared" si="284"/>
        <v/>
      </c>
      <c r="B9126" s="18" t="str">
        <f t="shared" si="285"/>
        <v/>
      </c>
    </row>
    <row r="9127" spans="1:2" x14ac:dyDescent="0.25">
      <c r="A9127" s="15" t="str">
        <f t="shared" si="284"/>
        <v/>
      </c>
      <c r="B9127" s="18" t="str">
        <f t="shared" si="285"/>
        <v/>
      </c>
    </row>
    <row r="9128" spans="1:2" x14ac:dyDescent="0.25">
      <c r="A9128" s="15" t="str">
        <f t="shared" si="284"/>
        <v/>
      </c>
      <c r="B9128" s="18" t="str">
        <f t="shared" si="285"/>
        <v/>
      </c>
    </row>
    <row r="9129" spans="1:2" x14ac:dyDescent="0.25">
      <c r="A9129" s="15" t="str">
        <f t="shared" si="284"/>
        <v/>
      </c>
      <c r="B9129" s="18" t="str">
        <f t="shared" si="285"/>
        <v/>
      </c>
    </row>
    <row r="9130" spans="1:2" x14ac:dyDescent="0.25">
      <c r="A9130" s="15" t="str">
        <f t="shared" si="284"/>
        <v/>
      </c>
      <c r="B9130" s="18" t="str">
        <f t="shared" si="285"/>
        <v/>
      </c>
    </row>
    <row r="9131" spans="1:2" x14ac:dyDescent="0.25">
      <c r="A9131" s="15" t="str">
        <f t="shared" si="284"/>
        <v/>
      </c>
      <c r="B9131" s="18" t="str">
        <f t="shared" si="285"/>
        <v/>
      </c>
    </row>
    <row r="9132" spans="1:2" x14ac:dyDescent="0.25">
      <c r="A9132" s="15" t="str">
        <f t="shared" si="284"/>
        <v/>
      </c>
      <c r="B9132" s="18" t="str">
        <f t="shared" si="285"/>
        <v/>
      </c>
    </row>
    <row r="9133" spans="1:2" x14ac:dyDescent="0.25">
      <c r="A9133" s="15" t="str">
        <f t="shared" si="284"/>
        <v/>
      </c>
      <c r="B9133" s="18" t="str">
        <f t="shared" si="285"/>
        <v/>
      </c>
    </row>
    <row r="9134" spans="1:2" x14ac:dyDescent="0.25">
      <c r="A9134" s="15" t="str">
        <f t="shared" si="284"/>
        <v/>
      </c>
      <c r="B9134" s="18" t="str">
        <f t="shared" si="285"/>
        <v/>
      </c>
    </row>
    <row r="9135" spans="1:2" x14ac:dyDescent="0.25">
      <c r="A9135" s="15" t="str">
        <f t="shared" si="284"/>
        <v/>
      </c>
      <c r="B9135" s="18" t="str">
        <f t="shared" si="285"/>
        <v/>
      </c>
    </row>
    <row r="9136" spans="1:2" x14ac:dyDescent="0.25">
      <c r="A9136" s="15" t="str">
        <f t="shared" si="284"/>
        <v/>
      </c>
      <c r="B9136" s="18" t="str">
        <f t="shared" si="285"/>
        <v/>
      </c>
    </row>
    <row r="9137" spans="1:2" x14ac:dyDescent="0.25">
      <c r="A9137" s="15" t="str">
        <f t="shared" si="284"/>
        <v/>
      </c>
      <c r="B9137" s="18" t="str">
        <f t="shared" si="285"/>
        <v/>
      </c>
    </row>
    <row r="9138" spans="1:2" x14ac:dyDescent="0.25">
      <c r="A9138" s="15" t="str">
        <f t="shared" si="284"/>
        <v/>
      </c>
      <c r="B9138" s="18" t="str">
        <f t="shared" si="285"/>
        <v/>
      </c>
    </row>
    <row r="9139" spans="1:2" x14ac:dyDescent="0.25">
      <c r="A9139" s="15" t="str">
        <f t="shared" si="284"/>
        <v/>
      </c>
      <c r="B9139" s="18" t="str">
        <f t="shared" si="285"/>
        <v/>
      </c>
    </row>
    <row r="9140" spans="1:2" x14ac:dyDescent="0.25">
      <c r="A9140" s="15" t="str">
        <f t="shared" si="284"/>
        <v/>
      </c>
      <c r="B9140" s="18" t="str">
        <f t="shared" si="285"/>
        <v/>
      </c>
    </row>
    <row r="9141" spans="1:2" x14ac:dyDescent="0.25">
      <c r="A9141" s="15" t="str">
        <f t="shared" si="284"/>
        <v/>
      </c>
      <c r="B9141" s="18" t="str">
        <f t="shared" si="285"/>
        <v/>
      </c>
    </row>
    <row r="9142" spans="1:2" x14ac:dyDescent="0.25">
      <c r="A9142" s="15" t="str">
        <f t="shared" si="284"/>
        <v/>
      </c>
      <c r="B9142" s="18" t="str">
        <f t="shared" si="285"/>
        <v/>
      </c>
    </row>
    <row r="9143" spans="1:2" x14ac:dyDescent="0.25">
      <c r="A9143" s="15" t="str">
        <f t="shared" si="284"/>
        <v/>
      </c>
      <c r="B9143" s="18" t="str">
        <f t="shared" si="285"/>
        <v/>
      </c>
    </row>
    <row r="9144" spans="1:2" x14ac:dyDescent="0.25">
      <c r="A9144" s="15" t="str">
        <f t="shared" si="284"/>
        <v/>
      </c>
      <c r="B9144" s="18" t="str">
        <f t="shared" si="285"/>
        <v/>
      </c>
    </row>
    <row r="9145" spans="1:2" x14ac:dyDescent="0.25">
      <c r="A9145" s="15" t="str">
        <f t="shared" si="284"/>
        <v/>
      </c>
      <c r="B9145" s="18" t="str">
        <f t="shared" si="285"/>
        <v/>
      </c>
    </row>
    <row r="9146" spans="1:2" x14ac:dyDescent="0.25">
      <c r="A9146" s="15" t="str">
        <f t="shared" si="284"/>
        <v/>
      </c>
      <c r="B9146" s="18" t="str">
        <f t="shared" si="285"/>
        <v/>
      </c>
    </row>
    <row r="9147" spans="1:2" x14ac:dyDescent="0.25">
      <c r="A9147" s="15" t="str">
        <f t="shared" si="284"/>
        <v/>
      </c>
      <c r="B9147" s="18" t="str">
        <f t="shared" si="285"/>
        <v/>
      </c>
    </row>
    <row r="9148" spans="1:2" x14ac:dyDescent="0.25">
      <c r="A9148" s="15" t="str">
        <f t="shared" si="284"/>
        <v/>
      </c>
      <c r="B9148" s="18" t="str">
        <f t="shared" si="285"/>
        <v/>
      </c>
    </row>
    <row r="9149" spans="1:2" x14ac:dyDescent="0.25">
      <c r="A9149" s="15" t="str">
        <f t="shared" si="284"/>
        <v/>
      </c>
      <c r="B9149" s="18" t="str">
        <f t="shared" si="285"/>
        <v/>
      </c>
    </row>
    <row r="9150" spans="1:2" x14ac:dyDescent="0.25">
      <c r="A9150" s="15" t="str">
        <f t="shared" si="284"/>
        <v/>
      </c>
      <c r="B9150" s="18" t="str">
        <f t="shared" si="285"/>
        <v/>
      </c>
    </row>
    <row r="9151" spans="1:2" x14ac:dyDescent="0.25">
      <c r="A9151" s="15" t="str">
        <f t="shared" si="284"/>
        <v/>
      </c>
      <c r="B9151" s="18" t="str">
        <f t="shared" si="285"/>
        <v/>
      </c>
    </row>
    <row r="9152" spans="1:2" x14ac:dyDescent="0.25">
      <c r="A9152" s="15" t="str">
        <f t="shared" si="284"/>
        <v/>
      </c>
      <c r="B9152" s="18" t="str">
        <f t="shared" si="285"/>
        <v/>
      </c>
    </row>
    <row r="9153" spans="1:2" x14ac:dyDescent="0.25">
      <c r="A9153" s="15" t="str">
        <f t="shared" si="284"/>
        <v/>
      </c>
      <c r="B9153" s="18" t="str">
        <f t="shared" si="285"/>
        <v/>
      </c>
    </row>
    <row r="9154" spans="1:2" x14ac:dyDescent="0.25">
      <c r="A9154" s="15" t="str">
        <f t="shared" ref="A9154:A9217" si="286">B9154&amp;C9154</f>
        <v/>
      </c>
      <c r="B9154" s="18" t="str">
        <f t="shared" si="285"/>
        <v/>
      </c>
    </row>
    <row r="9155" spans="1:2" x14ac:dyDescent="0.25">
      <c r="A9155" s="15" t="str">
        <f t="shared" si="286"/>
        <v/>
      </c>
      <c r="B9155" s="18" t="str">
        <f t="shared" ref="B9155:B9218" si="287">IF(C9155="","",B9154)</f>
        <v/>
      </c>
    </row>
    <row r="9156" spans="1:2" x14ac:dyDescent="0.25">
      <c r="A9156" s="15" t="str">
        <f t="shared" si="286"/>
        <v/>
      </c>
      <c r="B9156" s="18" t="str">
        <f t="shared" si="287"/>
        <v/>
      </c>
    </row>
    <row r="9157" spans="1:2" x14ac:dyDescent="0.25">
      <c r="A9157" s="15" t="str">
        <f t="shared" si="286"/>
        <v/>
      </c>
      <c r="B9157" s="18" t="str">
        <f t="shared" si="287"/>
        <v/>
      </c>
    </row>
    <row r="9158" spans="1:2" x14ac:dyDescent="0.25">
      <c r="A9158" s="15" t="str">
        <f t="shared" si="286"/>
        <v/>
      </c>
      <c r="B9158" s="18" t="str">
        <f t="shared" si="287"/>
        <v/>
      </c>
    </row>
    <row r="9159" spans="1:2" x14ac:dyDescent="0.25">
      <c r="A9159" s="15" t="str">
        <f t="shared" si="286"/>
        <v/>
      </c>
      <c r="B9159" s="18" t="str">
        <f t="shared" si="287"/>
        <v/>
      </c>
    </row>
    <row r="9160" spans="1:2" x14ac:dyDescent="0.25">
      <c r="A9160" s="15" t="str">
        <f t="shared" si="286"/>
        <v/>
      </c>
      <c r="B9160" s="18" t="str">
        <f t="shared" si="287"/>
        <v/>
      </c>
    </row>
    <row r="9161" spans="1:2" x14ac:dyDescent="0.25">
      <c r="A9161" s="15" t="str">
        <f t="shared" si="286"/>
        <v/>
      </c>
      <c r="B9161" s="18" t="str">
        <f t="shared" si="287"/>
        <v/>
      </c>
    </row>
    <row r="9162" spans="1:2" x14ac:dyDescent="0.25">
      <c r="A9162" s="15" t="str">
        <f t="shared" si="286"/>
        <v/>
      </c>
      <c r="B9162" s="18" t="str">
        <f t="shared" si="287"/>
        <v/>
      </c>
    </row>
    <row r="9163" spans="1:2" x14ac:dyDescent="0.25">
      <c r="A9163" s="15" t="str">
        <f t="shared" si="286"/>
        <v/>
      </c>
      <c r="B9163" s="18" t="str">
        <f t="shared" si="287"/>
        <v/>
      </c>
    </row>
    <row r="9164" spans="1:2" x14ac:dyDescent="0.25">
      <c r="A9164" s="15" t="str">
        <f t="shared" si="286"/>
        <v/>
      </c>
      <c r="B9164" s="18" t="str">
        <f t="shared" si="287"/>
        <v/>
      </c>
    </row>
    <row r="9165" spans="1:2" x14ac:dyDescent="0.25">
      <c r="A9165" s="15" t="str">
        <f t="shared" si="286"/>
        <v/>
      </c>
      <c r="B9165" s="18" t="str">
        <f t="shared" si="287"/>
        <v/>
      </c>
    </row>
    <row r="9166" spans="1:2" x14ac:dyDescent="0.25">
      <c r="A9166" s="15" t="str">
        <f t="shared" si="286"/>
        <v/>
      </c>
      <c r="B9166" s="18" t="str">
        <f t="shared" si="287"/>
        <v/>
      </c>
    </row>
    <row r="9167" spans="1:2" x14ac:dyDescent="0.25">
      <c r="A9167" s="15" t="str">
        <f t="shared" si="286"/>
        <v/>
      </c>
      <c r="B9167" s="18" t="str">
        <f t="shared" si="287"/>
        <v/>
      </c>
    </row>
    <row r="9168" spans="1:2" x14ac:dyDescent="0.25">
      <c r="A9168" s="15" t="str">
        <f t="shared" si="286"/>
        <v/>
      </c>
      <c r="B9168" s="18" t="str">
        <f t="shared" si="287"/>
        <v/>
      </c>
    </row>
    <row r="9169" spans="1:2" x14ac:dyDescent="0.25">
      <c r="A9169" s="15" t="str">
        <f t="shared" si="286"/>
        <v/>
      </c>
      <c r="B9169" s="18" t="str">
        <f t="shared" si="287"/>
        <v/>
      </c>
    </row>
    <row r="9170" spans="1:2" x14ac:dyDescent="0.25">
      <c r="A9170" s="15" t="str">
        <f t="shared" si="286"/>
        <v/>
      </c>
      <c r="B9170" s="18" t="str">
        <f t="shared" si="287"/>
        <v/>
      </c>
    </row>
    <row r="9171" spans="1:2" x14ac:dyDescent="0.25">
      <c r="A9171" s="15" t="str">
        <f t="shared" si="286"/>
        <v/>
      </c>
      <c r="B9171" s="18" t="str">
        <f t="shared" si="287"/>
        <v/>
      </c>
    </row>
    <row r="9172" spans="1:2" x14ac:dyDescent="0.25">
      <c r="A9172" s="15" t="str">
        <f t="shared" si="286"/>
        <v/>
      </c>
      <c r="B9172" s="18" t="str">
        <f t="shared" si="287"/>
        <v/>
      </c>
    </row>
    <row r="9173" spans="1:2" x14ac:dyDescent="0.25">
      <c r="A9173" s="15" t="str">
        <f t="shared" si="286"/>
        <v/>
      </c>
      <c r="B9173" s="18" t="str">
        <f t="shared" si="287"/>
        <v/>
      </c>
    </row>
    <row r="9174" spans="1:2" x14ac:dyDescent="0.25">
      <c r="A9174" s="15" t="str">
        <f t="shared" si="286"/>
        <v/>
      </c>
      <c r="B9174" s="18" t="str">
        <f t="shared" si="287"/>
        <v/>
      </c>
    </row>
    <row r="9175" spans="1:2" x14ac:dyDescent="0.25">
      <c r="A9175" s="15" t="str">
        <f t="shared" si="286"/>
        <v/>
      </c>
      <c r="B9175" s="18" t="str">
        <f t="shared" si="287"/>
        <v/>
      </c>
    </row>
    <row r="9176" spans="1:2" x14ac:dyDescent="0.25">
      <c r="A9176" s="15" t="str">
        <f t="shared" si="286"/>
        <v/>
      </c>
      <c r="B9176" s="18" t="str">
        <f t="shared" si="287"/>
        <v/>
      </c>
    </row>
    <row r="9177" spans="1:2" x14ac:dyDescent="0.25">
      <c r="A9177" s="15" t="str">
        <f t="shared" si="286"/>
        <v/>
      </c>
      <c r="B9177" s="18" t="str">
        <f t="shared" si="287"/>
        <v/>
      </c>
    </row>
    <row r="9178" spans="1:2" x14ac:dyDescent="0.25">
      <c r="A9178" s="15" t="str">
        <f t="shared" si="286"/>
        <v/>
      </c>
      <c r="B9178" s="18" t="str">
        <f t="shared" si="287"/>
        <v/>
      </c>
    </row>
    <row r="9179" spans="1:2" x14ac:dyDescent="0.25">
      <c r="A9179" s="15" t="str">
        <f t="shared" si="286"/>
        <v/>
      </c>
      <c r="B9179" s="18" t="str">
        <f t="shared" si="287"/>
        <v/>
      </c>
    </row>
    <row r="9180" spans="1:2" x14ac:dyDescent="0.25">
      <c r="A9180" s="15" t="str">
        <f t="shared" si="286"/>
        <v/>
      </c>
      <c r="B9180" s="18" t="str">
        <f t="shared" si="287"/>
        <v/>
      </c>
    </row>
    <row r="9181" spans="1:2" x14ac:dyDescent="0.25">
      <c r="A9181" s="15" t="str">
        <f t="shared" si="286"/>
        <v/>
      </c>
      <c r="B9181" s="18" t="str">
        <f t="shared" si="287"/>
        <v/>
      </c>
    </row>
    <row r="9182" spans="1:2" x14ac:dyDescent="0.25">
      <c r="A9182" s="15" t="str">
        <f t="shared" si="286"/>
        <v/>
      </c>
      <c r="B9182" s="18" t="str">
        <f t="shared" si="287"/>
        <v/>
      </c>
    </row>
    <row r="9183" spans="1:2" x14ac:dyDescent="0.25">
      <c r="A9183" s="15" t="str">
        <f t="shared" si="286"/>
        <v/>
      </c>
      <c r="B9183" s="18" t="str">
        <f t="shared" si="287"/>
        <v/>
      </c>
    </row>
    <row r="9184" spans="1:2" x14ac:dyDescent="0.25">
      <c r="A9184" s="15" t="str">
        <f t="shared" si="286"/>
        <v/>
      </c>
      <c r="B9184" s="18" t="str">
        <f t="shared" si="287"/>
        <v/>
      </c>
    </row>
    <row r="9185" spans="1:2" x14ac:dyDescent="0.25">
      <c r="A9185" s="15" t="str">
        <f t="shared" si="286"/>
        <v/>
      </c>
      <c r="B9185" s="18" t="str">
        <f t="shared" si="287"/>
        <v/>
      </c>
    </row>
    <row r="9186" spans="1:2" x14ac:dyDescent="0.25">
      <c r="A9186" s="15" t="str">
        <f t="shared" si="286"/>
        <v/>
      </c>
      <c r="B9186" s="18" t="str">
        <f t="shared" si="287"/>
        <v/>
      </c>
    </row>
    <row r="9187" spans="1:2" x14ac:dyDescent="0.25">
      <c r="A9187" s="15" t="str">
        <f t="shared" si="286"/>
        <v/>
      </c>
      <c r="B9187" s="18" t="str">
        <f t="shared" si="287"/>
        <v/>
      </c>
    </row>
    <row r="9188" spans="1:2" x14ac:dyDescent="0.25">
      <c r="A9188" s="15" t="str">
        <f t="shared" si="286"/>
        <v/>
      </c>
      <c r="B9188" s="18" t="str">
        <f t="shared" si="287"/>
        <v/>
      </c>
    </row>
    <row r="9189" spans="1:2" x14ac:dyDescent="0.25">
      <c r="A9189" s="15" t="str">
        <f t="shared" si="286"/>
        <v/>
      </c>
      <c r="B9189" s="18" t="str">
        <f t="shared" si="287"/>
        <v/>
      </c>
    </row>
    <row r="9190" spans="1:2" x14ac:dyDescent="0.25">
      <c r="A9190" s="15" t="str">
        <f t="shared" si="286"/>
        <v/>
      </c>
      <c r="B9190" s="18" t="str">
        <f t="shared" si="287"/>
        <v/>
      </c>
    </row>
    <row r="9191" spans="1:2" x14ac:dyDescent="0.25">
      <c r="A9191" s="15" t="str">
        <f t="shared" si="286"/>
        <v/>
      </c>
      <c r="B9191" s="18" t="str">
        <f t="shared" si="287"/>
        <v/>
      </c>
    </row>
    <row r="9192" spans="1:2" x14ac:dyDescent="0.25">
      <c r="A9192" s="15" t="str">
        <f t="shared" si="286"/>
        <v/>
      </c>
      <c r="B9192" s="18" t="str">
        <f t="shared" si="287"/>
        <v/>
      </c>
    </row>
    <row r="9193" spans="1:2" x14ac:dyDescent="0.25">
      <c r="A9193" s="15" t="str">
        <f t="shared" si="286"/>
        <v/>
      </c>
      <c r="B9193" s="18" t="str">
        <f t="shared" si="287"/>
        <v/>
      </c>
    </row>
    <row r="9194" spans="1:2" x14ac:dyDescent="0.25">
      <c r="A9194" s="15" t="str">
        <f t="shared" si="286"/>
        <v/>
      </c>
      <c r="B9194" s="18" t="str">
        <f t="shared" si="287"/>
        <v/>
      </c>
    </row>
    <row r="9195" spans="1:2" x14ac:dyDescent="0.25">
      <c r="A9195" s="15" t="str">
        <f t="shared" si="286"/>
        <v/>
      </c>
      <c r="B9195" s="18" t="str">
        <f t="shared" si="287"/>
        <v/>
      </c>
    </row>
    <row r="9196" spans="1:2" x14ac:dyDescent="0.25">
      <c r="A9196" s="15" t="str">
        <f t="shared" si="286"/>
        <v/>
      </c>
      <c r="B9196" s="18" t="str">
        <f t="shared" si="287"/>
        <v/>
      </c>
    </row>
    <row r="9197" spans="1:2" x14ac:dyDescent="0.25">
      <c r="A9197" s="15" t="str">
        <f t="shared" si="286"/>
        <v/>
      </c>
      <c r="B9197" s="18" t="str">
        <f t="shared" si="287"/>
        <v/>
      </c>
    </row>
    <row r="9198" spans="1:2" x14ac:dyDescent="0.25">
      <c r="A9198" s="15" t="str">
        <f t="shared" si="286"/>
        <v/>
      </c>
      <c r="B9198" s="18" t="str">
        <f t="shared" si="287"/>
        <v/>
      </c>
    </row>
    <row r="9199" spans="1:2" x14ac:dyDescent="0.25">
      <c r="A9199" s="15" t="str">
        <f t="shared" si="286"/>
        <v/>
      </c>
      <c r="B9199" s="18" t="str">
        <f t="shared" si="287"/>
        <v/>
      </c>
    </row>
    <row r="9200" spans="1:2" x14ac:dyDescent="0.25">
      <c r="A9200" s="15" t="str">
        <f t="shared" si="286"/>
        <v/>
      </c>
      <c r="B9200" s="18" t="str">
        <f t="shared" si="287"/>
        <v/>
      </c>
    </row>
    <row r="9201" spans="1:2" x14ac:dyDescent="0.25">
      <c r="A9201" s="15" t="str">
        <f t="shared" si="286"/>
        <v/>
      </c>
      <c r="B9201" s="18" t="str">
        <f t="shared" si="287"/>
        <v/>
      </c>
    </row>
    <row r="9202" spans="1:2" x14ac:dyDescent="0.25">
      <c r="A9202" s="15" t="str">
        <f t="shared" si="286"/>
        <v/>
      </c>
      <c r="B9202" s="18" t="str">
        <f t="shared" si="287"/>
        <v/>
      </c>
    </row>
    <row r="9203" spans="1:2" x14ac:dyDescent="0.25">
      <c r="A9203" s="15" t="str">
        <f t="shared" si="286"/>
        <v/>
      </c>
      <c r="B9203" s="18" t="str">
        <f t="shared" si="287"/>
        <v/>
      </c>
    </row>
    <row r="9204" spans="1:2" x14ac:dyDescent="0.25">
      <c r="A9204" s="15" t="str">
        <f t="shared" si="286"/>
        <v/>
      </c>
      <c r="B9204" s="18" t="str">
        <f t="shared" si="287"/>
        <v/>
      </c>
    </row>
    <row r="9205" spans="1:2" x14ac:dyDescent="0.25">
      <c r="A9205" s="15" t="str">
        <f t="shared" si="286"/>
        <v/>
      </c>
      <c r="B9205" s="18" t="str">
        <f t="shared" si="287"/>
        <v/>
      </c>
    </row>
    <row r="9206" spans="1:2" x14ac:dyDescent="0.25">
      <c r="A9206" s="15" t="str">
        <f t="shared" si="286"/>
        <v/>
      </c>
      <c r="B9206" s="18" t="str">
        <f t="shared" si="287"/>
        <v/>
      </c>
    </row>
    <row r="9207" spans="1:2" x14ac:dyDescent="0.25">
      <c r="A9207" s="15" t="str">
        <f t="shared" si="286"/>
        <v/>
      </c>
      <c r="B9207" s="18" t="str">
        <f t="shared" si="287"/>
        <v/>
      </c>
    </row>
    <row r="9208" spans="1:2" x14ac:dyDescent="0.25">
      <c r="A9208" s="15" t="str">
        <f t="shared" si="286"/>
        <v/>
      </c>
      <c r="B9208" s="18" t="str">
        <f t="shared" si="287"/>
        <v/>
      </c>
    </row>
    <row r="9209" spans="1:2" x14ac:dyDescent="0.25">
      <c r="A9209" s="15" t="str">
        <f t="shared" si="286"/>
        <v/>
      </c>
      <c r="B9209" s="18" t="str">
        <f t="shared" si="287"/>
        <v/>
      </c>
    </row>
    <row r="9210" spans="1:2" x14ac:dyDescent="0.25">
      <c r="A9210" s="15" t="str">
        <f t="shared" si="286"/>
        <v/>
      </c>
      <c r="B9210" s="18" t="str">
        <f t="shared" si="287"/>
        <v/>
      </c>
    </row>
    <row r="9211" spans="1:2" x14ac:dyDescent="0.25">
      <c r="A9211" s="15" t="str">
        <f t="shared" si="286"/>
        <v/>
      </c>
      <c r="B9211" s="18" t="str">
        <f t="shared" si="287"/>
        <v/>
      </c>
    </row>
    <row r="9212" spans="1:2" x14ac:dyDescent="0.25">
      <c r="A9212" s="15" t="str">
        <f t="shared" si="286"/>
        <v/>
      </c>
      <c r="B9212" s="18" t="str">
        <f t="shared" si="287"/>
        <v/>
      </c>
    </row>
    <row r="9213" spans="1:2" x14ac:dyDescent="0.25">
      <c r="A9213" s="15" t="str">
        <f t="shared" si="286"/>
        <v/>
      </c>
      <c r="B9213" s="18" t="str">
        <f t="shared" si="287"/>
        <v/>
      </c>
    </row>
    <row r="9214" spans="1:2" x14ac:dyDescent="0.25">
      <c r="A9214" s="15" t="str">
        <f t="shared" si="286"/>
        <v/>
      </c>
      <c r="B9214" s="18" t="str">
        <f t="shared" si="287"/>
        <v/>
      </c>
    </row>
    <row r="9215" spans="1:2" x14ac:dyDescent="0.25">
      <c r="A9215" s="15" t="str">
        <f t="shared" si="286"/>
        <v/>
      </c>
      <c r="B9215" s="18" t="str">
        <f t="shared" si="287"/>
        <v/>
      </c>
    </row>
    <row r="9216" spans="1:2" x14ac:dyDescent="0.25">
      <c r="A9216" s="15" t="str">
        <f t="shared" si="286"/>
        <v/>
      </c>
      <c r="B9216" s="18" t="str">
        <f t="shared" si="287"/>
        <v/>
      </c>
    </row>
    <row r="9217" spans="1:2" x14ac:dyDescent="0.25">
      <c r="A9217" s="15" t="str">
        <f t="shared" si="286"/>
        <v/>
      </c>
      <c r="B9217" s="18" t="str">
        <f t="shared" si="287"/>
        <v/>
      </c>
    </row>
    <row r="9218" spans="1:2" x14ac:dyDescent="0.25">
      <c r="A9218" s="15" t="str">
        <f t="shared" ref="A9218:A9281" si="288">B9218&amp;C9218</f>
        <v/>
      </c>
      <c r="B9218" s="18" t="str">
        <f t="shared" si="287"/>
        <v/>
      </c>
    </row>
    <row r="9219" spans="1:2" x14ac:dyDescent="0.25">
      <c r="A9219" s="15" t="str">
        <f t="shared" si="288"/>
        <v/>
      </c>
      <c r="B9219" s="18" t="str">
        <f t="shared" ref="B9219:B9282" si="289">IF(C9219="","",B9218)</f>
        <v/>
      </c>
    </row>
    <row r="9220" spans="1:2" x14ac:dyDescent="0.25">
      <c r="A9220" s="15" t="str">
        <f t="shared" si="288"/>
        <v/>
      </c>
      <c r="B9220" s="18" t="str">
        <f t="shared" si="289"/>
        <v/>
      </c>
    </row>
    <row r="9221" spans="1:2" x14ac:dyDescent="0.25">
      <c r="A9221" s="15" t="str">
        <f t="shared" si="288"/>
        <v/>
      </c>
      <c r="B9221" s="18" t="str">
        <f t="shared" si="289"/>
        <v/>
      </c>
    </row>
    <row r="9222" spans="1:2" x14ac:dyDescent="0.25">
      <c r="A9222" s="15" t="str">
        <f t="shared" si="288"/>
        <v/>
      </c>
      <c r="B9222" s="18" t="str">
        <f t="shared" si="289"/>
        <v/>
      </c>
    </row>
    <row r="9223" spans="1:2" x14ac:dyDescent="0.25">
      <c r="A9223" s="15" t="str">
        <f t="shared" si="288"/>
        <v/>
      </c>
      <c r="B9223" s="18" t="str">
        <f t="shared" si="289"/>
        <v/>
      </c>
    </row>
    <row r="9224" spans="1:2" x14ac:dyDescent="0.25">
      <c r="A9224" s="15" t="str">
        <f t="shared" si="288"/>
        <v/>
      </c>
      <c r="B9224" s="18" t="str">
        <f t="shared" si="289"/>
        <v/>
      </c>
    </row>
    <row r="9225" spans="1:2" x14ac:dyDescent="0.25">
      <c r="A9225" s="15" t="str">
        <f t="shared" si="288"/>
        <v/>
      </c>
      <c r="B9225" s="18" t="str">
        <f t="shared" si="289"/>
        <v/>
      </c>
    </row>
    <row r="9226" spans="1:2" x14ac:dyDescent="0.25">
      <c r="A9226" s="15" t="str">
        <f t="shared" si="288"/>
        <v/>
      </c>
      <c r="B9226" s="18" t="str">
        <f t="shared" si="289"/>
        <v/>
      </c>
    </row>
    <row r="9227" spans="1:2" x14ac:dyDescent="0.25">
      <c r="A9227" s="15" t="str">
        <f t="shared" si="288"/>
        <v/>
      </c>
      <c r="B9227" s="18" t="str">
        <f t="shared" si="289"/>
        <v/>
      </c>
    </row>
    <row r="9228" spans="1:2" x14ac:dyDescent="0.25">
      <c r="A9228" s="15" t="str">
        <f t="shared" si="288"/>
        <v/>
      </c>
      <c r="B9228" s="18" t="str">
        <f t="shared" si="289"/>
        <v/>
      </c>
    </row>
    <row r="9229" spans="1:2" x14ac:dyDescent="0.25">
      <c r="A9229" s="15" t="str">
        <f t="shared" si="288"/>
        <v/>
      </c>
      <c r="B9229" s="18" t="str">
        <f t="shared" si="289"/>
        <v/>
      </c>
    </row>
    <row r="9230" spans="1:2" x14ac:dyDescent="0.25">
      <c r="A9230" s="15" t="str">
        <f t="shared" si="288"/>
        <v/>
      </c>
      <c r="B9230" s="18" t="str">
        <f t="shared" si="289"/>
        <v/>
      </c>
    </row>
    <row r="9231" spans="1:2" x14ac:dyDescent="0.25">
      <c r="A9231" s="15" t="str">
        <f t="shared" si="288"/>
        <v/>
      </c>
      <c r="B9231" s="18" t="str">
        <f t="shared" si="289"/>
        <v/>
      </c>
    </row>
    <row r="9232" spans="1:2" x14ac:dyDescent="0.25">
      <c r="A9232" s="15" t="str">
        <f t="shared" si="288"/>
        <v/>
      </c>
      <c r="B9232" s="18" t="str">
        <f t="shared" si="289"/>
        <v/>
      </c>
    </row>
    <row r="9233" spans="1:2" x14ac:dyDescent="0.25">
      <c r="A9233" s="15" t="str">
        <f t="shared" si="288"/>
        <v/>
      </c>
      <c r="B9233" s="18" t="str">
        <f t="shared" si="289"/>
        <v/>
      </c>
    </row>
    <row r="9234" spans="1:2" x14ac:dyDescent="0.25">
      <c r="A9234" s="15" t="str">
        <f t="shared" si="288"/>
        <v/>
      </c>
      <c r="B9234" s="18" t="str">
        <f t="shared" si="289"/>
        <v/>
      </c>
    </row>
    <row r="9235" spans="1:2" x14ac:dyDescent="0.25">
      <c r="A9235" s="15" t="str">
        <f t="shared" si="288"/>
        <v/>
      </c>
      <c r="B9235" s="18" t="str">
        <f t="shared" si="289"/>
        <v/>
      </c>
    </row>
    <row r="9236" spans="1:2" x14ac:dyDescent="0.25">
      <c r="A9236" s="15" t="str">
        <f t="shared" si="288"/>
        <v/>
      </c>
      <c r="B9236" s="18" t="str">
        <f t="shared" si="289"/>
        <v/>
      </c>
    </row>
    <row r="9237" spans="1:2" x14ac:dyDescent="0.25">
      <c r="A9237" s="15" t="str">
        <f t="shared" si="288"/>
        <v/>
      </c>
      <c r="B9237" s="18" t="str">
        <f t="shared" si="289"/>
        <v/>
      </c>
    </row>
    <row r="9238" spans="1:2" x14ac:dyDescent="0.25">
      <c r="A9238" s="15" t="str">
        <f t="shared" si="288"/>
        <v/>
      </c>
      <c r="B9238" s="18" t="str">
        <f t="shared" si="289"/>
        <v/>
      </c>
    </row>
    <row r="9239" spans="1:2" x14ac:dyDescent="0.25">
      <c r="A9239" s="15" t="str">
        <f t="shared" si="288"/>
        <v/>
      </c>
      <c r="B9239" s="18" t="str">
        <f t="shared" si="289"/>
        <v/>
      </c>
    </row>
    <row r="9240" spans="1:2" x14ac:dyDescent="0.25">
      <c r="A9240" s="15" t="str">
        <f t="shared" si="288"/>
        <v/>
      </c>
      <c r="B9240" s="18" t="str">
        <f t="shared" si="289"/>
        <v/>
      </c>
    </row>
    <row r="9241" spans="1:2" x14ac:dyDescent="0.25">
      <c r="A9241" s="15" t="str">
        <f t="shared" si="288"/>
        <v/>
      </c>
      <c r="B9241" s="18" t="str">
        <f t="shared" si="289"/>
        <v/>
      </c>
    </row>
    <row r="9242" spans="1:2" x14ac:dyDescent="0.25">
      <c r="A9242" s="15" t="str">
        <f t="shared" si="288"/>
        <v/>
      </c>
      <c r="B9242" s="18" t="str">
        <f t="shared" si="289"/>
        <v/>
      </c>
    </row>
    <row r="9243" spans="1:2" x14ac:dyDescent="0.25">
      <c r="A9243" s="15" t="str">
        <f t="shared" si="288"/>
        <v/>
      </c>
      <c r="B9243" s="18" t="str">
        <f t="shared" si="289"/>
        <v/>
      </c>
    </row>
    <row r="9244" spans="1:2" x14ac:dyDescent="0.25">
      <c r="A9244" s="15" t="str">
        <f t="shared" si="288"/>
        <v/>
      </c>
      <c r="B9244" s="18" t="str">
        <f t="shared" si="289"/>
        <v/>
      </c>
    </row>
    <row r="9245" spans="1:2" x14ac:dyDescent="0.25">
      <c r="A9245" s="15" t="str">
        <f t="shared" si="288"/>
        <v/>
      </c>
      <c r="B9245" s="18" t="str">
        <f t="shared" si="289"/>
        <v/>
      </c>
    </row>
    <row r="9246" spans="1:2" x14ac:dyDescent="0.25">
      <c r="A9246" s="15" t="str">
        <f t="shared" si="288"/>
        <v/>
      </c>
      <c r="B9246" s="18" t="str">
        <f t="shared" si="289"/>
        <v/>
      </c>
    </row>
    <row r="9247" spans="1:2" x14ac:dyDescent="0.25">
      <c r="A9247" s="15" t="str">
        <f t="shared" si="288"/>
        <v/>
      </c>
      <c r="B9247" s="18" t="str">
        <f t="shared" si="289"/>
        <v/>
      </c>
    </row>
    <row r="9248" spans="1:2" x14ac:dyDescent="0.25">
      <c r="A9248" s="15" t="str">
        <f t="shared" si="288"/>
        <v/>
      </c>
      <c r="B9248" s="18" t="str">
        <f t="shared" si="289"/>
        <v/>
      </c>
    </row>
    <row r="9249" spans="1:2" x14ac:dyDescent="0.25">
      <c r="A9249" s="15" t="str">
        <f t="shared" si="288"/>
        <v/>
      </c>
      <c r="B9249" s="18" t="str">
        <f t="shared" si="289"/>
        <v/>
      </c>
    </row>
    <row r="9250" spans="1:2" x14ac:dyDescent="0.25">
      <c r="A9250" s="15" t="str">
        <f t="shared" si="288"/>
        <v/>
      </c>
      <c r="B9250" s="18" t="str">
        <f t="shared" si="289"/>
        <v/>
      </c>
    </row>
    <row r="9251" spans="1:2" x14ac:dyDescent="0.25">
      <c r="A9251" s="15" t="str">
        <f t="shared" si="288"/>
        <v/>
      </c>
      <c r="B9251" s="18" t="str">
        <f t="shared" si="289"/>
        <v/>
      </c>
    </row>
    <row r="9252" spans="1:2" x14ac:dyDescent="0.25">
      <c r="A9252" s="15" t="str">
        <f t="shared" si="288"/>
        <v/>
      </c>
      <c r="B9252" s="18" t="str">
        <f t="shared" si="289"/>
        <v/>
      </c>
    </row>
    <row r="9253" spans="1:2" x14ac:dyDescent="0.25">
      <c r="A9253" s="15" t="str">
        <f t="shared" si="288"/>
        <v/>
      </c>
      <c r="B9253" s="18" t="str">
        <f t="shared" si="289"/>
        <v/>
      </c>
    </row>
    <row r="9254" spans="1:2" x14ac:dyDescent="0.25">
      <c r="A9254" s="15" t="str">
        <f t="shared" si="288"/>
        <v/>
      </c>
      <c r="B9254" s="18" t="str">
        <f t="shared" si="289"/>
        <v/>
      </c>
    </row>
    <row r="9255" spans="1:2" x14ac:dyDescent="0.25">
      <c r="A9255" s="15" t="str">
        <f t="shared" si="288"/>
        <v/>
      </c>
      <c r="B9255" s="18" t="str">
        <f t="shared" si="289"/>
        <v/>
      </c>
    </row>
    <row r="9256" spans="1:2" x14ac:dyDescent="0.25">
      <c r="A9256" s="15" t="str">
        <f t="shared" si="288"/>
        <v/>
      </c>
      <c r="B9256" s="18" t="str">
        <f t="shared" si="289"/>
        <v/>
      </c>
    </row>
    <row r="9257" spans="1:2" x14ac:dyDescent="0.25">
      <c r="A9257" s="15" t="str">
        <f t="shared" si="288"/>
        <v/>
      </c>
      <c r="B9257" s="18" t="str">
        <f t="shared" si="289"/>
        <v/>
      </c>
    </row>
    <row r="9258" spans="1:2" x14ac:dyDescent="0.25">
      <c r="A9258" s="15" t="str">
        <f t="shared" si="288"/>
        <v/>
      </c>
      <c r="B9258" s="18" t="str">
        <f t="shared" si="289"/>
        <v/>
      </c>
    </row>
    <row r="9259" spans="1:2" x14ac:dyDescent="0.25">
      <c r="A9259" s="15" t="str">
        <f t="shared" si="288"/>
        <v/>
      </c>
      <c r="B9259" s="18" t="str">
        <f t="shared" si="289"/>
        <v/>
      </c>
    </row>
    <row r="9260" spans="1:2" x14ac:dyDescent="0.25">
      <c r="A9260" s="15" t="str">
        <f t="shared" si="288"/>
        <v/>
      </c>
      <c r="B9260" s="18" t="str">
        <f t="shared" si="289"/>
        <v/>
      </c>
    </row>
    <row r="9261" spans="1:2" x14ac:dyDescent="0.25">
      <c r="A9261" s="15" t="str">
        <f t="shared" si="288"/>
        <v/>
      </c>
      <c r="B9261" s="18" t="str">
        <f t="shared" si="289"/>
        <v/>
      </c>
    </row>
    <row r="9262" spans="1:2" x14ac:dyDescent="0.25">
      <c r="A9262" s="15" t="str">
        <f t="shared" si="288"/>
        <v/>
      </c>
      <c r="B9262" s="18" t="str">
        <f t="shared" si="289"/>
        <v/>
      </c>
    </row>
    <row r="9263" spans="1:2" x14ac:dyDescent="0.25">
      <c r="A9263" s="15" t="str">
        <f t="shared" si="288"/>
        <v/>
      </c>
      <c r="B9263" s="18" t="str">
        <f t="shared" si="289"/>
        <v/>
      </c>
    </row>
    <row r="9264" spans="1:2" x14ac:dyDescent="0.25">
      <c r="A9264" s="15" t="str">
        <f t="shared" si="288"/>
        <v/>
      </c>
      <c r="B9264" s="18" t="str">
        <f t="shared" si="289"/>
        <v/>
      </c>
    </row>
    <row r="9265" spans="1:2" x14ac:dyDescent="0.25">
      <c r="A9265" s="15" t="str">
        <f t="shared" si="288"/>
        <v/>
      </c>
      <c r="B9265" s="18" t="str">
        <f t="shared" si="289"/>
        <v/>
      </c>
    </row>
    <row r="9266" spans="1:2" x14ac:dyDescent="0.25">
      <c r="A9266" s="15" t="str">
        <f t="shared" si="288"/>
        <v/>
      </c>
      <c r="B9266" s="18" t="str">
        <f t="shared" si="289"/>
        <v/>
      </c>
    </row>
    <row r="9267" spans="1:2" x14ac:dyDescent="0.25">
      <c r="A9267" s="15" t="str">
        <f t="shared" si="288"/>
        <v/>
      </c>
      <c r="B9267" s="18" t="str">
        <f t="shared" si="289"/>
        <v/>
      </c>
    </row>
    <row r="9268" spans="1:2" x14ac:dyDescent="0.25">
      <c r="A9268" s="15" t="str">
        <f t="shared" si="288"/>
        <v/>
      </c>
      <c r="B9268" s="18" t="str">
        <f t="shared" si="289"/>
        <v/>
      </c>
    </row>
    <row r="9269" spans="1:2" x14ac:dyDescent="0.25">
      <c r="A9269" s="15" t="str">
        <f t="shared" si="288"/>
        <v/>
      </c>
      <c r="B9269" s="18" t="str">
        <f t="shared" si="289"/>
        <v/>
      </c>
    </row>
    <row r="9270" spans="1:2" x14ac:dyDescent="0.25">
      <c r="A9270" s="15" t="str">
        <f t="shared" si="288"/>
        <v/>
      </c>
      <c r="B9270" s="18" t="str">
        <f t="shared" si="289"/>
        <v/>
      </c>
    </row>
    <row r="9271" spans="1:2" x14ac:dyDescent="0.25">
      <c r="A9271" s="15" t="str">
        <f t="shared" si="288"/>
        <v/>
      </c>
      <c r="B9271" s="18" t="str">
        <f t="shared" si="289"/>
        <v/>
      </c>
    </row>
    <row r="9272" spans="1:2" x14ac:dyDescent="0.25">
      <c r="A9272" s="15" t="str">
        <f t="shared" si="288"/>
        <v/>
      </c>
      <c r="B9272" s="18" t="str">
        <f t="shared" si="289"/>
        <v/>
      </c>
    </row>
    <row r="9273" spans="1:2" x14ac:dyDescent="0.25">
      <c r="A9273" s="15" t="str">
        <f t="shared" si="288"/>
        <v/>
      </c>
      <c r="B9273" s="18" t="str">
        <f t="shared" si="289"/>
        <v/>
      </c>
    </row>
    <row r="9274" spans="1:2" x14ac:dyDescent="0.25">
      <c r="A9274" s="15" t="str">
        <f t="shared" si="288"/>
        <v/>
      </c>
      <c r="B9274" s="18" t="str">
        <f t="shared" si="289"/>
        <v/>
      </c>
    </row>
    <row r="9275" spans="1:2" x14ac:dyDescent="0.25">
      <c r="A9275" s="15" t="str">
        <f t="shared" si="288"/>
        <v/>
      </c>
      <c r="B9275" s="18" t="str">
        <f t="shared" si="289"/>
        <v/>
      </c>
    </row>
    <row r="9276" spans="1:2" x14ac:dyDescent="0.25">
      <c r="A9276" s="15" t="str">
        <f t="shared" si="288"/>
        <v/>
      </c>
      <c r="B9276" s="18" t="str">
        <f t="shared" si="289"/>
        <v/>
      </c>
    </row>
    <row r="9277" spans="1:2" x14ac:dyDescent="0.25">
      <c r="A9277" s="15" t="str">
        <f t="shared" si="288"/>
        <v/>
      </c>
      <c r="B9277" s="18" t="str">
        <f t="shared" si="289"/>
        <v/>
      </c>
    </row>
    <row r="9278" spans="1:2" x14ac:dyDescent="0.25">
      <c r="A9278" s="15" t="str">
        <f t="shared" si="288"/>
        <v/>
      </c>
      <c r="B9278" s="18" t="str">
        <f t="shared" si="289"/>
        <v/>
      </c>
    </row>
    <row r="9279" spans="1:2" x14ac:dyDescent="0.25">
      <c r="A9279" s="15" t="str">
        <f t="shared" si="288"/>
        <v/>
      </c>
      <c r="B9279" s="18" t="str">
        <f t="shared" si="289"/>
        <v/>
      </c>
    </row>
    <row r="9280" spans="1:2" x14ac:dyDescent="0.25">
      <c r="A9280" s="15" t="str">
        <f t="shared" si="288"/>
        <v/>
      </c>
      <c r="B9280" s="18" t="str">
        <f t="shared" si="289"/>
        <v/>
      </c>
    </row>
    <row r="9281" spans="1:2" x14ac:dyDescent="0.25">
      <c r="A9281" s="15" t="str">
        <f t="shared" si="288"/>
        <v/>
      </c>
      <c r="B9281" s="18" t="str">
        <f t="shared" si="289"/>
        <v/>
      </c>
    </row>
    <row r="9282" spans="1:2" x14ac:dyDescent="0.25">
      <c r="A9282" s="15" t="str">
        <f t="shared" ref="A9282:A9345" si="290">B9282&amp;C9282</f>
        <v/>
      </c>
      <c r="B9282" s="18" t="str">
        <f t="shared" si="289"/>
        <v/>
      </c>
    </row>
    <row r="9283" spans="1:2" x14ac:dyDescent="0.25">
      <c r="A9283" s="15" t="str">
        <f t="shared" si="290"/>
        <v/>
      </c>
      <c r="B9283" s="18" t="str">
        <f t="shared" ref="B9283:B9346" si="291">IF(C9283="","",B9282)</f>
        <v/>
      </c>
    </row>
    <row r="9284" spans="1:2" x14ac:dyDescent="0.25">
      <c r="A9284" s="15" t="str">
        <f t="shared" si="290"/>
        <v/>
      </c>
      <c r="B9284" s="18" t="str">
        <f t="shared" si="291"/>
        <v/>
      </c>
    </row>
    <row r="9285" spans="1:2" x14ac:dyDescent="0.25">
      <c r="A9285" s="15" t="str">
        <f t="shared" si="290"/>
        <v/>
      </c>
      <c r="B9285" s="18" t="str">
        <f t="shared" si="291"/>
        <v/>
      </c>
    </row>
    <row r="9286" spans="1:2" x14ac:dyDescent="0.25">
      <c r="A9286" s="15" t="str">
        <f t="shared" si="290"/>
        <v/>
      </c>
      <c r="B9286" s="18" t="str">
        <f t="shared" si="291"/>
        <v/>
      </c>
    </row>
    <row r="9287" spans="1:2" x14ac:dyDescent="0.25">
      <c r="A9287" s="15" t="str">
        <f t="shared" si="290"/>
        <v/>
      </c>
      <c r="B9287" s="18" t="str">
        <f t="shared" si="291"/>
        <v/>
      </c>
    </row>
    <row r="9288" spans="1:2" x14ac:dyDescent="0.25">
      <c r="A9288" s="15" t="str">
        <f t="shared" si="290"/>
        <v/>
      </c>
      <c r="B9288" s="18" t="str">
        <f t="shared" si="291"/>
        <v/>
      </c>
    </row>
    <row r="9289" spans="1:2" x14ac:dyDescent="0.25">
      <c r="A9289" s="15" t="str">
        <f t="shared" si="290"/>
        <v/>
      </c>
      <c r="B9289" s="18" t="str">
        <f t="shared" si="291"/>
        <v/>
      </c>
    </row>
    <row r="9290" spans="1:2" x14ac:dyDescent="0.25">
      <c r="A9290" s="15" t="str">
        <f t="shared" si="290"/>
        <v/>
      </c>
      <c r="B9290" s="18" t="str">
        <f t="shared" si="291"/>
        <v/>
      </c>
    </row>
    <row r="9291" spans="1:2" x14ac:dyDescent="0.25">
      <c r="A9291" s="15" t="str">
        <f t="shared" si="290"/>
        <v/>
      </c>
      <c r="B9291" s="18" t="str">
        <f t="shared" si="291"/>
        <v/>
      </c>
    </row>
    <row r="9292" spans="1:2" x14ac:dyDescent="0.25">
      <c r="A9292" s="15" t="str">
        <f t="shared" si="290"/>
        <v/>
      </c>
      <c r="B9292" s="18" t="str">
        <f t="shared" si="291"/>
        <v/>
      </c>
    </row>
    <row r="9293" spans="1:2" x14ac:dyDescent="0.25">
      <c r="A9293" s="15" t="str">
        <f t="shared" si="290"/>
        <v/>
      </c>
      <c r="B9293" s="18" t="str">
        <f t="shared" si="291"/>
        <v/>
      </c>
    </row>
    <row r="9294" spans="1:2" x14ac:dyDescent="0.25">
      <c r="A9294" s="15" t="str">
        <f t="shared" si="290"/>
        <v/>
      </c>
      <c r="B9294" s="18" t="str">
        <f t="shared" si="291"/>
        <v/>
      </c>
    </row>
    <row r="9295" spans="1:2" x14ac:dyDescent="0.25">
      <c r="A9295" s="15" t="str">
        <f t="shared" si="290"/>
        <v/>
      </c>
      <c r="B9295" s="18" t="str">
        <f t="shared" si="291"/>
        <v/>
      </c>
    </row>
    <row r="9296" spans="1:2" x14ac:dyDescent="0.25">
      <c r="A9296" s="15" t="str">
        <f t="shared" si="290"/>
        <v/>
      </c>
      <c r="B9296" s="18" t="str">
        <f t="shared" si="291"/>
        <v/>
      </c>
    </row>
    <row r="9297" spans="1:2" x14ac:dyDescent="0.25">
      <c r="A9297" s="15" t="str">
        <f t="shared" si="290"/>
        <v/>
      </c>
      <c r="B9297" s="18" t="str">
        <f t="shared" si="291"/>
        <v/>
      </c>
    </row>
    <row r="9298" spans="1:2" x14ac:dyDescent="0.25">
      <c r="A9298" s="15" t="str">
        <f t="shared" si="290"/>
        <v/>
      </c>
      <c r="B9298" s="18" t="str">
        <f t="shared" si="291"/>
        <v/>
      </c>
    </row>
    <row r="9299" spans="1:2" x14ac:dyDescent="0.25">
      <c r="A9299" s="15" t="str">
        <f t="shared" si="290"/>
        <v/>
      </c>
      <c r="B9299" s="18" t="str">
        <f t="shared" si="291"/>
        <v/>
      </c>
    </row>
    <row r="9300" spans="1:2" x14ac:dyDescent="0.25">
      <c r="A9300" s="15" t="str">
        <f t="shared" si="290"/>
        <v/>
      </c>
      <c r="B9300" s="18" t="str">
        <f t="shared" si="291"/>
        <v/>
      </c>
    </row>
    <row r="9301" spans="1:2" x14ac:dyDescent="0.25">
      <c r="A9301" s="15" t="str">
        <f t="shared" si="290"/>
        <v/>
      </c>
      <c r="B9301" s="18" t="str">
        <f t="shared" si="291"/>
        <v/>
      </c>
    </row>
    <row r="9302" spans="1:2" x14ac:dyDescent="0.25">
      <c r="A9302" s="15" t="str">
        <f t="shared" si="290"/>
        <v/>
      </c>
      <c r="B9302" s="18" t="str">
        <f t="shared" si="291"/>
        <v/>
      </c>
    </row>
    <row r="9303" spans="1:2" x14ac:dyDescent="0.25">
      <c r="A9303" s="15" t="str">
        <f t="shared" si="290"/>
        <v/>
      </c>
      <c r="B9303" s="18" t="str">
        <f t="shared" si="291"/>
        <v/>
      </c>
    </row>
    <row r="9304" spans="1:2" x14ac:dyDescent="0.25">
      <c r="A9304" s="15" t="str">
        <f t="shared" si="290"/>
        <v/>
      </c>
      <c r="B9304" s="18" t="str">
        <f t="shared" si="291"/>
        <v/>
      </c>
    </row>
    <row r="9305" spans="1:2" x14ac:dyDescent="0.25">
      <c r="A9305" s="15" t="str">
        <f t="shared" si="290"/>
        <v/>
      </c>
      <c r="B9305" s="18" t="str">
        <f t="shared" si="291"/>
        <v/>
      </c>
    </row>
    <row r="9306" spans="1:2" x14ac:dyDescent="0.25">
      <c r="A9306" s="15" t="str">
        <f t="shared" si="290"/>
        <v/>
      </c>
      <c r="B9306" s="18" t="str">
        <f t="shared" si="291"/>
        <v/>
      </c>
    </row>
    <row r="9307" spans="1:2" x14ac:dyDescent="0.25">
      <c r="A9307" s="15" t="str">
        <f t="shared" si="290"/>
        <v/>
      </c>
      <c r="B9307" s="18" t="str">
        <f t="shared" si="291"/>
        <v/>
      </c>
    </row>
    <row r="9308" spans="1:2" x14ac:dyDescent="0.25">
      <c r="A9308" s="15" t="str">
        <f t="shared" si="290"/>
        <v/>
      </c>
      <c r="B9308" s="18" t="str">
        <f t="shared" si="291"/>
        <v/>
      </c>
    </row>
    <row r="9309" spans="1:2" x14ac:dyDescent="0.25">
      <c r="A9309" s="15" t="str">
        <f t="shared" si="290"/>
        <v/>
      </c>
      <c r="B9309" s="18" t="str">
        <f t="shared" si="291"/>
        <v/>
      </c>
    </row>
    <row r="9310" spans="1:2" x14ac:dyDescent="0.25">
      <c r="A9310" s="15" t="str">
        <f t="shared" si="290"/>
        <v/>
      </c>
      <c r="B9310" s="18" t="str">
        <f t="shared" si="291"/>
        <v/>
      </c>
    </row>
    <row r="9311" spans="1:2" x14ac:dyDescent="0.25">
      <c r="A9311" s="15" t="str">
        <f t="shared" si="290"/>
        <v/>
      </c>
      <c r="B9311" s="18" t="str">
        <f t="shared" si="291"/>
        <v/>
      </c>
    </row>
    <row r="9312" spans="1:2" x14ac:dyDescent="0.25">
      <c r="A9312" s="15" t="str">
        <f t="shared" si="290"/>
        <v/>
      </c>
      <c r="B9312" s="18" t="str">
        <f t="shared" si="291"/>
        <v/>
      </c>
    </row>
    <row r="9313" spans="1:2" x14ac:dyDescent="0.25">
      <c r="A9313" s="15" t="str">
        <f t="shared" si="290"/>
        <v/>
      </c>
      <c r="B9313" s="18" t="str">
        <f t="shared" si="291"/>
        <v/>
      </c>
    </row>
    <row r="9314" spans="1:2" x14ac:dyDescent="0.25">
      <c r="A9314" s="15" t="str">
        <f t="shared" si="290"/>
        <v/>
      </c>
      <c r="B9314" s="18" t="str">
        <f t="shared" si="291"/>
        <v/>
      </c>
    </row>
    <row r="9315" spans="1:2" x14ac:dyDescent="0.25">
      <c r="A9315" s="15" t="str">
        <f t="shared" si="290"/>
        <v/>
      </c>
      <c r="B9315" s="18" t="str">
        <f t="shared" si="291"/>
        <v/>
      </c>
    </row>
    <row r="9316" spans="1:2" x14ac:dyDescent="0.25">
      <c r="A9316" s="15" t="str">
        <f t="shared" si="290"/>
        <v/>
      </c>
      <c r="B9316" s="18" t="str">
        <f t="shared" si="291"/>
        <v/>
      </c>
    </row>
    <row r="9317" spans="1:2" x14ac:dyDescent="0.25">
      <c r="A9317" s="15" t="str">
        <f t="shared" si="290"/>
        <v/>
      </c>
      <c r="B9317" s="18" t="str">
        <f t="shared" si="291"/>
        <v/>
      </c>
    </row>
    <row r="9318" spans="1:2" x14ac:dyDescent="0.25">
      <c r="A9318" s="15" t="str">
        <f t="shared" si="290"/>
        <v/>
      </c>
      <c r="B9318" s="18" t="str">
        <f t="shared" si="291"/>
        <v/>
      </c>
    </row>
    <row r="9319" spans="1:2" x14ac:dyDescent="0.25">
      <c r="A9319" s="15" t="str">
        <f t="shared" si="290"/>
        <v/>
      </c>
      <c r="B9319" s="18" t="str">
        <f t="shared" si="291"/>
        <v/>
      </c>
    </row>
    <row r="9320" spans="1:2" x14ac:dyDescent="0.25">
      <c r="A9320" s="15" t="str">
        <f t="shared" si="290"/>
        <v/>
      </c>
      <c r="B9320" s="18" t="str">
        <f t="shared" si="291"/>
        <v/>
      </c>
    </row>
    <row r="9321" spans="1:2" x14ac:dyDescent="0.25">
      <c r="A9321" s="15" t="str">
        <f t="shared" si="290"/>
        <v/>
      </c>
      <c r="B9321" s="18" t="str">
        <f t="shared" si="291"/>
        <v/>
      </c>
    </row>
    <row r="9322" spans="1:2" x14ac:dyDescent="0.25">
      <c r="A9322" s="15" t="str">
        <f t="shared" si="290"/>
        <v/>
      </c>
      <c r="B9322" s="18" t="str">
        <f t="shared" si="291"/>
        <v/>
      </c>
    </row>
    <row r="9323" spans="1:2" x14ac:dyDescent="0.25">
      <c r="A9323" s="15" t="str">
        <f t="shared" si="290"/>
        <v/>
      </c>
      <c r="B9323" s="18" t="str">
        <f t="shared" si="291"/>
        <v/>
      </c>
    </row>
    <row r="9324" spans="1:2" x14ac:dyDescent="0.25">
      <c r="A9324" s="15" t="str">
        <f t="shared" si="290"/>
        <v/>
      </c>
      <c r="B9324" s="18" t="str">
        <f t="shared" si="291"/>
        <v/>
      </c>
    </row>
    <row r="9325" spans="1:2" x14ac:dyDescent="0.25">
      <c r="A9325" s="15" t="str">
        <f t="shared" si="290"/>
        <v/>
      </c>
      <c r="B9325" s="18" t="str">
        <f t="shared" si="291"/>
        <v/>
      </c>
    </row>
    <row r="9326" spans="1:2" x14ac:dyDescent="0.25">
      <c r="A9326" s="15" t="str">
        <f t="shared" si="290"/>
        <v/>
      </c>
      <c r="B9326" s="18" t="str">
        <f t="shared" si="291"/>
        <v/>
      </c>
    </row>
    <row r="9327" spans="1:2" x14ac:dyDescent="0.25">
      <c r="A9327" s="15" t="str">
        <f t="shared" si="290"/>
        <v/>
      </c>
      <c r="B9327" s="18" t="str">
        <f t="shared" si="291"/>
        <v/>
      </c>
    </row>
    <row r="9328" spans="1:2" x14ac:dyDescent="0.25">
      <c r="A9328" s="15" t="str">
        <f t="shared" si="290"/>
        <v/>
      </c>
      <c r="B9328" s="18" t="str">
        <f t="shared" si="291"/>
        <v/>
      </c>
    </row>
    <row r="9329" spans="1:2" x14ac:dyDescent="0.25">
      <c r="A9329" s="15" t="str">
        <f t="shared" si="290"/>
        <v/>
      </c>
      <c r="B9329" s="18" t="str">
        <f t="shared" si="291"/>
        <v/>
      </c>
    </row>
    <row r="9330" spans="1:2" x14ac:dyDescent="0.25">
      <c r="A9330" s="15" t="str">
        <f t="shared" si="290"/>
        <v/>
      </c>
      <c r="B9330" s="18" t="str">
        <f t="shared" si="291"/>
        <v/>
      </c>
    </row>
    <row r="9331" spans="1:2" x14ac:dyDescent="0.25">
      <c r="A9331" s="15" t="str">
        <f t="shared" si="290"/>
        <v/>
      </c>
      <c r="B9331" s="18" t="str">
        <f t="shared" si="291"/>
        <v/>
      </c>
    </row>
    <row r="9332" spans="1:2" x14ac:dyDescent="0.25">
      <c r="A9332" s="15" t="str">
        <f t="shared" si="290"/>
        <v/>
      </c>
      <c r="B9332" s="18" t="str">
        <f t="shared" si="291"/>
        <v/>
      </c>
    </row>
    <row r="9333" spans="1:2" x14ac:dyDescent="0.25">
      <c r="A9333" s="15" t="str">
        <f t="shared" si="290"/>
        <v/>
      </c>
      <c r="B9333" s="18" t="str">
        <f t="shared" si="291"/>
        <v/>
      </c>
    </row>
    <row r="9334" spans="1:2" x14ac:dyDescent="0.25">
      <c r="A9334" s="15" t="str">
        <f t="shared" si="290"/>
        <v/>
      </c>
      <c r="B9334" s="18" t="str">
        <f t="shared" si="291"/>
        <v/>
      </c>
    </row>
    <row r="9335" spans="1:2" x14ac:dyDescent="0.25">
      <c r="A9335" s="15" t="str">
        <f t="shared" si="290"/>
        <v/>
      </c>
      <c r="B9335" s="18" t="str">
        <f t="shared" si="291"/>
        <v/>
      </c>
    </row>
    <row r="9336" spans="1:2" x14ac:dyDescent="0.25">
      <c r="A9336" s="15" t="str">
        <f t="shared" si="290"/>
        <v/>
      </c>
      <c r="B9336" s="18" t="str">
        <f t="shared" si="291"/>
        <v/>
      </c>
    </row>
    <row r="9337" spans="1:2" x14ac:dyDescent="0.25">
      <c r="A9337" s="15" t="str">
        <f t="shared" si="290"/>
        <v/>
      </c>
      <c r="B9337" s="18" t="str">
        <f t="shared" si="291"/>
        <v/>
      </c>
    </row>
    <row r="9338" spans="1:2" x14ac:dyDescent="0.25">
      <c r="A9338" s="15" t="str">
        <f t="shared" si="290"/>
        <v/>
      </c>
      <c r="B9338" s="18" t="str">
        <f t="shared" si="291"/>
        <v/>
      </c>
    </row>
    <row r="9339" spans="1:2" x14ac:dyDescent="0.25">
      <c r="A9339" s="15" t="str">
        <f t="shared" si="290"/>
        <v/>
      </c>
      <c r="B9339" s="18" t="str">
        <f t="shared" si="291"/>
        <v/>
      </c>
    </row>
    <row r="9340" spans="1:2" x14ac:dyDescent="0.25">
      <c r="A9340" s="15" t="str">
        <f t="shared" si="290"/>
        <v/>
      </c>
      <c r="B9340" s="18" t="str">
        <f t="shared" si="291"/>
        <v/>
      </c>
    </row>
    <row r="9341" spans="1:2" x14ac:dyDescent="0.25">
      <c r="A9341" s="15" t="str">
        <f t="shared" si="290"/>
        <v/>
      </c>
      <c r="B9341" s="18" t="str">
        <f t="shared" si="291"/>
        <v/>
      </c>
    </row>
    <row r="9342" spans="1:2" x14ac:dyDescent="0.25">
      <c r="A9342" s="15" t="str">
        <f t="shared" si="290"/>
        <v/>
      </c>
      <c r="B9342" s="18" t="str">
        <f t="shared" si="291"/>
        <v/>
      </c>
    </row>
    <row r="9343" spans="1:2" x14ac:dyDescent="0.25">
      <c r="A9343" s="15" t="str">
        <f t="shared" si="290"/>
        <v/>
      </c>
      <c r="B9343" s="18" t="str">
        <f t="shared" si="291"/>
        <v/>
      </c>
    </row>
    <row r="9344" spans="1:2" x14ac:dyDescent="0.25">
      <c r="A9344" s="15" t="str">
        <f t="shared" si="290"/>
        <v/>
      </c>
      <c r="B9344" s="18" t="str">
        <f t="shared" si="291"/>
        <v/>
      </c>
    </row>
    <row r="9345" spans="1:2" x14ac:dyDescent="0.25">
      <c r="A9345" s="15" t="str">
        <f t="shared" si="290"/>
        <v/>
      </c>
      <c r="B9345" s="18" t="str">
        <f t="shared" si="291"/>
        <v/>
      </c>
    </row>
    <row r="9346" spans="1:2" x14ac:dyDescent="0.25">
      <c r="A9346" s="15" t="str">
        <f t="shared" ref="A9346:A9409" si="292">B9346&amp;C9346</f>
        <v/>
      </c>
      <c r="B9346" s="18" t="str">
        <f t="shared" si="291"/>
        <v/>
      </c>
    </row>
    <row r="9347" spans="1:2" x14ac:dyDescent="0.25">
      <c r="A9347" s="15" t="str">
        <f t="shared" si="292"/>
        <v/>
      </c>
      <c r="B9347" s="18" t="str">
        <f t="shared" ref="B9347:B9410" si="293">IF(C9347="","",B9346)</f>
        <v/>
      </c>
    </row>
    <row r="9348" spans="1:2" x14ac:dyDescent="0.25">
      <c r="A9348" s="15" t="str">
        <f t="shared" si="292"/>
        <v/>
      </c>
      <c r="B9348" s="18" t="str">
        <f t="shared" si="293"/>
        <v/>
      </c>
    </row>
    <row r="9349" spans="1:2" x14ac:dyDescent="0.25">
      <c r="A9349" s="15" t="str">
        <f t="shared" si="292"/>
        <v/>
      </c>
      <c r="B9349" s="18" t="str">
        <f t="shared" si="293"/>
        <v/>
      </c>
    </row>
    <row r="9350" spans="1:2" x14ac:dyDescent="0.25">
      <c r="A9350" s="15" t="str">
        <f t="shared" si="292"/>
        <v/>
      </c>
      <c r="B9350" s="18" t="str">
        <f t="shared" si="293"/>
        <v/>
      </c>
    </row>
    <row r="9351" spans="1:2" x14ac:dyDescent="0.25">
      <c r="A9351" s="15" t="str">
        <f t="shared" si="292"/>
        <v/>
      </c>
      <c r="B9351" s="18" t="str">
        <f t="shared" si="293"/>
        <v/>
      </c>
    </row>
    <row r="9352" spans="1:2" x14ac:dyDescent="0.25">
      <c r="A9352" s="15" t="str">
        <f t="shared" si="292"/>
        <v/>
      </c>
      <c r="B9352" s="18" t="str">
        <f t="shared" si="293"/>
        <v/>
      </c>
    </row>
    <row r="9353" spans="1:2" x14ac:dyDescent="0.25">
      <c r="A9353" s="15" t="str">
        <f t="shared" si="292"/>
        <v/>
      </c>
      <c r="B9353" s="18" t="str">
        <f t="shared" si="293"/>
        <v/>
      </c>
    </row>
    <row r="9354" spans="1:2" x14ac:dyDescent="0.25">
      <c r="A9354" s="15" t="str">
        <f t="shared" si="292"/>
        <v/>
      </c>
      <c r="B9354" s="18" t="str">
        <f t="shared" si="293"/>
        <v/>
      </c>
    </row>
    <row r="9355" spans="1:2" x14ac:dyDescent="0.25">
      <c r="A9355" s="15" t="str">
        <f t="shared" si="292"/>
        <v/>
      </c>
      <c r="B9355" s="18" t="str">
        <f t="shared" si="293"/>
        <v/>
      </c>
    </row>
    <row r="9356" spans="1:2" x14ac:dyDescent="0.25">
      <c r="A9356" s="15" t="str">
        <f t="shared" si="292"/>
        <v/>
      </c>
      <c r="B9356" s="18" t="str">
        <f t="shared" si="293"/>
        <v/>
      </c>
    </row>
    <row r="9357" spans="1:2" x14ac:dyDescent="0.25">
      <c r="A9357" s="15" t="str">
        <f t="shared" si="292"/>
        <v/>
      </c>
      <c r="B9357" s="18" t="str">
        <f t="shared" si="293"/>
        <v/>
      </c>
    </row>
    <row r="9358" spans="1:2" x14ac:dyDescent="0.25">
      <c r="A9358" s="15" t="str">
        <f t="shared" si="292"/>
        <v/>
      </c>
      <c r="B9358" s="18" t="str">
        <f t="shared" si="293"/>
        <v/>
      </c>
    </row>
    <row r="9359" spans="1:2" x14ac:dyDescent="0.25">
      <c r="A9359" s="15" t="str">
        <f t="shared" si="292"/>
        <v/>
      </c>
      <c r="B9359" s="18" t="str">
        <f t="shared" si="293"/>
        <v/>
      </c>
    </row>
    <row r="9360" spans="1:2" x14ac:dyDescent="0.25">
      <c r="A9360" s="15" t="str">
        <f t="shared" si="292"/>
        <v/>
      </c>
      <c r="B9360" s="18" t="str">
        <f t="shared" si="293"/>
        <v/>
      </c>
    </row>
    <row r="9361" spans="1:2" x14ac:dyDescent="0.25">
      <c r="A9361" s="15" t="str">
        <f t="shared" si="292"/>
        <v/>
      </c>
      <c r="B9361" s="18" t="str">
        <f t="shared" si="293"/>
        <v/>
      </c>
    </row>
    <row r="9362" spans="1:2" x14ac:dyDescent="0.25">
      <c r="A9362" s="15" t="str">
        <f t="shared" si="292"/>
        <v/>
      </c>
      <c r="B9362" s="18" t="str">
        <f t="shared" si="293"/>
        <v/>
      </c>
    </row>
    <row r="9363" spans="1:2" x14ac:dyDescent="0.25">
      <c r="A9363" s="15" t="str">
        <f t="shared" si="292"/>
        <v/>
      </c>
      <c r="B9363" s="18" t="str">
        <f t="shared" si="293"/>
        <v/>
      </c>
    </row>
    <row r="9364" spans="1:2" x14ac:dyDescent="0.25">
      <c r="A9364" s="15" t="str">
        <f t="shared" si="292"/>
        <v/>
      </c>
      <c r="B9364" s="18" t="str">
        <f t="shared" si="293"/>
        <v/>
      </c>
    </row>
    <row r="9365" spans="1:2" x14ac:dyDescent="0.25">
      <c r="A9365" s="15" t="str">
        <f t="shared" si="292"/>
        <v/>
      </c>
      <c r="B9365" s="18" t="str">
        <f t="shared" si="293"/>
        <v/>
      </c>
    </row>
    <row r="9366" spans="1:2" x14ac:dyDescent="0.25">
      <c r="A9366" s="15" t="str">
        <f t="shared" si="292"/>
        <v/>
      </c>
      <c r="B9366" s="18" t="str">
        <f t="shared" si="293"/>
        <v/>
      </c>
    </row>
    <row r="9367" spans="1:2" x14ac:dyDescent="0.25">
      <c r="A9367" s="15" t="str">
        <f t="shared" si="292"/>
        <v/>
      </c>
      <c r="B9367" s="18" t="str">
        <f t="shared" si="293"/>
        <v/>
      </c>
    </row>
    <row r="9368" spans="1:2" x14ac:dyDescent="0.25">
      <c r="A9368" s="15" t="str">
        <f t="shared" si="292"/>
        <v/>
      </c>
      <c r="B9368" s="18" t="str">
        <f t="shared" si="293"/>
        <v/>
      </c>
    </row>
    <row r="9369" spans="1:2" x14ac:dyDescent="0.25">
      <c r="A9369" s="15" t="str">
        <f t="shared" si="292"/>
        <v/>
      </c>
      <c r="B9369" s="18" t="str">
        <f t="shared" si="293"/>
        <v/>
      </c>
    </row>
    <row r="9370" spans="1:2" x14ac:dyDescent="0.25">
      <c r="A9370" s="15" t="str">
        <f t="shared" si="292"/>
        <v/>
      </c>
      <c r="B9370" s="18" t="str">
        <f t="shared" si="293"/>
        <v/>
      </c>
    </row>
    <row r="9371" spans="1:2" x14ac:dyDescent="0.25">
      <c r="A9371" s="15" t="str">
        <f t="shared" si="292"/>
        <v/>
      </c>
      <c r="B9371" s="18" t="str">
        <f t="shared" si="293"/>
        <v/>
      </c>
    </row>
    <row r="9372" spans="1:2" x14ac:dyDescent="0.25">
      <c r="A9372" s="15" t="str">
        <f t="shared" si="292"/>
        <v/>
      </c>
      <c r="B9372" s="18" t="str">
        <f t="shared" si="293"/>
        <v/>
      </c>
    </row>
    <row r="9373" spans="1:2" x14ac:dyDescent="0.25">
      <c r="A9373" s="15" t="str">
        <f t="shared" si="292"/>
        <v/>
      </c>
      <c r="B9373" s="18" t="str">
        <f t="shared" si="293"/>
        <v/>
      </c>
    </row>
    <row r="9374" spans="1:2" x14ac:dyDescent="0.25">
      <c r="A9374" s="15" t="str">
        <f t="shared" si="292"/>
        <v/>
      </c>
      <c r="B9374" s="18" t="str">
        <f t="shared" si="293"/>
        <v/>
      </c>
    </row>
    <row r="9375" spans="1:2" x14ac:dyDescent="0.25">
      <c r="A9375" s="15" t="str">
        <f t="shared" si="292"/>
        <v/>
      </c>
      <c r="B9375" s="18" t="str">
        <f t="shared" si="293"/>
        <v/>
      </c>
    </row>
    <row r="9376" spans="1:2" x14ac:dyDescent="0.25">
      <c r="A9376" s="15" t="str">
        <f t="shared" si="292"/>
        <v/>
      </c>
      <c r="B9376" s="18" t="str">
        <f t="shared" si="293"/>
        <v/>
      </c>
    </row>
    <row r="9377" spans="1:2" x14ac:dyDescent="0.25">
      <c r="A9377" s="15" t="str">
        <f t="shared" si="292"/>
        <v/>
      </c>
      <c r="B9377" s="18" t="str">
        <f t="shared" si="293"/>
        <v/>
      </c>
    </row>
    <row r="9378" spans="1:2" x14ac:dyDescent="0.25">
      <c r="A9378" s="15" t="str">
        <f t="shared" si="292"/>
        <v/>
      </c>
      <c r="B9378" s="18" t="str">
        <f t="shared" si="293"/>
        <v/>
      </c>
    </row>
    <row r="9379" spans="1:2" x14ac:dyDescent="0.25">
      <c r="A9379" s="15" t="str">
        <f t="shared" si="292"/>
        <v/>
      </c>
      <c r="B9379" s="18" t="str">
        <f t="shared" si="293"/>
        <v/>
      </c>
    </row>
    <row r="9380" spans="1:2" x14ac:dyDescent="0.25">
      <c r="A9380" s="15" t="str">
        <f t="shared" si="292"/>
        <v/>
      </c>
      <c r="B9380" s="18" t="str">
        <f t="shared" si="293"/>
        <v/>
      </c>
    </row>
    <row r="9381" spans="1:2" x14ac:dyDescent="0.25">
      <c r="A9381" s="15" t="str">
        <f t="shared" si="292"/>
        <v/>
      </c>
      <c r="B9381" s="18" t="str">
        <f t="shared" si="293"/>
        <v/>
      </c>
    </row>
    <row r="9382" spans="1:2" x14ac:dyDescent="0.25">
      <c r="A9382" s="15" t="str">
        <f t="shared" si="292"/>
        <v/>
      </c>
      <c r="B9382" s="18" t="str">
        <f t="shared" si="293"/>
        <v/>
      </c>
    </row>
    <row r="9383" spans="1:2" x14ac:dyDescent="0.25">
      <c r="A9383" s="15" t="str">
        <f t="shared" si="292"/>
        <v/>
      </c>
      <c r="B9383" s="18" t="str">
        <f t="shared" si="293"/>
        <v/>
      </c>
    </row>
    <row r="9384" spans="1:2" x14ac:dyDescent="0.25">
      <c r="A9384" s="15" t="str">
        <f t="shared" si="292"/>
        <v/>
      </c>
      <c r="B9384" s="18" t="str">
        <f t="shared" si="293"/>
        <v/>
      </c>
    </row>
    <row r="9385" spans="1:2" x14ac:dyDescent="0.25">
      <c r="A9385" s="15" t="str">
        <f t="shared" si="292"/>
        <v/>
      </c>
      <c r="B9385" s="18" t="str">
        <f t="shared" si="293"/>
        <v/>
      </c>
    </row>
    <row r="9386" spans="1:2" x14ac:dyDescent="0.25">
      <c r="A9386" s="15" t="str">
        <f t="shared" si="292"/>
        <v/>
      </c>
      <c r="B9386" s="18" t="str">
        <f t="shared" si="293"/>
        <v/>
      </c>
    </row>
    <row r="9387" spans="1:2" x14ac:dyDescent="0.25">
      <c r="A9387" s="15" t="str">
        <f t="shared" si="292"/>
        <v/>
      </c>
      <c r="B9387" s="18" t="str">
        <f t="shared" si="293"/>
        <v/>
      </c>
    </row>
    <row r="9388" spans="1:2" x14ac:dyDescent="0.25">
      <c r="A9388" s="15" t="str">
        <f t="shared" si="292"/>
        <v/>
      </c>
      <c r="B9388" s="18" t="str">
        <f t="shared" si="293"/>
        <v/>
      </c>
    </row>
    <row r="9389" spans="1:2" x14ac:dyDescent="0.25">
      <c r="A9389" s="15" t="str">
        <f t="shared" si="292"/>
        <v/>
      </c>
      <c r="B9389" s="18" t="str">
        <f t="shared" si="293"/>
        <v/>
      </c>
    </row>
    <row r="9390" spans="1:2" x14ac:dyDescent="0.25">
      <c r="A9390" s="15" t="str">
        <f t="shared" si="292"/>
        <v/>
      </c>
      <c r="B9390" s="18" t="str">
        <f t="shared" si="293"/>
        <v/>
      </c>
    </row>
    <row r="9391" spans="1:2" x14ac:dyDescent="0.25">
      <c r="A9391" s="15" t="str">
        <f t="shared" si="292"/>
        <v/>
      </c>
      <c r="B9391" s="18" t="str">
        <f t="shared" si="293"/>
        <v/>
      </c>
    </row>
    <row r="9392" spans="1:2" x14ac:dyDescent="0.25">
      <c r="A9392" s="15" t="str">
        <f t="shared" si="292"/>
        <v/>
      </c>
      <c r="B9392" s="18" t="str">
        <f t="shared" si="293"/>
        <v/>
      </c>
    </row>
    <row r="9393" spans="1:2" x14ac:dyDescent="0.25">
      <c r="A9393" s="15" t="str">
        <f t="shared" si="292"/>
        <v/>
      </c>
      <c r="B9393" s="18" t="str">
        <f t="shared" si="293"/>
        <v/>
      </c>
    </row>
    <row r="9394" spans="1:2" x14ac:dyDescent="0.25">
      <c r="A9394" s="15" t="str">
        <f t="shared" si="292"/>
        <v/>
      </c>
      <c r="B9394" s="18" t="str">
        <f t="shared" si="293"/>
        <v/>
      </c>
    </row>
    <row r="9395" spans="1:2" x14ac:dyDescent="0.25">
      <c r="A9395" s="15" t="str">
        <f t="shared" si="292"/>
        <v/>
      </c>
      <c r="B9395" s="18" t="str">
        <f t="shared" si="293"/>
        <v/>
      </c>
    </row>
    <row r="9396" spans="1:2" x14ac:dyDescent="0.25">
      <c r="A9396" s="15" t="str">
        <f t="shared" si="292"/>
        <v/>
      </c>
      <c r="B9396" s="18" t="str">
        <f t="shared" si="293"/>
        <v/>
      </c>
    </row>
    <row r="9397" spans="1:2" x14ac:dyDescent="0.25">
      <c r="A9397" s="15" t="str">
        <f t="shared" si="292"/>
        <v/>
      </c>
      <c r="B9397" s="18" t="str">
        <f t="shared" si="293"/>
        <v/>
      </c>
    </row>
    <row r="9398" spans="1:2" x14ac:dyDescent="0.25">
      <c r="A9398" s="15" t="str">
        <f t="shared" si="292"/>
        <v/>
      </c>
      <c r="B9398" s="18" t="str">
        <f t="shared" si="293"/>
        <v/>
      </c>
    </row>
    <row r="9399" spans="1:2" x14ac:dyDescent="0.25">
      <c r="A9399" s="15" t="str">
        <f t="shared" si="292"/>
        <v/>
      </c>
      <c r="B9399" s="18" t="str">
        <f t="shared" si="293"/>
        <v/>
      </c>
    </row>
    <row r="9400" spans="1:2" x14ac:dyDescent="0.25">
      <c r="A9400" s="15" t="str">
        <f t="shared" si="292"/>
        <v/>
      </c>
      <c r="B9400" s="18" t="str">
        <f t="shared" si="293"/>
        <v/>
      </c>
    </row>
    <row r="9401" spans="1:2" x14ac:dyDescent="0.25">
      <c r="A9401" s="15" t="str">
        <f t="shared" si="292"/>
        <v/>
      </c>
      <c r="B9401" s="18" t="str">
        <f t="shared" si="293"/>
        <v/>
      </c>
    </row>
    <row r="9402" spans="1:2" x14ac:dyDescent="0.25">
      <c r="A9402" s="15" t="str">
        <f t="shared" si="292"/>
        <v/>
      </c>
      <c r="B9402" s="18" t="str">
        <f t="shared" si="293"/>
        <v/>
      </c>
    </row>
    <row r="9403" spans="1:2" x14ac:dyDescent="0.25">
      <c r="A9403" s="15" t="str">
        <f t="shared" si="292"/>
        <v/>
      </c>
      <c r="B9403" s="18" t="str">
        <f t="shared" si="293"/>
        <v/>
      </c>
    </row>
    <row r="9404" spans="1:2" x14ac:dyDescent="0.25">
      <c r="A9404" s="15" t="str">
        <f t="shared" si="292"/>
        <v/>
      </c>
      <c r="B9404" s="18" t="str">
        <f t="shared" si="293"/>
        <v/>
      </c>
    </row>
    <row r="9405" spans="1:2" x14ac:dyDescent="0.25">
      <c r="A9405" s="15" t="str">
        <f t="shared" si="292"/>
        <v/>
      </c>
      <c r="B9405" s="18" t="str">
        <f t="shared" si="293"/>
        <v/>
      </c>
    </row>
    <row r="9406" spans="1:2" x14ac:dyDescent="0.25">
      <c r="A9406" s="15" t="str">
        <f t="shared" si="292"/>
        <v/>
      </c>
      <c r="B9406" s="18" t="str">
        <f t="shared" si="293"/>
        <v/>
      </c>
    </row>
    <row r="9407" spans="1:2" x14ac:dyDescent="0.25">
      <c r="A9407" s="15" t="str">
        <f t="shared" si="292"/>
        <v/>
      </c>
      <c r="B9407" s="18" t="str">
        <f t="shared" si="293"/>
        <v/>
      </c>
    </row>
    <row r="9408" spans="1:2" x14ac:dyDescent="0.25">
      <c r="A9408" s="15" t="str">
        <f t="shared" si="292"/>
        <v/>
      </c>
      <c r="B9408" s="18" t="str">
        <f t="shared" si="293"/>
        <v/>
      </c>
    </row>
    <row r="9409" spans="1:2" x14ac:dyDescent="0.25">
      <c r="A9409" s="15" t="str">
        <f t="shared" si="292"/>
        <v/>
      </c>
      <c r="B9409" s="18" t="str">
        <f t="shared" si="293"/>
        <v/>
      </c>
    </row>
    <row r="9410" spans="1:2" x14ac:dyDescent="0.25">
      <c r="A9410" s="15" t="str">
        <f t="shared" ref="A9410:A9473" si="294">B9410&amp;C9410</f>
        <v/>
      </c>
      <c r="B9410" s="18" t="str">
        <f t="shared" si="293"/>
        <v/>
      </c>
    </row>
    <row r="9411" spans="1:2" x14ac:dyDescent="0.25">
      <c r="A9411" s="15" t="str">
        <f t="shared" si="294"/>
        <v/>
      </c>
      <c r="B9411" s="18" t="str">
        <f t="shared" ref="B9411:B9474" si="295">IF(C9411="","",B9410)</f>
        <v/>
      </c>
    </row>
    <row r="9412" spans="1:2" x14ac:dyDescent="0.25">
      <c r="A9412" s="15" t="str">
        <f t="shared" si="294"/>
        <v/>
      </c>
      <c r="B9412" s="18" t="str">
        <f t="shared" si="295"/>
        <v/>
      </c>
    </row>
    <row r="9413" spans="1:2" x14ac:dyDescent="0.25">
      <c r="A9413" s="15" t="str">
        <f t="shared" si="294"/>
        <v/>
      </c>
      <c r="B9413" s="18" t="str">
        <f t="shared" si="295"/>
        <v/>
      </c>
    </row>
    <row r="9414" spans="1:2" x14ac:dyDescent="0.25">
      <c r="A9414" s="15" t="str">
        <f t="shared" si="294"/>
        <v/>
      </c>
      <c r="B9414" s="18" t="str">
        <f t="shared" si="295"/>
        <v/>
      </c>
    </row>
    <row r="9415" spans="1:2" x14ac:dyDescent="0.25">
      <c r="A9415" s="15" t="str">
        <f t="shared" si="294"/>
        <v/>
      </c>
      <c r="B9415" s="18" t="str">
        <f t="shared" si="295"/>
        <v/>
      </c>
    </row>
    <row r="9416" spans="1:2" x14ac:dyDescent="0.25">
      <c r="A9416" s="15" t="str">
        <f t="shared" si="294"/>
        <v/>
      </c>
      <c r="B9416" s="18" t="str">
        <f t="shared" si="295"/>
        <v/>
      </c>
    </row>
    <row r="9417" spans="1:2" x14ac:dyDescent="0.25">
      <c r="A9417" s="15" t="str">
        <f t="shared" si="294"/>
        <v/>
      </c>
      <c r="B9417" s="18" t="str">
        <f t="shared" si="295"/>
        <v/>
      </c>
    </row>
    <row r="9418" spans="1:2" x14ac:dyDescent="0.25">
      <c r="A9418" s="15" t="str">
        <f t="shared" si="294"/>
        <v/>
      </c>
      <c r="B9418" s="18" t="str">
        <f t="shared" si="295"/>
        <v/>
      </c>
    </row>
    <row r="9419" spans="1:2" x14ac:dyDescent="0.25">
      <c r="A9419" s="15" t="str">
        <f t="shared" si="294"/>
        <v/>
      </c>
      <c r="B9419" s="18" t="str">
        <f t="shared" si="295"/>
        <v/>
      </c>
    </row>
    <row r="9420" spans="1:2" x14ac:dyDescent="0.25">
      <c r="A9420" s="15" t="str">
        <f t="shared" si="294"/>
        <v/>
      </c>
      <c r="B9420" s="18" t="str">
        <f t="shared" si="295"/>
        <v/>
      </c>
    </row>
    <row r="9421" spans="1:2" x14ac:dyDescent="0.25">
      <c r="A9421" s="15" t="str">
        <f t="shared" si="294"/>
        <v/>
      </c>
      <c r="B9421" s="18" t="str">
        <f t="shared" si="295"/>
        <v/>
      </c>
    </row>
    <row r="9422" spans="1:2" x14ac:dyDescent="0.25">
      <c r="A9422" s="15" t="str">
        <f t="shared" si="294"/>
        <v/>
      </c>
      <c r="B9422" s="18" t="str">
        <f t="shared" si="295"/>
        <v/>
      </c>
    </row>
    <row r="9423" spans="1:2" x14ac:dyDescent="0.25">
      <c r="A9423" s="15" t="str">
        <f t="shared" si="294"/>
        <v/>
      </c>
      <c r="B9423" s="18" t="str">
        <f t="shared" si="295"/>
        <v/>
      </c>
    </row>
    <row r="9424" spans="1:2" x14ac:dyDescent="0.25">
      <c r="A9424" s="15" t="str">
        <f t="shared" si="294"/>
        <v/>
      </c>
      <c r="B9424" s="18" t="str">
        <f t="shared" si="295"/>
        <v/>
      </c>
    </row>
    <row r="9425" spans="1:2" x14ac:dyDescent="0.25">
      <c r="A9425" s="15" t="str">
        <f t="shared" si="294"/>
        <v/>
      </c>
      <c r="B9425" s="18" t="str">
        <f t="shared" si="295"/>
        <v/>
      </c>
    </row>
    <row r="9426" spans="1:2" x14ac:dyDescent="0.25">
      <c r="A9426" s="15" t="str">
        <f t="shared" si="294"/>
        <v/>
      </c>
      <c r="B9426" s="18" t="str">
        <f t="shared" si="295"/>
        <v/>
      </c>
    </row>
    <row r="9427" spans="1:2" x14ac:dyDescent="0.25">
      <c r="A9427" s="15" t="str">
        <f t="shared" si="294"/>
        <v/>
      </c>
      <c r="B9427" s="18" t="str">
        <f t="shared" si="295"/>
        <v/>
      </c>
    </row>
    <row r="9428" spans="1:2" x14ac:dyDescent="0.25">
      <c r="A9428" s="15" t="str">
        <f t="shared" si="294"/>
        <v/>
      </c>
      <c r="B9428" s="18" t="str">
        <f t="shared" si="295"/>
        <v/>
      </c>
    </row>
    <row r="9429" spans="1:2" x14ac:dyDescent="0.25">
      <c r="A9429" s="15" t="str">
        <f t="shared" si="294"/>
        <v/>
      </c>
      <c r="B9429" s="18" t="str">
        <f t="shared" si="295"/>
        <v/>
      </c>
    </row>
    <row r="9430" spans="1:2" x14ac:dyDescent="0.25">
      <c r="A9430" s="15" t="str">
        <f t="shared" si="294"/>
        <v/>
      </c>
      <c r="B9430" s="18" t="str">
        <f t="shared" si="295"/>
        <v/>
      </c>
    </row>
    <row r="9431" spans="1:2" x14ac:dyDescent="0.25">
      <c r="A9431" s="15" t="str">
        <f t="shared" si="294"/>
        <v/>
      </c>
      <c r="B9431" s="18" t="str">
        <f t="shared" si="295"/>
        <v/>
      </c>
    </row>
    <row r="9432" spans="1:2" x14ac:dyDescent="0.25">
      <c r="A9432" s="15" t="str">
        <f t="shared" si="294"/>
        <v/>
      </c>
      <c r="B9432" s="18" t="str">
        <f t="shared" si="295"/>
        <v/>
      </c>
    </row>
    <row r="9433" spans="1:2" x14ac:dyDescent="0.25">
      <c r="A9433" s="15" t="str">
        <f t="shared" si="294"/>
        <v/>
      </c>
      <c r="B9433" s="18" t="str">
        <f t="shared" si="295"/>
        <v/>
      </c>
    </row>
    <row r="9434" spans="1:2" x14ac:dyDescent="0.25">
      <c r="A9434" s="15" t="str">
        <f t="shared" si="294"/>
        <v/>
      </c>
      <c r="B9434" s="18" t="str">
        <f t="shared" si="295"/>
        <v/>
      </c>
    </row>
    <row r="9435" spans="1:2" x14ac:dyDescent="0.25">
      <c r="A9435" s="15" t="str">
        <f t="shared" si="294"/>
        <v/>
      </c>
      <c r="B9435" s="18" t="str">
        <f t="shared" si="295"/>
        <v/>
      </c>
    </row>
    <row r="9436" spans="1:2" x14ac:dyDescent="0.25">
      <c r="A9436" s="15" t="str">
        <f t="shared" si="294"/>
        <v/>
      </c>
      <c r="B9436" s="18" t="str">
        <f t="shared" si="295"/>
        <v/>
      </c>
    </row>
    <row r="9437" spans="1:2" x14ac:dyDescent="0.25">
      <c r="A9437" s="15" t="str">
        <f t="shared" si="294"/>
        <v/>
      </c>
      <c r="B9437" s="18" t="str">
        <f t="shared" si="295"/>
        <v/>
      </c>
    </row>
    <row r="9438" spans="1:2" x14ac:dyDescent="0.25">
      <c r="A9438" s="15" t="str">
        <f t="shared" si="294"/>
        <v/>
      </c>
      <c r="B9438" s="18" t="str">
        <f t="shared" si="295"/>
        <v/>
      </c>
    </row>
    <row r="9439" spans="1:2" x14ac:dyDescent="0.25">
      <c r="A9439" s="15" t="str">
        <f t="shared" si="294"/>
        <v/>
      </c>
      <c r="B9439" s="18" t="str">
        <f t="shared" si="295"/>
        <v/>
      </c>
    </row>
    <row r="9440" spans="1:2" x14ac:dyDescent="0.25">
      <c r="A9440" s="15" t="str">
        <f t="shared" si="294"/>
        <v/>
      </c>
      <c r="B9440" s="18" t="str">
        <f t="shared" si="295"/>
        <v/>
      </c>
    </row>
    <row r="9441" spans="1:2" x14ac:dyDescent="0.25">
      <c r="A9441" s="15" t="str">
        <f t="shared" si="294"/>
        <v/>
      </c>
      <c r="B9441" s="18" t="str">
        <f t="shared" si="295"/>
        <v/>
      </c>
    </row>
    <row r="9442" spans="1:2" x14ac:dyDescent="0.25">
      <c r="A9442" s="15" t="str">
        <f t="shared" si="294"/>
        <v/>
      </c>
      <c r="B9442" s="18" t="str">
        <f t="shared" si="295"/>
        <v/>
      </c>
    </row>
    <row r="9443" spans="1:2" x14ac:dyDescent="0.25">
      <c r="A9443" s="15" t="str">
        <f t="shared" si="294"/>
        <v/>
      </c>
      <c r="B9443" s="18" t="str">
        <f t="shared" si="295"/>
        <v/>
      </c>
    </row>
    <row r="9444" spans="1:2" x14ac:dyDescent="0.25">
      <c r="A9444" s="15" t="str">
        <f t="shared" si="294"/>
        <v/>
      </c>
      <c r="B9444" s="18" t="str">
        <f t="shared" si="295"/>
        <v/>
      </c>
    </row>
    <row r="9445" spans="1:2" x14ac:dyDescent="0.25">
      <c r="A9445" s="15" t="str">
        <f t="shared" si="294"/>
        <v/>
      </c>
      <c r="B9445" s="18" t="str">
        <f t="shared" si="295"/>
        <v/>
      </c>
    </row>
    <row r="9446" spans="1:2" x14ac:dyDescent="0.25">
      <c r="A9446" s="15" t="str">
        <f t="shared" si="294"/>
        <v/>
      </c>
      <c r="B9446" s="18" t="str">
        <f t="shared" si="295"/>
        <v/>
      </c>
    </row>
    <row r="9447" spans="1:2" x14ac:dyDescent="0.25">
      <c r="A9447" s="15" t="str">
        <f t="shared" si="294"/>
        <v/>
      </c>
      <c r="B9447" s="18" t="str">
        <f t="shared" si="295"/>
        <v/>
      </c>
    </row>
    <row r="9448" spans="1:2" x14ac:dyDescent="0.25">
      <c r="A9448" s="15" t="str">
        <f t="shared" si="294"/>
        <v/>
      </c>
      <c r="B9448" s="18" t="str">
        <f t="shared" si="295"/>
        <v/>
      </c>
    </row>
    <row r="9449" spans="1:2" x14ac:dyDescent="0.25">
      <c r="A9449" s="15" t="str">
        <f t="shared" si="294"/>
        <v/>
      </c>
      <c r="B9449" s="18" t="str">
        <f t="shared" si="295"/>
        <v/>
      </c>
    </row>
    <row r="9450" spans="1:2" x14ac:dyDescent="0.25">
      <c r="A9450" s="15" t="str">
        <f t="shared" si="294"/>
        <v/>
      </c>
      <c r="B9450" s="18" t="str">
        <f t="shared" si="295"/>
        <v/>
      </c>
    </row>
    <row r="9451" spans="1:2" x14ac:dyDescent="0.25">
      <c r="A9451" s="15" t="str">
        <f t="shared" si="294"/>
        <v/>
      </c>
      <c r="B9451" s="18" t="str">
        <f t="shared" si="295"/>
        <v/>
      </c>
    </row>
    <row r="9452" spans="1:2" x14ac:dyDescent="0.25">
      <c r="A9452" s="15" t="str">
        <f t="shared" si="294"/>
        <v/>
      </c>
      <c r="B9452" s="18" t="str">
        <f t="shared" si="295"/>
        <v/>
      </c>
    </row>
    <row r="9453" spans="1:2" x14ac:dyDescent="0.25">
      <c r="A9453" s="15" t="str">
        <f t="shared" si="294"/>
        <v/>
      </c>
      <c r="B9453" s="18" t="str">
        <f t="shared" si="295"/>
        <v/>
      </c>
    </row>
    <row r="9454" spans="1:2" x14ac:dyDescent="0.25">
      <c r="A9454" s="15" t="str">
        <f t="shared" si="294"/>
        <v/>
      </c>
      <c r="B9454" s="18" t="str">
        <f t="shared" si="295"/>
        <v/>
      </c>
    </row>
    <row r="9455" spans="1:2" x14ac:dyDescent="0.25">
      <c r="A9455" s="15" t="str">
        <f t="shared" si="294"/>
        <v/>
      </c>
      <c r="B9455" s="18" t="str">
        <f t="shared" si="295"/>
        <v/>
      </c>
    </row>
    <row r="9456" spans="1:2" x14ac:dyDescent="0.25">
      <c r="A9456" s="15" t="str">
        <f t="shared" si="294"/>
        <v/>
      </c>
      <c r="B9456" s="18" t="str">
        <f t="shared" si="295"/>
        <v/>
      </c>
    </row>
    <row r="9457" spans="1:2" x14ac:dyDescent="0.25">
      <c r="A9457" s="15" t="str">
        <f t="shared" si="294"/>
        <v/>
      </c>
      <c r="B9457" s="18" t="str">
        <f t="shared" si="295"/>
        <v/>
      </c>
    </row>
    <row r="9458" spans="1:2" x14ac:dyDescent="0.25">
      <c r="A9458" s="15" t="str">
        <f t="shared" si="294"/>
        <v/>
      </c>
      <c r="B9458" s="18" t="str">
        <f t="shared" si="295"/>
        <v/>
      </c>
    </row>
    <row r="9459" spans="1:2" x14ac:dyDescent="0.25">
      <c r="A9459" s="15" t="str">
        <f t="shared" si="294"/>
        <v/>
      </c>
      <c r="B9459" s="18" t="str">
        <f t="shared" si="295"/>
        <v/>
      </c>
    </row>
    <row r="9460" spans="1:2" x14ac:dyDescent="0.25">
      <c r="A9460" s="15" t="str">
        <f t="shared" si="294"/>
        <v/>
      </c>
      <c r="B9460" s="18" t="str">
        <f t="shared" si="295"/>
        <v/>
      </c>
    </row>
    <row r="9461" spans="1:2" x14ac:dyDescent="0.25">
      <c r="A9461" s="15" t="str">
        <f t="shared" si="294"/>
        <v/>
      </c>
      <c r="B9461" s="18" t="str">
        <f t="shared" si="295"/>
        <v/>
      </c>
    </row>
    <row r="9462" spans="1:2" x14ac:dyDescent="0.25">
      <c r="A9462" s="15" t="str">
        <f t="shared" si="294"/>
        <v/>
      </c>
      <c r="B9462" s="18" t="str">
        <f t="shared" si="295"/>
        <v/>
      </c>
    </row>
    <row r="9463" spans="1:2" x14ac:dyDescent="0.25">
      <c r="A9463" s="15" t="str">
        <f t="shared" si="294"/>
        <v/>
      </c>
      <c r="B9463" s="18" t="str">
        <f t="shared" si="295"/>
        <v/>
      </c>
    </row>
    <row r="9464" spans="1:2" x14ac:dyDescent="0.25">
      <c r="A9464" s="15" t="str">
        <f t="shared" si="294"/>
        <v/>
      </c>
      <c r="B9464" s="18" t="str">
        <f t="shared" si="295"/>
        <v/>
      </c>
    </row>
    <row r="9465" spans="1:2" x14ac:dyDescent="0.25">
      <c r="A9465" s="15" t="str">
        <f t="shared" si="294"/>
        <v/>
      </c>
      <c r="B9465" s="18" t="str">
        <f t="shared" si="295"/>
        <v/>
      </c>
    </row>
    <row r="9466" spans="1:2" x14ac:dyDescent="0.25">
      <c r="A9466" s="15" t="str">
        <f t="shared" si="294"/>
        <v/>
      </c>
      <c r="B9466" s="18" t="str">
        <f t="shared" si="295"/>
        <v/>
      </c>
    </row>
    <row r="9467" spans="1:2" x14ac:dyDescent="0.25">
      <c r="A9467" s="15" t="str">
        <f t="shared" si="294"/>
        <v/>
      </c>
      <c r="B9467" s="18" t="str">
        <f t="shared" si="295"/>
        <v/>
      </c>
    </row>
    <row r="9468" spans="1:2" x14ac:dyDescent="0.25">
      <c r="A9468" s="15" t="str">
        <f t="shared" si="294"/>
        <v/>
      </c>
      <c r="B9468" s="18" t="str">
        <f t="shared" si="295"/>
        <v/>
      </c>
    </row>
    <row r="9469" spans="1:2" x14ac:dyDescent="0.25">
      <c r="A9469" s="15" t="str">
        <f t="shared" si="294"/>
        <v/>
      </c>
      <c r="B9469" s="18" t="str">
        <f t="shared" si="295"/>
        <v/>
      </c>
    </row>
    <row r="9470" spans="1:2" x14ac:dyDescent="0.25">
      <c r="A9470" s="15" t="str">
        <f t="shared" si="294"/>
        <v/>
      </c>
      <c r="B9470" s="18" t="str">
        <f t="shared" si="295"/>
        <v/>
      </c>
    </row>
    <row r="9471" spans="1:2" x14ac:dyDescent="0.25">
      <c r="A9471" s="15" t="str">
        <f t="shared" si="294"/>
        <v/>
      </c>
      <c r="B9471" s="18" t="str">
        <f t="shared" si="295"/>
        <v/>
      </c>
    </row>
    <row r="9472" spans="1:2" x14ac:dyDescent="0.25">
      <c r="A9472" s="15" t="str">
        <f t="shared" si="294"/>
        <v/>
      </c>
      <c r="B9472" s="18" t="str">
        <f t="shared" si="295"/>
        <v/>
      </c>
    </row>
    <row r="9473" spans="1:2" x14ac:dyDescent="0.25">
      <c r="A9473" s="15" t="str">
        <f t="shared" si="294"/>
        <v/>
      </c>
      <c r="B9473" s="18" t="str">
        <f t="shared" si="295"/>
        <v/>
      </c>
    </row>
    <row r="9474" spans="1:2" x14ac:dyDescent="0.25">
      <c r="A9474" s="15" t="str">
        <f t="shared" ref="A9474:A9537" si="296">B9474&amp;C9474</f>
        <v/>
      </c>
      <c r="B9474" s="18" t="str">
        <f t="shared" si="295"/>
        <v/>
      </c>
    </row>
    <row r="9475" spans="1:2" x14ac:dyDescent="0.25">
      <c r="A9475" s="15" t="str">
        <f t="shared" si="296"/>
        <v/>
      </c>
      <c r="B9475" s="18" t="str">
        <f t="shared" ref="B9475:B9538" si="297">IF(C9475="","",B9474)</f>
        <v/>
      </c>
    </row>
    <row r="9476" spans="1:2" x14ac:dyDescent="0.25">
      <c r="A9476" s="15" t="str">
        <f t="shared" si="296"/>
        <v/>
      </c>
      <c r="B9476" s="18" t="str">
        <f t="shared" si="297"/>
        <v/>
      </c>
    </row>
    <row r="9477" spans="1:2" x14ac:dyDescent="0.25">
      <c r="A9477" s="15" t="str">
        <f t="shared" si="296"/>
        <v/>
      </c>
      <c r="B9477" s="18" t="str">
        <f t="shared" si="297"/>
        <v/>
      </c>
    </row>
    <row r="9478" spans="1:2" x14ac:dyDescent="0.25">
      <c r="A9478" s="15" t="str">
        <f t="shared" si="296"/>
        <v/>
      </c>
      <c r="B9478" s="18" t="str">
        <f t="shared" si="297"/>
        <v/>
      </c>
    </row>
    <row r="9479" spans="1:2" x14ac:dyDescent="0.25">
      <c r="A9479" s="15" t="str">
        <f t="shared" si="296"/>
        <v/>
      </c>
      <c r="B9479" s="18" t="str">
        <f t="shared" si="297"/>
        <v/>
      </c>
    </row>
    <row r="9480" spans="1:2" x14ac:dyDescent="0.25">
      <c r="A9480" s="15" t="str">
        <f t="shared" si="296"/>
        <v/>
      </c>
      <c r="B9480" s="18" t="str">
        <f t="shared" si="297"/>
        <v/>
      </c>
    </row>
    <row r="9481" spans="1:2" x14ac:dyDescent="0.25">
      <c r="A9481" s="15" t="str">
        <f t="shared" si="296"/>
        <v/>
      </c>
      <c r="B9481" s="18" t="str">
        <f t="shared" si="297"/>
        <v/>
      </c>
    </row>
    <row r="9482" spans="1:2" x14ac:dyDescent="0.25">
      <c r="A9482" s="15" t="str">
        <f t="shared" si="296"/>
        <v/>
      </c>
      <c r="B9482" s="18" t="str">
        <f t="shared" si="297"/>
        <v/>
      </c>
    </row>
    <row r="9483" spans="1:2" x14ac:dyDescent="0.25">
      <c r="A9483" s="15" t="str">
        <f t="shared" si="296"/>
        <v/>
      </c>
      <c r="B9483" s="18" t="str">
        <f t="shared" si="297"/>
        <v/>
      </c>
    </row>
    <row r="9484" spans="1:2" x14ac:dyDescent="0.25">
      <c r="A9484" s="15" t="str">
        <f t="shared" si="296"/>
        <v/>
      </c>
      <c r="B9484" s="18" t="str">
        <f t="shared" si="297"/>
        <v/>
      </c>
    </row>
    <row r="9485" spans="1:2" x14ac:dyDescent="0.25">
      <c r="A9485" s="15" t="str">
        <f t="shared" si="296"/>
        <v/>
      </c>
      <c r="B9485" s="18" t="str">
        <f t="shared" si="297"/>
        <v/>
      </c>
    </row>
    <row r="9486" spans="1:2" x14ac:dyDescent="0.25">
      <c r="A9486" s="15" t="str">
        <f t="shared" si="296"/>
        <v/>
      </c>
      <c r="B9486" s="18" t="str">
        <f t="shared" si="297"/>
        <v/>
      </c>
    </row>
    <row r="9487" spans="1:2" x14ac:dyDescent="0.25">
      <c r="A9487" s="15" t="str">
        <f t="shared" si="296"/>
        <v/>
      </c>
      <c r="B9487" s="18" t="str">
        <f t="shared" si="297"/>
        <v/>
      </c>
    </row>
    <row r="9488" spans="1:2" x14ac:dyDescent="0.25">
      <c r="A9488" s="15" t="str">
        <f t="shared" si="296"/>
        <v/>
      </c>
      <c r="B9488" s="18" t="str">
        <f t="shared" si="297"/>
        <v/>
      </c>
    </row>
    <row r="9489" spans="1:2" x14ac:dyDescent="0.25">
      <c r="A9489" s="15" t="str">
        <f t="shared" si="296"/>
        <v/>
      </c>
      <c r="B9489" s="18" t="str">
        <f t="shared" si="297"/>
        <v/>
      </c>
    </row>
    <row r="9490" spans="1:2" x14ac:dyDescent="0.25">
      <c r="A9490" s="15" t="str">
        <f t="shared" si="296"/>
        <v/>
      </c>
      <c r="B9490" s="18" t="str">
        <f t="shared" si="297"/>
        <v/>
      </c>
    </row>
    <row r="9491" spans="1:2" x14ac:dyDescent="0.25">
      <c r="A9491" s="15" t="str">
        <f t="shared" si="296"/>
        <v/>
      </c>
      <c r="B9491" s="18" t="str">
        <f t="shared" si="297"/>
        <v/>
      </c>
    </row>
    <row r="9492" spans="1:2" x14ac:dyDescent="0.25">
      <c r="A9492" s="15" t="str">
        <f t="shared" si="296"/>
        <v/>
      </c>
      <c r="B9492" s="18" t="str">
        <f t="shared" si="297"/>
        <v/>
      </c>
    </row>
    <row r="9493" spans="1:2" x14ac:dyDescent="0.25">
      <c r="A9493" s="15" t="str">
        <f t="shared" si="296"/>
        <v/>
      </c>
      <c r="B9493" s="18" t="str">
        <f t="shared" si="297"/>
        <v/>
      </c>
    </row>
    <row r="9494" spans="1:2" x14ac:dyDescent="0.25">
      <c r="A9494" s="15" t="str">
        <f t="shared" si="296"/>
        <v/>
      </c>
      <c r="B9494" s="18" t="str">
        <f t="shared" si="297"/>
        <v/>
      </c>
    </row>
    <row r="9495" spans="1:2" x14ac:dyDescent="0.25">
      <c r="A9495" s="15" t="str">
        <f t="shared" si="296"/>
        <v/>
      </c>
      <c r="B9495" s="18" t="str">
        <f t="shared" si="297"/>
        <v/>
      </c>
    </row>
    <row r="9496" spans="1:2" x14ac:dyDescent="0.25">
      <c r="A9496" s="15" t="str">
        <f t="shared" si="296"/>
        <v/>
      </c>
      <c r="B9496" s="18" t="str">
        <f t="shared" si="297"/>
        <v/>
      </c>
    </row>
    <row r="9497" spans="1:2" x14ac:dyDescent="0.25">
      <c r="A9497" s="15" t="str">
        <f t="shared" si="296"/>
        <v/>
      </c>
      <c r="B9497" s="18" t="str">
        <f t="shared" si="297"/>
        <v/>
      </c>
    </row>
    <row r="9498" spans="1:2" x14ac:dyDescent="0.25">
      <c r="A9498" s="15" t="str">
        <f t="shared" si="296"/>
        <v/>
      </c>
      <c r="B9498" s="18" t="str">
        <f t="shared" si="297"/>
        <v/>
      </c>
    </row>
    <row r="9499" spans="1:2" x14ac:dyDescent="0.25">
      <c r="A9499" s="15" t="str">
        <f t="shared" si="296"/>
        <v/>
      </c>
      <c r="B9499" s="18" t="str">
        <f t="shared" si="297"/>
        <v/>
      </c>
    </row>
    <row r="9500" spans="1:2" x14ac:dyDescent="0.25">
      <c r="A9500" s="15" t="str">
        <f t="shared" si="296"/>
        <v/>
      </c>
      <c r="B9500" s="18" t="str">
        <f t="shared" si="297"/>
        <v/>
      </c>
    </row>
    <row r="9501" spans="1:2" x14ac:dyDescent="0.25">
      <c r="A9501" s="15" t="str">
        <f t="shared" si="296"/>
        <v/>
      </c>
      <c r="B9501" s="18" t="str">
        <f t="shared" si="297"/>
        <v/>
      </c>
    </row>
    <row r="9502" spans="1:2" x14ac:dyDescent="0.25">
      <c r="A9502" s="15" t="str">
        <f t="shared" si="296"/>
        <v/>
      </c>
      <c r="B9502" s="18" t="str">
        <f t="shared" si="297"/>
        <v/>
      </c>
    </row>
    <row r="9503" spans="1:2" x14ac:dyDescent="0.25">
      <c r="A9503" s="15" t="str">
        <f t="shared" si="296"/>
        <v/>
      </c>
      <c r="B9503" s="18" t="str">
        <f t="shared" si="297"/>
        <v/>
      </c>
    </row>
    <row r="9504" spans="1:2" x14ac:dyDescent="0.25">
      <c r="A9504" s="15" t="str">
        <f t="shared" si="296"/>
        <v/>
      </c>
      <c r="B9504" s="18" t="str">
        <f t="shared" si="297"/>
        <v/>
      </c>
    </row>
    <row r="9505" spans="1:2" x14ac:dyDescent="0.25">
      <c r="A9505" s="15" t="str">
        <f t="shared" si="296"/>
        <v/>
      </c>
      <c r="B9505" s="18" t="str">
        <f t="shared" si="297"/>
        <v/>
      </c>
    </row>
    <row r="9506" spans="1:2" x14ac:dyDescent="0.25">
      <c r="A9506" s="15" t="str">
        <f t="shared" si="296"/>
        <v/>
      </c>
      <c r="B9506" s="18" t="str">
        <f t="shared" si="297"/>
        <v/>
      </c>
    </row>
    <row r="9507" spans="1:2" x14ac:dyDescent="0.25">
      <c r="A9507" s="15" t="str">
        <f t="shared" si="296"/>
        <v/>
      </c>
      <c r="B9507" s="18" t="str">
        <f t="shared" si="297"/>
        <v/>
      </c>
    </row>
    <row r="9508" spans="1:2" x14ac:dyDescent="0.25">
      <c r="A9508" s="15" t="str">
        <f t="shared" si="296"/>
        <v/>
      </c>
      <c r="B9508" s="18" t="str">
        <f t="shared" si="297"/>
        <v/>
      </c>
    </row>
    <row r="9509" spans="1:2" x14ac:dyDescent="0.25">
      <c r="A9509" s="15" t="str">
        <f t="shared" si="296"/>
        <v/>
      </c>
      <c r="B9509" s="18" t="str">
        <f t="shared" si="297"/>
        <v/>
      </c>
    </row>
    <row r="9510" spans="1:2" x14ac:dyDescent="0.25">
      <c r="A9510" s="15" t="str">
        <f t="shared" si="296"/>
        <v/>
      </c>
      <c r="B9510" s="18" t="str">
        <f t="shared" si="297"/>
        <v/>
      </c>
    </row>
    <row r="9511" spans="1:2" x14ac:dyDescent="0.25">
      <c r="A9511" s="15" t="str">
        <f t="shared" si="296"/>
        <v/>
      </c>
      <c r="B9511" s="18" t="str">
        <f t="shared" si="297"/>
        <v/>
      </c>
    </row>
    <row r="9512" spans="1:2" x14ac:dyDescent="0.25">
      <c r="A9512" s="15" t="str">
        <f t="shared" si="296"/>
        <v/>
      </c>
      <c r="B9512" s="18" t="str">
        <f t="shared" si="297"/>
        <v/>
      </c>
    </row>
    <row r="9513" spans="1:2" x14ac:dyDescent="0.25">
      <c r="A9513" s="15" t="str">
        <f t="shared" si="296"/>
        <v/>
      </c>
      <c r="B9513" s="18" t="str">
        <f t="shared" si="297"/>
        <v/>
      </c>
    </row>
    <row r="9514" spans="1:2" x14ac:dyDescent="0.25">
      <c r="A9514" s="15" t="str">
        <f t="shared" si="296"/>
        <v/>
      </c>
      <c r="B9514" s="18" t="str">
        <f t="shared" si="297"/>
        <v/>
      </c>
    </row>
    <row r="9515" spans="1:2" x14ac:dyDescent="0.25">
      <c r="A9515" s="15" t="str">
        <f t="shared" si="296"/>
        <v/>
      </c>
      <c r="B9515" s="18" t="str">
        <f t="shared" si="297"/>
        <v/>
      </c>
    </row>
    <row r="9516" spans="1:2" x14ac:dyDescent="0.25">
      <c r="A9516" s="15" t="str">
        <f t="shared" si="296"/>
        <v/>
      </c>
      <c r="B9516" s="18" t="str">
        <f t="shared" si="297"/>
        <v/>
      </c>
    </row>
    <row r="9517" spans="1:2" x14ac:dyDescent="0.25">
      <c r="A9517" s="15" t="str">
        <f t="shared" si="296"/>
        <v/>
      </c>
      <c r="B9517" s="18" t="str">
        <f t="shared" si="297"/>
        <v/>
      </c>
    </row>
    <row r="9518" spans="1:2" x14ac:dyDescent="0.25">
      <c r="A9518" s="15" t="str">
        <f t="shared" si="296"/>
        <v/>
      </c>
      <c r="B9518" s="18" t="str">
        <f t="shared" si="297"/>
        <v/>
      </c>
    </row>
    <row r="9519" spans="1:2" x14ac:dyDescent="0.25">
      <c r="A9519" s="15" t="str">
        <f t="shared" si="296"/>
        <v/>
      </c>
      <c r="B9519" s="18" t="str">
        <f t="shared" si="297"/>
        <v/>
      </c>
    </row>
    <row r="9520" spans="1:2" x14ac:dyDescent="0.25">
      <c r="A9520" s="15" t="str">
        <f t="shared" si="296"/>
        <v/>
      </c>
      <c r="B9520" s="18" t="str">
        <f t="shared" si="297"/>
        <v/>
      </c>
    </row>
    <row r="9521" spans="1:2" x14ac:dyDescent="0.25">
      <c r="A9521" s="15" t="str">
        <f t="shared" si="296"/>
        <v/>
      </c>
      <c r="B9521" s="18" t="str">
        <f t="shared" si="297"/>
        <v/>
      </c>
    </row>
    <row r="9522" spans="1:2" x14ac:dyDescent="0.25">
      <c r="A9522" s="15" t="str">
        <f t="shared" si="296"/>
        <v/>
      </c>
      <c r="B9522" s="18" t="str">
        <f t="shared" si="297"/>
        <v/>
      </c>
    </row>
    <row r="9523" spans="1:2" x14ac:dyDescent="0.25">
      <c r="A9523" s="15" t="str">
        <f t="shared" si="296"/>
        <v/>
      </c>
      <c r="B9523" s="18" t="str">
        <f t="shared" si="297"/>
        <v/>
      </c>
    </row>
    <row r="9524" spans="1:2" x14ac:dyDescent="0.25">
      <c r="A9524" s="15" t="str">
        <f t="shared" si="296"/>
        <v/>
      </c>
      <c r="B9524" s="18" t="str">
        <f t="shared" si="297"/>
        <v/>
      </c>
    </row>
    <row r="9525" spans="1:2" x14ac:dyDescent="0.25">
      <c r="A9525" s="15" t="str">
        <f t="shared" si="296"/>
        <v/>
      </c>
      <c r="B9525" s="18" t="str">
        <f t="shared" si="297"/>
        <v/>
      </c>
    </row>
    <row r="9526" spans="1:2" x14ac:dyDescent="0.25">
      <c r="A9526" s="15" t="str">
        <f t="shared" si="296"/>
        <v/>
      </c>
      <c r="B9526" s="18" t="str">
        <f t="shared" si="297"/>
        <v/>
      </c>
    </row>
    <row r="9527" spans="1:2" x14ac:dyDescent="0.25">
      <c r="A9527" s="15" t="str">
        <f t="shared" si="296"/>
        <v/>
      </c>
      <c r="B9527" s="18" t="str">
        <f t="shared" si="297"/>
        <v/>
      </c>
    </row>
    <row r="9528" spans="1:2" x14ac:dyDescent="0.25">
      <c r="A9528" s="15" t="str">
        <f t="shared" si="296"/>
        <v/>
      </c>
      <c r="B9528" s="18" t="str">
        <f t="shared" si="297"/>
        <v/>
      </c>
    </row>
    <row r="9529" spans="1:2" x14ac:dyDescent="0.25">
      <c r="A9529" s="15" t="str">
        <f t="shared" si="296"/>
        <v/>
      </c>
      <c r="B9529" s="18" t="str">
        <f t="shared" si="297"/>
        <v/>
      </c>
    </row>
    <row r="9530" spans="1:2" x14ac:dyDescent="0.25">
      <c r="A9530" s="15" t="str">
        <f t="shared" si="296"/>
        <v/>
      </c>
      <c r="B9530" s="18" t="str">
        <f t="shared" si="297"/>
        <v/>
      </c>
    </row>
    <row r="9531" spans="1:2" x14ac:dyDescent="0.25">
      <c r="A9531" s="15" t="str">
        <f t="shared" si="296"/>
        <v/>
      </c>
      <c r="B9531" s="18" t="str">
        <f t="shared" si="297"/>
        <v/>
      </c>
    </row>
    <row r="9532" spans="1:2" x14ac:dyDescent="0.25">
      <c r="A9532" s="15" t="str">
        <f t="shared" si="296"/>
        <v/>
      </c>
      <c r="B9532" s="18" t="str">
        <f t="shared" si="297"/>
        <v/>
      </c>
    </row>
    <row r="9533" spans="1:2" x14ac:dyDescent="0.25">
      <c r="A9533" s="15" t="str">
        <f t="shared" si="296"/>
        <v/>
      </c>
      <c r="B9533" s="18" t="str">
        <f t="shared" si="297"/>
        <v/>
      </c>
    </row>
    <row r="9534" spans="1:2" x14ac:dyDescent="0.25">
      <c r="A9534" s="15" t="str">
        <f t="shared" si="296"/>
        <v/>
      </c>
      <c r="B9534" s="18" t="str">
        <f t="shared" si="297"/>
        <v/>
      </c>
    </row>
    <row r="9535" spans="1:2" x14ac:dyDescent="0.25">
      <c r="A9535" s="15" t="str">
        <f t="shared" si="296"/>
        <v/>
      </c>
      <c r="B9535" s="18" t="str">
        <f t="shared" si="297"/>
        <v/>
      </c>
    </row>
    <row r="9536" spans="1:2" x14ac:dyDescent="0.25">
      <c r="A9536" s="15" t="str">
        <f t="shared" si="296"/>
        <v/>
      </c>
      <c r="B9536" s="18" t="str">
        <f t="shared" si="297"/>
        <v/>
      </c>
    </row>
    <row r="9537" spans="1:2" x14ac:dyDescent="0.25">
      <c r="A9537" s="15" t="str">
        <f t="shared" si="296"/>
        <v/>
      </c>
      <c r="B9537" s="18" t="str">
        <f t="shared" si="297"/>
        <v/>
      </c>
    </row>
    <row r="9538" spans="1:2" x14ac:dyDescent="0.25">
      <c r="A9538" s="15" t="str">
        <f t="shared" ref="A9538:A9601" si="298">B9538&amp;C9538</f>
        <v/>
      </c>
      <c r="B9538" s="18" t="str">
        <f t="shared" si="297"/>
        <v/>
      </c>
    </row>
    <row r="9539" spans="1:2" x14ac:dyDescent="0.25">
      <c r="A9539" s="15" t="str">
        <f t="shared" si="298"/>
        <v/>
      </c>
      <c r="B9539" s="18" t="str">
        <f t="shared" ref="B9539:B9602" si="299">IF(C9539="","",B9538)</f>
        <v/>
      </c>
    </row>
    <row r="9540" spans="1:2" x14ac:dyDescent="0.25">
      <c r="A9540" s="15" t="str">
        <f t="shared" si="298"/>
        <v/>
      </c>
      <c r="B9540" s="18" t="str">
        <f t="shared" si="299"/>
        <v/>
      </c>
    </row>
    <row r="9541" spans="1:2" x14ac:dyDescent="0.25">
      <c r="A9541" s="15" t="str">
        <f t="shared" si="298"/>
        <v/>
      </c>
      <c r="B9541" s="18" t="str">
        <f t="shared" si="299"/>
        <v/>
      </c>
    </row>
    <row r="9542" spans="1:2" x14ac:dyDescent="0.25">
      <c r="A9542" s="15" t="str">
        <f t="shared" si="298"/>
        <v/>
      </c>
      <c r="B9542" s="18" t="str">
        <f t="shared" si="299"/>
        <v/>
      </c>
    </row>
    <row r="9543" spans="1:2" x14ac:dyDescent="0.25">
      <c r="A9543" s="15" t="str">
        <f t="shared" si="298"/>
        <v/>
      </c>
      <c r="B9543" s="18" t="str">
        <f t="shared" si="299"/>
        <v/>
      </c>
    </row>
    <row r="9544" spans="1:2" x14ac:dyDescent="0.25">
      <c r="A9544" s="15" t="str">
        <f t="shared" si="298"/>
        <v/>
      </c>
      <c r="B9544" s="18" t="str">
        <f t="shared" si="299"/>
        <v/>
      </c>
    </row>
    <row r="9545" spans="1:2" x14ac:dyDescent="0.25">
      <c r="A9545" s="15" t="str">
        <f t="shared" si="298"/>
        <v/>
      </c>
      <c r="B9545" s="18" t="str">
        <f t="shared" si="299"/>
        <v/>
      </c>
    </row>
    <row r="9546" spans="1:2" x14ac:dyDescent="0.25">
      <c r="A9546" s="15" t="str">
        <f t="shared" si="298"/>
        <v/>
      </c>
      <c r="B9546" s="18" t="str">
        <f t="shared" si="299"/>
        <v/>
      </c>
    </row>
    <row r="9547" spans="1:2" x14ac:dyDescent="0.25">
      <c r="A9547" s="15" t="str">
        <f t="shared" si="298"/>
        <v/>
      </c>
      <c r="B9547" s="18" t="str">
        <f t="shared" si="299"/>
        <v/>
      </c>
    </row>
    <row r="9548" spans="1:2" x14ac:dyDescent="0.25">
      <c r="A9548" s="15" t="str">
        <f t="shared" si="298"/>
        <v/>
      </c>
      <c r="B9548" s="18" t="str">
        <f t="shared" si="299"/>
        <v/>
      </c>
    </row>
    <row r="9549" spans="1:2" x14ac:dyDescent="0.25">
      <c r="A9549" s="15" t="str">
        <f t="shared" si="298"/>
        <v/>
      </c>
      <c r="B9549" s="18" t="str">
        <f t="shared" si="299"/>
        <v/>
      </c>
    </row>
    <row r="9550" spans="1:2" x14ac:dyDescent="0.25">
      <c r="A9550" s="15" t="str">
        <f t="shared" si="298"/>
        <v/>
      </c>
      <c r="B9550" s="18" t="str">
        <f t="shared" si="299"/>
        <v/>
      </c>
    </row>
    <row r="9551" spans="1:2" x14ac:dyDescent="0.25">
      <c r="A9551" s="15" t="str">
        <f t="shared" si="298"/>
        <v/>
      </c>
      <c r="B9551" s="18" t="str">
        <f t="shared" si="299"/>
        <v/>
      </c>
    </row>
    <row r="9552" spans="1:2" x14ac:dyDescent="0.25">
      <c r="A9552" s="15" t="str">
        <f t="shared" si="298"/>
        <v/>
      </c>
      <c r="B9552" s="18" t="str">
        <f t="shared" si="299"/>
        <v/>
      </c>
    </row>
    <row r="9553" spans="1:2" x14ac:dyDescent="0.25">
      <c r="A9553" s="15" t="str">
        <f t="shared" si="298"/>
        <v/>
      </c>
      <c r="B9553" s="18" t="str">
        <f t="shared" si="299"/>
        <v/>
      </c>
    </row>
    <row r="9554" spans="1:2" x14ac:dyDescent="0.25">
      <c r="A9554" s="15" t="str">
        <f t="shared" si="298"/>
        <v/>
      </c>
      <c r="B9554" s="18" t="str">
        <f t="shared" si="299"/>
        <v/>
      </c>
    </row>
    <row r="9555" spans="1:2" x14ac:dyDescent="0.25">
      <c r="A9555" s="15" t="str">
        <f t="shared" si="298"/>
        <v/>
      </c>
      <c r="B9555" s="18" t="str">
        <f t="shared" si="299"/>
        <v/>
      </c>
    </row>
    <row r="9556" spans="1:2" x14ac:dyDescent="0.25">
      <c r="A9556" s="15" t="str">
        <f t="shared" si="298"/>
        <v/>
      </c>
      <c r="B9556" s="18" t="str">
        <f t="shared" si="299"/>
        <v/>
      </c>
    </row>
    <row r="9557" spans="1:2" x14ac:dyDescent="0.25">
      <c r="A9557" s="15" t="str">
        <f t="shared" si="298"/>
        <v/>
      </c>
      <c r="B9557" s="18" t="str">
        <f t="shared" si="299"/>
        <v/>
      </c>
    </row>
    <row r="9558" spans="1:2" x14ac:dyDescent="0.25">
      <c r="A9558" s="15" t="str">
        <f t="shared" si="298"/>
        <v/>
      </c>
      <c r="B9558" s="18" t="str">
        <f t="shared" si="299"/>
        <v/>
      </c>
    </row>
    <row r="9559" spans="1:2" x14ac:dyDescent="0.25">
      <c r="A9559" s="15" t="str">
        <f t="shared" si="298"/>
        <v/>
      </c>
      <c r="B9559" s="18" t="str">
        <f t="shared" si="299"/>
        <v/>
      </c>
    </row>
    <row r="9560" spans="1:2" x14ac:dyDescent="0.25">
      <c r="A9560" s="15" t="str">
        <f t="shared" si="298"/>
        <v/>
      </c>
      <c r="B9560" s="18" t="str">
        <f t="shared" si="299"/>
        <v/>
      </c>
    </row>
    <row r="9561" spans="1:2" x14ac:dyDescent="0.25">
      <c r="A9561" s="15" t="str">
        <f t="shared" si="298"/>
        <v/>
      </c>
      <c r="B9561" s="18" t="str">
        <f t="shared" si="299"/>
        <v/>
      </c>
    </row>
    <row r="9562" spans="1:2" x14ac:dyDescent="0.25">
      <c r="A9562" s="15" t="str">
        <f t="shared" si="298"/>
        <v/>
      </c>
      <c r="B9562" s="18" t="str">
        <f t="shared" si="299"/>
        <v/>
      </c>
    </row>
    <row r="9563" spans="1:2" x14ac:dyDescent="0.25">
      <c r="A9563" s="15" t="str">
        <f t="shared" si="298"/>
        <v/>
      </c>
      <c r="B9563" s="18" t="str">
        <f t="shared" si="299"/>
        <v/>
      </c>
    </row>
    <row r="9564" spans="1:2" x14ac:dyDescent="0.25">
      <c r="A9564" s="15" t="str">
        <f t="shared" si="298"/>
        <v/>
      </c>
      <c r="B9564" s="18" t="str">
        <f t="shared" si="299"/>
        <v/>
      </c>
    </row>
    <row r="9565" spans="1:2" x14ac:dyDescent="0.25">
      <c r="A9565" s="15" t="str">
        <f t="shared" si="298"/>
        <v/>
      </c>
      <c r="B9565" s="18" t="str">
        <f t="shared" si="299"/>
        <v/>
      </c>
    </row>
    <row r="9566" spans="1:2" x14ac:dyDescent="0.25">
      <c r="A9566" s="15" t="str">
        <f t="shared" si="298"/>
        <v/>
      </c>
      <c r="B9566" s="18" t="str">
        <f t="shared" si="299"/>
        <v/>
      </c>
    </row>
    <row r="9567" spans="1:2" x14ac:dyDescent="0.25">
      <c r="A9567" s="15" t="str">
        <f t="shared" si="298"/>
        <v/>
      </c>
      <c r="B9567" s="18" t="str">
        <f t="shared" si="299"/>
        <v/>
      </c>
    </row>
    <row r="9568" spans="1:2" x14ac:dyDescent="0.25">
      <c r="A9568" s="15" t="str">
        <f t="shared" si="298"/>
        <v/>
      </c>
      <c r="B9568" s="18" t="str">
        <f t="shared" si="299"/>
        <v/>
      </c>
    </row>
    <row r="9569" spans="1:2" x14ac:dyDescent="0.25">
      <c r="A9569" s="15" t="str">
        <f t="shared" si="298"/>
        <v/>
      </c>
      <c r="B9569" s="18" t="str">
        <f t="shared" si="299"/>
        <v/>
      </c>
    </row>
    <row r="9570" spans="1:2" x14ac:dyDescent="0.25">
      <c r="A9570" s="15" t="str">
        <f t="shared" si="298"/>
        <v/>
      </c>
      <c r="B9570" s="18" t="str">
        <f t="shared" si="299"/>
        <v/>
      </c>
    </row>
    <row r="9571" spans="1:2" x14ac:dyDescent="0.25">
      <c r="A9571" s="15" t="str">
        <f t="shared" si="298"/>
        <v/>
      </c>
      <c r="B9571" s="18" t="str">
        <f t="shared" si="299"/>
        <v/>
      </c>
    </row>
    <row r="9572" spans="1:2" x14ac:dyDescent="0.25">
      <c r="A9572" s="15" t="str">
        <f t="shared" si="298"/>
        <v/>
      </c>
      <c r="B9572" s="18" t="str">
        <f t="shared" si="299"/>
        <v/>
      </c>
    </row>
    <row r="9573" spans="1:2" x14ac:dyDescent="0.25">
      <c r="A9573" s="15" t="str">
        <f t="shared" si="298"/>
        <v/>
      </c>
      <c r="B9573" s="18" t="str">
        <f t="shared" si="299"/>
        <v/>
      </c>
    </row>
    <row r="9574" spans="1:2" x14ac:dyDescent="0.25">
      <c r="A9574" s="15" t="str">
        <f t="shared" si="298"/>
        <v/>
      </c>
      <c r="B9574" s="18" t="str">
        <f t="shared" si="299"/>
        <v/>
      </c>
    </row>
    <row r="9575" spans="1:2" x14ac:dyDescent="0.25">
      <c r="A9575" s="15" t="str">
        <f t="shared" si="298"/>
        <v/>
      </c>
      <c r="B9575" s="18" t="str">
        <f t="shared" si="299"/>
        <v/>
      </c>
    </row>
    <row r="9576" spans="1:2" x14ac:dyDescent="0.25">
      <c r="A9576" s="15" t="str">
        <f t="shared" si="298"/>
        <v/>
      </c>
      <c r="B9576" s="18" t="str">
        <f t="shared" si="299"/>
        <v/>
      </c>
    </row>
    <row r="9577" spans="1:2" x14ac:dyDescent="0.25">
      <c r="A9577" s="15" t="str">
        <f t="shared" si="298"/>
        <v/>
      </c>
      <c r="B9577" s="18" t="str">
        <f t="shared" si="299"/>
        <v/>
      </c>
    </row>
    <row r="9578" spans="1:2" x14ac:dyDescent="0.25">
      <c r="A9578" s="15" t="str">
        <f t="shared" si="298"/>
        <v/>
      </c>
      <c r="B9578" s="18" t="str">
        <f t="shared" si="299"/>
        <v/>
      </c>
    </row>
    <row r="9579" spans="1:2" x14ac:dyDescent="0.25">
      <c r="A9579" s="15" t="str">
        <f t="shared" si="298"/>
        <v/>
      </c>
      <c r="B9579" s="18" t="str">
        <f t="shared" si="299"/>
        <v/>
      </c>
    </row>
    <row r="9580" spans="1:2" x14ac:dyDescent="0.25">
      <c r="A9580" s="15" t="str">
        <f t="shared" si="298"/>
        <v/>
      </c>
      <c r="B9580" s="18" t="str">
        <f t="shared" si="299"/>
        <v/>
      </c>
    </row>
    <row r="9581" spans="1:2" x14ac:dyDescent="0.25">
      <c r="A9581" s="15" t="str">
        <f t="shared" si="298"/>
        <v/>
      </c>
      <c r="B9581" s="18" t="str">
        <f t="shared" si="299"/>
        <v/>
      </c>
    </row>
    <row r="9582" spans="1:2" x14ac:dyDescent="0.25">
      <c r="A9582" s="15" t="str">
        <f t="shared" si="298"/>
        <v/>
      </c>
      <c r="B9582" s="18" t="str">
        <f t="shared" si="299"/>
        <v/>
      </c>
    </row>
    <row r="9583" spans="1:2" x14ac:dyDescent="0.25">
      <c r="A9583" s="15" t="str">
        <f t="shared" si="298"/>
        <v/>
      </c>
      <c r="B9583" s="18" t="str">
        <f t="shared" si="299"/>
        <v/>
      </c>
    </row>
    <row r="9584" spans="1:2" x14ac:dyDescent="0.25">
      <c r="A9584" s="15" t="str">
        <f t="shared" si="298"/>
        <v/>
      </c>
      <c r="B9584" s="18" t="str">
        <f t="shared" si="299"/>
        <v/>
      </c>
    </row>
    <row r="9585" spans="1:2" x14ac:dyDescent="0.25">
      <c r="A9585" s="15" t="str">
        <f t="shared" si="298"/>
        <v/>
      </c>
      <c r="B9585" s="18" t="str">
        <f t="shared" si="299"/>
        <v/>
      </c>
    </row>
    <row r="9586" spans="1:2" x14ac:dyDescent="0.25">
      <c r="A9586" s="15" t="str">
        <f t="shared" si="298"/>
        <v/>
      </c>
      <c r="B9586" s="18" t="str">
        <f t="shared" si="299"/>
        <v/>
      </c>
    </row>
    <row r="9587" spans="1:2" x14ac:dyDescent="0.25">
      <c r="A9587" s="15" t="str">
        <f t="shared" si="298"/>
        <v/>
      </c>
      <c r="B9587" s="18" t="str">
        <f t="shared" si="299"/>
        <v/>
      </c>
    </row>
    <row r="9588" spans="1:2" x14ac:dyDescent="0.25">
      <c r="A9588" s="15" t="str">
        <f t="shared" si="298"/>
        <v/>
      </c>
      <c r="B9588" s="18" t="str">
        <f t="shared" si="299"/>
        <v/>
      </c>
    </row>
    <row r="9589" spans="1:2" x14ac:dyDescent="0.25">
      <c r="A9589" s="15" t="str">
        <f t="shared" si="298"/>
        <v/>
      </c>
      <c r="B9589" s="18" t="str">
        <f t="shared" si="299"/>
        <v/>
      </c>
    </row>
    <row r="9590" spans="1:2" x14ac:dyDescent="0.25">
      <c r="A9590" s="15" t="str">
        <f t="shared" si="298"/>
        <v/>
      </c>
      <c r="B9590" s="18" t="str">
        <f t="shared" si="299"/>
        <v/>
      </c>
    </row>
    <row r="9591" spans="1:2" x14ac:dyDescent="0.25">
      <c r="A9591" s="15" t="str">
        <f t="shared" si="298"/>
        <v/>
      </c>
      <c r="B9591" s="18" t="str">
        <f t="shared" si="299"/>
        <v/>
      </c>
    </row>
    <row r="9592" spans="1:2" x14ac:dyDescent="0.25">
      <c r="A9592" s="15" t="str">
        <f t="shared" si="298"/>
        <v/>
      </c>
      <c r="B9592" s="18" t="str">
        <f t="shared" si="299"/>
        <v/>
      </c>
    </row>
    <row r="9593" spans="1:2" x14ac:dyDescent="0.25">
      <c r="A9593" s="15" t="str">
        <f t="shared" si="298"/>
        <v/>
      </c>
      <c r="B9593" s="18" t="str">
        <f t="shared" si="299"/>
        <v/>
      </c>
    </row>
    <row r="9594" spans="1:2" x14ac:dyDescent="0.25">
      <c r="A9594" s="15" t="str">
        <f t="shared" si="298"/>
        <v/>
      </c>
      <c r="B9594" s="18" t="str">
        <f t="shared" si="299"/>
        <v/>
      </c>
    </row>
    <row r="9595" spans="1:2" x14ac:dyDescent="0.25">
      <c r="A9595" s="15" t="str">
        <f t="shared" si="298"/>
        <v/>
      </c>
      <c r="B9595" s="18" t="str">
        <f t="shared" si="299"/>
        <v/>
      </c>
    </row>
    <row r="9596" spans="1:2" x14ac:dyDescent="0.25">
      <c r="A9596" s="15" t="str">
        <f t="shared" si="298"/>
        <v/>
      </c>
      <c r="B9596" s="18" t="str">
        <f t="shared" si="299"/>
        <v/>
      </c>
    </row>
    <row r="9597" spans="1:2" x14ac:dyDescent="0.25">
      <c r="A9597" s="15" t="str">
        <f t="shared" si="298"/>
        <v/>
      </c>
      <c r="B9597" s="18" t="str">
        <f t="shared" si="299"/>
        <v/>
      </c>
    </row>
    <row r="9598" spans="1:2" x14ac:dyDescent="0.25">
      <c r="A9598" s="15" t="str">
        <f t="shared" si="298"/>
        <v/>
      </c>
      <c r="B9598" s="18" t="str">
        <f t="shared" si="299"/>
        <v/>
      </c>
    </row>
    <row r="9599" spans="1:2" x14ac:dyDescent="0.25">
      <c r="A9599" s="15" t="str">
        <f t="shared" si="298"/>
        <v/>
      </c>
      <c r="B9599" s="18" t="str">
        <f t="shared" si="299"/>
        <v/>
      </c>
    </row>
    <row r="9600" spans="1:2" x14ac:dyDescent="0.25">
      <c r="A9600" s="15" t="str">
        <f t="shared" si="298"/>
        <v/>
      </c>
      <c r="B9600" s="18" t="str">
        <f t="shared" si="299"/>
        <v/>
      </c>
    </row>
    <row r="9601" spans="1:2" x14ac:dyDescent="0.25">
      <c r="A9601" s="15" t="str">
        <f t="shared" si="298"/>
        <v/>
      </c>
      <c r="B9601" s="18" t="str">
        <f t="shared" si="299"/>
        <v/>
      </c>
    </row>
    <row r="9602" spans="1:2" x14ac:dyDescent="0.25">
      <c r="A9602" s="15" t="str">
        <f t="shared" ref="A9602:A9665" si="300">B9602&amp;C9602</f>
        <v/>
      </c>
      <c r="B9602" s="18" t="str">
        <f t="shared" si="299"/>
        <v/>
      </c>
    </row>
    <row r="9603" spans="1:2" x14ac:dyDescent="0.25">
      <c r="A9603" s="15" t="str">
        <f t="shared" si="300"/>
        <v/>
      </c>
      <c r="B9603" s="18" t="str">
        <f t="shared" ref="B9603:B9666" si="301">IF(C9603="","",B9602)</f>
        <v/>
      </c>
    </row>
    <row r="9604" spans="1:2" x14ac:dyDescent="0.25">
      <c r="A9604" s="15" t="str">
        <f t="shared" si="300"/>
        <v/>
      </c>
      <c r="B9604" s="18" t="str">
        <f t="shared" si="301"/>
        <v/>
      </c>
    </row>
    <row r="9605" spans="1:2" x14ac:dyDescent="0.25">
      <c r="A9605" s="15" t="str">
        <f t="shared" si="300"/>
        <v/>
      </c>
      <c r="B9605" s="18" t="str">
        <f t="shared" si="301"/>
        <v/>
      </c>
    </row>
    <row r="9606" spans="1:2" x14ac:dyDescent="0.25">
      <c r="A9606" s="15" t="str">
        <f t="shared" si="300"/>
        <v/>
      </c>
      <c r="B9606" s="18" t="str">
        <f t="shared" si="301"/>
        <v/>
      </c>
    </row>
    <row r="9607" spans="1:2" x14ac:dyDescent="0.25">
      <c r="A9607" s="15" t="str">
        <f t="shared" si="300"/>
        <v/>
      </c>
      <c r="B9607" s="18" t="str">
        <f t="shared" si="301"/>
        <v/>
      </c>
    </row>
    <row r="9608" spans="1:2" x14ac:dyDescent="0.25">
      <c r="A9608" s="15" t="str">
        <f t="shared" si="300"/>
        <v/>
      </c>
      <c r="B9608" s="18" t="str">
        <f t="shared" si="301"/>
        <v/>
      </c>
    </row>
    <row r="9609" spans="1:2" x14ac:dyDescent="0.25">
      <c r="A9609" s="15" t="str">
        <f t="shared" si="300"/>
        <v/>
      </c>
      <c r="B9609" s="18" t="str">
        <f t="shared" si="301"/>
        <v/>
      </c>
    </row>
    <row r="9610" spans="1:2" x14ac:dyDescent="0.25">
      <c r="A9610" s="15" t="str">
        <f t="shared" si="300"/>
        <v/>
      </c>
      <c r="B9610" s="18" t="str">
        <f t="shared" si="301"/>
        <v/>
      </c>
    </row>
    <row r="9611" spans="1:2" x14ac:dyDescent="0.25">
      <c r="A9611" s="15" t="str">
        <f t="shared" si="300"/>
        <v/>
      </c>
      <c r="B9611" s="18" t="str">
        <f t="shared" si="301"/>
        <v/>
      </c>
    </row>
    <row r="9612" spans="1:2" x14ac:dyDescent="0.25">
      <c r="A9612" s="15" t="str">
        <f t="shared" si="300"/>
        <v/>
      </c>
      <c r="B9612" s="18" t="str">
        <f t="shared" si="301"/>
        <v/>
      </c>
    </row>
    <row r="9613" spans="1:2" x14ac:dyDescent="0.25">
      <c r="A9613" s="15" t="str">
        <f t="shared" si="300"/>
        <v/>
      </c>
      <c r="B9613" s="18" t="str">
        <f t="shared" si="301"/>
        <v/>
      </c>
    </row>
    <row r="9614" spans="1:2" x14ac:dyDescent="0.25">
      <c r="A9614" s="15" t="str">
        <f t="shared" si="300"/>
        <v/>
      </c>
      <c r="B9614" s="18" t="str">
        <f t="shared" si="301"/>
        <v/>
      </c>
    </row>
    <row r="9615" spans="1:2" x14ac:dyDescent="0.25">
      <c r="A9615" s="15" t="str">
        <f t="shared" si="300"/>
        <v/>
      </c>
      <c r="B9615" s="18" t="str">
        <f t="shared" si="301"/>
        <v/>
      </c>
    </row>
    <row r="9616" spans="1:2" x14ac:dyDescent="0.25">
      <c r="A9616" s="15" t="str">
        <f t="shared" si="300"/>
        <v/>
      </c>
      <c r="B9616" s="18" t="str">
        <f t="shared" si="301"/>
        <v/>
      </c>
    </row>
    <row r="9617" spans="1:2" x14ac:dyDescent="0.25">
      <c r="A9617" s="15" t="str">
        <f t="shared" si="300"/>
        <v/>
      </c>
      <c r="B9617" s="18" t="str">
        <f t="shared" si="301"/>
        <v/>
      </c>
    </row>
    <row r="9618" spans="1:2" x14ac:dyDescent="0.25">
      <c r="A9618" s="15" t="str">
        <f t="shared" si="300"/>
        <v/>
      </c>
      <c r="B9618" s="18" t="str">
        <f t="shared" si="301"/>
        <v/>
      </c>
    </row>
    <row r="9619" spans="1:2" x14ac:dyDescent="0.25">
      <c r="A9619" s="15" t="str">
        <f t="shared" si="300"/>
        <v/>
      </c>
      <c r="B9619" s="18" t="str">
        <f t="shared" si="301"/>
        <v/>
      </c>
    </row>
    <row r="9620" spans="1:2" x14ac:dyDescent="0.25">
      <c r="A9620" s="15" t="str">
        <f t="shared" si="300"/>
        <v/>
      </c>
      <c r="B9620" s="18" t="str">
        <f t="shared" si="301"/>
        <v/>
      </c>
    </row>
    <row r="9621" spans="1:2" x14ac:dyDescent="0.25">
      <c r="A9621" s="15" t="str">
        <f t="shared" si="300"/>
        <v/>
      </c>
      <c r="B9621" s="18" t="str">
        <f t="shared" si="301"/>
        <v/>
      </c>
    </row>
    <row r="9622" spans="1:2" x14ac:dyDescent="0.25">
      <c r="A9622" s="15" t="str">
        <f t="shared" si="300"/>
        <v/>
      </c>
      <c r="B9622" s="18" t="str">
        <f t="shared" si="301"/>
        <v/>
      </c>
    </row>
    <row r="9623" spans="1:2" x14ac:dyDescent="0.25">
      <c r="A9623" s="15" t="str">
        <f t="shared" si="300"/>
        <v/>
      </c>
      <c r="B9623" s="18" t="str">
        <f t="shared" si="301"/>
        <v/>
      </c>
    </row>
    <row r="9624" spans="1:2" x14ac:dyDescent="0.25">
      <c r="A9624" s="15" t="str">
        <f t="shared" si="300"/>
        <v/>
      </c>
      <c r="B9624" s="18" t="str">
        <f t="shared" si="301"/>
        <v/>
      </c>
    </row>
    <row r="9625" spans="1:2" x14ac:dyDescent="0.25">
      <c r="A9625" s="15" t="str">
        <f t="shared" si="300"/>
        <v/>
      </c>
      <c r="B9625" s="18" t="str">
        <f t="shared" si="301"/>
        <v/>
      </c>
    </row>
    <row r="9626" spans="1:2" x14ac:dyDescent="0.25">
      <c r="A9626" s="15" t="str">
        <f t="shared" si="300"/>
        <v/>
      </c>
      <c r="B9626" s="18" t="str">
        <f t="shared" si="301"/>
        <v/>
      </c>
    </row>
    <row r="9627" spans="1:2" x14ac:dyDescent="0.25">
      <c r="A9627" s="15" t="str">
        <f t="shared" si="300"/>
        <v/>
      </c>
      <c r="B9627" s="18" t="str">
        <f t="shared" si="301"/>
        <v/>
      </c>
    </row>
    <row r="9628" spans="1:2" x14ac:dyDescent="0.25">
      <c r="A9628" s="15" t="str">
        <f t="shared" si="300"/>
        <v/>
      </c>
      <c r="B9628" s="18" t="str">
        <f t="shared" si="301"/>
        <v/>
      </c>
    </row>
    <row r="9629" spans="1:2" x14ac:dyDescent="0.25">
      <c r="A9629" s="15" t="str">
        <f t="shared" si="300"/>
        <v/>
      </c>
      <c r="B9629" s="18" t="str">
        <f t="shared" si="301"/>
        <v/>
      </c>
    </row>
    <row r="9630" spans="1:2" x14ac:dyDescent="0.25">
      <c r="A9630" s="15" t="str">
        <f t="shared" si="300"/>
        <v/>
      </c>
      <c r="B9630" s="18" t="str">
        <f t="shared" si="301"/>
        <v/>
      </c>
    </row>
    <row r="9631" spans="1:2" x14ac:dyDescent="0.25">
      <c r="A9631" s="15" t="str">
        <f t="shared" si="300"/>
        <v/>
      </c>
      <c r="B9631" s="18" t="str">
        <f t="shared" si="301"/>
        <v/>
      </c>
    </row>
    <row r="9632" spans="1:2" x14ac:dyDescent="0.25">
      <c r="A9632" s="15" t="str">
        <f t="shared" si="300"/>
        <v/>
      </c>
      <c r="B9632" s="18" t="str">
        <f t="shared" si="301"/>
        <v/>
      </c>
    </row>
    <row r="9633" spans="1:2" x14ac:dyDescent="0.25">
      <c r="A9633" s="15" t="str">
        <f t="shared" si="300"/>
        <v/>
      </c>
      <c r="B9633" s="18" t="str">
        <f t="shared" si="301"/>
        <v/>
      </c>
    </row>
    <row r="9634" spans="1:2" x14ac:dyDescent="0.25">
      <c r="A9634" s="15" t="str">
        <f t="shared" si="300"/>
        <v/>
      </c>
      <c r="B9634" s="18" t="str">
        <f t="shared" si="301"/>
        <v/>
      </c>
    </row>
    <row r="9635" spans="1:2" x14ac:dyDescent="0.25">
      <c r="A9635" s="15" t="str">
        <f t="shared" si="300"/>
        <v/>
      </c>
      <c r="B9635" s="18" t="str">
        <f t="shared" si="301"/>
        <v/>
      </c>
    </row>
    <row r="9636" spans="1:2" x14ac:dyDescent="0.25">
      <c r="A9636" s="15" t="str">
        <f t="shared" si="300"/>
        <v/>
      </c>
      <c r="B9636" s="18" t="str">
        <f t="shared" si="301"/>
        <v/>
      </c>
    </row>
    <row r="9637" spans="1:2" x14ac:dyDescent="0.25">
      <c r="A9637" s="15" t="str">
        <f t="shared" si="300"/>
        <v/>
      </c>
      <c r="B9637" s="18" t="str">
        <f t="shared" si="301"/>
        <v/>
      </c>
    </row>
    <row r="9638" spans="1:2" x14ac:dyDescent="0.25">
      <c r="A9638" s="15" t="str">
        <f t="shared" si="300"/>
        <v/>
      </c>
      <c r="B9638" s="18" t="str">
        <f t="shared" si="301"/>
        <v/>
      </c>
    </row>
    <row r="9639" spans="1:2" x14ac:dyDescent="0.25">
      <c r="A9639" s="15" t="str">
        <f t="shared" si="300"/>
        <v/>
      </c>
      <c r="B9639" s="18" t="str">
        <f t="shared" si="301"/>
        <v/>
      </c>
    </row>
    <row r="9640" spans="1:2" x14ac:dyDescent="0.25">
      <c r="A9640" s="15" t="str">
        <f t="shared" si="300"/>
        <v/>
      </c>
      <c r="B9640" s="18" t="str">
        <f t="shared" si="301"/>
        <v/>
      </c>
    </row>
    <row r="9641" spans="1:2" x14ac:dyDescent="0.25">
      <c r="A9641" s="15" t="str">
        <f t="shared" si="300"/>
        <v/>
      </c>
      <c r="B9641" s="18" t="str">
        <f t="shared" si="301"/>
        <v/>
      </c>
    </row>
    <row r="9642" spans="1:2" x14ac:dyDescent="0.25">
      <c r="A9642" s="15" t="str">
        <f t="shared" si="300"/>
        <v/>
      </c>
      <c r="B9642" s="18" t="str">
        <f t="shared" si="301"/>
        <v/>
      </c>
    </row>
    <row r="9643" spans="1:2" x14ac:dyDescent="0.25">
      <c r="A9643" s="15" t="str">
        <f t="shared" si="300"/>
        <v/>
      </c>
      <c r="B9643" s="18" t="str">
        <f t="shared" si="301"/>
        <v/>
      </c>
    </row>
    <row r="9644" spans="1:2" x14ac:dyDescent="0.25">
      <c r="A9644" s="15" t="str">
        <f t="shared" si="300"/>
        <v/>
      </c>
      <c r="B9644" s="18" t="str">
        <f t="shared" si="301"/>
        <v/>
      </c>
    </row>
    <row r="9645" spans="1:2" x14ac:dyDescent="0.25">
      <c r="A9645" s="15" t="str">
        <f t="shared" si="300"/>
        <v/>
      </c>
      <c r="B9645" s="18" t="str">
        <f t="shared" si="301"/>
        <v/>
      </c>
    </row>
    <row r="9646" spans="1:2" x14ac:dyDescent="0.25">
      <c r="A9646" s="15" t="str">
        <f t="shared" si="300"/>
        <v/>
      </c>
      <c r="B9646" s="18" t="str">
        <f t="shared" si="301"/>
        <v/>
      </c>
    </row>
    <row r="9647" spans="1:2" x14ac:dyDescent="0.25">
      <c r="A9647" s="15" t="str">
        <f t="shared" si="300"/>
        <v/>
      </c>
      <c r="B9647" s="18" t="str">
        <f t="shared" si="301"/>
        <v/>
      </c>
    </row>
    <row r="9648" spans="1:2" x14ac:dyDescent="0.25">
      <c r="A9648" s="15" t="str">
        <f t="shared" si="300"/>
        <v/>
      </c>
      <c r="B9648" s="18" t="str">
        <f t="shared" si="301"/>
        <v/>
      </c>
    </row>
    <row r="9649" spans="1:2" x14ac:dyDescent="0.25">
      <c r="A9649" s="15" t="str">
        <f t="shared" si="300"/>
        <v/>
      </c>
      <c r="B9649" s="18" t="str">
        <f t="shared" si="301"/>
        <v/>
      </c>
    </row>
    <row r="9650" spans="1:2" x14ac:dyDescent="0.25">
      <c r="A9650" s="15" t="str">
        <f t="shared" si="300"/>
        <v/>
      </c>
      <c r="B9650" s="18" t="str">
        <f t="shared" si="301"/>
        <v/>
      </c>
    </row>
    <row r="9651" spans="1:2" x14ac:dyDescent="0.25">
      <c r="A9651" s="15" t="str">
        <f t="shared" si="300"/>
        <v/>
      </c>
      <c r="B9651" s="18" t="str">
        <f t="shared" si="301"/>
        <v/>
      </c>
    </row>
    <row r="9652" spans="1:2" x14ac:dyDescent="0.25">
      <c r="A9652" s="15" t="str">
        <f t="shared" si="300"/>
        <v/>
      </c>
      <c r="B9652" s="18" t="str">
        <f t="shared" si="301"/>
        <v/>
      </c>
    </row>
    <row r="9653" spans="1:2" x14ac:dyDescent="0.25">
      <c r="A9653" s="15" t="str">
        <f t="shared" si="300"/>
        <v/>
      </c>
      <c r="B9653" s="18" t="str">
        <f t="shared" si="301"/>
        <v/>
      </c>
    </row>
    <row r="9654" spans="1:2" x14ac:dyDescent="0.25">
      <c r="A9654" s="15" t="str">
        <f t="shared" si="300"/>
        <v/>
      </c>
      <c r="B9654" s="18" t="str">
        <f t="shared" si="301"/>
        <v/>
      </c>
    </row>
    <row r="9655" spans="1:2" x14ac:dyDescent="0.25">
      <c r="A9655" s="15" t="str">
        <f t="shared" si="300"/>
        <v/>
      </c>
      <c r="B9655" s="18" t="str">
        <f t="shared" si="301"/>
        <v/>
      </c>
    </row>
    <row r="9656" spans="1:2" x14ac:dyDescent="0.25">
      <c r="A9656" s="15" t="str">
        <f t="shared" si="300"/>
        <v/>
      </c>
      <c r="B9656" s="18" t="str">
        <f t="shared" si="301"/>
        <v/>
      </c>
    </row>
    <row r="9657" spans="1:2" x14ac:dyDescent="0.25">
      <c r="A9657" s="15" t="str">
        <f t="shared" si="300"/>
        <v/>
      </c>
      <c r="B9657" s="18" t="str">
        <f t="shared" si="301"/>
        <v/>
      </c>
    </row>
    <row r="9658" spans="1:2" x14ac:dyDescent="0.25">
      <c r="A9658" s="15" t="str">
        <f t="shared" si="300"/>
        <v/>
      </c>
      <c r="B9658" s="18" t="str">
        <f t="shared" si="301"/>
        <v/>
      </c>
    </row>
    <row r="9659" spans="1:2" x14ac:dyDescent="0.25">
      <c r="A9659" s="15" t="str">
        <f t="shared" si="300"/>
        <v/>
      </c>
      <c r="B9659" s="18" t="str">
        <f t="shared" si="301"/>
        <v/>
      </c>
    </row>
    <row r="9660" spans="1:2" x14ac:dyDescent="0.25">
      <c r="A9660" s="15" t="str">
        <f t="shared" si="300"/>
        <v/>
      </c>
      <c r="B9660" s="18" t="str">
        <f t="shared" si="301"/>
        <v/>
      </c>
    </row>
    <row r="9661" spans="1:2" x14ac:dyDescent="0.25">
      <c r="A9661" s="15" t="str">
        <f t="shared" si="300"/>
        <v/>
      </c>
      <c r="B9661" s="18" t="str">
        <f t="shared" si="301"/>
        <v/>
      </c>
    </row>
    <row r="9662" spans="1:2" x14ac:dyDescent="0.25">
      <c r="A9662" s="15" t="str">
        <f t="shared" si="300"/>
        <v/>
      </c>
      <c r="B9662" s="18" t="str">
        <f t="shared" si="301"/>
        <v/>
      </c>
    </row>
    <row r="9663" spans="1:2" x14ac:dyDescent="0.25">
      <c r="A9663" s="15" t="str">
        <f t="shared" si="300"/>
        <v/>
      </c>
      <c r="B9663" s="18" t="str">
        <f t="shared" si="301"/>
        <v/>
      </c>
    </row>
    <row r="9664" spans="1:2" x14ac:dyDescent="0.25">
      <c r="A9664" s="15" t="str">
        <f t="shared" si="300"/>
        <v/>
      </c>
      <c r="B9664" s="18" t="str">
        <f t="shared" si="301"/>
        <v/>
      </c>
    </row>
    <row r="9665" spans="1:2" x14ac:dyDescent="0.25">
      <c r="A9665" s="15" t="str">
        <f t="shared" si="300"/>
        <v/>
      </c>
      <c r="B9665" s="18" t="str">
        <f t="shared" si="301"/>
        <v/>
      </c>
    </row>
    <row r="9666" spans="1:2" x14ac:dyDescent="0.25">
      <c r="A9666" s="15" t="str">
        <f t="shared" ref="A9666:A9729" si="302">B9666&amp;C9666</f>
        <v/>
      </c>
      <c r="B9666" s="18" t="str">
        <f t="shared" si="301"/>
        <v/>
      </c>
    </row>
    <row r="9667" spans="1:2" x14ac:dyDescent="0.25">
      <c r="A9667" s="15" t="str">
        <f t="shared" si="302"/>
        <v/>
      </c>
      <c r="B9667" s="18" t="str">
        <f t="shared" ref="B9667:B9730" si="303">IF(C9667="","",B9666)</f>
        <v/>
      </c>
    </row>
    <row r="9668" spans="1:2" x14ac:dyDescent="0.25">
      <c r="A9668" s="15" t="str">
        <f t="shared" si="302"/>
        <v/>
      </c>
      <c r="B9668" s="18" t="str">
        <f t="shared" si="303"/>
        <v/>
      </c>
    </row>
    <row r="9669" spans="1:2" x14ac:dyDescent="0.25">
      <c r="A9669" s="15" t="str">
        <f t="shared" si="302"/>
        <v/>
      </c>
      <c r="B9669" s="18" t="str">
        <f t="shared" si="303"/>
        <v/>
      </c>
    </row>
    <row r="9670" spans="1:2" x14ac:dyDescent="0.25">
      <c r="A9670" s="15" t="str">
        <f t="shared" si="302"/>
        <v/>
      </c>
      <c r="B9670" s="18" t="str">
        <f t="shared" si="303"/>
        <v/>
      </c>
    </row>
    <row r="9671" spans="1:2" x14ac:dyDescent="0.25">
      <c r="A9671" s="15" t="str">
        <f t="shared" si="302"/>
        <v/>
      </c>
      <c r="B9671" s="18" t="str">
        <f t="shared" si="303"/>
        <v/>
      </c>
    </row>
    <row r="9672" spans="1:2" x14ac:dyDescent="0.25">
      <c r="A9672" s="15" t="str">
        <f t="shared" si="302"/>
        <v/>
      </c>
      <c r="B9672" s="18" t="str">
        <f t="shared" si="303"/>
        <v/>
      </c>
    </row>
    <row r="9673" spans="1:2" x14ac:dyDescent="0.25">
      <c r="A9673" s="15" t="str">
        <f t="shared" si="302"/>
        <v/>
      </c>
      <c r="B9673" s="18" t="str">
        <f t="shared" si="303"/>
        <v/>
      </c>
    </row>
    <row r="9674" spans="1:2" x14ac:dyDescent="0.25">
      <c r="A9674" s="15" t="str">
        <f t="shared" si="302"/>
        <v/>
      </c>
      <c r="B9674" s="18" t="str">
        <f t="shared" si="303"/>
        <v/>
      </c>
    </row>
    <row r="9675" spans="1:2" x14ac:dyDescent="0.25">
      <c r="A9675" s="15" t="str">
        <f t="shared" si="302"/>
        <v/>
      </c>
      <c r="B9675" s="18" t="str">
        <f t="shared" si="303"/>
        <v/>
      </c>
    </row>
    <row r="9676" spans="1:2" x14ac:dyDescent="0.25">
      <c r="A9676" s="15" t="str">
        <f t="shared" si="302"/>
        <v/>
      </c>
      <c r="B9676" s="18" t="str">
        <f t="shared" si="303"/>
        <v/>
      </c>
    </row>
    <row r="9677" spans="1:2" x14ac:dyDescent="0.25">
      <c r="A9677" s="15" t="str">
        <f t="shared" si="302"/>
        <v/>
      </c>
      <c r="B9677" s="18" t="str">
        <f t="shared" si="303"/>
        <v/>
      </c>
    </row>
    <row r="9678" spans="1:2" x14ac:dyDescent="0.25">
      <c r="A9678" s="15" t="str">
        <f t="shared" si="302"/>
        <v/>
      </c>
      <c r="B9678" s="18" t="str">
        <f t="shared" si="303"/>
        <v/>
      </c>
    </row>
    <row r="9679" spans="1:2" x14ac:dyDescent="0.25">
      <c r="A9679" s="15" t="str">
        <f t="shared" si="302"/>
        <v/>
      </c>
      <c r="B9679" s="18" t="str">
        <f t="shared" si="303"/>
        <v/>
      </c>
    </row>
    <row r="9680" spans="1:2" x14ac:dyDescent="0.25">
      <c r="A9680" s="15" t="str">
        <f t="shared" si="302"/>
        <v/>
      </c>
      <c r="B9680" s="18" t="str">
        <f t="shared" si="303"/>
        <v/>
      </c>
    </row>
    <row r="9681" spans="1:2" x14ac:dyDescent="0.25">
      <c r="A9681" s="15" t="str">
        <f t="shared" si="302"/>
        <v/>
      </c>
      <c r="B9681" s="18" t="str">
        <f t="shared" si="303"/>
        <v/>
      </c>
    </row>
    <row r="9682" spans="1:2" x14ac:dyDescent="0.25">
      <c r="A9682" s="15" t="str">
        <f t="shared" si="302"/>
        <v/>
      </c>
      <c r="B9682" s="18" t="str">
        <f t="shared" si="303"/>
        <v/>
      </c>
    </row>
    <row r="9683" spans="1:2" x14ac:dyDescent="0.25">
      <c r="A9683" s="15" t="str">
        <f t="shared" si="302"/>
        <v/>
      </c>
      <c r="B9683" s="18" t="str">
        <f t="shared" si="303"/>
        <v/>
      </c>
    </row>
    <row r="9684" spans="1:2" x14ac:dyDescent="0.25">
      <c r="A9684" s="15" t="str">
        <f t="shared" si="302"/>
        <v/>
      </c>
      <c r="B9684" s="18" t="str">
        <f t="shared" si="303"/>
        <v/>
      </c>
    </row>
    <row r="9685" spans="1:2" x14ac:dyDescent="0.25">
      <c r="A9685" s="15" t="str">
        <f t="shared" si="302"/>
        <v/>
      </c>
      <c r="B9685" s="18" t="str">
        <f t="shared" si="303"/>
        <v/>
      </c>
    </row>
    <row r="9686" spans="1:2" x14ac:dyDescent="0.25">
      <c r="A9686" s="15" t="str">
        <f t="shared" si="302"/>
        <v/>
      </c>
      <c r="B9686" s="18" t="str">
        <f t="shared" si="303"/>
        <v/>
      </c>
    </row>
    <row r="9687" spans="1:2" x14ac:dyDescent="0.25">
      <c r="A9687" s="15" t="str">
        <f t="shared" si="302"/>
        <v/>
      </c>
      <c r="B9687" s="18" t="str">
        <f t="shared" si="303"/>
        <v/>
      </c>
    </row>
    <row r="9688" spans="1:2" x14ac:dyDescent="0.25">
      <c r="A9688" s="15" t="str">
        <f t="shared" si="302"/>
        <v/>
      </c>
      <c r="B9688" s="18" t="str">
        <f t="shared" si="303"/>
        <v/>
      </c>
    </row>
    <row r="9689" spans="1:2" x14ac:dyDescent="0.25">
      <c r="A9689" s="15" t="str">
        <f t="shared" si="302"/>
        <v/>
      </c>
      <c r="B9689" s="18" t="str">
        <f t="shared" si="303"/>
        <v/>
      </c>
    </row>
    <row r="9690" spans="1:2" x14ac:dyDescent="0.25">
      <c r="A9690" s="15" t="str">
        <f t="shared" si="302"/>
        <v/>
      </c>
      <c r="B9690" s="18" t="str">
        <f t="shared" si="303"/>
        <v/>
      </c>
    </row>
    <row r="9691" spans="1:2" x14ac:dyDescent="0.25">
      <c r="A9691" s="15" t="str">
        <f t="shared" si="302"/>
        <v/>
      </c>
      <c r="B9691" s="18" t="str">
        <f t="shared" si="303"/>
        <v/>
      </c>
    </row>
    <row r="9692" spans="1:2" x14ac:dyDescent="0.25">
      <c r="A9692" s="15" t="str">
        <f t="shared" si="302"/>
        <v/>
      </c>
      <c r="B9692" s="18" t="str">
        <f t="shared" si="303"/>
        <v/>
      </c>
    </row>
    <row r="9693" spans="1:2" x14ac:dyDescent="0.25">
      <c r="A9693" s="15" t="str">
        <f t="shared" si="302"/>
        <v/>
      </c>
      <c r="B9693" s="18" t="str">
        <f t="shared" si="303"/>
        <v/>
      </c>
    </row>
    <row r="9694" spans="1:2" x14ac:dyDescent="0.25">
      <c r="A9694" s="15" t="str">
        <f t="shared" si="302"/>
        <v/>
      </c>
      <c r="B9694" s="18" t="str">
        <f t="shared" si="303"/>
        <v/>
      </c>
    </row>
    <row r="9695" spans="1:2" x14ac:dyDescent="0.25">
      <c r="A9695" s="15" t="str">
        <f t="shared" si="302"/>
        <v/>
      </c>
      <c r="B9695" s="18" t="str">
        <f t="shared" si="303"/>
        <v/>
      </c>
    </row>
    <row r="9696" spans="1:2" x14ac:dyDescent="0.25">
      <c r="A9696" s="15" t="str">
        <f t="shared" si="302"/>
        <v/>
      </c>
      <c r="B9696" s="18" t="str">
        <f t="shared" si="303"/>
        <v/>
      </c>
    </row>
    <row r="9697" spans="1:2" x14ac:dyDescent="0.25">
      <c r="A9697" s="15" t="str">
        <f t="shared" si="302"/>
        <v/>
      </c>
      <c r="B9697" s="18" t="str">
        <f t="shared" si="303"/>
        <v/>
      </c>
    </row>
    <row r="9698" spans="1:2" x14ac:dyDescent="0.25">
      <c r="A9698" s="15" t="str">
        <f t="shared" si="302"/>
        <v/>
      </c>
      <c r="B9698" s="18" t="str">
        <f t="shared" si="303"/>
        <v/>
      </c>
    </row>
    <row r="9699" spans="1:2" x14ac:dyDescent="0.25">
      <c r="A9699" s="15" t="str">
        <f t="shared" si="302"/>
        <v/>
      </c>
      <c r="B9699" s="18" t="str">
        <f t="shared" si="303"/>
        <v/>
      </c>
    </row>
    <row r="9700" spans="1:2" x14ac:dyDescent="0.25">
      <c r="A9700" s="15" t="str">
        <f t="shared" si="302"/>
        <v/>
      </c>
      <c r="B9700" s="18" t="str">
        <f t="shared" si="303"/>
        <v/>
      </c>
    </row>
    <row r="9701" spans="1:2" x14ac:dyDescent="0.25">
      <c r="A9701" s="15" t="str">
        <f t="shared" si="302"/>
        <v/>
      </c>
      <c r="B9701" s="18" t="str">
        <f t="shared" si="303"/>
        <v/>
      </c>
    </row>
    <row r="9702" spans="1:2" x14ac:dyDescent="0.25">
      <c r="A9702" s="15" t="str">
        <f t="shared" si="302"/>
        <v/>
      </c>
      <c r="B9702" s="18" t="str">
        <f t="shared" si="303"/>
        <v/>
      </c>
    </row>
    <row r="9703" spans="1:2" x14ac:dyDescent="0.25">
      <c r="A9703" s="15" t="str">
        <f t="shared" si="302"/>
        <v/>
      </c>
      <c r="B9703" s="18" t="str">
        <f t="shared" si="303"/>
        <v/>
      </c>
    </row>
    <row r="9704" spans="1:2" x14ac:dyDescent="0.25">
      <c r="A9704" s="15" t="str">
        <f t="shared" si="302"/>
        <v/>
      </c>
      <c r="B9704" s="18" t="str">
        <f t="shared" si="303"/>
        <v/>
      </c>
    </row>
    <row r="9705" spans="1:2" x14ac:dyDescent="0.25">
      <c r="A9705" s="15" t="str">
        <f t="shared" si="302"/>
        <v/>
      </c>
      <c r="B9705" s="18" t="str">
        <f t="shared" si="303"/>
        <v/>
      </c>
    </row>
    <row r="9706" spans="1:2" x14ac:dyDescent="0.25">
      <c r="A9706" s="15" t="str">
        <f t="shared" si="302"/>
        <v/>
      </c>
      <c r="B9706" s="18" t="str">
        <f t="shared" si="303"/>
        <v/>
      </c>
    </row>
    <row r="9707" spans="1:2" x14ac:dyDescent="0.25">
      <c r="A9707" s="15" t="str">
        <f t="shared" si="302"/>
        <v/>
      </c>
      <c r="B9707" s="18" t="str">
        <f t="shared" si="303"/>
        <v/>
      </c>
    </row>
    <row r="9708" spans="1:2" x14ac:dyDescent="0.25">
      <c r="A9708" s="15" t="str">
        <f t="shared" si="302"/>
        <v/>
      </c>
      <c r="B9708" s="18" t="str">
        <f t="shared" si="303"/>
        <v/>
      </c>
    </row>
    <row r="9709" spans="1:2" x14ac:dyDescent="0.25">
      <c r="A9709" s="15" t="str">
        <f t="shared" si="302"/>
        <v/>
      </c>
      <c r="B9709" s="18" t="str">
        <f t="shared" si="303"/>
        <v/>
      </c>
    </row>
    <row r="9710" spans="1:2" x14ac:dyDescent="0.25">
      <c r="A9710" s="15" t="str">
        <f t="shared" si="302"/>
        <v/>
      </c>
      <c r="B9710" s="18" t="str">
        <f t="shared" si="303"/>
        <v/>
      </c>
    </row>
    <row r="9711" spans="1:2" x14ac:dyDescent="0.25">
      <c r="A9711" s="15" t="str">
        <f t="shared" si="302"/>
        <v/>
      </c>
      <c r="B9711" s="18" t="str">
        <f t="shared" si="303"/>
        <v/>
      </c>
    </row>
    <row r="9712" spans="1:2" x14ac:dyDescent="0.25">
      <c r="A9712" s="15" t="str">
        <f t="shared" si="302"/>
        <v/>
      </c>
      <c r="B9712" s="18" t="str">
        <f t="shared" si="303"/>
        <v/>
      </c>
    </row>
    <row r="9713" spans="1:2" x14ac:dyDescent="0.25">
      <c r="A9713" s="15" t="str">
        <f t="shared" si="302"/>
        <v/>
      </c>
      <c r="B9713" s="18" t="str">
        <f t="shared" si="303"/>
        <v/>
      </c>
    </row>
    <row r="9714" spans="1:2" x14ac:dyDescent="0.25">
      <c r="A9714" s="15" t="str">
        <f t="shared" si="302"/>
        <v/>
      </c>
      <c r="B9714" s="18" t="str">
        <f t="shared" si="303"/>
        <v/>
      </c>
    </row>
    <row r="9715" spans="1:2" x14ac:dyDescent="0.25">
      <c r="A9715" s="15" t="str">
        <f t="shared" si="302"/>
        <v/>
      </c>
      <c r="B9715" s="18" t="str">
        <f t="shared" si="303"/>
        <v/>
      </c>
    </row>
    <row r="9716" spans="1:2" x14ac:dyDescent="0.25">
      <c r="A9716" s="15" t="str">
        <f t="shared" si="302"/>
        <v/>
      </c>
      <c r="B9716" s="18" t="str">
        <f t="shared" si="303"/>
        <v/>
      </c>
    </row>
    <row r="9717" spans="1:2" x14ac:dyDescent="0.25">
      <c r="A9717" s="15" t="str">
        <f t="shared" si="302"/>
        <v/>
      </c>
      <c r="B9717" s="18" t="str">
        <f t="shared" si="303"/>
        <v/>
      </c>
    </row>
    <row r="9718" spans="1:2" x14ac:dyDescent="0.25">
      <c r="A9718" s="15" t="str">
        <f t="shared" si="302"/>
        <v/>
      </c>
      <c r="B9718" s="18" t="str">
        <f t="shared" si="303"/>
        <v/>
      </c>
    </row>
    <row r="9719" spans="1:2" x14ac:dyDescent="0.25">
      <c r="A9719" s="15" t="str">
        <f t="shared" si="302"/>
        <v/>
      </c>
      <c r="B9719" s="18" t="str">
        <f t="shared" si="303"/>
        <v/>
      </c>
    </row>
    <row r="9720" spans="1:2" x14ac:dyDescent="0.25">
      <c r="A9720" s="15" t="str">
        <f t="shared" si="302"/>
        <v/>
      </c>
      <c r="B9720" s="18" t="str">
        <f t="shared" si="303"/>
        <v/>
      </c>
    </row>
    <row r="9721" spans="1:2" x14ac:dyDescent="0.25">
      <c r="A9721" s="15" t="str">
        <f t="shared" si="302"/>
        <v/>
      </c>
      <c r="B9721" s="18" t="str">
        <f t="shared" si="303"/>
        <v/>
      </c>
    </row>
    <row r="9722" spans="1:2" x14ac:dyDescent="0.25">
      <c r="A9722" s="15" t="str">
        <f t="shared" si="302"/>
        <v/>
      </c>
      <c r="B9722" s="18" t="str">
        <f t="shared" si="303"/>
        <v/>
      </c>
    </row>
    <row r="9723" spans="1:2" x14ac:dyDescent="0.25">
      <c r="A9723" s="15" t="str">
        <f t="shared" si="302"/>
        <v/>
      </c>
      <c r="B9723" s="18" t="str">
        <f t="shared" si="303"/>
        <v/>
      </c>
    </row>
    <row r="9724" spans="1:2" x14ac:dyDescent="0.25">
      <c r="A9724" s="15" t="str">
        <f t="shared" si="302"/>
        <v/>
      </c>
      <c r="B9724" s="18" t="str">
        <f t="shared" si="303"/>
        <v/>
      </c>
    </row>
    <row r="9725" spans="1:2" x14ac:dyDescent="0.25">
      <c r="A9725" s="15" t="str">
        <f t="shared" si="302"/>
        <v/>
      </c>
      <c r="B9725" s="18" t="str">
        <f t="shared" si="303"/>
        <v/>
      </c>
    </row>
    <row r="9726" spans="1:2" x14ac:dyDescent="0.25">
      <c r="A9726" s="15" t="str">
        <f t="shared" si="302"/>
        <v/>
      </c>
      <c r="B9726" s="18" t="str">
        <f t="shared" si="303"/>
        <v/>
      </c>
    </row>
    <row r="9727" spans="1:2" x14ac:dyDescent="0.25">
      <c r="A9727" s="15" t="str">
        <f t="shared" si="302"/>
        <v/>
      </c>
      <c r="B9727" s="18" t="str">
        <f t="shared" si="303"/>
        <v/>
      </c>
    </row>
    <row r="9728" spans="1:2" x14ac:dyDescent="0.25">
      <c r="A9728" s="15" t="str">
        <f t="shared" si="302"/>
        <v/>
      </c>
      <c r="B9728" s="18" t="str">
        <f t="shared" si="303"/>
        <v/>
      </c>
    </row>
    <row r="9729" spans="1:2" x14ac:dyDescent="0.25">
      <c r="A9729" s="15" t="str">
        <f t="shared" si="302"/>
        <v/>
      </c>
      <c r="B9729" s="18" t="str">
        <f t="shared" si="303"/>
        <v/>
      </c>
    </row>
    <row r="9730" spans="1:2" x14ac:dyDescent="0.25">
      <c r="A9730" s="15" t="str">
        <f t="shared" ref="A9730:A9793" si="304">B9730&amp;C9730</f>
        <v/>
      </c>
      <c r="B9730" s="18" t="str">
        <f t="shared" si="303"/>
        <v/>
      </c>
    </row>
    <row r="9731" spans="1:2" x14ac:dyDescent="0.25">
      <c r="A9731" s="15" t="str">
        <f t="shared" si="304"/>
        <v/>
      </c>
      <c r="B9731" s="18" t="str">
        <f t="shared" ref="B9731:B9794" si="305">IF(C9731="","",B9730)</f>
        <v/>
      </c>
    </row>
    <row r="9732" spans="1:2" x14ac:dyDescent="0.25">
      <c r="A9732" s="15" t="str">
        <f t="shared" si="304"/>
        <v/>
      </c>
      <c r="B9732" s="18" t="str">
        <f t="shared" si="305"/>
        <v/>
      </c>
    </row>
    <row r="9733" spans="1:2" x14ac:dyDescent="0.25">
      <c r="A9733" s="15" t="str">
        <f t="shared" si="304"/>
        <v/>
      </c>
      <c r="B9733" s="18" t="str">
        <f t="shared" si="305"/>
        <v/>
      </c>
    </row>
    <row r="9734" spans="1:2" x14ac:dyDescent="0.25">
      <c r="A9734" s="15" t="str">
        <f t="shared" si="304"/>
        <v/>
      </c>
      <c r="B9734" s="18" t="str">
        <f t="shared" si="305"/>
        <v/>
      </c>
    </row>
    <row r="9735" spans="1:2" x14ac:dyDescent="0.25">
      <c r="A9735" s="15" t="str">
        <f t="shared" si="304"/>
        <v/>
      </c>
      <c r="B9735" s="18" t="str">
        <f t="shared" si="305"/>
        <v/>
      </c>
    </row>
    <row r="9736" spans="1:2" x14ac:dyDescent="0.25">
      <c r="A9736" s="15" t="str">
        <f t="shared" si="304"/>
        <v/>
      </c>
      <c r="B9736" s="18" t="str">
        <f t="shared" si="305"/>
        <v/>
      </c>
    </row>
    <row r="9737" spans="1:2" x14ac:dyDescent="0.25">
      <c r="A9737" s="15" t="str">
        <f t="shared" si="304"/>
        <v/>
      </c>
      <c r="B9737" s="18" t="str">
        <f t="shared" si="305"/>
        <v/>
      </c>
    </row>
    <row r="9738" spans="1:2" x14ac:dyDescent="0.25">
      <c r="A9738" s="15" t="str">
        <f t="shared" si="304"/>
        <v/>
      </c>
      <c r="B9738" s="18" t="str">
        <f t="shared" si="305"/>
        <v/>
      </c>
    </row>
    <row r="9739" spans="1:2" x14ac:dyDescent="0.25">
      <c r="A9739" s="15" t="str">
        <f t="shared" si="304"/>
        <v/>
      </c>
      <c r="B9739" s="18" t="str">
        <f t="shared" si="305"/>
        <v/>
      </c>
    </row>
    <row r="9740" spans="1:2" x14ac:dyDescent="0.25">
      <c r="A9740" s="15" t="str">
        <f t="shared" si="304"/>
        <v/>
      </c>
      <c r="B9740" s="18" t="str">
        <f t="shared" si="305"/>
        <v/>
      </c>
    </row>
    <row r="9741" spans="1:2" x14ac:dyDescent="0.25">
      <c r="A9741" s="15" t="str">
        <f t="shared" si="304"/>
        <v/>
      </c>
      <c r="B9741" s="18" t="str">
        <f t="shared" si="305"/>
        <v/>
      </c>
    </row>
    <row r="9742" spans="1:2" x14ac:dyDescent="0.25">
      <c r="A9742" s="15" t="str">
        <f t="shared" si="304"/>
        <v/>
      </c>
      <c r="B9742" s="18" t="str">
        <f t="shared" si="305"/>
        <v/>
      </c>
    </row>
    <row r="9743" spans="1:2" x14ac:dyDescent="0.25">
      <c r="A9743" s="15" t="str">
        <f t="shared" si="304"/>
        <v/>
      </c>
      <c r="B9743" s="18" t="str">
        <f t="shared" si="305"/>
        <v/>
      </c>
    </row>
    <row r="9744" spans="1:2" x14ac:dyDescent="0.25">
      <c r="A9744" s="15" t="str">
        <f t="shared" si="304"/>
        <v/>
      </c>
      <c r="B9744" s="18" t="str">
        <f t="shared" si="305"/>
        <v/>
      </c>
    </row>
    <row r="9745" spans="1:2" x14ac:dyDescent="0.25">
      <c r="A9745" s="15" t="str">
        <f t="shared" si="304"/>
        <v/>
      </c>
      <c r="B9745" s="18" t="str">
        <f t="shared" si="305"/>
        <v/>
      </c>
    </row>
    <row r="9746" spans="1:2" x14ac:dyDescent="0.25">
      <c r="A9746" s="15" t="str">
        <f t="shared" si="304"/>
        <v/>
      </c>
      <c r="B9746" s="18" t="str">
        <f t="shared" si="305"/>
        <v/>
      </c>
    </row>
    <row r="9747" spans="1:2" x14ac:dyDescent="0.25">
      <c r="A9747" s="15" t="str">
        <f t="shared" si="304"/>
        <v/>
      </c>
      <c r="B9747" s="18" t="str">
        <f t="shared" si="305"/>
        <v/>
      </c>
    </row>
    <row r="9748" spans="1:2" x14ac:dyDescent="0.25">
      <c r="A9748" s="15" t="str">
        <f t="shared" si="304"/>
        <v/>
      </c>
      <c r="B9748" s="18" t="str">
        <f t="shared" si="305"/>
        <v/>
      </c>
    </row>
    <row r="9749" spans="1:2" x14ac:dyDescent="0.25">
      <c r="A9749" s="15" t="str">
        <f t="shared" si="304"/>
        <v/>
      </c>
      <c r="B9749" s="18" t="str">
        <f t="shared" si="305"/>
        <v/>
      </c>
    </row>
    <row r="9750" spans="1:2" x14ac:dyDescent="0.25">
      <c r="A9750" s="15" t="str">
        <f t="shared" si="304"/>
        <v/>
      </c>
      <c r="B9750" s="18" t="str">
        <f t="shared" si="305"/>
        <v/>
      </c>
    </row>
    <row r="9751" spans="1:2" x14ac:dyDescent="0.25">
      <c r="A9751" s="15" t="str">
        <f t="shared" si="304"/>
        <v/>
      </c>
      <c r="B9751" s="18" t="str">
        <f t="shared" si="305"/>
        <v/>
      </c>
    </row>
    <row r="9752" spans="1:2" x14ac:dyDescent="0.25">
      <c r="A9752" s="15" t="str">
        <f t="shared" si="304"/>
        <v/>
      </c>
      <c r="B9752" s="18" t="str">
        <f t="shared" si="305"/>
        <v/>
      </c>
    </row>
    <row r="9753" spans="1:2" x14ac:dyDescent="0.25">
      <c r="A9753" s="15" t="str">
        <f t="shared" si="304"/>
        <v/>
      </c>
      <c r="B9753" s="18" t="str">
        <f t="shared" si="305"/>
        <v/>
      </c>
    </row>
    <row r="9754" spans="1:2" x14ac:dyDescent="0.25">
      <c r="A9754" s="15" t="str">
        <f t="shared" si="304"/>
        <v/>
      </c>
      <c r="B9754" s="18" t="str">
        <f t="shared" si="305"/>
        <v/>
      </c>
    </row>
    <row r="9755" spans="1:2" x14ac:dyDescent="0.25">
      <c r="A9755" s="15" t="str">
        <f t="shared" si="304"/>
        <v/>
      </c>
      <c r="B9755" s="18" t="str">
        <f t="shared" si="305"/>
        <v/>
      </c>
    </row>
    <row r="9756" spans="1:2" x14ac:dyDescent="0.25">
      <c r="A9756" s="15" t="str">
        <f t="shared" si="304"/>
        <v/>
      </c>
      <c r="B9756" s="18" t="str">
        <f t="shared" si="305"/>
        <v/>
      </c>
    </row>
    <row r="9757" spans="1:2" x14ac:dyDescent="0.25">
      <c r="A9757" s="15" t="str">
        <f t="shared" si="304"/>
        <v/>
      </c>
      <c r="B9757" s="18" t="str">
        <f t="shared" si="305"/>
        <v/>
      </c>
    </row>
    <row r="9758" spans="1:2" x14ac:dyDescent="0.25">
      <c r="A9758" s="15" t="str">
        <f t="shared" si="304"/>
        <v/>
      </c>
      <c r="B9758" s="18" t="str">
        <f t="shared" si="305"/>
        <v/>
      </c>
    </row>
    <row r="9759" spans="1:2" x14ac:dyDescent="0.25">
      <c r="A9759" s="15" t="str">
        <f t="shared" si="304"/>
        <v/>
      </c>
      <c r="B9759" s="18" t="str">
        <f t="shared" si="305"/>
        <v/>
      </c>
    </row>
    <row r="9760" spans="1:2" x14ac:dyDescent="0.25">
      <c r="A9760" s="15" t="str">
        <f t="shared" si="304"/>
        <v/>
      </c>
      <c r="B9760" s="18" t="str">
        <f t="shared" si="305"/>
        <v/>
      </c>
    </row>
    <row r="9761" spans="1:2" x14ac:dyDescent="0.25">
      <c r="A9761" s="15" t="str">
        <f t="shared" si="304"/>
        <v/>
      </c>
      <c r="B9761" s="18" t="str">
        <f t="shared" si="305"/>
        <v/>
      </c>
    </row>
    <row r="9762" spans="1:2" x14ac:dyDescent="0.25">
      <c r="A9762" s="15" t="str">
        <f t="shared" si="304"/>
        <v/>
      </c>
      <c r="B9762" s="18" t="str">
        <f t="shared" si="305"/>
        <v/>
      </c>
    </row>
    <row r="9763" spans="1:2" x14ac:dyDescent="0.25">
      <c r="A9763" s="15" t="str">
        <f t="shared" si="304"/>
        <v/>
      </c>
      <c r="B9763" s="18" t="str">
        <f t="shared" si="305"/>
        <v/>
      </c>
    </row>
    <row r="9764" spans="1:2" x14ac:dyDescent="0.25">
      <c r="A9764" s="15" t="str">
        <f t="shared" si="304"/>
        <v/>
      </c>
      <c r="B9764" s="18" t="str">
        <f t="shared" si="305"/>
        <v/>
      </c>
    </row>
    <row r="9765" spans="1:2" x14ac:dyDescent="0.25">
      <c r="A9765" s="15" t="str">
        <f t="shared" si="304"/>
        <v/>
      </c>
      <c r="B9765" s="18" t="str">
        <f t="shared" si="305"/>
        <v/>
      </c>
    </row>
    <row r="9766" spans="1:2" x14ac:dyDescent="0.25">
      <c r="A9766" s="15" t="str">
        <f t="shared" si="304"/>
        <v/>
      </c>
      <c r="B9766" s="18" t="str">
        <f t="shared" si="305"/>
        <v/>
      </c>
    </row>
    <row r="9767" spans="1:2" x14ac:dyDescent="0.25">
      <c r="A9767" s="15" t="str">
        <f t="shared" si="304"/>
        <v/>
      </c>
      <c r="B9767" s="18" t="str">
        <f t="shared" si="305"/>
        <v/>
      </c>
    </row>
    <row r="9768" spans="1:2" x14ac:dyDescent="0.25">
      <c r="A9768" s="15" t="str">
        <f t="shared" si="304"/>
        <v/>
      </c>
      <c r="B9768" s="18" t="str">
        <f t="shared" si="305"/>
        <v/>
      </c>
    </row>
    <row r="9769" spans="1:2" x14ac:dyDescent="0.25">
      <c r="A9769" s="15" t="str">
        <f t="shared" si="304"/>
        <v/>
      </c>
      <c r="B9769" s="18" t="str">
        <f t="shared" si="305"/>
        <v/>
      </c>
    </row>
    <row r="9770" spans="1:2" x14ac:dyDescent="0.25">
      <c r="A9770" s="15" t="str">
        <f t="shared" si="304"/>
        <v/>
      </c>
      <c r="B9770" s="18" t="str">
        <f t="shared" si="305"/>
        <v/>
      </c>
    </row>
    <row r="9771" spans="1:2" x14ac:dyDescent="0.25">
      <c r="A9771" s="15" t="str">
        <f t="shared" si="304"/>
        <v/>
      </c>
      <c r="B9771" s="18" t="str">
        <f t="shared" si="305"/>
        <v/>
      </c>
    </row>
    <row r="9772" spans="1:2" x14ac:dyDescent="0.25">
      <c r="A9772" s="15" t="str">
        <f t="shared" si="304"/>
        <v/>
      </c>
      <c r="B9772" s="18" t="str">
        <f t="shared" si="305"/>
        <v/>
      </c>
    </row>
    <row r="9773" spans="1:2" x14ac:dyDescent="0.25">
      <c r="A9773" s="15" t="str">
        <f t="shared" si="304"/>
        <v/>
      </c>
      <c r="B9773" s="18" t="str">
        <f t="shared" si="305"/>
        <v/>
      </c>
    </row>
    <row r="9774" spans="1:2" x14ac:dyDescent="0.25">
      <c r="A9774" s="15" t="str">
        <f t="shared" si="304"/>
        <v/>
      </c>
      <c r="B9774" s="18" t="str">
        <f t="shared" si="305"/>
        <v/>
      </c>
    </row>
    <row r="9775" spans="1:2" x14ac:dyDescent="0.25">
      <c r="A9775" s="15" t="str">
        <f t="shared" si="304"/>
        <v/>
      </c>
      <c r="B9775" s="18" t="str">
        <f t="shared" si="305"/>
        <v/>
      </c>
    </row>
    <row r="9776" spans="1:2" x14ac:dyDescent="0.25">
      <c r="A9776" s="15" t="str">
        <f t="shared" si="304"/>
        <v/>
      </c>
      <c r="B9776" s="18" t="str">
        <f t="shared" si="305"/>
        <v/>
      </c>
    </row>
    <row r="9777" spans="1:2" x14ac:dyDescent="0.25">
      <c r="A9777" s="15" t="str">
        <f t="shared" si="304"/>
        <v/>
      </c>
      <c r="B9777" s="18" t="str">
        <f t="shared" si="305"/>
        <v/>
      </c>
    </row>
    <row r="9778" spans="1:2" x14ac:dyDescent="0.25">
      <c r="A9778" s="15" t="str">
        <f t="shared" si="304"/>
        <v/>
      </c>
      <c r="B9778" s="18" t="str">
        <f t="shared" si="305"/>
        <v/>
      </c>
    </row>
    <row r="9779" spans="1:2" x14ac:dyDescent="0.25">
      <c r="A9779" s="15" t="str">
        <f t="shared" si="304"/>
        <v/>
      </c>
      <c r="B9779" s="18" t="str">
        <f t="shared" si="305"/>
        <v/>
      </c>
    </row>
    <row r="9780" spans="1:2" x14ac:dyDescent="0.25">
      <c r="A9780" s="15" t="str">
        <f t="shared" si="304"/>
        <v/>
      </c>
      <c r="B9780" s="18" t="str">
        <f t="shared" si="305"/>
        <v/>
      </c>
    </row>
    <row r="9781" spans="1:2" x14ac:dyDescent="0.25">
      <c r="A9781" s="15" t="str">
        <f t="shared" si="304"/>
        <v/>
      </c>
      <c r="B9781" s="18" t="str">
        <f t="shared" si="305"/>
        <v/>
      </c>
    </row>
    <row r="9782" spans="1:2" x14ac:dyDescent="0.25">
      <c r="A9782" s="15" t="str">
        <f t="shared" si="304"/>
        <v/>
      </c>
      <c r="B9782" s="18" t="str">
        <f t="shared" si="305"/>
        <v/>
      </c>
    </row>
    <row r="9783" spans="1:2" x14ac:dyDescent="0.25">
      <c r="A9783" s="15" t="str">
        <f t="shared" si="304"/>
        <v/>
      </c>
      <c r="B9783" s="18" t="str">
        <f t="shared" si="305"/>
        <v/>
      </c>
    </row>
    <row r="9784" spans="1:2" x14ac:dyDescent="0.25">
      <c r="A9784" s="15" t="str">
        <f t="shared" si="304"/>
        <v/>
      </c>
      <c r="B9784" s="18" t="str">
        <f t="shared" si="305"/>
        <v/>
      </c>
    </row>
    <row r="9785" spans="1:2" x14ac:dyDescent="0.25">
      <c r="A9785" s="15" t="str">
        <f t="shared" si="304"/>
        <v/>
      </c>
      <c r="B9785" s="18" t="str">
        <f t="shared" si="305"/>
        <v/>
      </c>
    </row>
    <row r="9786" spans="1:2" x14ac:dyDescent="0.25">
      <c r="A9786" s="15" t="str">
        <f t="shared" si="304"/>
        <v/>
      </c>
      <c r="B9786" s="18" t="str">
        <f t="shared" si="305"/>
        <v/>
      </c>
    </row>
    <row r="9787" spans="1:2" x14ac:dyDescent="0.25">
      <c r="A9787" s="15" t="str">
        <f t="shared" si="304"/>
        <v/>
      </c>
      <c r="B9787" s="18" t="str">
        <f t="shared" si="305"/>
        <v/>
      </c>
    </row>
    <row r="9788" spans="1:2" x14ac:dyDescent="0.25">
      <c r="A9788" s="15" t="str">
        <f t="shared" si="304"/>
        <v/>
      </c>
      <c r="B9788" s="18" t="str">
        <f t="shared" si="305"/>
        <v/>
      </c>
    </row>
    <row r="9789" spans="1:2" x14ac:dyDescent="0.25">
      <c r="A9789" s="15" t="str">
        <f t="shared" si="304"/>
        <v/>
      </c>
      <c r="B9789" s="18" t="str">
        <f t="shared" si="305"/>
        <v/>
      </c>
    </row>
    <row r="9790" spans="1:2" x14ac:dyDescent="0.25">
      <c r="A9790" s="15" t="str">
        <f t="shared" si="304"/>
        <v/>
      </c>
      <c r="B9790" s="18" t="str">
        <f t="shared" si="305"/>
        <v/>
      </c>
    </row>
    <row r="9791" spans="1:2" x14ac:dyDescent="0.25">
      <c r="A9791" s="15" t="str">
        <f t="shared" si="304"/>
        <v/>
      </c>
      <c r="B9791" s="18" t="str">
        <f t="shared" si="305"/>
        <v/>
      </c>
    </row>
    <row r="9792" spans="1:2" x14ac:dyDescent="0.25">
      <c r="A9792" s="15" t="str">
        <f t="shared" si="304"/>
        <v/>
      </c>
      <c r="B9792" s="18" t="str">
        <f t="shared" si="305"/>
        <v/>
      </c>
    </row>
    <row r="9793" spans="1:2" x14ac:dyDescent="0.25">
      <c r="A9793" s="15" t="str">
        <f t="shared" si="304"/>
        <v/>
      </c>
      <c r="B9793" s="18" t="str">
        <f t="shared" si="305"/>
        <v/>
      </c>
    </row>
    <row r="9794" spans="1:2" x14ac:dyDescent="0.25">
      <c r="A9794" s="15" t="str">
        <f t="shared" ref="A9794:A9857" si="306">B9794&amp;C9794</f>
        <v/>
      </c>
      <c r="B9794" s="18" t="str">
        <f t="shared" si="305"/>
        <v/>
      </c>
    </row>
    <row r="9795" spans="1:2" x14ac:dyDescent="0.25">
      <c r="A9795" s="15" t="str">
        <f t="shared" si="306"/>
        <v/>
      </c>
      <c r="B9795" s="18" t="str">
        <f t="shared" ref="B9795:B9858" si="307">IF(C9795="","",B9794)</f>
        <v/>
      </c>
    </row>
    <row r="9796" spans="1:2" x14ac:dyDescent="0.25">
      <c r="A9796" s="15" t="str">
        <f t="shared" si="306"/>
        <v/>
      </c>
      <c r="B9796" s="18" t="str">
        <f t="shared" si="307"/>
        <v/>
      </c>
    </row>
    <row r="9797" spans="1:2" x14ac:dyDescent="0.25">
      <c r="A9797" s="15" t="str">
        <f t="shared" si="306"/>
        <v/>
      </c>
      <c r="B9797" s="18" t="str">
        <f t="shared" si="307"/>
        <v/>
      </c>
    </row>
    <row r="9798" spans="1:2" x14ac:dyDescent="0.25">
      <c r="A9798" s="15" t="str">
        <f t="shared" si="306"/>
        <v/>
      </c>
      <c r="B9798" s="18" t="str">
        <f t="shared" si="307"/>
        <v/>
      </c>
    </row>
    <row r="9799" spans="1:2" x14ac:dyDescent="0.25">
      <c r="A9799" s="15" t="str">
        <f t="shared" si="306"/>
        <v/>
      </c>
      <c r="B9799" s="18" t="str">
        <f t="shared" si="307"/>
        <v/>
      </c>
    </row>
    <row r="9800" spans="1:2" x14ac:dyDescent="0.25">
      <c r="A9800" s="15" t="str">
        <f t="shared" si="306"/>
        <v/>
      </c>
      <c r="B9800" s="18" t="str">
        <f t="shared" si="307"/>
        <v/>
      </c>
    </row>
    <row r="9801" spans="1:2" x14ac:dyDescent="0.25">
      <c r="A9801" s="15" t="str">
        <f t="shared" si="306"/>
        <v/>
      </c>
      <c r="B9801" s="18" t="str">
        <f t="shared" si="307"/>
        <v/>
      </c>
    </row>
    <row r="9802" spans="1:2" x14ac:dyDescent="0.25">
      <c r="A9802" s="15" t="str">
        <f t="shared" si="306"/>
        <v/>
      </c>
      <c r="B9802" s="18" t="str">
        <f t="shared" si="307"/>
        <v/>
      </c>
    </row>
    <row r="9803" spans="1:2" x14ac:dyDescent="0.25">
      <c r="A9803" s="15" t="str">
        <f t="shared" si="306"/>
        <v/>
      </c>
      <c r="B9803" s="18" t="str">
        <f t="shared" si="307"/>
        <v/>
      </c>
    </row>
    <row r="9804" spans="1:2" x14ac:dyDescent="0.25">
      <c r="A9804" s="15" t="str">
        <f t="shared" si="306"/>
        <v/>
      </c>
      <c r="B9804" s="18" t="str">
        <f t="shared" si="307"/>
        <v/>
      </c>
    </row>
    <row r="9805" spans="1:2" x14ac:dyDescent="0.25">
      <c r="A9805" s="15" t="str">
        <f t="shared" si="306"/>
        <v/>
      </c>
      <c r="B9805" s="18" t="str">
        <f t="shared" si="307"/>
        <v/>
      </c>
    </row>
    <row r="9806" spans="1:2" x14ac:dyDescent="0.25">
      <c r="A9806" s="15" t="str">
        <f t="shared" si="306"/>
        <v/>
      </c>
      <c r="B9806" s="18" t="str">
        <f t="shared" si="307"/>
        <v/>
      </c>
    </row>
    <row r="9807" spans="1:2" x14ac:dyDescent="0.25">
      <c r="A9807" s="15" t="str">
        <f t="shared" si="306"/>
        <v/>
      </c>
      <c r="B9807" s="18" t="str">
        <f t="shared" si="307"/>
        <v/>
      </c>
    </row>
    <row r="9808" spans="1:2" x14ac:dyDescent="0.25">
      <c r="A9808" s="15" t="str">
        <f t="shared" si="306"/>
        <v/>
      </c>
      <c r="B9808" s="18" t="str">
        <f t="shared" si="307"/>
        <v/>
      </c>
    </row>
    <row r="9809" spans="1:2" x14ac:dyDescent="0.25">
      <c r="A9809" s="15" t="str">
        <f t="shared" si="306"/>
        <v/>
      </c>
      <c r="B9809" s="18" t="str">
        <f t="shared" si="307"/>
        <v/>
      </c>
    </row>
    <row r="9810" spans="1:2" x14ac:dyDescent="0.25">
      <c r="A9810" s="15" t="str">
        <f t="shared" si="306"/>
        <v/>
      </c>
      <c r="B9810" s="18" t="str">
        <f t="shared" si="307"/>
        <v/>
      </c>
    </row>
    <row r="9811" spans="1:2" x14ac:dyDescent="0.25">
      <c r="A9811" s="15" t="str">
        <f t="shared" si="306"/>
        <v/>
      </c>
      <c r="B9811" s="18" t="str">
        <f t="shared" si="307"/>
        <v/>
      </c>
    </row>
    <row r="9812" spans="1:2" x14ac:dyDescent="0.25">
      <c r="A9812" s="15" t="str">
        <f t="shared" si="306"/>
        <v/>
      </c>
      <c r="B9812" s="18" t="str">
        <f t="shared" si="307"/>
        <v/>
      </c>
    </row>
    <row r="9813" spans="1:2" x14ac:dyDescent="0.25">
      <c r="A9813" s="15" t="str">
        <f t="shared" si="306"/>
        <v/>
      </c>
      <c r="B9813" s="18" t="str">
        <f t="shared" si="307"/>
        <v/>
      </c>
    </row>
    <row r="9814" spans="1:2" x14ac:dyDescent="0.25">
      <c r="A9814" s="15" t="str">
        <f t="shared" si="306"/>
        <v/>
      </c>
      <c r="B9814" s="18" t="str">
        <f t="shared" si="307"/>
        <v/>
      </c>
    </row>
    <row r="9815" spans="1:2" x14ac:dyDescent="0.25">
      <c r="A9815" s="15" t="str">
        <f t="shared" si="306"/>
        <v/>
      </c>
      <c r="B9815" s="18" t="str">
        <f t="shared" si="307"/>
        <v/>
      </c>
    </row>
    <row r="9816" spans="1:2" x14ac:dyDescent="0.25">
      <c r="A9816" s="15" t="str">
        <f t="shared" si="306"/>
        <v/>
      </c>
      <c r="B9816" s="18" t="str">
        <f t="shared" si="307"/>
        <v/>
      </c>
    </row>
    <row r="9817" spans="1:2" x14ac:dyDescent="0.25">
      <c r="A9817" s="15" t="str">
        <f t="shared" si="306"/>
        <v/>
      </c>
      <c r="B9817" s="18" t="str">
        <f t="shared" si="307"/>
        <v/>
      </c>
    </row>
    <row r="9818" spans="1:2" x14ac:dyDescent="0.25">
      <c r="A9818" s="15" t="str">
        <f t="shared" si="306"/>
        <v/>
      </c>
      <c r="B9818" s="18" t="str">
        <f t="shared" si="307"/>
        <v/>
      </c>
    </row>
    <row r="9819" spans="1:2" x14ac:dyDescent="0.25">
      <c r="A9819" s="15" t="str">
        <f t="shared" si="306"/>
        <v/>
      </c>
      <c r="B9819" s="18" t="str">
        <f t="shared" si="307"/>
        <v/>
      </c>
    </row>
    <row r="9820" spans="1:2" x14ac:dyDescent="0.25">
      <c r="A9820" s="15" t="str">
        <f t="shared" si="306"/>
        <v/>
      </c>
      <c r="B9820" s="18" t="str">
        <f t="shared" si="307"/>
        <v/>
      </c>
    </row>
    <row r="9821" spans="1:2" x14ac:dyDescent="0.25">
      <c r="A9821" s="15" t="str">
        <f t="shared" si="306"/>
        <v/>
      </c>
      <c r="B9821" s="18" t="str">
        <f t="shared" si="307"/>
        <v/>
      </c>
    </row>
    <row r="9822" spans="1:2" x14ac:dyDescent="0.25">
      <c r="A9822" s="15" t="str">
        <f t="shared" si="306"/>
        <v/>
      </c>
      <c r="B9822" s="18" t="str">
        <f t="shared" si="307"/>
        <v/>
      </c>
    </row>
    <row r="9823" spans="1:2" x14ac:dyDescent="0.25">
      <c r="A9823" s="15" t="str">
        <f t="shared" si="306"/>
        <v/>
      </c>
      <c r="B9823" s="18" t="str">
        <f t="shared" si="307"/>
        <v/>
      </c>
    </row>
    <row r="9824" spans="1:2" x14ac:dyDescent="0.25">
      <c r="A9824" s="15" t="str">
        <f t="shared" si="306"/>
        <v/>
      </c>
      <c r="B9824" s="18" t="str">
        <f t="shared" si="307"/>
        <v/>
      </c>
    </row>
    <row r="9825" spans="1:2" x14ac:dyDescent="0.25">
      <c r="A9825" s="15" t="str">
        <f t="shared" si="306"/>
        <v/>
      </c>
      <c r="B9825" s="18" t="str">
        <f t="shared" si="307"/>
        <v/>
      </c>
    </row>
    <row r="9826" spans="1:2" x14ac:dyDescent="0.25">
      <c r="A9826" s="15" t="str">
        <f t="shared" si="306"/>
        <v/>
      </c>
      <c r="B9826" s="18" t="str">
        <f t="shared" si="307"/>
        <v/>
      </c>
    </row>
    <row r="9827" spans="1:2" x14ac:dyDescent="0.25">
      <c r="A9827" s="15" t="str">
        <f t="shared" si="306"/>
        <v/>
      </c>
      <c r="B9827" s="18" t="str">
        <f t="shared" si="307"/>
        <v/>
      </c>
    </row>
    <row r="9828" spans="1:2" x14ac:dyDescent="0.25">
      <c r="A9828" s="15" t="str">
        <f t="shared" si="306"/>
        <v/>
      </c>
      <c r="B9828" s="18" t="str">
        <f t="shared" si="307"/>
        <v/>
      </c>
    </row>
    <row r="9829" spans="1:2" x14ac:dyDescent="0.25">
      <c r="A9829" s="15" t="str">
        <f t="shared" si="306"/>
        <v/>
      </c>
      <c r="B9829" s="18" t="str">
        <f t="shared" si="307"/>
        <v/>
      </c>
    </row>
    <row r="9830" spans="1:2" x14ac:dyDescent="0.25">
      <c r="A9830" s="15" t="str">
        <f t="shared" si="306"/>
        <v/>
      </c>
      <c r="B9830" s="18" t="str">
        <f t="shared" si="307"/>
        <v/>
      </c>
    </row>
    <row r="9831" spans="1:2" x14ac:dyDescent="0.25">
      <c r="A9831" s="15" t="str">
        <f t="shared" si="306"/>
        <v/>
      </c>
      <c r="B9831" s="18" t="str">
        <f t="shared" si="307"/>
        <v/>
      </c>
    </row>
    <row r="9832" spans="1:2" x14ac:dyDescent="0.25">
      <c r="A9832" s="15" t="str">
        <f t="shared" si="306"/>
        <v/>
      </c>
      <c r="B9832" s="18" t="str">
        <f t="shared" si="307"/>
        <v/>
      </c>
    </row>
    <row r="9833" spans="1:2" x14ac:dyDescent="0.25">
      <c r="A9833" s="15" t="str">
        <f t="shared" si="306"/>
        <v/>
      </c>
      <c r="B9833" s="18" t="str">
        <f t="shared" si="307"/>
        <v/>
      </c>
    </row>
    <row r="9834" spans="1:2" x14ac:dyDescent="0.25">
      <c r="A9834" s="15" t="str">
        <f t="shared" si="306"/>
        <v/>
      </c>
      <c r="B9834" s="18" t="str">
        <f t="shared" si="307"/>
        <v/>
      </c>
    </row>
    <row r="9835" spans="1:2" x14ac:dyDescent="0.25">
      <c r="A9835" s="15" t="str">
        <f t="shared" si="306"/>
        <v/>
      </c>
      <c r="B9835" s="18" t="str">
        <f t="shared" si="307"/>
        <v/>
      </c>
    </row>
    <row r="9836" spans="1:2" x14ac:dyDescent="0.25">
      <c r="A9836" s="15" t="str">
        <f t="shared" si="306"/>
        <v/>
      </c>
      <c r="B9836" s="18" t="str">
        <f t="shared" si="307"/>
        <v/>
      </c>
    </row>
    <row r="9837" spans="1:2" x14ac:dyDescent="0.25">
      <c r="A9837" s="15" t="str">
        <f t="shared" si="306"/>
        <v/>
      </c>
      <c r="B9837" s="18" t="str">
        <f t="shared" si="307"/>
        <v/>
      </c>
    </row>
    <row r="9838" spans="1:2" x14ac:dyDescent="0.25">
      <c r="A9838" s="15" t="str">
        <f t="shared" si="306"/>
        <v/>
      </c>
      <c r="B9838" s="18" t="str">
        <f t="shared" si="307"/>
        <v/>
      </c>
    </row>
    <row r="9839" spans="1:2" x14ac:dyDescent="0.25">
      <c r="A9839" s="15" t="str">
        <f t="shared" si="306"/>
        <v/>
      </c>
      <c r="B9839" s="18" t="str">
        <f t="shared" si="307"/>
        <v/>
      </c>
    </row>
    <row r="9840" spans="1:2" x14ac:dyDescent="0.25">
      <c r="A9840" s="15" t="str">
        <f t="shared" si="306"/>
        <v/>
      </c>
      <c r="B9840" s="18" t="str">
        <f t="shared" si="307"/>
        <v/>
      </c>
    </row>
    <row r="9841" spans="1:2" x14ac:dyDescent="0.25">
      <c r="A9841" s="15" t="str">
        <f t="shared" si="306"/>
        <v/>
      </c>
      <c r="B9841" s="18" t="str">
        <f t="shared" si="307"/>
        <v/>
      </c>
    </row>
    <row r="9842" spans="1:2" x14ac:dyDescent="0.25">
      <c r="A9842" s="15" t="str">
        <f t="shared" si="306"/>
        <v/>
      </c>
      <c r="B9842" s="18" t="str">
        <f t="shared" si="307"/>
        <v/>
      </c>
    </row>
    <row r="9843" spans="1:2" x14ac:dyDescent="0.25">
      <c r="A9843" s="15" t="str">
        <f t="shared" si="306"/>
        <v/>
      </c>
      <c r="B9843" s="18" t="str">
        <f t="shared" si="307"/>
        <v/>
      </c>
    </row>
    <row r="9844" spans="1:2" x14ac:dyDescent="0.25">
      <c r="A9844" s="15" t="str">
        <f t="shared" si="306"/>
        <v/>
      </c>
      <c r="B9844" s="18" t="str">
        <f t="shared" si="307"/>
        <v/>
      </c>
    </row>
    <row r="9845" spans="1:2" x14ac:dyDescent="0.25">
      <c r="A9845" s="15" t="str">
        <f t="shared" si="306"/>
        <v/>
      </c>
      <c r="B9845" s="18" t="str">
        <f t="shared" si="307"/>
        <v/>
      </c>
    </row>
    <row r="9846" spans="1:2" x14ac:dyDescent="0.25">
      <c r="A9846" s="15" t="str">
        <f t="shared" si="306"/>
        <v/>
      </c>
      <c r="B9846" s="18" t="str">
        <f t="shared" si="307"/>
        <v/>
      </c>
    </row>
    <row r="9847" spans="1:2" x14ac:dyDescent="0.25">
      <c r="A9847" s="15" t="str">
        <f t="shared" si="306"/>
        <v/>
      </c>
      <c r="B9847" s="18" t="str">
        <f t="shared" si="307"/>
        <v/>
      </c>
    </row>
    <row r="9848" spans="1:2" x14ac:dyDescent="0.25">
      <c r="A9848" s="15" t="str">
        <f t="shared" si="306"/>
        <v/>
      </c>
      <c r="B9848" s="18" t="str">
        <f t="shared" si="307"/>
        <v/>
      </c>
    </row>
    <row r="9849" spans="1:2" x14ac:dyDescent="0.25">
      <c r="A9849" s="15" t="str">
        <f t="shared" si="306"/>
        <v/>
      </c>
      <c r="B9849" s="18" t="str">
        <f t="shared" si="307"/>
        <v/>
      </c>
    </row>
    <row r="9850" spans="1:2" x14ac:dyDescent="0.25">
      <c r="A9850" s="15" t="str">
        <f t="shared" si="306"/>
        <v/>
      </c>
      <c r="B9850" s="18" t="str">
        <f t="shared" si="307"/>
        <v/>
      </c>
    </row>
    <row r="9851" spans="1:2" x14ac:dyDescent="0.25">
      <c r="A9851" s="15" t="str">
        <f t="shared" si="306"/>
        <v/>
      </c>
      <c r="B9851" s="18" t="str">
        <f t="shared" si="307"/>
        <v/>
      </c>
    </row>
    <row r="9852" spans="1:2" x14ac:dyDescent="0.25">
      <c r="A9852" s="15" t="str">
        <f t="shared" si="306"/>
        <v/>
      </c>
      <c r="B9852" s="18" t="str">
        <f t="shared" si="307"/>
        <v/>
      </c>
    </row>
    <row r="9853" spans="1:2" x14ac:dyDescent="0.25">
      <c r="A9853" s="15" t="str">
        <f t="shared" si="306"/>
        <v/>
      </c>
      <c r="B9853" s="18" t="str">
        <f t="shared" si="307"/>
        <v/>
      </c>
    </row>
    <row r="9854" spans="1:2" x14ac:dyDescent="0.25">
      <c r="A9854" s="15" t="str">
        <f t="shared" si="306"/>
        <v/>
      </c>
      <c r="B9854" s="18" t="str">
        <f t="shared" si="307"/>
        <v/>
      </c>
    </row>
    <row r="9855" spans="1:2" x14ac:dyDescent="0.25">
      <c r="A9855" s="15" t="str">
        <f t="shared" si="306"/>
        <v/>
      </c>
      <c r="B9855" s="18" t="str">
        <f t="shared" si="307"/>
        <v/>
      </c>
    </row>
    <row r="9856" spans="1:2" x14ac:dyDescent="0.25">
      <c r="A9856" s="15" t="str">
        <f t="shared" si="306"/>
        <v/>
      </c>
      <c r="B9856" s="18" t="str">
        <f t="shared" si="307"/>
        <v/>
      </c>
    </row>
    <row r="9857" spans="1:2" x14ac:dyDescent="0.25">
      <c r="A9857" s="15" t="str">
        <f t="shared" si="306"/>
        <v/>
      </c>
      <c r="B9857" s="18" t="str">
        <f t="shared" si="307"/>
        <v/>
      </c>
    </row>
    <row r="9858" spans="1:2" x14ac:dyDescent="0.25">
      <c r="A9858" s="15" t="str">
        <f t="shared" ref="A9858:A9921" si="308">B9858&amp;C9858</f>
        <v/>
      </c>
      <c r="B9858" s="18" t="str">
        <f t="shared" si="307"/>
        <v/>
      </c>
    </row>
    <row r="9859" spans="1:2" x14ac:dyDescent="0.25">
      <c r="A9859" s="15" t="str">
        <f t="shared" si="308"/>
        <v/>
      </c>
      <c r="B9859" s="18" t="str">
        <f t="shared" ref="B9859:B9922" si="309">IF(C9859="","",B9858)</f>
        <v/>
      </c>
    </row>
    <row r="9860" spans="1:2" x14ac:dyDescent="0.25">
      <c r="A9860" s="15" t="str">
        <f t="shared" si="308"/>
        <v/>
      </c>
      <c r="B9860" s="18" t="str">
        <f t="shared" si="309"/>
        <v/>
      </c>
    </row>
    <row r="9861" spans="1:2" x14ac:dyDescent="0.25">
      <c r="A9861" s="15" t="str">
        <f t="shared" si="308"/>
        <v/>
      </c>
      <c r="B9861" s="18" t="str">
        <f t="shared" si="309"/>
        <v/>
      </c>
    </row>
    <row r="9862" spans="1:2" x14ac:dyDescent="0.25">
      <c r="A9862" s="15" t="str">
        <f t="shared" si="308"/>
        <v/>
      </c>
      <c r="B9862" s="18" t="str">
        <f t="shared" si="309"/>
        <v/>
      </c>
    </row>
    <row r="9863" spans="1:2" x14ac:dyDescent="0.25">
      <c r="A9863" s="15" t="str">
        <f t="shared" si="308"/>
        <v/>
      </c>
      <c r="B9863" s="18" t="str">
        <f t="shared" si="309"/>
        <v/>
      </c>
    </row>
    <row r="9864" spans="1:2" x14ac:dyDescent="0.25">
      <c r="A9864" s="15" t="str">
        <f t="shared" si="308"/>
        <v/>
      </c>
      <c r="B9864" s="18" t="str">
        <f t="shared" si="309"/>
        <v/>
      </c>
    </row>
    <row r="9865" spans="1:2" x14ac:dyDescent="0.25">
      <c r="A9865" s="15" t="str">
        <f t="shared" si="308"/>
        <v/>
      </c>
      <c r="B9865" s="18" t="str">
        <f t="shared" si="309"/>
        <v/>
      </c>
    </row>
    <row r="9866" spans="1:2" x14ac:dyDescent="0.25">
      <c r="A9866" s="15" t="str">
        <f t="shared" si="308"/>
        <v/>
      </c>
      <c r="B9866" s="18" t="str">
        <f t="shared" si="309"/>
        <v/>
      </c>
    </row>
    <row r="9867" spans="1:2" x14ac:dyDescent="0.25">
      <c r="A9867" s="15" t="str">
        <f t="shared" si="308"/>
        <v/>
      </c>
      <c r="B9867" s="18" t="str">
        <f t="shared" si="309"/>
        <v/>
      </c>
    </row>
    <row r="9868" spans="1:2" x14ac:dyDescent="0.25">
      <c r="A9868" s="15" t="str">
        <f t="shared" si="308"/>
        <v/>
      </c>
      <c r="B9868" s="18" t="str">
        <f t="shared" si="309"/>
        <v/>
      </c>
    </row>
    <row r="9869" spans="1:2" x14ac:dyDescent="0.25">
      <c r="A9869" s="15" t="str">
        <f t="shared" si="308"/>
        <v/>
      </c>
      <c r="B9869" s="18" t="str">
        <f t="shared" si="309"/>
        <v/>
      </c>
    </row>
    <row r="9870" spans="1:2" x14ac:dyDescent="0.25">
      <c r="A9870" s="15" t="str">
        <f t="shared" si="308"/>
        <v/>
      </c>
      <c r="B9870" s="18" t="str">
        <f t="shared" si="309"/>
        <v/>
      </c>
    </row>
    <row r="9871" spans="1:2" x14ac:dyDescent="0.25">
      <c r="A9871" s="15" t="str">
        <f t="shared" si="308"/>
        <v/>
      </c>
      <c r="B9871" s="18" t="str">
        <f t="shared" si="309"/>
        <v/>
      </c>
    </row>
    <row r="9872" spans="1:2" x14ac:dyDescent="0.25">
      <c r="A9872" s="15" t="str">
        <f t="shared" si="308"/>
        <v/>
      </c>
      <c r="B9872" s="18" t="str">
        <f t="shared" si="309"/>
        <v/>
      </c>
    </row>
    <row r="9873" spans="1:2" x14ac:dyDescent="0.25">
      <c r="A9873" s="15" t="str">
        <f t="shared" si="308"/>
        <v/>
      </c>
      <c r="B9873" s="18" t="str">
        <f t="shared" si="309"/>
        <v/>
      </c>
    </row>
    <row r="9874" spans="1:2" x14ac:dyDescent="0.25">
      <c r="A9874" s="15" t="str">
        <f t="shared" si="308"/>
        <v/>
      </c>
      <c r="B9874" s="18" t="str">
        <f t="shared" si="309"/>
        <v/>
      </c>
    </row>
    <row r="9875" spans="1:2" x14ac:dyDescent="0.25">
      <c r="A9875" s="15" t="str">
        <f t="shared" si="308"/>
        <v/>
      </c>
      <c r="B9875" s="18" t="str">
        <f t="shared" si="309"/>
        <v/>
      </c>
    </row>
    <row r="9876" spans="1:2" x14ac:dyDescent="0.25">
      <c r="A9876" s="15" t="str">
        <f t="shared" si="308"/>
        <v/>
      </c>
      <c r="B9876" s="18" t="str">
        <f t="shared" si="309"/>
        <v/>
      </c>
    </row>
    <row r="9877" spans="1:2" x14ac:dyDescent="0.25">
      <c r="A9877" s="15" t="str">
        <f t="shared" si="308"/>
        <v/>
      </c>
      <c r="B9877" s="18" t="str">
        <f t="shared" si="309"/>
        <v/>
      </c>
    </row>
    <row r="9878" spans="1:2" x14ac:dyDescent="0.25">
      <c r="A9878" s="15" t="str">
        <f t="shared" si="308"/>
        <v/>
      </c>
      <c r="B9878" s="18" t="str">
        <f t="shared" si="309"/>
        <v/>
      </c>
    </row>
    <row r="9879" spans="1:2" x14ac:dyDescent="0.25">
      <c r="A9879" s="15" t="str">
        <f t="shared" si="308"/>
        <v/>
      </c>
      <c r="B9879" s="18" t="str">
        <f t="shared" si="309"/>
        <v/>
      </c>
    </row>
    <row r="9880" spans="1:2" x14ac:dyDescent="0.25">
      <c r="A9880" s="15" t="str">
        <f t="shared" si="308"/>
        <v/>
      </c>
      <c r="B9880" s="18" t="str">
        <f t="shared" si="309"/>
        <v/>
      </c>
    </row>
    <row r="9881" spans="1:2" x14ac:dyDescent="0.25">
      <c r="A9881" s="15" t="str">
        <f t="shared" si="308"/>
        <v/>
      </c>
      <c r="B9881" s="18" t="str">
        <f t="shared" si="309"/>
        <v/>
      </c>
    </row>
    <row r="9882" spans="1:2" x14ac:dyDescent="0.25">
      <c r="A9882" s="15" t="str">
        <f t="shared" si="308"/>
        <v/>
      </c>
      <c r="B9882" s="18" t="str">
        <f t="shared" si="309"/>
        <v/>
      </c>
    </row>
    <row r="9883" spans="1:2" x14ac:dyDescent="0.25">
      <c r="A9883" s="15" t="str">
        <f t="shared" si="308"/>
        <v/>
      </c>
      <c r="B9883" s="18" t="str">
        <f t="shared" si="309"/>
        <v/>
      </c>
    </row>
    <row r="9884" spans="1:2" x14ac:dyDescent="0.25">
      <c r="A9884" s="15" t="str">
        <f t="shared" si="308"/>
        <v/>
      </c>
      <c r="B9884" s="18" t="str">
        <f t="shared" si="309"/>
        <v/>
      </c>
    </row>
    <row r="9885" spans="1:2" x14ac:dyDescent="0.25">
      <c r="A9885" s="15" t="str">
        <f t="shared" si="308"/>
        <v/>
      </c>
      <c r="B9885" s="18" t="str">
        <f t="shared" si="309"/>
        <v/>
      </c>
    </row>
    <row r="9886" spans="1:2" x14ac:dyDescent="0.25">
      <c r="A9886" s="15" t="str">
        <f t="shared" si="308"/>
        <v/>
      </c>
      <c r="B9886" s="18" t="str">
        <f t="shared" si="309"/>
        <v/>
      </c>
    </row>
    <row r="9887" spans="1:2" x14ac:dyDescent="0.25">
      <c r="A9887" s="15" t="str">
        <f t="shared" si="308"/>
        <v/>
      </c>
      <c r="B9887" s="18" t="str">
        <f t="shared" si="309"/>
        <v/>
      </c>
    </row>
    <row r="9888" spans="1:2" x14ac:dyDescent="0.25">
      <c r="A9888" s="15" t="str">
        <f t="shared" si="308"/>
        <v/>
      </c>
      <c r="B9888" s="18" t="str">
        <f t="shared" si="309"/>
        <v/>
      </c>
    </row>
    <row r="9889" spans="1:2" x14ac:dyDescent="0.25">
      <c r="A9889" s="15" t="str">
        <f t="shared" si="308"/>
        <v/>
      </c>
      <c r="B9889" s="18" t="str">
        <f t="shared" si="309"/>
        <v/>
      </c>
    </row>
    <row r="9890" spans="1:2" x14ac:dyDescent="0.25">
      <c r="A9890" s="15" t="str">
        <f t="shared" si="308"/>
        <v/>
      </c>
      <c r="B9890" s="18" t="str">
        <f t="shared" si="309"/>
        <v/>
      </c>
    </row>
    <row r="9891" spans="1:2" x14ac:dyDescent="0.25">
      <c r="A9891" s="15" t="str">
        <f t="shared" si="308"/>
        <v/>
      </c>
      <c r="B9891" s="18" t="str">
        <f t="shared" si="309"/>
        <v/>
      </c>
    </row>
    <row r="9892" spans="1:2" x14ac:dyDescent="0.25">
      <c r="A9892" s="15" t="str">
        <f t="shared" si="308"/>
        <v/>
      </c>
      <c r="B9892" s="18" t="str">
        <f t="shared" si="309"/>
        <v/>
      </c>
    </row>
    <row r="9893" spans="1:2" x14ac:dyDescent="0.25">
      <c r="A9893" s="15" t="str">
        <f t="shared" si="308"/>
        <v/>
      </c>
      <c r="B9893" s="18" t="str">
        <f t="shared" si="309"/>
        <v/>
      </c>
    </row>
    <row r="9894" spans="1:2" x14ac:dyDescent="0.25">
      <c r="A9894" s="15" t="str">
        <f t="shared" si="308"/>
        <v/>
      </c>
      <c r="B9894" s="18" t="str">
        <f t="shared" si="309"/>
        <v/>
      </c>
    </row>
    <row r="9895" spans="1:2" x14ac:dyDescent="0.25">
      <c r="A9895" s="15" t="str">
        <f t="shared" si="308"/>
        <v/>
      </c>
      <c r="B9895" s="18" t="str">
        <f t="shared" si="309"/>
        <v/>
      </c>
    </row>
    <row r="9896" spans="1:2" x14ac:dyDescent="0.25">
      <c r="A9896" s="15" t="str">
        <f t="shared" si="308"/>
        <v/>
      </c>
      <c r="B9896" s="18" t="str">
        <f t="shared" si="309"/>
        <v/>
      </c>
    </row>
    <row r="9897" spans="1:2" x14ac:dyDescent="0.25">
      <c r="A9897" s="15" t="str">
        <f t="shared" si="308"/>
        <v/>
      </c>
      <c r="B9897" s="18" t="str">
        <f t="shared" si="309"/>
        <v/>
      </c>
    </row>
    <row r="9898" spans="1:2" x14ac:dyDescent="0.25">
      <c r="A9898" s="15" t="str">
        <f t="shared" si="308"/>
        <v/>
      </c>
      <c r="B9898" s="18" t="str">
        <f t="shared" si="309"/>
        <v/>
      </c>
    </row>
    <row r="9899" spans="1:2" x14ac:dyDescent="0.25">
      <c r="A9899" s="15" t="str">
        <f t="shared" si="308"/>
        <v/>
      </c>
      <c r="B9899" s="18" t="str">
        <f t="shared" si="309"/>
        <v/>
      </c>
    </row>
    <row r="9900" spans="1:2" x14ac:dyDescent="0.25">
      <c r="A9900" s="15" t="str">
        <f t="shared" si="308"/>
        <v/>
      </c>
      <c r="B9900" s="18" t="str">
        <f t="shared" si="309"/>
        <v/>
      </c>
    </row>
    <row r="9901" spans="1:2" x14ac:dyDescent="0.25">
      <c r="A9901" s="15" t="str">
        <f t="shared" si="308"/>
        <v/>
      </c>
      <c r="B9901" s="18" t="str">
        <f t="shared" si="309"/>
        <v/>
      </c>
    </row>
    <row r="9902" spans="1:2" x14ac:dyDescent="0.25">
      <c r="A9902" s="15" t="str">
        <f t="shared" si="308"/>
        <v/>
      </c>
      <c r="B9902" s="18" t="str">
        <f t="shared" si="309"/>
        <v/>
      </c>
    </row>
    <row r="9903" spans="1:2" x14ac:dyDescent="0.25">
      <c r="A9903" s="15" t="str">
        <f t="shared" si="308"/>
        <v/>
      </c>
      <c r="B9903" s="18" t="str">
        <f t="shared" si="309"/>
        <v/>
      </c>
    </row>
    <row r="9904" spans="1:2" x14ac:dyDescent="0.25">
      <c r="A9904" s="15" t="str">
        <f t="shared" si="308"/>
        <v/>
      </c>
      <c r="B9904" s="18" t="str">
        <f t="shared" si="309"/>
        <v/>
      </c>
    </row>
    <row r="9905" spans="1:2" x14ac:dyDescent="0.25">
      <c r="A9905" s="15" t="str">
        <f t="shared" si="308"/>
        <v/>
      </c>
      <c r="B9905" s="18" t="str">
        <f t="shared" si="309"/>
        <v/>
      </c>
    </row>
    <row r="9906" spans="1:2" x14ac:dyDescent="0.25">
      <c r="A9906" s="15" t="str">
        <f t="shared" si="308"/>
        <v/>
      </c>
      <c r="B9906" s="18" t="str">
        <f t="shared" si="309"/>
        <v/>
      </c>
    </row>
    <row r="9907" spans="1:2" x14ac:dyDescent="0.25">
      <c r="A9907" s="15" t="str">
        <f t="shared" si="308"/>
        <v/>
      </c>
      <c r="B9907" s="18" t="str">
        <f t="shared" si="309"/>
        <v/>
      </c>
    </row>
    <row r="9908" spans="1:2" x14ac:dyDescent="0.25">
      <c r="A9908" s="15" t="str">
        <f t="shared" si="308"/>
        <v/>
      </c>
      <c r="B9908" s="18" t="str">
        <f t="shared" si="309"/>
        <v/>
      </c>
    </row>
    <row r="9909" spans="1:2" x14ac:dyDescent="0.25">
      <c r="A9909" s="15" t="str">
        <f t="shared" si="308"/>
        <v/>
      </c>
      <c r="B9909" s="18" t="str">
        <f t="shared" si="309"/>
        <v/>
      </c>
    </row>
    <row r="9910" spans="1:2" x14ac:dyDescent="0.25">
      <c r="A9910" s="15" t="str">
        <f t="shared" si="308"/>
        <v/>
      </c>
      <c r="B9910" s="18" t="str">
        <f t="shared" si="309"/>
        <v/>
      </c>
    </row>
    <row r="9911" spans="1:2" x14ac:dyDescent="0.25">
      <c r="A9911" s="15" t="str">
        <f t="shared" si="308"/>
        <v/>
      </c>
      <c r="B9911" s="18" t="str">
        <f t="shared" si="309"/>
        <v/>
      </c>
    </row>
    <row r="9912" spans="1:2" x14ac:dyDescent="0.25">
      <c r="A9912" s="15" t="str">
        <f t="shared" si="308"/>
        <v/>
      </c>
      <c r="B9912" s="18" t="str">
        <f t="shared" si="309"/>
        <v/>
      </c>
    </row>
    <row r="9913" spans="1:2" x14ac:dyDescent="0.25">
      <c r="A9913" s="15" t="str">
        <f t="shared" si="308"/>
        <v/>
      </c>
      <c r="B9913" s="18" t="str">
        <f t="shared" si="309"/>
        <v/>
      </c>
    </row>
    <row r="9914" spans="1:2" x14ac:dyDescent="0.25">
      <c r="A9914" s="15" t="str">
        <f t="shared" si="308"/>
        <v/>
      </c>
      <c r="B9914" s="18" t="str">
        <f t="shared" si="309"/>
        <v/>
      </c>
    </row>
    <row r="9915" spans="1:2" x14ac:dyDescent="0.25">
      <c r="A9915" s="15" t="str">
        <f t="shared" si="308"/>
        <v/>
      </c>
      <c r="B9915" s="18" t="str">
        <f t="shared" si="309"/>
        <v/>
      </c>
    </row>
    <row r="9916" spans="1:2" x14ac:dyDescent="0.25">
      <c r="A9916" s="15" t="str">
        <f t="shared" si="308"/>
        <v/>
      </c>
      <c r="B9916" s="18" t="str">
        <f t="shared" si="309"/>
        <v/>
      </c>
    </row>
    <row r="9917" spans="1:2" x14ac:dyDescent="0.25">
      <c r="A9917" s="15" t="str">
        <f t="shared" si="308"/>
        <v/>
      </c>
      <c r="B9917" s="18" t="str">
        <f t="shared" si="309"/>
        <v/>
      </c>
    </row>
    <row r="9918" spans="1:2" x14ac:dyDescent="0.25">
      <c r="A9918" s="15" t="str">
        <f t="shared" si="308"/>
        <v/>
      </c>
      <c r="B9918" s="18" t="str">
        <f t="shared" si="309"/>
        <v/>
      </c>
    </row>
    <row r="9919" spans="1:2" x14ac:dyDescent="0.25">
      <c r="A9919" s="15" t="str">
        <f t="shared" si="308"/>
        <v/>
      </c>
      <c r="B9919" s="18" t="str">
        <f t="shared" si="309"/>
        <v/>
      </c>
    </row>
    <row r="9920" spans="1:2" x14ac:dyDescent="0.25">
      <c r="A9920" s="15" t="str">
        <f t="shared" si="308"/>
        <v/>
      </c>
      <c r="B9920" s="18" t="str">
        <f t="shared" si="309"/>
        <v/>
      </c>
    </row>
    <row r="9921" spans="1:2" x14ac:dyDescent="0.25">
      <c r="A9921" s="15" t="str">
        <f t="shared" si="308"/>
        <v/>
      </c>
      <c r="B9921" s="18" t="str">
        <f t="shared" si="309"/>
        <v/>
      </c>
    </row>
    <row r="9922" spans="1:2" x14ac:dyDescent="0.25">
      <c r="A9922" s="15" t="str">
        <f t="shared" ref="A9922:A9985" si="310">B9922&amp;C9922</f>
        <v/>
      </c>
      <c r="B9922" s="18" t="str">
        <f t="shared" si="309"/>
        <v/>
      </c>
    </row>
    <row r="9923" spans="1:2" x14ac:dyDescent="0.25">
      <c r="A9923" s="15" t="str">
        <f t="shared" si="310"/>
        <v/>
      </c>
      <c r="B9923" s="18" t="str">
        <f t="shared" ref="B9923:B9986" si="311">IF(C9923="","",B9922)</f>
        <v/>
      </c>
    </row>
    <row r="9924" spans="1:2" x14ac:dyDescent="0.25">
      <c r="A9924" s="15" t="str">
        <f t="shared" si="310"/>
        <v/>
      </c>
      <c r="B9924" s="18" t="str">
        <f t="shared" si="311"/>
        <v/>
      </c>
    </row>
    <row r="9925" spans="1:2" x14ac:dyDescent="0.25">
      <c r="A9925" s="15" t="str">
        <f t="shared" si="310"/>
        <v/>
      </c>
      <c r="B9925" s="18" t="str">
        <f t="shared" si="311"/>
        <v/>
      </c>
    </row>
    <row r="9926" spans="1:2" x14ac:dyDescent="0.25">
      <c r="A9926" s="15" t="str">
        <f t="shared" si="310"/>
        <v/>
      </c>
      <c r="B9926" s="18" t="str">
        <f t="shared" si="311"/>
        <v/>
      </c>
    </row>
    <row r="9927" spans="1:2" x14ac:dyDescent="0.25">
      <c r="A9927" s="15" t="str">
        <f t="shared" si="310"/>
        <v/>
      </c>
      <c r="B9927" s="18" t="str">
        <f t="shared" si="311"/>
        <v/>
      </c>
    </row>
    <row r="9928" spans="1:2" x14ac:dyDescent="0.25">
      <c r="A9928" s="15" t="str">
        <f t="shared" si="310"/>
        <v/>
      </c>
      <c r="B9928" s="18" t="str">
        <f t="shared" si="311"/>
        <v/>
      </c>
    </row>
    <row r="9929" spans="1:2" x14ac:dyDescent="0.25">
      <c r="A9929" s="15" t="str">
        <f t="shared" si="310"/>
        <v/>
      </c>
      <c r="B9929" s="18" t="str">
        <f t="shared" si="311"/>
        <v/>
      </c>
    </row>
    <row r="9930" spans="1:2" x14ac:dyDescent="0.25">
      <c r="A9930" s="15" t="str">
        <f t="shared" si="310"/>
        <v/>
      </c>
      <c r="B9930" s="18" t="str">
        <f t="shared" si="311"/>
        <v/>
      </c>
    </row>
    <row r="9931" spans="1:2" x14ac:dyDescent="0.25">
      <c r="A9931" s="15" t="str">
        <f t="shared" si="310"/>
        <v/>
      </c>
      <c r="B9931" s="18" t="str">
        <f t="shared" si="311"/>
        <v/>
      </c>
    </row>
    <row r="9932" spans="1:2" x14ac:dyDescent="0.25">
      <c r="A9932" s="15" t="str">
        <f t="shared" si="310"/>
        <v/>
      </c>
      <c r="B9932" s="18" t="str">
        <f t="shared" si="311"/>
        <v/>
      </c>
    </row>
    <row r="9933" spans="1:2" x14ac:dyDescent="0.25">
      <c r="A9933" s="15" t="str">
        <f t="shared" si="310"/>
        <v/>
      </c>
      <c r="B9933" s="18" t="str">
        <f t="shared" si="311"/>
        <v/>
      </c>
    </row>
    <row r="9934" spans="1:2" x14ac:dyDescent="0.25">
      <c r="A9934" s="15" t="str">
        <f t="shared" si="310"/>
        <v/>
      </c>
      <c r="B9934" s="18" t="str">
        <f t="shared" si="311"/>
        <v/>
      </c>
    </row>
    <row r="9935" spans="1:2" x14ac:dyDescent="0.25">
      <c r="A9935" s="15" t="str">
        <f t="shared" si="310"/>
        <v/>
      </c>
      <c r="B9935" s="18" t="str">
        <f t="shared" si="311"/>
        <v/>
      </c>
    </row>
    <row r="9936" spans="1:2" x14ac:dyDescent="0.25">
      <c r="A9936" s="15" t="str">
        <f t="shared" si="310"/>
        <v/>
      </c>
      <c r="B9936" s="18" t="str">
        <f t="shared" si="311"/>
        <v/>
      </c>
    </row>
    <row r="9937" spans="1:2" x14ac:dyDescent="0.25">
      <c r="A9937" s="15" t="str">
        <f t="shared" si="310"/>
        <v/>
      </c>
      <c r="B9937" s="18" t="str">
        <f t="shared" si="311"/>
        <v/>
      </c>
    </row>
    <row r="9938" spans="1:2" x14ac:dyDescent="0.25">
      <c r="A9938" s="15" t="str">
        <f t="shared" si="310"/>
        <v/>
      </c>
      <c r="B9938" s="18" t="str">
        <f t="shared" si="311"/>
        <v/>
      </c>
    </row>
    <row r="9939" spans="1:2" x14ac:dyDescent="0.25">
      <c r="A9939" s="15" t="str">
        <f t="shared" si="310"/>
        <v/>
      </c>
      <c r="B9939" s="18" t="str">
        <f t="shared" si="311"/>
        <v/>
      </c>
    </row>
    <row r="9940" spans="1:2" x14ac:dyDescent="0.25">
      <c r="A9940" s="15" t="str">
        <f t="shared" si="310"/>
        <v/>
      </c>
      <c r="B9940" s="18" t="str">
        <f t="shared" si="311"/>
        <v/>
      </c>
    </row>
    <row r="9941" spans="1:2" x14ac:dyDescent="0.25">
      <c r="A9941" s="15" t="str">
        <f t="shared" si="310"/>
        <v/>
      </c>
      <c r="B9941" s="18" t="str">
        <f t="shared" si="311"/>
        <v/>
      </c>
    </row>
    <row r="9942" spans="1:2" x14ac:dyDescent="0.25">
      <c r="A9942" s="15" t="str">
        <f t="shared" si="310"/>
        <v/>
      </c>
      <c r="B9942" s="18" t="str">
        <f t="shared" si="311"/>
        <v/>
      </c>
    </row>
    <row r="9943" spans="1:2" x14ac:dyDescent="0.25">
      <c r="A9943" s="15" t="str">
        <f t="shared" si="310"/>
        <v/>
      </c>
      <c r="B9943" s="18" t="str">
        <f t="shared" si="311"/>
        <v/>
      </c>
    </row>
    <row r="9944" spans="1:2" x14ac:dyDescent="0.25">
      <c r="A9944" s="15" t="str">
        <f t="shared" si="310"/>
        <v/>
      </c>
      <c r="B9944" s="18" t="str">
        <f t="shared" si="311"/>
        <v/>
      </c>
    </row>
    <row r="9945" spans="1:2" x14ac:dyDescent="0.25">
      <c r="A9945" s="15" t="str">
        <f t="shared" si="310"/>
        <v/>
      </c>
      <c r="B9945" s="18" t="str">
        <f t="shared" si="311"/>
        <v/>
      </c>
    </row>
    <row r="9946" spans="1:2" x14ac:dyDescent="0.25">
      <c r="A9946" s="15" t="str">
        <f t="shared" si="310"/>
        <v/>
      </c>
      <c r="B9946" s="18" t="str">
        <f t="shared" si="311"/>
        <v/>
      </c>
    </row>
    <row r="9947" spans="1:2" x14ac:dyDescent="0.25">
      <c r="A9947" s="15" t="str">
        <f t="shared" si="310"/>
        <v/>
      </c>
      <c r="B9947" s="18" t="str">
        <f t="shared" si="311"/>
        <v/>
      </c>
    </row>
    <row r="9948" spans="1:2" x14ac:dyDescent="0.25">
      <c r="A9948" s="15" t="str">
        <f t="shared" si="310"/>
        <v/>
      </c>
      <c r="B9948" s="18" t="str">
        <f t="shared" si="311"/>
        <v/>
      </c>
    </row>
    <row r="9949" spans="1:2" x14ac:dyDescent="0.25">
      <c r="A9949" s="15" t="str">
        <f t="shared" si="310"/>
        <v/>
      </c>
      <c r="B9949" s="18" t="str">
        <f t="shared" si="311"/>
        <v/>
      </c>
    </row>
    <row r="9950" spans="1:2" x14ac:dyDescent="0.25">
      <c r="A9950" s="15" t="str">
        <f t="shared" si="310"/>
        <v/>
      </c>
      <c r="B9950" s="18" t="str">
        <f t="shared" si="311"/>
        <v/>
      </c>
    </row>
    <row r="9951" spans="1:2" x14ac:dyDescent="0.25">
      <c r="A9951" s="15" t="str">
        <f t="shared" si="310"/>
        <v/>
      </c>
      <c r="B9951" s="18" t="str">
        <f t="shared" si="311"/>
        <v/>
      </c>
    </row>
    <row r="9952" spans="1:2" x14ac:dyDescent="0.25">
      <c r="A9952" s="15" t="str">
        <f t="shared" si="310"/>
        <v/>
      </c>
      <c r="B9952" s="18" t="str">
        <f t="shared" si="311"/>
        <v/>
      </c>
    </row>
    <row r="9953" spans="1:2" x14ac:dyDescent="0.25">
      <c r="A9953" s="15" t="str">
        <f t="shared" si="310"/>
        <v/>
      </c>
      <c r="B9953" s="18" t="str">
        <f t="shared" si="311"/>
        <v/>
      </c>
    </row>
    <row r="9954" spans="1:2" x14ac:dyDescent="0.25">
      <c r="A9954" s="15" t="str">
        <f t="shared" si="310"/>
        <v/>
      </c>
      <c r="B9954" s="18" t="str">
        <f t="shared" si="311"/>
        <v/>
      </c>
    </row>
    <row r="9955" spans="1:2" x14ac:dyDescent="0.25">
      <c r="A9955" s="15" t="str">
        <f t="shared" si="310"/>
        <v/>
      </c>
      <c r="B9955" s="18" t="str">
        <f t="shared" si="311"/>
        <v/>
      </c>
    </row>
    <row r="9956" spans="1:2" x14ac:dyDescent="0.25">
      <c r="A9956" s="15" t="str">
        <f t="shared" si="310"/>
        <v/>
      </c>
      <c r="B9956" s="18" t="str">
        <f t="shared" si="311"/>
        <v/>
      </c>
    </row>
    <row r="9957" spans="1:2" x14ac:dyDescent="0.25">
      <c r="A9957" s="15" t="str">
        <f t="shared" si="310"/>
        <v/>
      </c>
      <c r="B9957" s="18" t="str">
        <f t="shared" si="311"/>
        <v/>
      </c>
    </row>
    <row r="9958" spans="1:2" x14ac:dyDescent="0.25">
      <c r="A9958" s="15" t="str">
        <f t="shared" si="310"/>
        <v/>
      </c>
      <c r="B9958" s="18" t="str">
        <f t="shared" si="311"/>
        <v/>
      </c>
    </row>
    <row r="9959" spans="1:2" x14ac:dyDescent="0.25">
      <c r="A9959" s="15" t="str">
        <f t="shared" si="310"/>
        <v/>
      </c>
      <c r="B9959" s="18" t="str">
        <f t="shared" si="311"/>
        <v/>
      </c>
    </row>
    <row r="9960" spans="1:2" x14ac:dyDescent="0.25">
      <c r="A9960" s="15" t="str">
        <f t="shared" si="310"/>
        <v/>
      </c>
      <c r="B9960" s="18" t="str">
        <f t="shared" si="311"/>
        <v/>
      </c>
    </row>
    <row r="9961" spans="1:2" x14ac:dyDescent="0.25">
      <c r="A9961" s="15" t="str">
        <f t="shared" si="310"/>
        <v/>
      </c>
      <c r="B9961" s="18" t="str">
        <f t="shared" si="311"/>
        <v/>
      </c>
    </row>
    <row r="9962" spans="1:2" x14ac:dyDescent="0.25">
      <c r="A9962" s="15" t="str">
        <f t="shared" si="310"/>
        <v/>
      </c>
      <c r="B9962" s="18" t="str">
        <f t="shared" si="311"/>
        <v/>
      </c>
    </row>
    <row r="9963" spans="1:2" x14ac:dyDescent="0.25">
      <c r="A9963" s="15" t="str">
        <f t="shared" si="310"/>
        <v/>
      </c>
      <c r="B9963" s="18" t="str">
        <f t="shared" si="311"/>
        <v/>
      </c>
    </row>
    <row r="9964" spans="1:2" x14ac:dyDescent="0.25">
      <c r="A9964" s="15" t="str">
        <f t="shared" si="310"/>
        <v/>
      </c>
      <c r="B9964" s="18" t="str">
        <f t="shared" si="311"/>
        <v/>
      </c>
    </row>
    <row r="9965" spans="1:2" x14ac:dyDescent="0.25">
      <c r="A9965" s="15" t="str">
        <f t="shared" si="310"/>
        <v/>
      </c>
      <c r="B9965" s="18" t="str">
        <f t="shared" si="311"/>
        <v/>
      </c>
    </row>
    <row r="9966" spans="1:2" x14ac:dyDescent="0.25">
      <c r="A9966" s="15" t="str">
        <f t="shared" si="310"/>
        <v/>
      </c>
      <c r="B9966" s="18" t="str">
        <f t="shared" si="311"/>
        <v/>
      </c>
    </row>
    <row r="9967" spans="1:2" x14ac:dyDescent="0.25">
      <c r="A9967" s="15" t="str">
        <f t="shared" si="310"/>
        <v/>
      </c>
      <c r="B9967" s="18" t="str">
        <f t="shared" si="311"/>
        <v/>
      </c>
    </row>
    <row r="9968" spans="1:2" x14ac:dyDescent="0.25">
      <c r="A9968" s="15" t="str">
        <f t="shared" si="310"/>
        <v/>
      </c>
      <c r="B9968" s="18" t="str">
        <f t="shared" si="311"/>
        <v/>
      </c>
    </row>
    <row r="9969" spans="1:2" x14ac:dyDescent="0.25">
      <c r="A9969" s="15" t="str">
        <f t="shared" si="310"/>
        <v/>
      </c>
      <c r="B9969" s="18" t="str">
        <f t="shared" si="311"/>
        <v/>
      </c>
    </row>
    <row r="9970" spans="1:2" x14ac:dyDescent="0.25">
      <c r="A9970" s="15" t="str">
        <f t="shared" si="310"/>
        <v/>
      </c>
      <c r="B9970" s="18" t="str">
        <f t="shared" si="311"/>
        <v/>
      </c>
    </row>
    <row r="9971" spans="1:2" x14ac:dyDescent="0.25">
      <c r="A9971" s="15" t="str">
        <f t="shared" si="310"/>
        <v/>
      </c>
      <c r="B9971" s="18" t="str">
        <f t="shared" si="311"/>
        <v/>
      </c>
    </row>
    <row r="9972" spans="1:2" x14ac:dyDescent="0.25">
      <c r="A9972" s="15" t="str">
        <f t="shared" si="310"/>
        <v/>
      </c>
      <c r="B9972" s="18" t="str">
        <f t="shared" si="311"/>
        <v/>
      </c>
    </row>
    <row r="9973" spans="1:2" x14ac:dyDescent="0.25">
      <c r="A9973" s="15" t="str">
        <f t="shared" si="310"/>
        <v/>
      </c>
      <c r="B9973" s="18" t="str">
        <f t="shared" si="311"/>
        <v/>
      </c>
    </row>
    <row r="9974" spans="1:2" x14ac:dyDescent="0.25">
      <c r="A9974" s="15" t="str">
        <f t="shared" si="310"/>
        <v/>
      </c>
      <c r="B9974" s="18" t="str">
        <f t="shared" si="311"/>
        <v/>
      </c>
    </row>
    <row r="9975" spans="1:2" x14ac:dyDescent="0.25">
      <c r="A9975" s="15" t="str">
        <f t="shared" si="310"/>
        <v/>
      </c>
      <c r="B9975" s="18" t="str">
        <f t="shared" si="311"/>
        <v/>
      </c>
    </row>
    <row r="9976" spans="1:2" x14ac:dyDescent="0.25">
      <c r="A9976" s="15" t="str">
        <f t="shared" si="310"/>
        <v/>
      </c>
      <c r="B9976" s="18" t="str">
        <f t="shared" si="311"/>
        <v/>
      </c>
    </row>
    <row r="9977" spans="1:2" x14ac:dyDescent="0.25">
      <c r="A9977" s="15" t="str">
        <f t="shared" si="310"/>
        <v/>
      </c>
      <c r="B9977" s="18" t="str">
        <f t="shared" si="311"/>
        <v/>
      </c>
    </row>
    <row r="9978" spans="1:2" x14ac:dyDescent="0.25">
      <c r="A9978" s="15" t="str">
        <f t="shared" si="310"/>
        <v/>
      </c>
      <c r="B9978" s="18" t="str">
        <f t="shared" si="311"/>
        <v/>
      </c>
    </row>
    <row r="9979" spans="1:2" x14ac:dyDescent="0.25">
      <c r="A9979" s="15" t="str">
        <f t="shared" si="310"/>
        <v/>
      </c>
      <c r="B9979" s="18" t="str">
        <f t="shared" si="311"/>
        <v/>
      </c>
    </row>
    <row r="9980" spans="1:2" x14ac:dyDescent="0.25">
      <c r="A9980" s="15" t="str">
        <f t="shared" si="310"/>
        <v/>
      </c>
      <c r="B9980" s="18" t="str">
        <f t="shared" si="311"/>
        <v/>
      </c>
    </row>
    <row r="9981" spans="1:2" x14ac:dyDescent="0.25">
      <c r="A9981" s="15" t="str">
        <f t="shared" si="310"/>
        <v/>
      </c>
      <c r="B9981" s="18" t="str">
        <f t="shared" si="311"/>
        <v/>
      </c>
    </row>
    <row r="9982" spans="1:2" x14ac:dyDescent="0.25">
      <c r="A9982" s="15" t="str">
        <f t="shared" si="310"/>
        <v/>
      </c>
      <c r="B9982" s="18" t="str">
        <f t="shared" si="311"/>
        <v/>
      </c>
    </row>
    <row r="9983" spans="1:2" x14ac:dyDescent="0.25">
      <c r="A9983" s="15" t="str">
        <f t="shared" si="310"/>
        <v/>
      </c>
      <c r="B9983" s="18" t="str">
        <f t="shared" si="311"/>
        <v/>
      </c>
    </row>
    <row r="9984" spans="1:2" x14ac:dyDescent="0.25">
      <c r="A9984" s="15" t="str">
        <f t="shared" si="310"/>
        <v/>
      </c>
      <c r="B9984" s="18" t="str">
        <f t="shared" si="311"/>
        <v/>
      </c>
    </row>
    <row r="9985" spans="1:2" x14ac:dyDescent="0.25">
      <c r="A9985" s="15" t="str">
        <f t="shared" si="310"/>
        <v/>
      </c>
      <c r="B9985" s="18" t="str">
        <f t="shared" si="311"/>
        <v/>
      </c>
    </row>
    <row r="9986" spans="1:2" x14ac:dyDescent="0.25">
      <c r="A9986" s="15" t="str">
        <f t="shared" ref="A9986:A10049" si="312">B9986&amp;C9986</f>
        <v/>
      </c>
      <c r="B9986" s="18" t="str">
        <f t="shared" si="311"/>
        <v/>
      </c>
    </row>
    <row r="9987" spans="1:2" x14ac:dyDescent="0.25">
      <c r="A9987" s="15" t="str">
        <f t="shared" si="312"/>
        <v/>
      </c>
      <c r="B9987" s="18" t="str">
        <f t="shared" ref="B9987:B10050" si="313">IF(C9987="","",B9986)</f>
        <v/>
      </c>
    </row>
    <row r="9988" spans="1:2" x14ac:dyDescent="0.25">
      <c r="A9988" s="15" t="str">
        <f t="shared" si="312"/>
        <v/>
      </c>
      <c r="B9988" s="18" t="str">
        <f t="shared" si="313"/>
        <v/>
      </c>
    </row>
    <row r="9989" spans="1:2" x14ac:dyDescent="0.25">
      <c r="A9989" s="15" t="str">
        <f t="shared" si="312"/>
        <v/>
      </c>
      <c r="B9989" s="18" t="str">
        <f t="shared" si="313"/>
        <v/>
      </c>
    </row>
    <row r="9990" spans="1:2" x14ac:dyDescent="0.25">
      <c r="A9990" s="15" t="str">
        <f t="shared" si="312"/>
        <v/>
      </c>
      <c r="B9990" s="18" t="str">
        <f t="shared" si="313"/>
        <v/>
      </c>
    </row>
    <row r="9991" spans="1:2" x14ac:dyDescent="0.25">
      <c r="A9991" s="15" t="str">
        <f t="shared" si="312"/>
        <v/>
      </c>
      <c r="B9991" s="18" t="str">
        <f t="shared" si="313"/>
        <v/>
      </c>
    </row>
    <row r="9992" spans="1:2" x14ac:dyDescent="0.25">
      <c r="A9992" s="15" t="str">
        <f t="shared" si="312"/>
        <v/>
      </c>
      <c r="B9992" s="18" t="str">
        <f t="shared" si="313"/>
        <v/>
      </c>
    </row>
    <row r="9993" spans="1:2" x14ac:dyDescent="0.25">
      <c r="A9993" s="15" t="str">
        <f t="shared" si="312"/>
        <v/>
      </c>
      <c r="B9993" s="18" t="str">
        <f t="shared" si="313"/>
        <v/>
      </c>
    </row>
    <row r="9994" spans="1:2" x14ac:dyDescent="0.25">
      <c r="A9994" s="15" t="str">
        <f t="shared" si="312"/>
        <v/>
      </c>
      <c r="B9994" s="18" t="str">
        <f t="shared" si="313"/>
        <v/>
      </c>
    </row>
    <row r="9995" spans="1:2" x14ac:dyDescent="0.25">
      <c r="A9995" s="15" t="str">
        <f t="shared" si="312"/>
        <v/>
      </c>
      <c r="B9995" s="18" t="str">
        <f t="shared" si="313"/>
        <v/>
      </c>
    </row>
    <row r="9996" spans="1:2" x14ac:dyDescent="0.25">
      <c r="A9996" s="15" t="str">
        <f t="shared" si="312"/>
        <v/>
      </c>
      <c r="B9996" s="18" t="str">
        <f t="shared" si="313"/>
        <v/>
      </c>
    </row>
    <row r="9997" spans="1:2" x14ac:dyDescent="0.25">
      <c r="A9997" s="15" t="str">
        <f t="shared" si="312"/>
        <v/>
      </c>
      <c r="B9997" s="18" t="str">
        <f t="shared" si="313"/>
        <v/>
      </c>
    </row>
    <row r="9998" spans="1:2" x14ac:dyDescent="0.25">
      <c r="A9998" s="15" t="str">
        <f t="shared" si="312"/>
        <v/>
      </c>
      <c r="B9998" s="18" t="str">
        <f t="shared" si="313"/>
        <v/>
      </c>
    </row>
    <row r="9999" spans="1:2" x14ac:dyDescent="0.25">
      <c r="A9999" s="15" t="str">
        <f t="shared" si="312"/>
        <v/>
      </c>
      <c r="B9999" s="18" t="str">
        <f t="shared" si="313"/>
        <v/>
      </c>
    </row>
    <row r="10000" spans="1:2" x14ac:dyDescent="0.25">
      <c r="A10000" s="15" t="str">
        <f t="shared" si="312"/>
        <v/>
      </c>
      <c r="B10000" s="18" t="str">
        <f t="shared" si="313"/>
        <v/>
      </c>
    </row>
    <row r="10001" spans="1:2" x14ac:dyDescent="0.25">
      <c r="A10001" s="15" t="str">
        <f t="shared" si="312"/>
        <v/>
      </c>
      <c r="B10001" s="18" t="str">
        <f t="shared" si="313"/>
        <v/>
      </c>
    </row>
    <row r="10002" spans="1:2" x14ac:dyDescent="0.25">
      <c r="A10002" s="15" t="str">
        <f t="shared" si="312"/>
        <v/>
      </c>
      <c r="B10002" s="18" t="str">
        <f t="shared" si="313"/>
        <v/>
      </c>
    </row>
    <row r="10003" spans="1:2" x14ac:dyDescent="0.25">
      <c r="A10003" s="15" t="str">
        <f t="shared" si="312"/>
        <v/>
      </c>
      <c r="B10003" s="18" t="str">
        <f t="shared" si="313"/>
        <v/>
      </c>
    </row>
    <row r="10004" spans="1:2" x14ac:dyDescent="0.25">
      <c r="A10004" s="15" t="str">
        <f t="shared" si="312"/>
        <v/>
      </c>
      <c r="B10004" s="18" t="str">
        <f t="shared" si="313"/>
        <v/>
      </c>
    </row>
    <row r="10005" spans="1:2" x14ac:dyDescent="0.25">
      <c r="A10005" s="15" t="str">
        <f t="shared" si="312"/>
        <v/>
      </c>
      <c r="B10005" s="18" t="str">
        <f t="shared" si="313"/>
        <v/>
      </c>
    </row>
    <row r="10006" spans="1:2" x14ac:dyDescent="0.25">
      <c r="A10006" s="15" t="str">
        <f t="shared" si="312"/>
        <v/>
      </c>
      <c r="B10006" s="18" t="str">
        <f t="shared" si="313"/>
        <v/>
      </c>
    </row>
    <row r="10007" spans="1:2" x14ac:dyDescent="0.25">
      <c r="A10007" s="15" t="str">
        <f t="shared" si="312"/>
        <v/>
      </c>
      <c r="B10007" s="18" t="str">
        <f t="shared" si="313"/>
        <v/>
      </c>
    </row>
    <row r="10008" spans="1:2" x14ac:dyDescent="0.25">
      <c r="A10008" s="15" t="str">
        <f t="shared" si="312"/>
        <v/>
      </c>
      <c r="B10008" s="18" t="str">
        <f t="shared" si="313"/>
        <v/>
      </c>
    </row>
    <row r="10009" spans="1:2" x14ac:dyDescent="0.25">
      <c r="A10009" s="15" t="str">
        <f t="shared" si="312"/>
        <v/>
      </c>
      <c r="B10009" s="18" t="str">
        <f t="shared" si="313"/>
        <v/>
      </c>
    </row>
    <row r="10010" spans="1:2" x14ac:dyDescent="0.25">
      <c r="A10010" s="15" t="str">
        <f t="shared" si="312"/>
        <v/>
      </c>
      <c r="B10010" s="18" t="str">
        <f t="shared" si="313"/>
        <v/>
      </c>
    </row>
    <row r="10011" spans="1:2" x14ac:dyDescent="0.25">
      <c r="A10011" s="15" t="str">
        <f t="shared" si="312"/>
        <v/>
      </c>
      <c r="B10011" s="18" t="str">
        <f t="shared" si="313"/>
        <v/>
      </c>
    </row>
    <row r="10012" spans="1:2" x14ac:dyDescent="0.25">
      <c r="A10012" s="15" t="str">
        <f t="shared" si="312"/>
        <v/>
      </c>
      <c r="B10012" s="18" t="str">
        <f t="shared" si="313"/>
        <v/>
      </c>
    </row>
    <row r="10013" spans="1:2" x14ac:dyDescent="0.25">
      <c r="A10013" s="15" t="str">
        <f t="shared" si="312"/>
        <v/>
      </c>
      <c r="B10013" s="18" t="str">
        <f t="shared" si="313"/>
        <v/>
      </c>
    </row>
    <row r="10014" spans="1:2" x14ac:dyDescent="0.25">
      <c r="A10014" s="15" t="str">
        <f t="shared" si="312"/>
        <v/>
      </c>
      <c r="B10014" s="18" t="str">
        <f t="shared" si="313"/>
        <v/>
      </c>
    </row>
    <row r="10015" spans="1:2" x14ac:dyDescent="0.25">
      <c r="A10015" s="15" t="str">
        <f t="shared" si="312"/>
        <v/>
      </c>
      <c r="B10015" s="18" t="str">
        <f t="shared" si="313"/>
        <v/>
      </c>
    </row>
    <row r="10016" spans="1:2" x14ac:dyDescent="0.25">
      <c r="A10016" s="15" t="str">
        <f t="shared" si="312"/>
        <v/>
      </c>
      <c r="B10016" s="18" t="str">
        <f t="shared" si="313"/>
        <v/>
      </c>
    </row>
    <row r="10017" spans="1:2" x14ac:dyDescent="0.25">
      <c r="A10017" s="15" t="str">
        <f t="shared" si="312"/>
        <v/>
      </c>
      <c r="B10017" s="18" t="str">
        <f t="shared" si="313"/>
        <v/>
      </c>
    </row>
    <row r="10018" spans="1:2" x14ac:dyDescent="0.25">
      <c r="A10018" s="15" t="str">
        <f t="shared" si="312"/>
        <v/>
      </c>
      <c r="B10018" s="18" t="str">
        <f t="shared" si="313"/>
        <v/>
      </c>
    </row>
    <row r="10019" spans="1:2" x14ac:dyDescent="0.25">
      <c r="A10019" s="15" t="str">
        <f t="shared" si="312"/>
        <v/>
      </c>
      <c r="B10019" s="18" t="str">
        <f t="shared" si="313"/>
        <v/>
      </c>
    </row>
    <row r="10020" spans="1:2" x14ac:dyDescent="0.25">
      <c r="A10020" s="15" t="str">
        <f t="shared" si="312"/>
        <v/>
      </c>
      <c r="B10020" s="18" t="str">
        <f t="shared" si="313"/>
        <v/>
      </c>
    </row>
    <row r="10021" spans="1:2" x14ac:dyDescent="0.25">
      <c r="A10021" s="15" t="str">
        <f t="shared" si="312"/>
        <v/>
      </c>
      <c r="B10021" s="18" t="str">
        <f t="shared" si="313"/>
        <v/>
      </c>
    </row>
    <row r="10022" spans="1:2" x14ac:dyDescent="0.25">
      <c r="A10022" s="15" t="str">
        <f t="shared" si="312"/>
        <v/>
      </c>
      <c r="B10022" s="18" t="str">
        <f t="shared" si="313"/>
        <v/>
      </c>
    </row>
    <row r="10023" spans="1:2" x14ac:dyDescent="0.25">
      <c r="A10023" s="15" t="str">
        <f t="shared" si="312"/>
        <v/>
      </c>
      <c r="B10023" s="18" t="str">
        <f t="shared" si="313"/>
        <v/>
      </c>
    </row>
    <row r="10024" spans="1:2" x14ac:dyDescent="0.25">
      <c r="A10024" s="15" t="str">
        <f t="shared" si="312"/>
        <v/>
      </c>
      <c r="B10024" s="18" t="str">
        <f t="shared" si="313"/>
        <v/>
      </c>
    </row>
    <row r="10025" spans="1:2" x14ac:dyDescent="0.25">
      <c r="A10025" s="15" t="str">
        <f t="shared" si="312"/>
        <v/>
      </c>
      <c r="B10025" s="18" t="str">
        <f t="shared" si="313"/>
        <v/>
      </c>
    </row>
    <row r="10026" spans="1:2" x14ac:dyDescent="0.25">
      <c r="A10026" s="15" t="str">
        <f t="shared" si="312"/>
        <v/>
      </c>
      <c r="B10026" s="18" t="str">
        <f t="shared" si="313"/>
        <v/>
      </c>
    </row>
    <row r="10027" spans="1:2" x14ac:dyDescent="0.25">
      <c r="A10027" s="15" t="str">
        <f t="shared" si="312"/>
        <v/>
      </c>
      <c r="B10027" s="18" t="str">
        <f t="shared" si="313"/>
        <v/>
      </c>
    </row>
    <row r="10028" spans="1:2" x14ac:dyDescent="0.25">
      <c r="A10028" s="15" t="str">
        <f t="shared" si="312"/>
        <v/>
      </c>
      <c r="B10028" s="18" t="str">
        <f t="shared" si="313"/>
        <v/>
      </c>
    </row>
    <row r="10029" spans="1:2" x14ac:dyDescent="0.25">
      <c r="A10029" s="15" t="str">
        <f t="shared" si="312"/>
        <v/>
      </c>
      <c r="B10029" s="18" t="str">
        <f t="shared" si="313"/>
        <v/>
      </c>
    </row>
    <row r="10030" spans="1:2" x14ac:dyDescent="0.25">
      <c r="A10030" s="15" t="str">
        <f t="shared" si="312"/>
        <v/>
      </c>
      <c r="B10030" s="18" t="str">
        <f t="shared" si="313"/>
        <v/>
      </c>
    </row>
    <row r="10031" spans="1:2" x14ac:dyDescent="0.25">
      <c r="A10031" s="15" t="str">
        <f t="shared" si="312"/>
        <v/>
      </c>
      <c r="B10031" s="18" t="str">
        <f t="shared" si="313"/>
        <v/>
      </c>
    </row>
    <row r="10032" spans="1:2" x14ac:dyDescent="0.25">
      <c r="A10032" s="15" t="str">
        <f t="shared" si="312"/>
        <v/>
      </c>
      <c r="B10032" s="18" t="str">
        <f t="shared" si="313"/>
        <v/>
      </c>
    </row>
    <row r="10033" spans="1:2" x14ac:dyDescent="0.25">
      <c r="A10033" s="15" t="str">
        <f t="shared" si="312"/>
        <v/>
      </c>
      <c r="B10033" s="18" t="str">
        <f t="shared" si="313"/>
        <v/>
      </c>
    </row>
    <row r="10034" spans="1:2" x14ac:dyDescent="0.25">
      <c r="A10034" s="15" t="str">
        <f t="shared" si="312"/>
        <v/>
      </c>
      <c r="B10034" s="18" t="str">
        <f t="shared" si="313"/>
        <v/>
      </c>
    </row>
    <row r="10035" spans="1:2" x14ac:dyDescent="0.25">
      <c r="A10035" s="15" t="str">
        <f t="shared" si="312"/>
        <v/>
      </c>
      <c r="B10035" s="18" t="str">
        <f t="shared" si="313"/>
        <v/>
      </c>
    </row>
    <row r="10036" spans="1:2" x14ac:dyDescent="0.25">
      <c r="A10036" s="15" t="str">
        <f t="shared" si="312"/>
        <v/>
      </c>
      <c r="B10036" s="18" t="str">
        <f t="shared" si="313"/>
        <v/>
      </c>
    </row>
    <row r="10037" spans="1:2" x14ac:dyDescent="0.25">
      <c r="A10037" s="15" t="str">
        <f t="shared" si="312"/>
        <v/>
      </c>
      <c r="B10037" s="18" t="str">
        <f t="shared" si="313"/>
        <v/>
      </c>
    </row>
    <row r="10038" spans="1:2" x14ac:dyDescent="0.25">
      <c r="A10038" s="15" t="str">
        <f t="shared" si="312"/>
        <v/>
      </c>
      <c r="B10038" s="18" t="str">
        <f t="shared" si="313"/>
        <v/>
      </c>
    </row>
    <row r="10039" spans="1:2" x14ac:dyDescent="0.25">
      <c r="A10039" s="15" t="str">
        <f t="shared" si="312"/>
        <v/>
      </c>
      <c r="B10039" s="18" t="str">
        <f t="shared" si="313"/>
        <v/>
      </c>
    </row>
    <row r="10040" spans="1:2" x14ac:dyDescent="0.25">
      <c r="A10040" s="15" t="str">
        <f t="shared" si="312"/>
        <v/>
      </c>
      <c r="B10040" s="18" t="str">
        <f t="shared" si="313"/>
        <v/>
      </c>
    </row>
    <row r="10041" spans="1:2" x14ac:dyDescent="0.25">
      <c r="A10041" s="15" t="str">
        <f t="shared" si="312"/>
        <v/>
      </c>
      <c r="B10041" s="18" t="str">
        <f t="shared" si="313"/>
        <v/>
      </c>
    </row>
    <row r="10042" spans="1:2" x14ac:dyDescent="0.25">
      <c r="A10042" s="15" t="str">
        <f t="shared" si="312"/>
        <v/>
      </c>
      <c r="B10042" s="18" t="str">
        <f t="shared" si="313"/>
        <v/>
      </c>
    </row>
    <row r="10043" spans="1:2" x14ac:dyDescent="0.25">
      <c r="A10043" s="15" t="str">
        <f t="shared" si="312"/>
        <v/>
      </c>
      <c r="B10043" s="18" t="str">
        <f t="shared" si="313"/>
        <v/>
      </c>
    </row>
    <row r="10044" spans="1:2" x14ac:dyDescent="0.25">
      <c r="A10044" s="15" t="str">
        <f t="shared" si="312"/>
        <v/>
      </c>
      <c r="B10044" s="18" t="str">
        <f t="shared" si="313"/>
        <v/>
      </c>
    </row>
    <row r="10045" spans="1:2" x14ac:dyDescent="0.25">
      <c r="A10045" s="15" t="str">
        <f t="shared" si="312"/>
        <v/>
      </c>
      <c r="B10045" s="18" t="str">
        <f t="shared" si="313"/>
        <v/>
      </c>
    </row>
    <row r="10046" spans="1:2" x14ac:dyDescent="0.25">
      <c r="A10046" s="15" t="str">
        <f t="shared" si="312"/>
        <v/>
      </c>
      <c r="B10046" s="18" t="str">
        <f t="shared" si="313"/>
        <v/>
      </c>
    </row>
    <row r="10047" spans="1:2" x14ac:dyDescent="0.25">
      <c r="A10047" s="15" t="str">
        <f t="shared" si="312"/>
        <v/>
      </c>
      <c r="B10047" s="18" t="str">
        <f t="shared" si="313"/>
        <v/>
      </c>
    </row>
    <row r="10048" spans="1:2" x14ac:dyDescent="0.25">
      <c r="A10048" s="15" t="str">
        <f t="shared" si="312"/>
        <v/>
      </c>
      <c r="B10048" s="18" t="str">
        <f t="shared" si="313"/>
        <v/>
      </c>
    </row>
    <row r="10049" spans="1:2" x14ac:dyDescent="0.25">
      <c r="A10049" s="15" t="str">
        <f t="shared" si="312"/>
        <v/>
      </c>
      <c r="B10049" s="18" t="str">
        <f t="shared" si="313"/>
        <v/>
      </c>
    </row>
    <row r="10050" spans="1:2" x14ac:dyDescent="0.25">
      <c r="A10050" s="15" t="str">
        <f t="shared" ref="A10050:A10113" si="314">B10050&amp;C10050</f>
        <v/>
      </c>
      <c r="B10050" s="18" t="str">
        <f t="shared" si="313"/>
        <v/>
      </c>
    </row>
    <row r="10051" spans="1:2" x14ac:dyDescent="0.25">
      <c r="A10051" s="15" t="str">
        <f t="shared" si="314"/>
        <v/>
      </c>
      <c r="B10051" s="18" t="str">
        <f t="shared" ref="B10051:B10114" si="315">IF(C10051="","",B10050)</f>
        <v/>
      </c>
    </row>
    <row r="10052" spans="1:2" x14ac:dyDescent="0.25">
      <c r="A10052" s="15" t="str">
        <f t="shared" si="314"/>
        <v/>
      </c>
      <c r="B10052" s="18" t="str">
        <f t="shared" si="315"/>
        <v/>
      </c>
    </row>
    <row r="10053" spans="1:2" x14ac:dyDescent="0.25">
      <c r="A10053" s="15" t="str">
        <f t="shared" si="314"/>
        <v/>
      </c>
      <c r="B10053" s="18" t="str">
        <f t="shared" si="315"/>
        <v/>
      </c>
    </row>
    <row r="10054" spans="1:2" x14ac:dyDescent="0.25">
      <c r="A10054" s="15" t="str">
        <f t="shared" si="314"/>
        <v/>
      </c>
      <c r="B10054" s="18" t="str">
        <f t="shared" si="315"/>
        <v/>
      </c>
    </row>
    <row r="10055" spans="1:2" x14ac:dyDescent="0.25">
      <c r="A10055" s="15" t="str">
        <f t="shared" si="314"/>
        <v/>
      </c>
      <c r="B10055" s="18" t="str">
        <f t="shared" si="315"/>
        <v/>
      </c>
    </row>
    <row r="10056" spans="1:2" x14ac:dyDescent="0.25">
      <c r="A10056" s="15" t="str">
        <f t="shared" si="314"/>
        <v/>
      </c>
      <c r="B10056" s="18" t="str">
        <f t="shared" si="315"/>
        <v/>
      </c>
    </row>
    <row r="10057" spans="1:2" x14ac:dyDescent="0.25">
      <c r="A10057" s="15" t="str">
        <f t="shared" si="314"/>
        <v/>
      </c>
      <c r="B10057" s="18" t="str">
        <f t="shared" si="315"/>
        <v/>
      </c>
    </row>
    <row r="10058" spans="1:2" x14ac:dyDescent="0.25">
      <c r="A10058" s="15" t="str">
        <f t="shared" si="314"/>
        <v/>
      </c>
      <c r="B10058" s="18" t="str">
        <f t="shared" si="315"/>
        <v/>
      </c>
    </row>
    <row r="10059" spans="1:2" x14ac:dyDescent="0.25">
      <c r="A10059" s="15" t="str">
        <f t="shared" si="314"/>
        <v/>
      </c>
      <c r="B10059" s="18" t="str">
        <f t="shared" si="315"/>
        <v/>
      </c>
    </row>
    <row r="10060" spans="1:2" x14ac:dyDescent="0.25">
      <c r="A10060" s="15" t="str">
        <f t="shared" si="314"/>
        <v/>
      </c>
      <c r="B10060" s="18" t="str">
        <f t="shared" si="315"/>
        <v/>
      </c>
    </row>
    <row r="10061" spans="1:2" x14ac:dyDescent="0.25">
      <c r="A10061" s="15" t="str">
        <f t="shared" si="314"/>
        <v/>
      </c>
      <c r="B10061" s="18" t="str">
        <f t="shared" si="315"/>
        <v/>
      </c>
    </row>
    <row r="10062" spans="1:2" x14ac:dyDescent="0.25">
      <c r="A10062" s="15" t="str">
        <f t="shared" si="314"/>
        <v/>
      </c>
      <c r="B10062" s="18" t="str">
        <f t="shared" si="315"/>
        <v/>
      </c>
    </row>
    <row r="10063" spans="1:2" x14ac:dyDescent="0.25">
      <c r="A10063" s="15" t="str">
        <f t="shared" si="314"/>
        <v/>
      </c>
      <c r="B10063" s="18" t="str">
        <f t="shared" si="315"/>
        <v/>
      </c>
    </row>
    <row r="10064" spans="1:2" x14ac:dyDescent="0.25">
      <c r="A10064" s="15" t="str">
        <f t="shared" si="314"/>
        <v/>
      </c>
      <c r="B10064" s="18" t="str">
        <f t="shared" si="315"/>
        <v/>
      </c>
    </row>
    <row r="10065" spans="1:2" x14ac:dyDescent="0.25">
      <c r="A10065" s="15" t="str">
        <f t="shared" si="314"/>
        <v/>
      </c>
      <c r="B10065" s="18" t="str">
        <f t="shared" si="315"/>
        <v/>
      </c>
    </row>
    <row r="10066" spans="1:2" x14ac:dyDescent="0.25">
      <c r="A10066" s="15" t="str">
        <f t="shared" si="314"/>
        <v/>
      </c>
      <c r="B10066" s="18" t="str">
        <f t="shared" si="315"/>
        <v/>
      </c>
    </row>
    <row r="10067" spans="1:2" x14ac:dyDescent="0.25">
      <c r="A10067" s="15" t="str">
        <f t="shared" si="314"/>
        <v/>
      </c>
      <c r="B10067" s="18" t="str">
        <f t="shared" si="315"/>
        <v/>
      </c>
    </row>
    <row r="10068" spans="1:2" x14ac:dyDescent="0.25">
      <c r="A10068" s="15" t="str">
        <f t="shared" si="314"/>
        <v/>
      </c>
      <c r="B10068" s="18" t="str">
        <f t="shared" si="315"/>
        <v/>
      </c>
    </row>
    <row r="10069" spans="1:2" x14ac:dyDescent="0.25">
      <c r="A10069" s="15" t="str">
        <f t="shared" si="314"/>
        <v/>
      </c>
      <c r="B10069" s="18" t="str">
        <f t="shared" si="315"/>
        <v/>
      </c>
    </row>
    <row r="10070" spans="1:2" x14ac:dyDescent="0.25">
      <c r="A10070" s="15" t="str">
        <f t="shared" si="314"/>
        <v/>
      </c>
      <c r="B10070" s="18" t="str">
        <f t="shared" si="315"/>
        <v/>
      </c>
    </row>
    <row r="10071" spans="1:2" x14ac:dyDescent="0.25">
      <c r="A10071" s="15" t="str">
        <f t="shared" si="314"/>
        <v/>
      </c>
      <c r="B10071" s="18" t="str">
        <f t="shared" si="315"/>
        <v/>
      </c>
    </row>
    <row r="10072" spans="1:2" x14ac:dyDescent="0.25">
      <c r="A10072" s="15" t="str">
        <f t="shared" si="314"/>
        <v/>
      </c>
      <c r="B10072" s="18" t="str">
        <f t="shared" si="315"/>
        <v/>
      </c>
    </row>
    <row r="10073" spans="1:2" x14ac:dyDescent="0.25">
      <c r="A10073" s="15" t="str">
        <f t="shared" si="314"/>
        <v/>
      </c>
      <c r="B10073" s="18" t="str">
        <f t="shared" si="315"/>
        <v/>
      </c>
    </row>
    <row r="10074" spans="1:2" x14ac:dyDescent="0.25">
      <c r="A10074" s="15" t="str">
        <f t="shared" si="314"/>
        <v/>
      </c>
      <c r="B10074" s="18" t="str">
        <f t="shared" si="315"/>
        <v/>
      </c>
    </row>
    <row r="10075" spans="1:2" x14ac:dyDescent="0.25">
      <c r="A10075" s="15" t="str">
        <f t="shared" si="314"/>
        <v/>
      </c>
      <c r="B10075" s="18" t="str">
        <f t="shared" si="315"/>
        <v/>
      </c>
    </row>
    <row r="10076" spans="1:2" x14ac:dyDescent="0.25">
      <c r="A10076" s="15" t="str">
        <f t="shared" si="314"/>
        <v/>
      </c>
      <c r="B10076" s="18" t="str">
        <f t="shared" si="315"/>
        <v/>
      </c>
    </row>
    <row r="10077" spans="1:2" x14ac:dyDescent="0.25">
      <c r="A10077" s="15" t="str">
        <f t="shared" si="314"/>
        <v/>
      </c>
      <c r="B10077" s="18" t="str">
        <f t="shared" si="315"/>
        <v/>
      </c>
    </row>
    <row r="10078" spans="1:2" x14ac:dyDescent="0.25">
      <c r="A10078" s="15" t="str">
        <f t="shared" si="314"/>
        <v/>
      </c>
      <c r="B10078" s="18" t="str">
        <f t="shared" si="315"/>
        <v/>
      </c>
    </row>
    <row r="10079" spans="1:2" x14ac:dyDescent="0.25">
      <c r="A10079" s="15" t="str">
        <f t="shared" si="314"/>
        <v/>
      </c>
      <c r="B10079" s="18" t="str">
        <f t="shared" si="315"/>
        <v/>
      </c>
    </row>
    <row r="10080" spans="1:2" x14ac:dyDescent="0.25">
      <c r="A10080" s="15" t="str">
        <f t="shared" si="314"/>
        <v/>
      </c>
      <c r="B10080" s="18" t="str">
        <f t="shared" si="315"/>
        <v/>
      </c>
    </row>
    <row r="10081" spans="1:2" x14ac:dyDescent="0.25">
      <c r="A10081" s="15" t="str">
        <f t="shared" si="314"/>
        <v/>
      </c>
      <c r="B10081" s="18" t="str">
        <f t="shared" si="315"/>
        <v/>
      </c>
    </row>
    <row r="10082" spans="1:2" x14ac:dyDescent="0.25">
      <c r="A10082" s="15" t="str">
        <f t="shared" si="314"/>
        <v/>
      </c>
      <c r="B10082" s="18" t="str">
        <f t="shared" si="315"/>
        <v/>
      </c>
    </row>
    <row r="10083" spans="1:2" x14ac:dyDescent="0.25">
      <c r="A10083" s="15" t="str">
        <f t="shared" si="314"/>
        <v/>
      </c>
      <c r="B10083" s="18" t="str">
        <f t="shared" si="315"/>
        <v/>
      </c>
    </row>
    <row r="10084" spans="1:2" x14ac:dyDescent="0.25">
      <c r="A10084" s="15" t="str">
        <f t="shared" si="314"/>
        <v/>
      </c>
      <c r="B10084" s="18" t="str">
        <f t="shared" si="315"/>
        <v/>
      </c>
    </row>
    <row r="10085" spans="1:2" x14ac:dyDescent="0.25">
      <c r="A10085" s="15" t="str">
        <f t="shared" si="314"/>
        <v/>
      </c>
      <c r="B10085" s="18" t="str">
        <f t="shared" si="315"/>
        <v/>
      </c>
    </row>
    <row r="10086" spans="1:2" x14ac:dyDescent="0.25">
      <c r="A10086" s="15" t="str">
        <f t="shared" si="314"/>
        <v/>
      </c>
      <c r="B10086" s="18" t="str">
        <f t="shared" si="315"/>
        <v/>
      </c>
    </row>
    <row r="10087" spans="1:2" x14ac:dyDescent="0.25">
      <c r="A10087" s="15" t="str">
        <f t="shared" si="314"/>
        <v/>
      </c>
      <c r="B10087" s="18" t="str">
        <f t="shared" si="315"/>
        <v/>
      </c>
    </row>
    <row r="10088" spans="1:2" x14ac:dyDescent="0.25">
      <c r="A10088" s="15" t="str">
        <f t="shared" si="314"/>
        <v/>
      </c>
      <c r="B10088" s="18" t="str">
        <f t="shared" si="315"/>
        <v/>
      </c>
    </row>
    <row r="10089" spans="1:2" x14ac:dyDescent="0.25">
      <c r="A10089" s="15" t="str">
        <f t="shared" si="314"/>
        <v/>
      </c>
      <c r="B10089" s="18" t="str">
        <f t="shared" si="315"/>
        <v/>
      </c>
    </row>
    <row r="10090" spans="1:2" x14ac:dyDescent="0.25">
      <c r="A10090" s="15" t="str">
        <f t="shared" si="314"/>
        <v/>
      </c>
      <c r="B10090" s="18" t="str">
        <f t="shared" si="315"/>
        <v/>
      </c>
    </row>
    <row r="10091" spans="1:2" x14ac:dyDescent="0.25">
      <c r="A10091" s="15" t="str">
        <f t="shared" si="314"/>
        <v/>
      </c>
      <c r="B10091" s="18" t="str">
        <f t="shared" si="315"/>
        <v/>
      </c>
    </row>
    <row r="10092" spans="1:2" x14ac:dyDescent="0.25">
      <c r="A10092" s="15" t="str">
        <f t="shared" si="314"/>
        <v/>
      </c>
      <c r="B10092" s="18" t="str">
        <f t="shared" si="315"/>
        <v/>
      </c>
    </row>
    <row r="10093" spans="1:2" x14ac:dyDescent="0.25">
      <c r="A10093" s="15" t="str">
        <f t="shared" si="314"/>
        <v/>
      </c>
      <c r="B10093" s="18" t="str">
        <f t="shared" si="315"/>
        <v/>
      </c>
    </row>
    <row r="10094" spans="1:2" x14ac:dyDescent="0.25">
      <c r="A10094" s="15" t="str">
        <f t="shared" si="314"/>
        <v/>
      </c>
      <c r="B10094" s="18" t="str">
        <f t="shared" si="315"/>
        <v/>
      </c>
    </row>
    <row r="10095" spans="1:2" x14ac:dyDescent="0.25">
      <c r="A10095" s="15" t="str">
        <f t="shared" si="314"/>
        <v/>
      </c>
      <c r="B10095" s="18" t="str">
        <f t="shared" si="315"/>
        <v/>
      </c>
    </row>
    <row r="10096" spans="1:2" x14ac:dyDescent="0.25">
      <c r="A10096" s="15" t="str">
        <f t="shared" si="314"/>
        <v/>
      </c>
      <c r="B10096" s="18" t="str">
        <f t="shared" si="315"/>
        <v/>
      </c>
    </row>
    <row r="10097" spans="1:2" x14ac:dyDescent="0.25">
      <c r="A10097" s="15" t="str">
        <f t="shared" si="314"/>
        <v/>
      </c>
      <c r="B10097" s="18" t="str">
        <f t="shared" si="315"/>
        <v/>
      </c>
    </row>
    <row r="10098" spans="1:2" x14ac:dyDescent="0.25">
      <c r="A10098" s="15" t="str">
        <f t="shared" si="314"/>
        <v/>
      </c>
      <c r="B10098" s="18" t="str">
        <f t="shared" si="315"/>
        <v/>
      </c>
    </row>
    <row r="10099" spans="1:2" x14ac:dyDescent="0.25">
      <c r="A10099" s="15" t="str">
        <f t="shared" si="314"/>
        <v/>
      </c>
      <c r="B10099" s="18" t="str">
        <f t="shared" si="315"/>
        <v/>
      </c>
    </row>
    <row r="10100" spans="1:2" x14ac:dyDescent="0.25">
      <c r="A10100" s="15" t="str">
        <f t="shared" si="314"/>
        <v/>
      </c>
      <c r="B10100" s="18" t="str">
        <f t="shared" si="315"/>
        <v/>
      </c>
    </row>
    <row r="10101" spans="1:2" x14ac:dyDescent="0.25">
      <c r="A10101" s="15" t="str">
        <f t="shared" si="314"/>
        <v/>
      </c>
      <c r="B10101" s="18" t="str">
        <f t="shared" si="315"/>
        <v/>
      </c>
    </row>
    <row r="10102" spans="1:2" x14ac:dyDescent="0.25">
      <c r="A10102" s="15" t="str">
        <f t="shared" si="314"/>
        <v/>
      </c>
      <c r="B10102" s="18" t="str">
        <f t="shared" si="315"/>
        <v/>
      </c>
    </row>
    <row r="10103" spans="1:2" x14ac:dyDescent="0.25">
      <c r="A10103" s="15" t="str">
        <f t="shared" si="314"/>
        <v/>
      </c>
      <c r="B10103" s="18" t="str">
        <f t="shared" si="315"/>
        <v/>
      </c>
    </row>
    <row r="10104" spans="1:2" x14ac:dyDescent="0.25">
      <c r="A10104" s="15" t="str">
        <f t="shared" si="314"/>
        <v/>
      </c>
      <c r="B10104" s="18" t="str">
        <f t="shared" si="315"/>
        <v/>
      </c>
    </row>
    <row r="10105" spans="1:2" x14ac:dyDescent="0.25">
      <c r="A10105" s="15" t="str">
        <f t="shared" si="314"/>
        <v/>
      </c>
      <c r="B10105" s="18" t="str">
        <f t="shared" si="315"/>
        <v/>
      </c>
    </row>
    <row r="10106" spans="1:2" x14ac:dyDescent="0.25">
      <c r="A10106" s="15" t="str">
        <f t="shared" si="314"/>
        <v/>
      </c>
      <c r="B10106" s="18" t="str">
        <f t="shared" si="315"/>
        <v/>
      </c>
    </row>
    <row r="10107" spans="1:2" x14ac:dyDescent="0.25">
      <c r="A10107" s="15" t="str">
        <f t="shared" si="314"/>
        <v/>
      </c>
      <c r="B10107" s="18" t="str">
        <f t="shared" si="315"/>
        <v/>
      </c>
    </row>
    <row r="10108" spans="1:2" x14ac:dyDescent="0.25">
      <c r="A10108" s="15" t="str">
        <f t="shared" si="314"/>
        <v/>
      </c>
      <c r="B10108" s="18" t="str">
        <f t="shared" si="315"/>
        <v/>
      </c>
    </row>
    <row r="10109" spans="1:2" x14ac:dyDescent="0.25">
      <c r="A10109" s="15" t="str">
        <f t="shared" si="314"/>
        <v/>
      </c>
      <c r="B10109" s="18" t="str">
        <f t="shared" si="315"/>
        <v/>
      </c>
    </row>
    <row r="10110" spans="1:2" x14ac:dyDescent="0.25">
      <c r="A10110" s="15" t="str">
        <f t="shared" si="314"/>
        <v/>
      </c>
      <c r="B10110" s="18" t="str">
        <f t="shared" si="315"/>
        <v/>
      </c>
    </row>
    <row r="10111" spans="1:2" x14ac:dyDescent="0.25">
      <c r="A10111" s="15" t="str">
        <f t="shared" si="314"/>
        <v/>
      </c>
      <c r="B10111" s="18" t="str">
        <f t="shared" si="315"/>
        <v/>
      </c>
    </row>
    <row r="10112" spans="1:2" x14ac:dyDescent="0.25">
      <c r="A10112" s="15" t="str">
        <f t="shared" si="314"/>
        <v/>
      </c>
      <c r="B10112" s="18" t="str">
        <f t="shared" si="315"/>
        <v/>
      </c>
    </row>
    <row r="10113" spans="1:2" x14ac:dyDescent="0.25">
      <c r="A10113" s="15" t="str">
        <f t="shared" si="314"/>
        <v/>
      </c>
      <c r="B10113" s="18" t="str">
        <f t="shared" si="315"/>
        <v/>
      </c>
    </row>
    <row r="10114" spans="1:2" x14ac:dyDescent="0.25">
      <c r="A10114" s="15" t="str">
        <f t="shared" ref="A10114:A10177" si="316">B10114&amp;C10114</f>
        <v/>
      </c>
      <c r="B10114" s="18" t="str">
        <f t="shared" si="315"/>
        <v/>
      </c>
    </row>
    <row r="10115" spans="1:2" x14ac:dyDescent="0.25">
      <c r="A10115" s="15" t="str">
        <f t="shared" si="316"/>
        <v/>
      </c>
      <c r="B10115" s="18" t="str">
        <f t="shared" ref="B10115:B10178" si="317">IF(C10115="","",B10114)</f>
        <v/>
      </c>
    </row>
    <row r="10116" spans="1:2" x14ac:dyDescent="0.25">
      <c r="A10116" s="15" t="str">
        <f t="shared" si="316"/>
        <v/>
      </c>
      <c r="B10116" s="18" t="str">
        <f t="shared" si="317"/>
        <v/>
      </c>
    </row>
    <row r="10117" spans="1:2" x14ac:dyDescent="0.25">
      <c r="A10117" s="15" t="str">
        <f t="shared" si="316"/>
        <v/>
      </c>
      <c r="B10117" s="18" t="str">
        <f t="shared" si="317"/>
        <v/>
      </c>
    </row>
    <row r="10118" spans="1:2" x14ac:dyDescent="0.25">
      <c r="A10118" s="15" t="str">
        <f t="shared" si="316"/>
        <v/>
      </c>
      <c r="B10118" s="18" t="str">
        <f t="shared" si="317"/>
        <v/>
      </c>
    </row>
    <row r="10119" spans="1:2" x14ac:dyDescent="0.25">
      <c r="A10119" s="15" t="str">
        <f t="shared" si="316"/>
        <v/>
      </c>
      <c r="B10119" s="18" t="str">
        <f t="shared" si="317"/>
        <v/>
      </c>
    </row>
    <row r="10120" spans="1:2" x14ac:dyDescent="0.25">
      <c r="A10120" s="15" t="str">
        <f t="shared" si="316"/>
        <v/>
      </c>
      <c r="B10120" s="18" t="str">
        <f t="shared" si="317"/>
        <v/>
      </c>
    </row>
    <row r="10121" spans="1:2" x14ac:dyDescent="0.25">
      <c r="A10121" s="15" t="str">
        <f t="shared" si="316"/>
        <v/>
      </c>
      <c r="B10121" s="18" t="str">
        <f t="shared" si="317"/>
        <v/>
      </c>
    </row>
    <row r="10122" spans="1:2" x14ac:dyDescent="0.25">
      <c r="A10122" s="15" t="str">
        <f t="shared" si="316"/>
        <v/>
      </c>
      <c r="B10122" s="18" t="str">
        <f t="shared" si="317"/>
        <v/>
      </c>
    </row>
    <row r="10123" spans="1:2" x14ac:dyDescent="0.25">
      <c r="A10123" s="15" t="str">
        <f t="shared" si="316"/>
        <v/>
      </c>
      <c r="B10123" s="18" t="str">
        <f t="shared" si="317"/>
        <v/>
      </c>
    </row>
    <row r="10124" spans="1:2" x14ac:dyDescent="0.25">
      <c r="A10124" s="15" t="str">
        <f t="shared" si="316"/>
        <v/>
      </c>
      <c r="B10124" s="18" t="str">
        <f t="shared" si="317"/>
        <v/>
      </c>
    </row>
    <row r="10125" spans="1:2" x14ac:dyDescent="0.25">
      <c r="A10125" s="15" t="str">
        <f t="shared" si="316"/>
        <v/>
      </c>
      <c r="B10125" s="18" t="str">
        <f t="shared" si="317"/>
        <v/>
      </c>
    </row>
    <row r="10126" spans="1:2" x14ac:dyDescent="0.25">
      <c r="A10126" s="15" t="str">
        <f t="shared" si="316"/>
        <v/>
      </c>
      <c r="B10126" s="18" t="str">
        <f t="shared" si="317"/>
        <v/>
      </c>
    </row>
    <row r="10127" spans="1:2" x14ac:dyDescent="0.25">
      <c r="A10127" s="15" t="str">
        <f t="shared" si="316"/>
        <v/>
      </c>
      <c r="B10127" s="18" t="str">
        <f t="shared" si="317"/>
        <v/>
      </c>
    </row>
    <row r="10128" spans="1:2" x14ac:dyDescent="0.25">
      <c r="A10128" s="15" t="str">
        <f t="shared" si="316"/>
        <v/>
      </c>
      <c r="B10128" s="18" t="str">
        <f t="shared" si="317"/>
        <v/>
      </c>
    </row>
    <row r="10129" spans="1:2" x14ac:dyDescent="0.25">
      <c r="A10129" s="15" t="str">
        <f t="shared" si="316"/>
        <v/>
      </c>
      <c r="B10129" s="18" t="str">
        <f t="shared" si="317"/>
        <v/>
      </c>
    </row>
    <row r="10130" spans="1:2" x14ac:dyDescent="0.25">
      <c r="A10130" s="15" t="str">
        <f t="shared" si="316"/>
        <v/>
      </c>
      <c r="B10130" s="18" t="str">
        <f t="shared" si="317"/>
        <v/>
      </c>
    </row>
    <row r="10131" spans="1:2" x14ac:dyDescent="0.25">
      <c r="A10131" s="15" t="str">
        <f t="shared" si="316"/>
        <v/>
      </c>
      <c r="B10131" s="18" t="str">
        <f t="shared" si="317"/>
        <v/>
      </c>
    </row>
    <row r="10132" spans="1:2" x14ac:dyDescent="0.25">
      <c r="A10132" s="15" t="str">
        <f t="shared" si="316"/>
        <v/>
      </c>
      <c r="B10132" s="18" t="str">
        <f t="shared" si="317"/>
        <v/>
      </c>
    </row>
    <row r="10133" spans="1:2" x14ac:dyDescent="0.25">
      <c r="A10133" s="15" t="str">
        <f t="shared" si="316"/>
        <v/>
      </c>
      <c r="B10133" s="18" t="str">
        <f t="shared" si="317"/>
        <v/>
      </c>
    </row>
    <row r="10134" spans="1:2" x14ac:dyDescent="0.25">
      <c r="A10134" s="15" t="str">
        <f t="shared" si="316"/>
        <v/>
      </c>
      <c r="B10134" s="18" t="str">
        <f t="shared" si="317"/>
        <v/>
      </c>
    </row>
    <row r="10135" spans="1:2" x14ac:dyDescent="0.25">
      <c r="A10135" s="15" t="str">
        <f t="shared" si="316"/>
        <v/>
      </c>
      <c r="B10135" s="18" t="str">
        <f t="shared" si="317"/>
        <v/>
      </c>
    </row>
    <row r="10136" spans="1:2" x14ac:dyDescent="0.25">
      <c r="A10136" s="15" t="str">
        <f t="shared" si="316"/>
        <v/>
      </c>
      <c r="B10136" s="18" t="str">
        <f t="shared" si="317"/>
        <v/>
      </c>
    </row>
    <row r="10137" spans="1:2" x14ac:dyDescent="0.25">
      <c r="A10137" s="15" t="str">
        <f t="shared" si="316"/>
        <v/>
      </c>
      <c r="B10137" s="18" t="str">
        <f t="shared" si="317"/>
        <v/>
      </c>
    </row>
    <row r="10138" spans="1:2" x14ac:dyDescent="0.25">
      <c r="A10138" s="15" t="str">
        <f t="shared" si="316"/>
        <v/>
      </c>
      <c r="B10138" s="18" t="str">
        <f t="shared" si="317"/>
        <v/>
      </c>
    </row>
    <row r="10139" spans="1:2" x14ac:dyDescent="0.25">
      <c r="A10139" s="15" t="str">
        <f t="shared" si="316"/>
        <v/>
      </c>
      <c r="B10139" s="18" t="str">
        <f t="shared" si="317"/>
        <v/>
      </c>
    </row>
    <row r="10140" spans="1:2" x14ac:dyDescent="0.25">
      <c r="A10140" s="15" t="str">
        <f t="shared" si="316"/>
        <v/>
      </c>
      <c r="B10140" s="18" t="str">
        <f t="shared" si="317"/>
        <v/>
      </c>
    </row>
    <row r="10141" spans="1:2" x14ac:dyDescent="0.25">
      <c r="A10141" s="15" t="str">
        <f t="shared" si="316"/>
        <v/>
      </c>
      <c r="B10141" s="18" t="str">
        <f t="shared" si="317"/>
        <v/>
      </c>
    </row>
    <row r="10142" spans="1:2" x14ac:dyDescent="0.25">
      <c r="A10142" s="15" t="str">
        <f t="shared" si="316"/>
        <v/>
      </c>
      <c r="B10142" s="18" t="str">
        <f t="shared" si="317"/>
        <v/>
      </c>
    </row>
    <row r="10143" spans="1:2" x14ac:dyDescent="0.25">
      <c r="A10143" s="15" t="str">
        <f t="shared" si="316"/>
        <v/>
      </c>
      <c r="B10143" s="18" t="str">
        <f t="shared" si="317"/>
        <v/>
      </c>
    </row>
    <row r="10144" spans="1:2" x14ac:dyDescent="0.25">
      <c r="A10144" s="15" t="str">
        <f t="shared" si="316"/>
        <v/>
      </c>
      <c r="B10144" s="18" t="str">
        <f t="shared" si="317"/>
        <v/>
      </c>
    </row>
    <row r="10145" spans="1:2" x14ac:dyDescent="0.25">
      <c r="A10145" s="15" t="str">
        <f t="shared" si="316"/>
        <v/>
      </c>
      <c r="B10145" s="18" t="str">
        <f t="shared" si="317"/>
        <v/>
      </c>
    </row>
    <row r="10146" spans="1:2" x14ac:dyDescent="0.25">
      <c r="A10146" s="15" t="str">
        <f t="shared" si="316"/>
        <v/>
      </c>
      <c r="B10146" s="18" t="str">
        <f t="shared" si="317"/>
        <v/>
      </c>
    </row>
    <row r="10147" spans="1:2" x14ac:dyDescent="0.25">
      <c r="A10147" s="15" t="str">
        <f t="shared" si="316"/>
        <v/>
      </c>
      <c r="B10147" s="18" t="str">
        <f t="shared" si="317"/>
        <v/>
      </c>
    </row>
    <row r="10148" spans="1:2" x14ac:dyDescent="0.25">
      <c r="A10148" s="15" t="str">
        <f t="shared" si="316"/>
        <v/>
      </c>
      <c r="B10148" s="18" t="str">
        <f t="shared" si="317"/>
        <v/>
      </c>
    </row>
    <row r="10149" spans="1:2" x14ac:dyDescent="0.25">
      <c r="A10149" s="15" t="str">
        <f t="shared" si="316"/>
        <v/>
      </c>
      <c r="B10149" s="18" t="str">
        <f t="shared" si="317"/>
        <v/>
      </c>
    </row>
    <row r="10150" spans="1:2" x14ac:dyDescent="0.25">
      <c r="A10150" s="15" t="str">
        <f t="shared" si="316"/>
        <v/>
      </c>
      <c r="B10150" s="18" t="str">
        <f t="shared" si="317"/>
        <v/>
      </c>
    </row>
    <row r="10151" spans="1:2" x14ac:dyDescent="0.25">
      <c r="A10151" s="15" t="str">
        <f t="shared" si="316"/>
        <v/>
      </c>
      <c r="B10151" s="18" t="str">
        <f t="shared" si="317"/>
        <v/>
      </c>
    </row>
    <row r="10152" spans="1:2" x14ac:dyDescent="0.25">
      <c r="A10152" s="15" t="str">
        <f t="shared" si="316"/>
        <v/>
      </c>
      <c r="B10152" s="18" t="str">
        <f t="shared" si="317"/>
        <v/>
      </c>
    </row>
    <row r="10153" spans="1:2" x14ac:dyDescent="0.25">
      <c r="A10153" s="15" t="str">
        <f t="shared" si="316"/>
        <v/>
      </c>
      <c r="B10153" s="18" t="str">
        <f t="shared" si="317"/>
        <v/>
      </c>
    </row>
    <row r="10154" spans="1:2" x14ac:dyDescent="0.25">
      <c r="A10154" s="15" t="str">
        <f t="shared" si="316"/>
        <v/>
      </c>
      <c r="B10154" s="18" t="str">
        <f t="shared" si="317"/>
        <v/>
      </c>
    </row>
    <row r="10155" spans="1:2" x14ac:dyDescent="0.25">
      <c r="A10155" s="15" t="str">
        <f t="shared" si="316"/>
        <v/>
      </c>
      <c r="B10155" s="18" t="str">
        <f t="shared" si="317"/>
        <v/>
      </c>
    </row>
    <row r="10156" spans="1:2" x14ac:dyDescent="0.25">
      <c r="A10156" s="15" t="str">
        <f t="shared" si="316"/>
        <v/>
      </c>
      <c r="B10156" s="18" t="str">
        <f t="shared" si="317"/>
        <v/>
      </c>
    </row>
    <row r="10157" spans="1:2" x14ac:dyDescent="0.25">
      <c r="A10157" s="15" t="str">
        <f t="shared" si="316"/>
        <v/>
      </c>
      <c r="B10157" s="18" t="str">
        <f t="shared" si="317"/>
        <v/>
      </c>
    </row>
    <row r="10158" spans="1:2" x14ac:dyDescent="0.25">
      <c r="A10158" s="15" t="str">
        <f t="shared" si="316"/>
        <v/>
      </c>
      <c r="B10158" s="18" t="str">
        <f t="shared" si="317"/>
        <v/>
      </c>
    </row>
    <row r="10159" spans="1:2" x14ac:dyDescent="0.25">
      <c r="A10159" s="15" t="str">
        <f t="shared" si="316"/>
        <v/>
      </c>
      <c r="B10159" s="18" t="str">
        <f t="shared" si="317"/>
        <v/>
      </c>
    </row>
    <row r="10160" spans="1:2" x14ac:dyDescent="0.25">
      <c r="A10160" s="15" t="str">
        <f t="shared" si="316"/>
        <v/>
      </c>
      <c r="B10160" s="18" t="str">
        <f t="shared" si="317"/>
        <v/>
      </c>
    </row>
    <row r="10161" spans="1:2" x14ac:dyDescent="0.25">
      <c r="A10161" s="15" t="str">
        <f t="shared" si="316"/>
        <v/>
      </c>
      <c r="B10161" s="18" t="str">
        <f t="shared" si="317"/>
        <v/>
      </c>
    </row>
    <row r="10162" spans="1:2" x14ac:dyDescent="0.25">
      <c r="A10162" s="15" t="str">
        <f t="shared" si="316"/>
        <v/>
      </c>
      <c r="B10162" s="18" t="str">
        <f t="shared" si="317"/>
        <v/>
      </c>
    </row>
    <row r="10163" spans="1:2" x14ac:dyDescent="0.25">
      <c r="A10163" s="15" t="str">
        <f t="shared" si="316"/>
        <v/>
      </c>
      <c r="B10163" s="18" t="str">
        <f t="shared" si="317"/>
        <v/>
      </c>
    </row>
    <row r="10164" spans="1:2" x14ac:dyDescent="0.25">
      <c r="A10164" s="15" t="str">
        <f t="shared" si="316"/>
        <v/>
      </c>
      <c r="B10164" s="18" t="str">
        <f t="shared" si="317"/>
        <v/>
      </c>
    </row>
    <row r="10165" spans="1:2" x14ac:dyDescent="0.25">
      <c r="A10165" s="15" t="str">
        <f t="shared" si="316"/>
        <v/>
      </c>
      <c r="B10165" s="18" t="str">
        <f t="shared" si="317"/>
        <v/>
      </c>
    </row>
    <row r="10166" spans="1:2" x14ac:dyDescent="0.25">
      <c r="A10166" s="15" t="str">
        <f t="shared" si="316"/>
        <v/>
      </c>
      <c r="B10166" s="18" t="str">
        <f t="shared" si="317"/>
        <v/>
      </c>
    </row>
    <row r="10167" spans="1:2" x14ac:dyDescent="0.25">
      <c r="A10167" s="15" t="str">
        <f t="shared" si="316"/>
        <v/>
      </c>
      <c r="B10167" s="18" t="str">
        <f t="shared" si="317"/>
        <v/>
      </c>
    </row>
    <row r="10168" spans="1:2" x14ac:dyDescent="0.25">
      <c r="A10168" s="15" t="str">
        <f t="shared" si="316"/>
        <v/>
      </c>
      <c r="B10168" s="18" t="str">
        <f t="shared" si="317"/>
        <v/>
      </c>
    </row>
    <row r="10169" spans="1:2" x14ac:dyDescent="0.25">
      <c r="A10169" s="15" t="str">
        <f t="shared" si="316"/>
        <v/>
      </c>
      <c r="B10169" s="18" t="str">
        <f t="shared" si="317"/>
        <v/>
      </c>
    </row>
    <row r="10170" spans="1:2" x14ac:dyDescent="0.25">
      <c r="A10170" s="15" t="str">
        <f t="shared" si="316"/>
        <v/>
      </c>
      <c r="B10170" s="18" t="str">
        <f t="shared" si="317"/>
        <v/>
      </c>
    </row>
    <row r="10171" spans="1:2" x14ac:dyDescent="0.25">
      <c r="A10171" s="15" t="str">
        <f t="shared" si="316"/>
        <v/>
      </c>
      <c r="B10171" s="18" t="str">
        <f t="shared" si="317"/>
        <v/>
      </c>
    </row>
    <row r="10172" spans="1:2" x14ac:dyDescent="0.25">
      <c r="A10172" s="15" t="str">
        <f t="shared" si="316"/>
        <v/>
      </c>
      <c r="B10172" s="18" t="str">
        <f t="shared" si="317"/>
        <v/>
      </c>
    </row>
    <row r="10173" spans="1:2" x14ac:dyDescent="0.25">
      <c r="A10173" s="15" t="str">
        <f t="shared" si="316"/>
        <v/>
      </c>
      <c r="B10173" s="18" t="str">
        <f t="shared" si="317"/>
        <v/>
      </c>
    </row>
    <row r="10174" spans="1:2" x14ac:dyDescent="0.25">
      <c r="A10174" s="15" t="str">
        <f t="shared" si="316"/>
        <v/>
      </c>
      <c r="B10174" s="18" t="str">
        <f t="shared" si="317"/>
        <v/>
      </c>
    </row>
    <row r="10175" spans="1:2" x14ac:dyDescent="0.25">
      <c r="A10175" s="15" t="str">
        <f t="shared" si="316"/>
        <v/>
      </c>
      <c r="B10175" s="18" t="str">
        <f t="shared" si="317"/>
        <v/>
      </c>
    </row>
    <row r="10176" spans="1:2" x14ac:dyDescent="0.25">
      <c r="A10176" s="15" t="str">
        <f t="shared" si="316"/>
        <v/>
      </c>
      <c r="B10176" s="18" t="str">
        <f t="shared" si="317"/>
        <v/>
      </c>
    </row>
    <row r="10177" spans="1:2" x14ac:dyDescent="0.25">
      <c r="A10177" s="15" t="str">
        <f t="shared" si="316"/>
        <v/>
      </c>
      <c r="B10177" s="18" t="str">
        <f t="shared" si="317"/>
        <v/>
      </c>
    </row>
    <row r="10178" spans="1:2" x14ac:dyDescent="0.25">
      <c r="A10178" s="15" t="str">
        <f t="shared" ref="A10178:A10241" si="318">B10178&amp;C10178</f>
        <v/>
      </c>
      <c r="B10178" s="18" t="str">
        <f t="shared" si="317"/>
        <v/>
      </c>
    </row>
    <row r="10179" spans="1:2" x14ac:dyDescent="0.25">
      <c r="A10179" s="15" t="str">
        <f t="shared" si="318"/>
        <v/>
      </c>
      <c r="B10179" s="18" t="str">
        <f t="shared" ref="B10179:B10242" si="319">IF(C10179="","",B10178)</f>
        <v/>
      </c>
    </row>
    <row r="10180" spans="1:2" x14ac:dyDescent="0.25">
      <c r="A10180" s="15" t="str">
        <f t="shared" si="318"/>
        <v/>
      </c>
      <c r="B10180" s="18" t="str">
        <f t="shared" si="319"/>
        <v/>
      </c>
    </row>
    <row r="10181" spans="1:2" x14ac:dyDescent="0.25">
      <c r="A10181" s="15" t="str">
        <f t="shared" si="318"/>
        <v/>
      </c>
      <c r="B10181" s="18" t="str">
        <f t="shared" si="319"/>
        <v/>
      </c>
    </row>
    <row r="10182" spans="1:2" x14ac:dyDescent="0.25">
      <c r="A10182" s="15" t="str">
        <f t="shared" si="318"/>
        <v/>
      </c>
      <c r="B10182" s="18" t="str">
        <f t="shared" si="319"/>
        <v/>
      </c>
    </row>
    <row r="10183" spans="1:2" x14ac:dyDescent="0.25">
      <c r="A10183" s="15" t="str">
        <f t="shared" si="318"/>
        <v/>
      </c>
      <c r="B10183" s="18" t="str">
        <f t="shared" si="319"/>
        <v/>
      </c>
    </row>
    <row r="10184" spans="1:2" x14ac:dyDescent="0.25">
      <c r="A10184" s="15" t="str">
        <f t="shared" si="318"/>
        <v/>
      </c>
      <c r="B10184" s="18" t="str">
        <f t="shared" si="319"/>
        <v/>
      </c>
    </row>
    <row r="10185" spans="1:2" x14ac:dyDescent="0.25">
      <c r="A10185" s="15" t="str">
        <f t="shared" si="318"/>
        <v/>
      </c>
      <c r="B10185" s="18" t="str">
        <f t="shared" si="319"/>
        <v/>
      </c>
    </row>
    <row r="10186" spans="1:2" x14ac:dyDescent="0.25">
      <c r="A10186" s="15" t="str">
        <f t="shared" si="318"/>
        <v/>
      </c>
      <c r="B10186" s="18" t="str">
        <f t="shared" si="319"/>
        <v/>
      </c>
    </row>
    <row r="10187" spans="1:2" x14ac:dyDescent="0.25">
      <c r="A10187" s="15" t="str">
        <f t="shared" si="318"/>
        <v/>
      </c>
      <c r="B10187" s="18" t="str">
        <f t="shared" si="319"/>
        <v/>
      </c>
    </row>
    <row r="10188" spans="1:2" x14ac:dyDescent="0.25">
      <c r="A10188" s="15" t="str">
        <f t="shared" si="318"/>
        <v/>
      </c>
      <c r="B10188" s="18" t="str">
        <f t="shared" si="319"/>
        <v/>
      </c>
    </row>
    <row r="10189" spans="1:2" x14ac:dyDescent="0.25">
      <c r="A10189" s="15" t="str">
        <f t="shared" si="318"/>
        <v/>
      </c>
      <c r="B10189" s="18" t="str">
        <f t="shared" si="319"/>
        <v/>
      </c>
    </row>
    <row r="10190" spans="1:2" x14ac:dyDescent="0.25">
      <c r="A10190" s="15" t="str">
        <f t="shared" si="318"/>
        <v/>
      </c>
      <c r="B10190" s="18" t="str">
        <f t="shared" si="319"/>
        <v/>
      </c>
    </row>
    <row r="10191" spans="1:2" x14ac:dyDescent="0.25">
      <c r="A10191" s="15" t="str">
        <f t="shared" si="318"/>
        <v/>
      </c>
      <c r="B10191" s="18" t="str">
        <f t="shared" si="319"/>
        <v/>
      </c>
    </row>
    <row r="10192" spans="1:2" x14ac:dyDescent="0.25">
      <c r="A10192" s="15" t="str">
        <f t="shared" si="318"/>
        <v/>
      </c>
      <c r="B10192" s="18" t="str">
        <f t="shared" si="319"/>
        <v/>
      </c>
    </row>
    <row r="10193" spans="1:2" x14ac:dyDescent="0.25">
      <c r="A10193" s="15" t="str">
        <f t="shared" si="318"/>
        <v/>
      </c>
      <c r="B10193" s="18" t="str">
        <f t="shared" si="319"/>
        <v/>
      </c>
    </row>
    <row r="10194" spans="1:2" x14ac:dyDescent="0.25">
      <c r="A10194" s="15" t="str">
        <f t="shared" si="318"/>
        <v/>
      </c>
      <c r="B10194" s="18" t="str">
        <f t="shared" si="319"/>
        <v/>
      </c>
    </row>
    <row r="10195" spans="1:2" x14ac:dyDescent="0.25">
      <c r="A10195" s="15" t="str">
        <f t="shared" si="318"/>
        <v/>
      </c>
      <c r="B10195" s="18" t="str">
        <f t="shared" si="319"/>
        <v/>
      </c>
    </row>
    <row r="10196" spans="1:2" x14ac:dyDescent="0.25">
      <c r="A10196" s="15" t="str">
        <f t="shared" si="318"/>
        <v/>
      </c>
      <c r="B10196" s="18" t="str">
        <f t="shared" si="319"/>
        <v/>
      </c>
    </row>
    <row r="10197" spans="1:2" x14ac:dyDescent="0.25">
      <c r="A10197" s="15" t="str">
        <f t="shared" si="318"/>
        <v/>
      </c>
      <c r="B10197" s="18" t="str">
        <f t="shared" si="319"/>
        <v/>
      </c>
    </row>
    <row r="10198" spans="1:2" x14ac:dyDescent="0.25">
      <c r="A10198" s="15" t="str">
        <f t="shared" si="318"/>
        <v/>
      </c>
      <c r="B10198" s="18" t="str">
        <f t="shared" si="319"/>
        <v/>
      </c>
    </row>
    <row r="10199" spans="1:2" x14ac:dyDescent="0.25">
      <c r="A10199" s="15" t="str">
        <f t="shared" si="318"/>
        <v/>
      </c>
      <c r="B10199" s="18" t="str">
        <f t="shared" si="319"/>
        <v/>
      </c>
    </row>
    <row r="10200" spans="1:2" x14ac:dyDescent="0.25">
      <c r="A10200" s="15" t="str">
        <f t="shared" si="318"/>
        <v/>
      </c>
      <c r="B10200" s="18" t="str">
        <f t="shared" si="319"/>
        <v/>
      </c>
    </row>
    <row r="10201" spans="1:2" x14ac:dyDescent="0.25">
      <c r="A10201" s="15" t="str">
        <f t="shared" si="318"/>
        <v/>
      </c>
      <c r="B10201" s="18" t="str">
        <f t="shared" si="319"/>
        <v/>
      </c>
    </row>
    <row r="10202" spans="1:2" x14ac:dyDescent="0.25">
      <c r="A10202" s="15" t="str">
        <f t="shared" si="318"/>
        <v/>
      </c>
      <c r="B10202" s="18" t="str">
        <f t="shared" si="319"/>
        <v/>
      </c>
    </row>
    <row r="10203" spans="1:2" x14ac:dyDescent="0.25">
      <c r="A10203" s="15" t="str">
        <f t="shared" si="318"/>
        <v/>
      </c>
      <c r="B10203" s="18" t="str">
        <f t="shared" si="319"/>
        <v/>
      </c>
    </row>
    <row r="10204" spans="1:2" x14ac:dyDescent="0.25">
      <c r="A10204" s="15" t="str">
        <f t="shared" si="318"/>
        <v/>
      </c>
      <c r="B10204" s="18" t="str">
        <f t="shared" si="319"/>
        <v/>
      </c>
    </row>
    <row r="10205" spans="1:2" x14ac:dyDescent="0.25">
      <c r="A10205" s="15" t="str">
        <f t="shared" si="318"/>
        <v/>
      </c>
      <c r="B10205" s="18" t="str">
        <f t="shared" si="319"/>
        <v/>
      </c>
    </row>
    <row r="10206" spans="1:2" x14ac:dyDescent="0.25">
      <c r="A10206" s="15" t="str">
        <f t="shared" si="318"/>
        <v/>
      </c>
      <c r="B10206" s="18" t="str">
        <f t="shared" si="319"/>
        <v/>
      </c>
    </row>
    <row r="10207" spans="1:2" x14ac:dyDescent="0.25">
      <c r="A10207" s="15" t="str">
        <f t="shared" si="318"/>
        <v/>
      </c>
      <c r="B10207" s="18" t="str">
        <f t="shared" si="319"/>
        <v/>
      </c>
    </row>
    <row r="10208" spans="1:2" x14ac:dyDescent="0.25">
      <c r="A10208" s="15" t="str">
        <f t="shared" si="318"/>
        <v/>
      </c>
      <c r="B10208" s="18" t="str">
        <f t="shared" si="319"/>
        <v/>
      </c>
    </row>
    <row r="10209" spans="1:2" x14ac:dyDescent="0.25">
      <c r="A10209" s="15" t="str">
        <f t="shared" si="318"/>
        <v/>
      </c>
      <c r="B10209" s="18" t="str">
        <f t="shared" si="319"/>
        <v/>
      </c>
    </row>
    <row r="10210" spans="1:2" x14ac:dyDescent="0.25">
      <c r="A10210" s="15" t="str">
        <f t="shared" si="318"/>
        <v/>
      </c>
      <c r="B10210" s="18" t="str">
        <f t="shared" si="319"/>
        <v/>
      </c>
    </row>
    <row r="10211" spans="1:2" x14ac:dyDescent="0.25">
      <c r="A10211" s="15" t="str">
        <f t="shared" si="318"/>
        <v/>
      </c>
      <c r="B10211" s="18" t="str">
        <f t="shared" si="319"/>
        <v/>
      </c>
    </row>
    <row r="10212" spans="1:2" x14ac:dyDescent="0.25">
      <c r="A10212" s="15" t="str">
        <f t="shared" si="318"/>
        <v/>
      </c>
      <c r="B10212" s="18" t="str">
        <f t="shared" si="319"/>
        <v/>
      </c>
    </row>
    <row r="10213" spans="1:2" x14ac:dyDescent="0.25">
      <c r="A10213" s="15" t="str">
        <f t="shared" si="318"/>
        <v/>
      </c>
      <c r="B10213" s="18" t="str">
        <f t="shared" si="319"/>
        <v/>
      </c>
    </row>
    <row r="10214" spans="1:2" x14ac:dyDescent="0.25">
      <c r="A10214" s="15" t="str">
        <f t="shared" si="318"/>
        <v/>
      </c>
      <c r="B10214" s="18" t="str">
        <f t="shared" si="319"/>
        <v/>
      </c>
    </row>
    <row r="10215" spans="1:2" x14ac:dyDescent="0.25">
      <c r="A10215" s="15" t="str">
        <f t="shared" si="318"/>
        <v/>
      </c>
      <c r="B10215" s="18" t="str">
        <f t="shared" si="319"/>
        <v/>
      </c>
    </row>
    <row r="10216" spans="1:2" x14ac:dyDescent="0.25">
      <c r="A10216" s="15" t="str">
        <f t="shared" si="318"/>
        <v/>
      </c>
      <c r="B10216" s="18" t="str">
        <f t="shared" si="319"/>
        <v/>
      </c>
    </row>
    <row r="10217" spans="1:2" x14ac:dyDescent="0.25">
      <c r="A10217" s="15" t="str">
        <f t="shared" si="318"/>
        <v/>
      </c>
      <c r="B10217" s="18" t="str">
        <f t="shared" si="319"/>
        <v/>
      </c>
    </row>
    <row r="10218" spans="1:2" x14ac:dyDescent="0.25">
      <c r="A10218" s="15" t="str">
        <f t="shared" si="318"/>
        <v/>
      </c>
      <c r="B10218" s="18" t="str">
        <f t="shared" si="319"/>
        <v/>
      </c>
    </row>
    <row r="10219" spans="1:2" x14ac:dyDescent="0.25">
      <c r="A10219" s="15" t="str">
        <f t="shared" si="318"/>
        <v/>
      </c>
      <c r="B10219" s="18" t="str">
        <f t="shared" si="319"/>
        <v/>
      </c>
    </row>
    <row r="10220" spans="1:2" x14ac:dyDescent="0.25">
      <c r="A10220" s="15" t="str">
        <f t="shared" si="318"/>
        <v/>
      </c>
      <c r="B10220" s="18" t="str">
        <f t="shared" si="319"/>
        <v/>
      </c>
    </row>
    <row r="10221" spans="1:2" x14ac:dyDescent="0.25">
      <c r="A10221" s="15" t="str">
        <f t="shared" si="318"/>
        <v/>
      </c>
      <c r="B10221" s="18" t="str">
        <f t="shared" si="319"/>
        <v/>
      </c>
    </row>
    <row r="10222" spans="1:2" x14ac:dyDescent="0.25">
      <c r="A10222" s="15" t="str">
        <f t="shared" si="318"/>
        <v/>
      </c>
      <c r="B10222" s="18" t="str">
        <f t="shared" si="319"/>
        <v/>
      </c>
    </row>
    <row r="10223" spans="1:2" x14ac:dyDescent="0.25">
      <c r="A10223" s="15" t="str">
        <f t="shared" si="318"/>
        <v/>
      </c>
      <c r="B10223" s="18" t="str">
        <f t="shared" si="319"/>
        <v/>
      </c>
    </row>
    <row r="10224" spans="1:2" x14ac:dyDescent="0.25">
      <c r="A10224" s="15" t="str">
        <f t="shared" si="318"/>
        <v/>
      </c>
      <c r="B10224" s="18" t="str">
        <f t="shared" si="319"/>
        <v/>
      </c>
    </row>
    <row r="10225" spans="1:2" x14ac:dyDescent="0.25">
      <c r="A10225" s="15" t="str">
        <f t="shared" si="318"/>
        <v/>
      </c>
      <c r="B10225" s="18" t="str">
        <f t="shared" si="319"/>
        <v/>
      </c>
    </row>
    <row r="10226" spans="1:2" x14ac:dyDescent="0.25">
      <c r="A10226" s="15" t="str">
        <f t="shared" si="318"/>
        <v/>
      </c>
      <c r="B10226" s="18" t="str">
        <f t="shared" si="319"/>
        <v/>
      </c>
    </row>
    <row r="10227" spans="1:2" x14ac:dyDescent="0.25">
      <c r="A10227" s="15" t="str">
        <f t="shared" si="318"/>
        <v/>
      </c>
      <c r="B10227" s="18" t="str">
        <f t="shared" si="319"/>
        <v/>
      </c>
    </row>
    <row r="10228" spans="1:2" x14ac:dyDescent="0.25">
      <c r="A10228" s="15" t="str">
        <f t="shared" si="318"/>
        <v/>
      </c>
      <c r="B10228" s="18" t="str">
        <f t="shared" si="319"/>
        <v/>
      </c>
    </row>
    <row r="10229" spans="1:2" x14ac:dyDescent="0.25">
      <c r="A10229" s="15" t="str">
        <f t="shared" si="318"/>
        <v/>
      </c>
      <c r="B10229" s="18" t="str">
        <f t="shared" si="319"/>
        <v/>
      </c>
    </row>
    <row r="10230" spans="1:2" x14ac:dyDescent="0.25">
      <c r="A10230" s="15" t="str">
        <f t="shared" si="318"/>
        <v/>
      </c>
      <c r="B10230" s="18" t="str">
        <f t="shared" si="319"/>
        <v/>
      </c>
    </row>
    <row r="10231" spans="1:2" x14ac:dyDescent="0.25">
      <c r="A10231" s="15" t="str">
        <f t="shared" si="318"/>
        <v/>
      </c>
      <c r="B10231" s="18" t="str">
        <f t="shared" si="319"/>
        <v/>
      </c>
    </row>
    <row r="10232" spans="1:2" x14ac:dyDescent="0.25">
      <c r="A10232" s="15" t="str">
        <f t="shared" si="318"/>
        <v/>
      </c>
      <c r="B10232" s="18" t="str">
        <f t="shared" si="319"/>
        <v/>
      </c>
    </row>
    <row r="10233" spans="1:2" x14ac:dyDescent="0.25">
      <c r="A10233" s="15" t="str">
        <f t="shared" si="318"/>
        <v/>
      </c>
      <c r="B10233" s="18" t="str">
        <f t="shared" si="319"/>
        <v/>
      </c>
    </row>
    <row r="10234" spans="1:2" x14ac:dyDescent="0.25">
      <c r="A10234" s="15" t="str">
        <f t="shared" si="318"/>
        <v/>
      </c>
      <c r="B10234" s="18" t="str">
        <f t="shared" si="319"/>
        <v/>
      </c>
    </row>
    <row r="10235" spans="1:2" x14ac:dyDescent="0.25">
      <c r="A10235" s="15" t="str">
        <f t="shared" si="318"/>
        <v/>
      </c>
      <c r="B10235" s="18" t="str">
        <f t="shared" si="319"/>
        <v/>
      </c>
    </row>
    <row r="10236" spans="1:2" x14ac:dyDescent="0.25">
      <c r="A10236" s="15" t="str">
        <f t="shared" si="318"/>
        <v/>
      </c>
      <c r="B10236" s="18" t="str">
        <f t="shared" si="319"/>
        <v/>
      </c>
    </row>
    <row r="10237" spans="1:2" x14ac:dyDescent="0.25">
      <c r="A10237" s="15" t="str">
        <f t="shared" si="318"/>
        <v/>
      </c>
      <c r="B10237" s="18" t="str">
        <f t="shared" si="319"/>
        <v/>
      </c>
    </row>
    <row r="10238" spans="1:2" x14ac:dyDescent="0.25">
      <c r="A10238" s="15" t="str">
        <f t="shared" si="318"/>
        <v/>
      </c>
      <c r="B10238" s="18" t="str">
        <f t="shared" si="319"/>
        <v/>
      </c>
    </row>
    <row r="10239" spans="1:2" x14ac:dyDescent="0.25">
      <c r="A10239" s="15" t="str">
        <f t="shared" si="318"/>
        <v/>
      </c>
      <c r="B10239" s="18" t="str">
        <f t="shared" si="319"/>
        <v/>
      </c>
    </row>
    <row r="10240" spans="1:2" x14ac:dyDescent="0.25">
      <c r="A10240" s="15" t="str">
        <f t="shared" si="318"/>
        <v/>
      </c>
      <c r="B10240" s="18" t="str">
        <f t="shared" si="319"/>
        <v/>
      </c>
    </row>
    <row r="10241" spans="1:2" x14ac:dyDescent="0.25">
      <c r="A10241" s="15" t="str">
        <f t="shared" si="318"/>
        <v/>
      </c>
      <c r="B10241" s="18" t="str">
        <f t="shared" si="319"/>
        <v/>
      </c>
    </row>
    <row r="10242" spans="1:2" x14ac:dyDescent="0.25">
      <c r="A10242" s="15" t="str">
        <f t="shared" ref="A10242:A10304" si="320">B10242&amp;C10242</f>
        <v/>
      </c>
      <c r="B10242" s="18" t="str">
        <f t="shared" si="319"/>
        <v/>
      </c>
    </row>
    <row r="10243" spans="1:2" x14ac:dyDescent="0.25">
      <c r="A10243" s="15" t="str">
        <f t="shared" si="320"/>
        <v/>
      </c>
      <c r="B10243" s="18" t="str">
        <f t="shared" ref="B10243:B10304" si="321">IF(C10243="","",B10242)</f>
        <v/>
      </c>
    </row>
    <row r="10244" spans="1:2" x14ac:dyDescent="0.25">
      <c r="A10244" s="15" t="str">
        <f t="shared" si="320"/>
        <v/>
      </c>
      <c r="B10244" s="18" t="str">
        <f t="shared" si="321"/>
        <v/>
      </c>
    </row>
    <row r="10245" spans="1:2" x14ac:dyDescent="0.25">
      <c r="A10245" s="15" t="str">
        <f t="shared" si="320"/>
        <v/>
      </c>
      <c r="B10245" s="18" t="str">
        <f t="shared" si="321"/>
        <v/>
      </c>
    </row>
    <row r="10246" spans="1:2" x14ac:dyDescent="0.25">
      <c r="A10246" s="15" t="str">
        <f t="shared" si="320"/>
        <v/>
      </c>
      <c r="B10246" s="18" t="str">
        <f t="shared" si="321"/>
        <v/>
      </c>
    </row>
    <row r="10247" spans="1:2" x14ac:dyDescent="0.25">
      <c r="A10247" s="15" t="str">
        <f t="shared" si="320"/>
        <v/>
      </c>
      <c r="B10247" s="18" t="str">
        <f t="shared" si="321"/>
        <v/>
      </c>
    </row>
    <row r="10248" spans="1:2" x14ac:dyDescent="0.25">
      <c r="A10248" s="15" t="str">
        <f t="shared" si="320"/>
        <v/>
      </c>
      <c r="B10248" s="18" t="str">
        <f t="shared" si="321"/>
        <v/>
      </c>
    </row>
    <row r="10249" spans="1:2" x14ac:dyDescent="0.25">
      <c r="A10249" s="15" t="str">
        <f t="shared" si="320"/>
        <v/>
      </c>
      <c r="B10249" s="18" t="str">
        <f t="shared" si="321"/>
        <v/>
      </c>
    </row>
    <row r="10250" spans="1:2" x14ac:dyDescent="0.25">
      <c r="A10250" s="15" t="str">
        <f t="shared" si="320"/>
        <v/>
      </c>
      <c r="B10250" s="18" t="str">
        <f t="shared" si="321"/>
        <v/>
      </c>
    </row>
    <row r="10251" spans="1:2" x14ac:dyDescent="0.25">
      <c r="A10251" s="15" t="str">
        <f t="shared" si="320"/>
        <v/>
      </c>
      <c r="B10251" s="18" t="str">
        <f t="shared" si="321"/>
        <v/>
      </c>
    </row>
    <row r="10252" spans="1:2" x14ac:dyDescent="0.25">
      <c r="A10252" s="15" t="str">
        <f t="shared" si="320"/>
        <v/>
      </c>
      <c r="B10252" s="18" t="str">
        <f t="shared" si="321"/>
        <v/>
      </c>
    </row>
    <row r="10253" spans="1:2" x14ac:dyDescent="0.25">
      <c r="A10253" s="15" t="str">
        <f t="shared" si="320"/>
        <v/>
      </c>
      <c r="B10253" s="18" t="str">
        <f t="shared" si="321"/>
        <v/>
      </c>
    </row>
    <row r="10254" spans="1:2" x14ac:dyDescent="0.25">
      <c r="A10254" s="15" t="str">
        <f t="shared" si="320"/>
        <v/>
      </c>
      <c r="B10254" s="18" t="str">
        <f t="shared" si="321"/>
        <v/>
      </c>
    </row>
    <row r="10255" spans="1:2" x14ac:dyDescent="0.25">
      <c r="A10255" s="15" t="str">
        <f t="shared" si="320"/>
        <v/>
      </c>
      <c r="B10255" s="18" t="str">
        <f t="shared" si="321"/>
        <v/>
      </c>
    </row>
    <row r="10256" spans="1:2" x14ac:dyDescent="0.25">
      <c r="A10256" s="15" t="str">
        <f t="shared" si="320"/>
        <v/>
      </c>
      <c r="B10256" s="18" t="str">
        <f t="shared" si="321"/>
        <v/>
      </c>
    </row>
    <row r="10257" spans="1:2" x14ac:dyDescent="0.25">
      <c r="A10257" s="15" t="str">
        <f t="shared" si="320"/>
        <v/>
      </c>
      <c r="B10257" s="18" t="str">
        <f t="shared" si="321"/>
        <v/>
      </c>
    </row>
    <row r="10258" spans="1:2" x14ac:dyDescent="0.25">
      <c r="A10258" s="15" t="str">
        <f t="shared" si="320"/>
        <v/>
      </c>
      <c r="B10258" s="18" t="str">
        <f t="shared" si="321"/>
        <v/>
      </c>
    </row>
    <row r="10259" spans="1:2" x14ac:dyDescent="0.25">
      <c r="A10259" s="15" t="str">
        <f t="shared" si="320"/>
        <v/>
      </c>
      <c r="B10259" s="18" t="str">
        <f t="shared" si="321"/>
        <v/>
      </c>
    </row>
    <row r="10260" spans="1:2" x14ac:dyDescent="0.25">
      <c r="A10260" s="15" t="str">
        <f t="shared" si="320"/>
        <v/>
      </c>
      <c r="B10260" s="18" t="str">
        <f t="shared" si="321"/>
        <v/>
      </c>
    </row>
    <row r="10261" spans="1:2" x14ac:dyDescent="0.25">
      <c r="A10261" s="15" t="str">
        <f t="shared" si="320"/>
        <v/>
      </c>
      <c r="B10261" s="18" t="str">
        <f t="shared" si="321"/>
        <v/>
      </c>
    </row>
    <row r="10262" spans="1:2" x14ac:dyDescent="0.25">
      <c r="A10262" s="15" t="str">
        <f t="shared" si="320"/>
        <v/>
      </c>
      <c r="B10262" s="18" t="str">
        <f t="shared" si="321"/>
        <v/>
      </c>
    </row>
    <row r="10263" spans="1:2" x14ac:dyDescent="0.25">
      <c r="A10263" s="15" t="str">
        <f t="shared" si="320"/>
        <v/>
      </c>
      <c r="B10263" s="18" t="str">
        <f t="shared" si="321"/>
        <v/>
      </c>
    </row>
    <row r="10264" spans="1:2" x14ac:dyDescent="0.25">
      <c r="A10264" s="15" t="str">
        <f t="shared" si="320"/>
        <v/>
      </c>
      <c r="B10264" s="18" t="str">
        <f t="shared" si="321"/>
        <v/>
      </c>
    </row>
    <row r="10265" spans="1:2" x14ac:dyDescent="0.25">
      <c r="A10265" s="15" t="str">
        <f t="shared" si="320"/>
        <v/>
      </c>
      <c r="B10265" s="18" t="str">
        <f t="shared" si="321"/>
        <v/>
      </c>
    </row>
    <row r="10266" spans="1:2" x14ac:dyDescent="0.25">
      <c r="A10266" s="15" t="str">
        <f t="shared" si="320"/>
        <v/>
      </c>
      <c r="B10266" s="18" t="str">
        <f t="shared" si="321"/>
        <v/>
      </c>
    </row>
    <row r="10267" spans="1:2" x14ac:dyDescent="0.25">
      <c r="A10267" s="15" t="str">
        <f t="shared" si="320"/>
        <v/>
      </c>
      <c r="B10267" s="18" t="str">
        <f t="shared" si="321"/>
        <v/>
      </c>
    </row>
    <row r="10268" spans="1:2" x14ac:dyDescent="0.25">
      <c r="A10268" s="15" t="str">
        <f t="shared" si="320"/>
        <v/>
      </c>
      <c r="B10268" s="18" t="str">
        <f t="shared" si="321"/>
        <v/>
      </c>
    </row>
    <row r="10269" spans="1:2" x14ac:dyDescent="0.25">
      <c r="A10269" s="15" t="str">
        <f t="shared" si="320"/>
        <v/>
      </c>
      <c r="B10269" s="18" t="str">
        <f t="shared" si="321"/>
        <v/>
      </c>
    </row>
    <row r="10270" spans="1:2" x14ac:dyDescent="0.25">
      <c r="A10270" s="15" t="str">
        <f t="shared" si="320"/>
        <v/>
      </c>
      <c r="B10270" s="18" t="str">
        <f t="shared" si="321"/>
        <v/>
      </c>
    </row>
    <row r="10271" spans="1:2" x14ac:dyDescent="0.25">
      <c r="A10271" s="15" t="str">
        <f t="shared" si="320"/>
        <v/>
      </c>
      <c r="B10271" s="18" t="str">
        <f t="shared" si="321"/>
        <v/>
      </c>
    </row>
    <row r="10272" spans="1:2" x14ac:dyDescent="0.25">
      <c r="A10272" s="15" t="str">
        <f t="shared" si="320"/>
        <v/>
      </c>
      <c r="B10272" s="18" t="str">
        <f t="shared" si="321"/>
        <v/>
      </c>
    </row>
    <row r="10273" spans="1:2" x14ac:dyDescent="0.25">
      <c r="A10273" s="15" t="str">
        <f t="shared" si="320"/>
        <v/>
      </c>
      <c r="B10273" s="18" t="str">
        <f t="shared" si="321"/>
        <v/>
      </c>
    </row>
    <row r="10274" spans="1:2" x14ac:dyDescent="0.25">
      <c r="A10274" s="15" t="str">
        <f t="shared" si="320"/>
        <v/>
      </c>
      <c r="B10274" s="18" t="str">
        <f t="shared" si="321"/>
        <v/>
      </c>
    </row>
    <row r="10275" spans="1:2" x14ac:dyDescent="0.25">
      <c r="A10275" s="15" t="str">
        <f t="shared" si="320"/>
        <v/>
      </c>
      <c r="B10275" s="18" t="str">
        <f t="shared" si="321"/>
        <v/>
      </c>
    </row>
    <row r="10276" spans="1:2" x14ac:dyDescent="0.25">
      <c r="A10276" s="15" t="str">
        <f t="shared" si="320"/>
        <v/>
      </c>
      <c r="B10276" s="18" t="str">
        <f t="shared" si="321"/>
        <v/>
      </c>
    </row>
    <row r="10277" spans="1:2" x14ac:dyDescent="0.25">
      <c r="A10277" s="15" t="str">
        <f t="shared" si="320"/>
        <v/>
      </c>
      <c r="B10277" s="18" t="str">
        <f t="shared" si="321"/>
        <v/>
      </c>
    </row>
    <row r="10278" spans="1:2" x14ac:dyDescent="0.25">
      <c r="A10278" s="15" t="str">
        <f t="shared" si="320"/>
        <v/>
      </c>
      <c r="B10278" s="18" t="str">
        <f t="shared" si="321"/>
        <v/>
      </c>
    </row>
    <row r="10279" spans="1:2" x14ac:dyDescent="0.25">
      <c r="A10279" s="15" t="str">
        <f t="shared" si="320"/>
        <v/>
      </c>
      <c r="B10279" s="18" t="str">
        <f t="shared" si="321"/>
        <v/>
      </c>
    </row>
    <row r="10280" spans="1:2" x14ac:dyDescent="0.25">
      <c r="A10280" s="15" t="str">
        <f t="shared" si="320"/>
        <v/>
      </c>
      <c r="B10280" s="18" t="str">
        <f t="shared" si="321"/>
        <v/>
      </c>
    </row>
    <row r="10281" spans="1:2" x14ac:dyDescent="0.25">
      <c r="A10281" s="15" t="str">
        <f t="shared" si="320"/>
        <v/>
      </c>
      <c r="B10281" s="18" t="str">
        <f t="shared" si="321"/>
        <v/>
      </c>
    </row>
    <row r="10282" spans="1:2" x14ac:dyDescent="0.25">
      <c r="A10282" s="15" t="str">
        <f t="shared" si="320"/>
        <v/>
      </c>
      <c r="B10282" s="18" t="str">
        <f t="shared" si="321"/>
        <v/>
      </c>
    </row>
    <row r="10283" spans="1:2" x14ac:dyDescent="0.25">
      <c r="A10283" s="15" t="str">
        <f t="shared" si="320"/>
        <v/>
      </c>
      <c r="B10283" s="18" t="str">
        <f t="shared" si="321"/>
        <v/>
      </c>
    </row>
    <row r="10284" spans="1:2" x14ac:dyDescent="0.25">
      <c r="A10284" s="15" t="str">
        <f t="shared" si="320"/>
        <v/>
      </c>
      <c r="B10284" s="18" t="str">
        <f t="shared" si="321"/>
        <v/>
      </c>
    </row>
    <row r="10285" spans="1:2" x14ac:dyDescent="0.25">
      <c r="A10285" s="15" t="str">
        <f t="shared" si="320"/>
        <v/>
      </c>
      <c r="B10285" s="18" t="str">
        <f t="shared" si="321"/>
        <v/>
      </c>
    </row>
    <row r="10286" spans="1:2" x14ac:dyDescent="0.25">
      <c r="A10286" s="15" t="str">
        <f t="shared" si="320"/>
        <v/>
      </c>
      <c r="B10286" s="18" t="str">
        <f t="shared" si="321"/>
        <v/>
      </c>
    </row>
    <row r="10287" spans="1:2" x14ac:dyDescent="0.25">
      <c r="A10287" s="15" t="str">
        <f t="shared" si="320"/>
        <v/>
      </c>
      <c r="B10287" s="18" t="str">
        <f t="shared" si="321"/>
        <v/>
      </c>
    </row>
    <row r="10288" spans="1:2" x14ac:dyDescent="0.25">
      <c r="A10288" s="15" t="str">
        <f t="shared" si="320"/>
        <v/>
      </c>
      <c r="B10288" s="18" t="str">
        <f t="shared" si="321"/>
        <v/>
      </c>
    </row>
    <row r="10289" spans="1:2" x14ac:dyDescent="0.25">
      <c r="A10289" s="15" t="str">
        <f t="shared" si="320"/>
        <v/>
      </c>
      <c r="B10289" s="18" t="str">
        <f t="shared" si="321"/>
        <v/>
      </c>
    </row>
    <row r="10290" spans="1:2" x14ac:dyDescent="0.25">
      <c r="A10290" s="15" t="str">
        <f t="shared" si="320"/>
        <v/>
      </c>
      <c r="B10290" s="18" t="str">
        <f t="shared" si="321"/>
        <v/>
      </c>
    </row>
    <row r="10291" spans="1:2" x14ac:dyDescent="0.25">
      <c r="A10291" s="15" t="str">
        <f t="shared" si="320"/>
        <v/>
      </c>
      <c r="B10291" s="18" t="str">
        <f t="shared" si="321"/>
        <v/>
      </c>
    </row>
    <row r="10292" spans="1:2" x14ac:dyDescent="0.25">
      <c r="A10292" s="15" t="str">
        <f t="shared" si="320"/>
        <v/>
      </c>
      <c r="B10292" s="18" t="str">
        <f t="shared" si="321"/>
        <v/>
      </c>
    </row>
    <row r="10293" spans="1:2" x14ac:dyDescent="0.25">
      <c r="A10293" s="15" t="str">
        <f t="shared" si="320"/>
        <v/>
      </c>
      <c r="B10293" s="18" t="str">
        <f t="shared" si="321"/>
        <v/>
      </c>
    </row>
    <row r="10294" spans="1:2" x14ac:dyDescent="0.25">
      <c r="A10294" s="15" t="str">
        <f t="shared" si="320"/>
        <v/>
      </c>
      <c r="B10294" s="18" t="str">
        <f t="shared" si="321"/>
        <v/>
      </c>
    </row>
    <row r="10295" spans="1:2" x14ac:dyDescent="0.25">
      <c r="A10295" s="15" t="str">
        <f t="shared" si="320"/>
        <v/>
      </c>
      <c r="B10295" s="18" t="str">
        <f t="shared" si="321"/>
        <v/>
      </c>
    </row>
    <row r="10296" spans="1:2" x14ac:dyDescent="0.25">
      <c r="A10296" s="15" t="str">
        <f t="shared" si="320"/>
        <v/>
      </c>
      <c r="B10296" s="18" t="str">
        <f t="shared" si="321"/>
        <v/>
      </c>
    </row>
    <row r="10297" spans="1:2" x14ac:dyDescent="0.25">
      <c r="A10297" s="15" t="str">
        <f t="shared" si="320"/>
        <v/>
      </c>
      <c r="B10297" s="18" t="str">
        <f t="shared" si="321"/>
        <v/>
      </c>
    </row>
    <row r="10298" spans="1:2" x14ac:dyDescent="0.25">
      <c r="A10298" s="15" t="str">
        <f t="shared" si="320"/>
        <v/>
      </c>
      <c r="B10298" s="18" t="str">
        <f t="shared" si="321"/>
        <v/>
      </c>
    </row>
    <row r="10299" spans="1:2" x14ac:dyDescent="0.25">
      <c r="A10299" s="15" t="str">
        <f t="shared" si="320"/>
        <v/>
      </c>
      <c r="B10299" s="18" t="str">
        <f t="shared" si="321"/>
        <v/>
      </c>
    </row>
    <row r="10300" spans="1:2" x14ac:dyDescent="0.25">
      <c r="A10300" s="15" t="str">
        <f t="shared" si="320"/>
        <v/>
      </c>
      <c r="B10300" s="18" t="str">
        <f t="shared" si="321"/>
        <v/>
      </c>
    </row>
    <row r="10301" spans="1:2" x14ac:dyDescent="0.25">
      <c r="A10301" s="15" t="str">
        <f t="shared" si="320"/>
        <v/>
      </c>
      <c r="B10301" s="18" t="str">
        <f t="shared" si="321"/>
        <v/>
      </c>
    </row>
    <row r="10302" spans="1:2" x14ac:dyDescent="0.25">
      <c r="A10302" s="15" t="str">
        <f t="shared" si="320"/>
        <v/>
      </c>
      <c r="B10302" s="18" t="str">
        <f t="shared" si="321"/>
        <v/>
      </c>
    </row>
    <row r="10303" spans="1:2" x14ac:dyDescent="0.25">
      <c r="A10303" s="15" t="str">
        <f t="shared" si="320"/>
        <v/>
      </c>
      <c r="B10303" s="18" t="str">
        <f t="shared" si="321"/>
        <v/>
      </c>
    </row>
    <row r="10304" spans="1:2" x14ac:dyDescent="0.25">
      <c r="A10304" s="15" t="str">
        <f t="shared" si="320"/>
        <v/>
      </c>
      <c r="B10304" s="18" t="str">
        <f t="shared" si="321"/>
        <v/>
      </c>
    </row>
  </sheetData>
  <autoFilter ref="A1:I10304" xr:uid="{7260A0A5-EA26-4082-8884-2CE49F2F1A69}"/>
  <customSheetViews>
    <customSheetView guid="{52D1722A-E00E-455D-B18E-AA205BA79E79}" showAutoFilter="1">
      <pane ySplit="1" topLeftCell="A17" activePane="bottomLeft" state="frozen"/>
      <selection pane="bottomLeft" activeCell="N37" sqref="N37"/>
      <pageMargins left="0.7" right="0.7" top="0.75" bottom="0.75" header="0.3" footer="0.3"/>
      <autoFilter ref="A1:I10304" xr:uid="{2C19A432-B320-45B4-8FC5-9EA1843E48FF}"/>
    </customSheetView>
  </customSheetView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638B-40E7-401E-B197-4AB595E0E8EB}">
  <sheetPr codeName="Sheet28"/>
  <dimension ref="B1:CC73"/>
  <sheetViews>
    <sheetView zoomScale="80" zoomScaleNormal="80" workbookViewId="0">
      <selection activeCell="D2" sqref="D2"/>
    </sheetView>
  </sheetViews>
  <sheetFormatPr defaultRowHeight="15" x14ac:dyDescent="0.25"/>
  <cols>
    <col min="2" max="2" width="21.85546875" customWidth="1"/>
    <col min="3" max="3" width="37.140625" customWidth="1"/>
    <col min="4" max="4" width="12.140625" style="12" customWidth="1"/>
    <col min="5" max="5" width="7.28515625" style="7" bestFit="1" customWidth="1"/>
    <col min="6" max="6" width="9.140625" style="7" customWidth="1"/>
    <col min="7" max="8" width="12.42578125" style="12" customWidth="1"/>
    <col min="9" max="9" width="6.140625" style="1" customWidth="1"/>
    <col min="10" max="10" width="5.5703125" customWidth="1"/>
    <col min="11" max="13" width="5.140625" customWidth="1"/>
    <col min="14" max="14" width="6.140625" style="1" customWidth="1"/>
    <col min="15" max="15" width="12" style="1" customWidth="1"/>
    <col min="16" max="16" width="10.5703125" style="1" customWidth="1"/>
    <col min="18" max="18" width="11.5703125" style="1" customWidth="1"/>
    <col min="19" max="19" width="3.140625" customWidth="1"/>
    <col min="20" max="20" width="12.140625" style="1" customWidth="1"/>
    <col min="21" max="21" width="11.5703125" style="1" bestFit="1" customWidth="1"/>
    <col min="22" max="22" width="2.5703125" customWidth="1"/>
    <col min="23" max="23" width="12" customWidth="1"/>
    <col min="24" max="24" width="2.5703125" customWidth="1"/>
    <col min="25" max="25" width="11.5703125" bestFit="1" customWidth="1"/>
    <col min="26" max="26" width="2.7109375" customWidth="1"/>
    <col min="27" max="27" width="12" customWidth="1"/>
    <col min="28" max="28" width="2.5703125" customWidth="1"/>
    <col min="29" max="29" width="11.5703125" customWidth="1"/>
    <col min="30" max="30" width="2.28515625" customWidth="1"/>
    <col min="31" max="31" width="12" customWidth="1"/>
    <col min="32" max="32" width="1.7109375" customWidth="1"/>
    <col min="33" max="33" width="12.5703125" customWidth="1"/>
    <col min="34" max="34" width="1.7109375" customWidth="1"/>
    <col min="35" max="35" width="12.5703125" customWidth="1"/>
    <col min="36" max="36" width="1.7109375" customWidth="1"/>
    <col min="37" max="37" width="12.5703125" customWidth="1"/>
    <col min="38" max="38" width="1.7109375" customWidth="1"/>
    <col min="39" max="39" width="12.5703125" customWidth="1"/>
    <col min="40" max="40" width="2.5703125" customWidth="1"/>
    <col min="41" max="41" width="11.85546875" customWidth="1"/>
    <col min="42" max="42" width="2.5703125" customWidth="1"/>
    <col min="43" max="43" width="11.85546875" customWidth="1"/>
    <col min="44" max="44" width="1.85546875" customWidth="1"/>
    <col min="45" max="45" width="11.5703125" style="1" bestFit="1" customWidth="1"/>
    <col min="46" max="46" width="2" customWidth="1"/>
    <col min="47" max="47" width="11.5703125" bestFit="1" customWidth="1"/>
    <col min="48" max="48" width="2" customWidth="1"/>
    <col min="49" max="49" width="11.5703125" bestFit="1" customWidth="1"/>
    <col min="50" max="50" width="1.85546875" customWidth="1"/>
    <col min="51" max="51" width="11.7109375" customWidth="1"/>
    <col min="52" max="52" width="1.85546875" customWidth="1"/>
    <col min="53" max="53" width="11.7109375" customWidth="1"/>
    <col min="54" max="54" width="2.140625" customWidth="1"/>
    <col min="55" max="55" width="11.85546875" customWidth="1"/>
    <col min="56" max="56" width="2.140625" customWidth="1"/>
    <col min="57" max="57" width="10.5703125" bestFit="1" customWidth="1"/>
    <col min="58" max="58" width="2.140625" customWidth="1"/>
    <col min="59" max="59" width="10.5703125" bestFit="1" customWidth="1"/>
    <col min="60" max="60" width="2.140625" customWidth="1"/>
    <col min="61" max="61" width="11.28515625" customWidth="1"/>
    <col min="62" max="62" width="2.42578125" customWidth="1"/>
    <col min="63" max="63" width="11.5703125" style="1" bestFit="1" customWidth="1"/>
    <col min="64" max="64" width="3" customWidth="1"/>
    <col min="65" max="65" width="11.5703125" bestFit="1" customWidth="1"/>
    <col min="66" max="66" width="3" customWidth="1"/>
    <col min="67" max="67" width="11.5703125" bestFit="1" customWidth="1"/>
    <col min="68" max="68" width="3" customWidth="1"/>
    <col min="69" max="69" width="11.5703125" bestFit="1" customWidth="1"/>
    <col min="70" max="70" width="3" customWidth="1"/>
    <col min="71" max="71" width="11.5703125" bestFit="1" customWidth="1"/>
    <col min="72" max="72" width="3.5703125" customWidth="1"/>
    <col min="73" max="73" width="11.5703125" bestFit="1" customWidth="1"/>
    <col min="74" max="74" width="3.28515625" customWidth="1"/>
    <col min="75" max="75" width="11.5703125" bestFit="1" customWidth="1"/>
    <col min="76" max="76" width="3.42578125" customWidth="1"/>
    <col min="77" max="77" width="11.5703125" bestFit="1" customWidth="1"/>
    <col min="78" max="78" width="2.85546875" customWidth="1"/>
    <col min="79" max="79" width="11.42578125" customWidth="1"/>
    <col min="80" max="80" width="3.5703125" customWidth="1"/>
    <col min="81" max="81" width="10.5703125" bestFit="1" customWidth="1"/>
  </cols>
  <sheetData>
    <row r="1" spans="2:81" x14ac:dyDescent="0.25">
      <c r="B1" s="2" t="s">
        <v>54</v>
      </c>
      <c r="C1" s="20" t="s">
        <v>50</v>
      </c>
      <c r="D1" s="22" t="s">
        <v>3482</v>
      </c>
      <c r="E1" s="23" t="s">
        <v>52</v>
      </c>
      <c r="F1" s="23" t="s">
        <v>1736</v>
      </c>
      <c r="G1" s="21" t="s">
        <v>213</v>
      </c>
      <c r="H1" s="21" t="s">
        <v>214</v>
      </c>
      <c r="I1" s="24" t="s">
        <v>1743</v>
      </c>
      <c r="J1" s="17" t="s">
        <v>1744</v>
      </c>
      <c r="K1" s="17" t="s">
        <v>286</v>
      </c>
      <c r="L1" s="17" t="s">
        <v>506</v>
      </c>
      <c r="M1" s="17" t="s">
        <v>1745</v>
      </c>
      <c r="N1" s="147"/>
      <c r="O1" s="19" t="s">
        <v>276</v>
      </c>
      <c r="P1" s="19" t="s">
        <v>254</v>
      </c>
      <c r="Q1" s="2"/>
      <c r="R1" s="19" t="s">
        <v>46</v>
      </c>
      <c r="S1" s="2"/>
      <c r="T1" s="19" t="s">
        <v>211</v>
      </c>
      <c r="U1" s="19" t="s">
        <v>249</v>
      </c>
      <c r="V1" s="2"/>
      <c r="W1" s="2" t="s">
        <v>47</v>
      </c>
      <c r="Y1" s="2" t="s">
        <v>66</v>
      </c>
      <c r="AA1" s="2" t="s">
        <v>53</v>
      </c>
      <c r="AB1" s="2"/>
      <c r="AC1" s="2" t="s">
        <v>48</v>
      </c>
      <c r="AD1" s="2"/>
      <c r="AE1" s="2" t="s">
        <v>49</v>
      </c>
      <c r="AG1" s="2" t="s">
        <v>260</v>
      </c>
      <c r="AI1" s="2" t="s">
        <v>261</v>
      </c>
      <c r="AK1" s="2" t="s">
        <v>262</v>
      </c>
      <c r="AM1" s="2" t="s">
        <v>292</v>
      </c>
      <c r="AO1" s="2" t="s">
        <v>266</v>
      </c>
      <c r="AQ1" s="2" t="s">
        <v>267</v>
      </c>
      <c r="AS1" s="19" t="s">
        <v>268</v>
      </c>
      <c r="AU1" s="2" t="s">
        <v>290</v>
      </c>
      <c r="AW1" s="2" t="s">
        <v>291</v>
      </c>
      <c r="AY1" s="2" t="s">
        <v>269</v>
      </c>
      <c r="BA1" s="2" t="s">
        <v>270</v>
      </c>
      <c r="BC1" s="2" t="s">
        <v>256</v>
      </c>
      <c r="BE1" s="2" t="s">
        <v>252</v>
      </c>
      <c r="BG1" s="2" t="s">
        <v>259</v>
      </c>
      <c r="BI1" s="2" t="s">
        <v>258</v>
      </c>
      <c r="BK1" s="19" t="s">
        <v>253</v>
      </c>
      <c r="BM1" s="2" t="s">
        <v>314</v>
      </c>
      <c r="BO1" s="2" t="s">
        <v>257</v>
      </c>
      <c r="BQ1" s="2" t="s">
        <v>318</v>
      </c>
      <c r="BS1" s="2" t="s">
        <v>67</v>
      </c>
      <c r="BU1" s="2" t="s">
        <v>69</v>
      </c>
      <c r="BW1" s="2" t="s">
        <v>68</v>
      </c>
      <c r="BY1" s="2" t="s">
        <v>71</v>
      </c>
      <c r="CA1" s="2" t="s">
        <v>78</v>
      </c>
      <c r="CC1" s="2" t="s">
        <v>1748</v>
      </c>
    </row>
    <row r="2" spans="2:81" x14ac:dyDescent="0.25">
      <c r="B2" s="5" t="s">
        <v>62</v>
      </c>
      <c r="C2" t="s">
        <v>263</v>
      </c>
      <c r="D2" s="31">
        <f>_xlfn.MINIFS(Data!$AG:$AG,Data!$AG:$AG,"&gt;=" &amp; Dash!$AB$2)</f>
        <v>46155</v>
      </c>
      <c r="E2" s="32">
        <f>_xlfn.DAYS(G2,Dash!$AB$2)</f>
        <v>12</v>
      </c>
      <c r="F2" s="32" t="str">
        <f>M2</f>
        <v>BEARISH</v>
      </c>
      <c r="G2" s="14">
        <f t="shared" ref="G2:G25" si="0">WORKDAY(D2,-1)</f>
        <v>46154</v>
      </c>
      <c r="H2" s="14">
        <f t="shared" ref="H2:H25" si="1">WORKDAY(D2,-1)</f>
        <v>46154</v>
      </c>
      <c r="I2" s="13" t="str">
        <f xml:space="preserve"> IF(AND(G2&lt;=Dash!$AB$2,H2&gt;=Dash!$AB$2),"Y","N")</f>
        <v>N</v>
      </c>
      <c r="J2" s="15" t="str">
        <f xml:space="preserve"> IF(D2&lt;=Dash!$C$3,"Y","N")</f>
        <v>N</v>
      </c>
      <c r="K2" t="s">
        <v>284</v>
      </c>
      <c r="L2" t="s">
        <v>284</v>
      </c>
      <c r="M2" t="s">
        <v>42</v>
      </c>
      <c r="O2" s="1">
        <v>45658</v>
      </c>
      <c r="P2" s="1" t="s">
        <v>1487</v>
      </c>
      <c r="R2" s="26">
        <v>45679</v>
      </c>
      <c r="S2" s="8"/>
      <c r="T2" s="1">
        <v>45675</v>
      </c>
      <c r="U2" s="1">
        <v>45687</v>
      </c>
      <c r="W2" s="1">
        <v>45686</v>
      </c>
      <c r="Y2" s="1">
        <v>45707</v>
      </c>
      <c r="AA2" s="1">
        <v>45672</v>
      </c>
      <c r="AC2" s="1">
        <v>45674</v>
      </c>
      <c r="AD2" s="1"/>
      <c r="AE2" s="1">
        <v>45744</v>
      </c>
      <c r="AG2" s="1">
        <v>45701</v>
      </c>
      <c r="AI2" s="1">
        <v>45700</v>
      </c>
      <c r="AK2" s="1">
        <v>45701</v>
      </c>
      <c r="AM2" s="1">
        <v>45700</v>
      </c>
      <c r="AO2" s="1">
        <v>45701</v>
      </c>
      <c r="AQ2" s="1">
        <v>45688</v>
      </c>
      <c r="AS2" s="1">
        <v>45687</v>
      </c>
      <c r="AU2" s="1">
        <v>45680</v>
      </c>
      <c r="AW2" s="1">
        <v>45680</v>
      </c>
      <c r="AY2" s="1">
        <v>45659</v>
      </c>
      <c r="BA2" s="1">
        <v>45664</v>
      </c>
      <c r="BC2" s="1">
        <v>45665</v>
      </c>
      <c r="BE2" s="1">
        <v>45667</v>
      </c>
      <c r="BG2" s="1">
        <v>45667</v>
      </c>
      <c r="BI2" s="1">
        <v>45699</v>
      </c>
      <c r="BK2" s="1">
        <v>45667</v>
      </c>
      <c r="BM2" s="1">
        <v>45673</v>
      </c>
      <c r="BO2" s="1">
        <v>45674</v>
      </c>
      <c r="BQ2" s="1">
        <v>45677</v>
      </c>
      <c r="BS2" s="1">
        <v>45664</v>
      </c>
      <c r="BU2" s="1">
        <v>45687</v>
      </c>
      <c r="BW2" s="1">
        <v>45673</v>
      </c>
      <c r="BY2" s="1">
        <v>45674</v>
      </c>
      <c r="CA2" s="1">
        <v>45674</v>
      </c>
      <c r="CC2" s="1">
        <v>45891</v>
      </c>
    </row>
    <row r="3" spans="2:81" x14ac:dyDescent="0.25">
      <c r="B3" s="5" t="s">
        <v>62</v>
      </c>
      <c r="C3" t="s">
        <v>264</v>
      </c>
      <c r="D3" s="31">
        <f>_xlfn.MINIFS(Data!$AI:$AI,Data!$AI:$AI,"&gt;=" &amp; Dash!$AB$2)</f>
        <v>46154</v>
      </c>
      <c r="E3" s="32">
        <f>_xlfn.DAYS(G3,Dash!$AB$2)</f>
        <v>11</v>
      </c>
      <c r="F3" s="32">
        <f t="shared" ref="F3:F42" si="2">M3</f>
        <v>0</v>
      </c>
      <c r="G3" s="14">
        <f t="shared" si="0"/>
        <v>46153</v>
      </c>
      <c r="H3" s="14">
        <f t="shared" si="1"/>
        <v>46153</v>
      </c>
      <c r="I3" s="13" t="str">
        <f xml:space="preserve"> IF(AND(G3&lt;=Dash!$AB$2,H3&gt;=Dash!$AB$2),"Y","N")</f>
        <v>N</v>
      </c>
      <c r="J3" s="15" t="str">
        <f xml:space="preserve"> IF(D3&lt;=Dash!$C$3,"Y","N")</f>
        <v>N</v>
      </c>
      <c r="K3" t="s">
        <v>285</v>
      </c>
      <c r="L3" t="s">
        <v>285</v>
      </c>
      <c r="O3" s="1">
        <v>45677</v>
      </c>
      <c r="P3" s="1" t="s">
        <v>1488</v>
      </c>
      <c r="R3" s="26">
        <v>45707</v>
      </c>
      <c r="S3" s="8"/>
      <c r="T3" s="1">
        <v>45724</v>
      </c>
      <c r="U3" s="1">
        <v>45736</v>
      </c>
      <c r="W3" s="1">
        <v>45735</v>
      </c>
      <c r="Y3" s="1">
        <v>45756</v>
      </c>
      <c r="AA3" s="1">
        <v>45721</v>
      </c>
      <c r="AC3" s="1">
        <v>45709</v>
      </c>
      <c r="AD3" s="1"/>
      <c r="AE3" s="1">
        <v>45835</v>
      </c>
      <c r="AG3" s="1">
        <v>45729</v>
      </c>
      <c r="AI3" s="1">
        <v>45728</v>
      </c>
      <c r="AK3" s="1">
        <v>45729</v>
      </c>
      <c r="AM3" s="1">
        <v>45728</v>
      </c>
      <c r="AO3" s="1">
        <v>45729</v>
      </c>
      <c r="AQ3" s="1">
        <v>45716</v>
      </c>
      <c r="AS3" s="1">
        <v>45715</v>
      </c>
      <c r="AU3" s="1">
        <v>45711</v>
      </c>
      <c r="AW3" s="1">
        <v>45711</v>
      </c>
      <c r="AY3" s="1">
        <v>45691</v>
      </c>
      <c r="BA3" s="1">
        <v>45693</v>
      </c>
      <c r="BC3" s="1">
        <v>45693</v>
      </c>
      <c r="BE3" s="1">
        <v>45695</v>
      </c>
      <c r="BG3" s="1">
        <v>45695</v>
      </c>
      <c r="BI3" s="1">
        <v>45727</v>
      </c>
      <c r="BK3" s="1">
        <v>45681</v>
      </c>
      <c r="BM3" s="1">
        <v>45706</v>
      </c>
      <c r="BO3" s="1">
        <v>45707</v>
      </c>
      <c r="BQ3" s="1">
        <v>45705</v>
      </c>
      <c r="BS3" s="1">
        <v>45693</v>
      </c>
      <c r="BU3" s="1">
        <v>45716</v>
      </c>
      <c r="BW3" s="1">
        <v>45708</v>
      </c>
      <c r="BY3" s="1">
        <v>45705</v>
      </c>
      <c r="CA3" s="1">
        <v>45705</v>
      </c>
      <c r="CC3" s="1">
        <v>46256</v>
      </c>
    </row>
    <row r="4" spans="2:81" x14ac:dyDescent="0.25">
      <c r="B4" s="5" t="s">
        <v>62</v>
      </c>
      <c r="C4" t="s">
        <v>265</v>
      </c>
      <c r="D4" s="31">
        <f>_xlfn.MINIFS(Data!$AK:$AK,Data!$AK:$AK,"&gt;=" &amp; Dash!$AB$2)</f>
        <v>46154</v>
      </c>
      <c r="E4" s="32">
        <f>_xlfn.DAYS(G4,Dash!$AB$2)</f>
        <v>11</v>
      </c>
      <c r="F4" s="32">
        <f t="shared" si="2"/>
        <v>0</v>
      </c>
      <c r="G4" s="14">
        <f t="shared" si="0"/>
        <v>46153</v>
      </c>
      <c r="H4" s="14">
        <f t="shared" si="1"/>
        <v>46153</v>
      </c>
      <c r="I4" s="13" t="str">
        <f xml:space="preserve"> IF(AND(G4&lt;=Dash!$AB$2,H4&gt;=Dash!$AB$2),"Y","N")</f>
        <v>N</v>
      </c>
      <c r="J4" s="15" t="str">
        <f xml:space="preserve"> IF(D4&lt;=Dash!$C$3,"Y","N")</f>
        <v>N</v>
      </c>
      <c r="K4" t="s">
        <v>285</v>
      </c>
      <c r="L4" t="s">
        <v>285</v>
      </c>
      <c r="O4" s="1">
        <v>45705</v>
      </c>
      <c r="P4" s="1" t="s">
        <v>277</v>
      </c>
      <c r="R4" s="26">
        <v>45734</v>
      </c>
      <c r="S4" s="8"/>
      <c r="T4" s="1">
        <v>45773</v>
      </c>
      <c r="U4" s="1">
        <v>45785</v>
      </c>
      <c r="W4" s="1">
        <v>45784</v>
      </c>
      <c r="Y4" s="1">
        <v>45805</v>
      </c>
      <c r="AA4" s="1">
        <v>45770</v>
      </c>
      <c r="AC4" s="1">
        <v>45737</v>
      </c>
      <c r="AD4" s="1"/>
      <c r="AE4" s="1">
        <v>45926</v>
      </c>
      <c r="AG4" s="1">
        <v>45758</v>
      </c>
      <c r="AI4" s="1">
        <v>45757</v>
      </c>
      <c r="AK4" s="1">
        <v>45758</v>
      </c>
      <c r="AM4" s="1">
        <v>45757</v>
      </c>
      <c r="AO4" s="1">
        <v>45758</v>
      </c>
      <c r="AQ4" s="1">
        <v>45747</v>
      </c>
      <c r="AS4" s="1">
        <v>45743</v>
      </c>
      <c r="AU4" s="1">
        <v>45739</v>
      </c>
      <c r="AW4" s="1">
        <v>45739</v>
      </c>
      <c r="AY4" s="1">
        <v>45719</v>
      </c>
      <c r="BA4" s="1">
        <v>45721</v>
      </c>
      <c r="BC4" s="1">
        <v>45721</v>
      </c>
      <c r="BE4" s="1">
        <v>45723</v>
      </c>
      <c r="BG4" s="1">
        <v>45723</v>
      </c>
      <c r="BI4" s="1">
        <v>45757</v>
      </c>
      <c r="BK4" s="1">
        <v>45702</v>
      </c>
      <c r="BM4" s="1">
        <v>45733</v>
      </c>
      <c r="BO4" s="1">
        <v>45735</v>
      </c>
      <c r="BQ4" s="1">
        <v>45733</v>
      </c>
      <c r="BS4" s="1">
        <v>45721</v>
      </c>
      <c r="BU4" s="1">
        <v>45747</v>
      </c>
      <c r="BW4" s="1">
        <v>45736</v>
      </c>
      <c r="BY4" s="1">
        <v>45733</v>
      </c>
      <c r="CA4" s="1">
        <v>45733</v>
      </c>
      <c r="CC4" s="1">
        <v>46621</v>
      </c>
    </row>
    <row r="5" spans="2:81" x14ac:dyDescent="0.25">
      <c r="B5" s="5" t="s">
        <v>62</v>
      </c>
      <c r="C5" t="s">
        <v>293</v>
      </c>
      <c r="D5" s="31">
        <f>_xlfn.MINIFS(Data!$AM:$AM,Data!$AM:$AM,"&gt;=" &amp; Dash!$AB$2)</f>
        <v>46154</v>
      </c>
      <c r="E5" s="32">
        <f>_xlfn.DAYS(G5,Dash!$AB$2)</f>
        <v>11</v>
      </c>
      <c r="F5" s="32">
        <f t="shared" si="2"/>
        <v>0</v>
      </c>
      <c r="G5" s="14">
        <f t="shared" si="0"/>
        <v>46153</v>
      </c>
      <c r="H5" s="14">
        <f t="shared" si="1"/>
        <v>46153</v>
      </c>
      <c r="I5" s="13" t="str">
        <f xml:space="preserve"> IF(AND(G5&lt;=Dash!$AB$2,H5&gt;=Dash!$AB$2),"Y","N")</f>
        <v>N</v>
      </c>
      <c r="J5" s="15" t="str">
        <f xml:space="preserve"> IF(D5&lt;=Dash!$C$3,"Y","N")</f>
        <v>N</v>
      </c>
      <c r="K5" t="s">
        <v>285</v>
      </c>
      <c r="L5" t="s">
        <v>285</v>
      </c>
      <c r="O5" s="1">
        <v>45765</v>
      </c>
      <c r="P5" s="1" t="s">
        <v>278</v>
      </c>
      <c r="R5" s="26">
        <v>45763</v>
      </c>
      <c r="S5" s="8"/>
      <c r="T5" s="1">
        <v>45815</v>
      </c>
      <c r="U5" s="1">
        <v>45827</v>
      </c>
      <c r="W5" s="1">
        <v>45826</v>
      </c>
      <c r="Y5" s="1">
        <v>45847</v>
      </c>
      <c r="AA5" s="1">
        <v>45812</v>
      </c>
      <c r="AC5" s="1">
        <v>45765</v>
      </c>
      <c r="AD5" s="1"/>
      <c r="AE5" s="1">
        <v>46017</v>
      </c>
      <c r="AG5" s="1">
        <v>45790</v>
      </c>
      <c r="AI5" s="1">
        <v>45790</v>
      </c>
      <c r="AK5" s="1">
        <v>45790</v>
      </c>
      <c r="AM5" s="1">
        <v>45790</v>
      </c>
      <c r="AO5" s="1">
        <v>45790</v>
      </c>
      <c r="AQ5" s="1">
        <v>45777</v>
      </c>
      <c r="AS5" s="1">
        <v>45777</v>
      </c>
      <c r="AU5" s="1">
        <v>45770</v>
      </c>
      <c r="AW5" s="1">
        <v>45770</v>
      </c>
      <c r="AY5" s="1">
        <v>45748</v>
      </c>
      <c r="BA5" s="1">
        <v>45750</v>
      </c>
      <c r="BC5" s="1">
        <v>45749</v>
      </c>
      <c r="BE5" s="1">
        <v>45751</v>
      </c>
      <c r="BG5" s="1">
        <v>45751</v>
      </c>
      <c r="BI5" s="1">
        <v>45789</v>
      </c>
      <c r="BK5" s="1">
        <v>45716</v>
      </c>
      <c r="BM5" s="1">
        <v>45763</v>
      </c>
      <c r="BO5" s="1">
        <v>45764</v>
      </c>
      <c r="BQ5" s="1">
        <v>45767</v>
      </c>
      <c r="BS5" s="1">
        <v>45754</v>
      </c>
      <c r="BU5" s="1">
        <v>45777</v>
      </c>
      <c r="BW5" s="1">
        <v>45764</v>
      </c>
      <c r="BY5" s="1">
        <v>45764</v>
      </c>
      <c r="CA5" s="1">
        <v>45764</v>
      </c>
      <c r="CC5" s="1">
        <v>46987</v>
      </c>
    </row>
    <row r="6" spans="2:81" x14ac:dyDescent="0.25">
      <c r="B6" s="5" t="s">
        <v>64</v>
      </c>
      <c r="C6" t="s">
        <v>82</v>
      </c>
      <c r="D6" s="31">
        <f>_xlfn.MINIFS(Data!$AO:$AO,Data!$AO:$AO,"&gt;=" &amp; Dash!$AB$2)</f>
        <v>46154</v>
      </c>
      <c r="E6" s="32">
        <f>_xlfn.DAYS(G6,Dash!$AB$2)</f>
        <v>11</v>
      </c>
      <c r="F6" s="32" t="str">
        <f t="shared" si="2"/>
        <v>BEARISH</v>
      </c>
      <c r="G6" s="14">
        <f t="shared" si="0"/>
        <v>46153</v>
      </c>
      <c r="H6" s="14">
        <f t="shared" si="1"/>
        <v>46153</v>
      </c>
      <c r="I6" s="13" t="str">
        <f xml:space="preserve"> IF(AND(G6&lt;=Dash!$AB$2,H6&gt;=Dash!$AB$2),"Y","N")</f>
        <v>N</v>
      </c>
      <c r="J6" s="15" t="str">
        <f xml:space="preserve"> IF(D6&lt;=Dash!$C$3,"Y","N")</f>
        <v>N</v>
      </c>
      <c r="K6" t="s">
        <v>285</v>
      </c>
      <c r="L6" t="s">
        <v>284</v>
      </c>
      <c r="M6" t="s">
        <v>42</v>
      </c>
      <c r="O6" s="1">
        <v>45803</v>
      </c>
      <c r="P6" s="1" t="s">
        <v>279</v>
      </c>
      <c r="R6" s="26">
        <v>45798</v>
      </c>
      <c r="S6" s="8"/>
      <c r="T6" s="1">
        <v>45857</v>
      </c>
      <c r="U6" s="1">
        <v>45869</v>
      </c>
      <c r="W6" s="1">
        <v>45868</v>
      </c>
      <c r="Y6" s="1">
        <v>45889</v>
      </c>
      <c r="AA6" s="1">
        <v>45854</v>
      </c>
      <c r="AC6" s="1">
        <v>45793</v>
      </c>
      <c r="AD6" s="1"/>
      <c r="AE6" s="1">
        <v>46108</v>
      </c>
      <c r="AG6" s="1">
        <v>45821</v>
      </c>
      <c r="AI6" s="1">
        <v>45819</v>
      </c>
      <c r="AK6" s="1">
        <v>45819</v>
      </c>
      <c r="AM6" s="1">
        <v>45819</v>
      </c>
      <c r="AO6" s="1">
        <v>45819</v>
      </c>
      <c r="AQ6" s="1">
        <v>45807</v>
      </c>
      <c r="AS6" s="1">
        <v>45806</v>
      </c>
      <c r="AU6" s="1">
        <v>45800</v>
      </c>
      <c r="AW6" s="1">
        <v>45800</v>
      </c>
      <c r="AY6" s="1">
        <v>45778</v>
      </c>
      <c r="BA6" s="1">
        <v>45782</v>
      </c>
      <c r="BC6" s="1">
        <v>45784</v>
      </c>
      <c r="BE6" s="1">
        <v>45779</v>
      </c>
      <c r="BG6" s="1">
        <v>45779</v>
      </c>
      <c r="BI6" s="1">
        <v>45818</v>
      </c>
      <c r="BK6" s="1">
        <v>45730</v>
      </c>
      <c r="BM6" s="1">
        <v>45792</v>
      </c>
      <c r="BO6" s="1">
        <v>45793</v>
      </c>
      <c r="BQ6" s="1">
        <v>45795</v>
      </c>
      <c r="BS6" s="1">
        <v>45784</v>
      </c>
      <c r="BU6" s="1">
        <v>45807</v>
      </c>
      <c r="BW6" s="1">
        <v>45792</v>
      </c>
      <c r="BY6" s="1">
        <v>45793</v>
      </c>
      <c r="CA6" s="1">
        <v>45793</v>
      </c>
      <c r="CC6" s="1">
        <v>47352</v>
      </c>
    </row>
    <row r="7" spans="2:81" x14ac:dyDescent="0.25">
      <c r="B7" s="5" t="s">
        <v>58</v>
      </c>
      <c r="C7" t="s">
        <v>80</v>
      </c>
      <c r="D7" s="31">
        <f>_xlfn.MINIFS(Data!$AQ:$AQ,Data!$AQ:$AQ,"&gt;=" &amp; Dash!$AB$2)</f>
        <v>46142</v>
      </c>
      <c r="E7" s="32">
        <f>_xlfn.DAYS(G7,Dash!$AB$2)</f>
        <v>-1</v>
      </c>
      <c r="F7" s="32">
        <f t="shared" si="2"/>
        <v>0</v>
      </c>
      <c r="G7" s="14">
        <f t="shared" si="0"/>
        <v>46141</v>
      </c>
      <c r="H7" s="14">
        <f t="shared" si="1"/>
        <v>46141</v>
      </c>
      <c r="I7" s="13" t="str">
        <f xml:space="preserve"> IF(AND(G7&lt;=Dash!$AB$2,H7&gt;=Dash!$AB$2),"Y","N")</f>
        <v>N</v>
      </c>
      <c r="J7" s="15" t="str">
        <f xml:space="preserve"> IF(D7&lt;=Dash!$C$3,"Y","N")</f>
        <v>Y</v>
      </c>
      <c r="K7" t="s">
        <v>284</v>
      </c>
      <c r="L7" t="s">
        <v>284</v>
      </c>
      <c r="O7" s="1">
        <v>45827</v>
      </c>
      <c r="P7" s="1" t="s">
        <v>1489</v>
      </c>
      <c r="R7" s="26">
        <v>45826</v>
      </c>
      <c r="S7" s="8"/>
      <c r="T7" s="1">
        <v>45906</v>
      </c>
      <c r="U7" s="1">
        <v>45918</v>
      </c>
      <c r="W7" s="1">
        <v>45917</v>
      </c>
      <c r="Y7" s="1">
        <v>45938</v>
      </c>
      <c r="AA7" s="1">
        <v>45903</v>
      </c>
      <c r="AC7" s="1">
        <v>45828</v>
      </c>
      <c r="AD7" s="1"/>
      <c r="AE7" s="1">
        <v>46199</v>
      </c>
      <c r="AG7" s="1">
        <v>45853</v>
      </c>
      <c r="AI7" s="1">
        <v>45853</v>
      </c>
      <c r="AK7" s="1">
        <v>45853</v>
      </c>
      <c r="AM7" s="1">
        <v>45853</v>
      </c>
      <c r="AO7" s="1">
        <v>45853</v>
      </c>
      <c r="AQ7" s="1">
        <v>45838</v>
      </c>
      <c r="AS7" s="1">
        <v>45834</v>
      </c>
      <c r="AU7" s="1">
        <v>45831</v>
      </c>
      <c r="AW7" s="1">
        <v>45831</v>
      </c>
      <c r="AY7" s="1">
        <v>45810</v>
      </c>
      <c r="BA7" s="1">
        <v>45812</v>
      </c>
      <c r="BC7" s="1">
        <v>45812</v>
      </c>
      <c r="BE7" s="1">
        <v>45814</v>
      </c>
      <c r="BG7" s="1">
        <v>45814</v>
      </c>
      <c r="BI7" s="1">
        <v>45848</v>
      </c>
      <c r="BK7" s="1">
        <v>45744</v>
      </c>
      <c r="BM7" s="1">
        <v>45825</v>
      </c>
      <c r="BO7" s="1">
        <v>45826</v>
      </c>
      <c r="BQ7" s="1">
        <v>45825</v>
      </c>
      <c r="BS7" s="1">
        <v>45813</v>
      </c>
      <c r="BU7" s="1">
        <v>45838</v>
      </c>
      <c r="BW7" s="1">
        <v>45827</v>
      </c>
      <c r="BY7" s="1">
        <v>45825</v>
      </c>
      <c r="CA7" s="1">
        <v>45825</v>
      </c>
    </row>
    <row r="8" spans="2:81" x14ac:dyDescent="0.25">
      <c r="B8" s="5" t="s">
        <v>57</v>
      </c>
      <c r="C8" t="s">
        <v>81</v>
      </c>
      <c r="D8" s="31">
        <f>_xlfn.MINIFS(Data!$AS:$AS,Data!$AS:$AS,"&gt;=" &amp; Dash!$AB$2)</f>
        <v>46142</v>
      </c>
      <c r="E8" s="32">
        <f>_xlfn.DAYS(G8,Dash!$AB$2)</f>
        <v>-1</v>
      </c>
      <c r="F8" s="32">
        <f t="shared" si="2"/>
        <v>0</v>
      </c>
      <c r="G8" s="14">
        <f t="shared" si="0"/>
        <v>46141</v>
      </c>
      <c r="H8" s="14">
        <f t="shared" si="1"/>
        <v>46141</v>
      </c>
      <c r="I8" s="13" t="str">
        <f xml:space="preserve"> IF(AND(G8&lt;=Dash!$AB$2,H8&gt;=Dash!$AB$2),"Y","N")</f>
        <v>N</v>
      </c>
      <c r="J8" s="15" t="str">
        <f xml:space="preserve"> IF(D8&lt;=Dash!$C$3,"Y","N")</f>
        <v>Y</v>
      </c>
      <c r="K8" t="s">
        <v>284</v>
      </c>
      <c r="L8" t="s">
        <v>284</v>
      </c>
      <c r="O8" s="1">
        <v>45842</v>
      </c>
      <c r="P8" s="1" t="s">
        <v>280</v>
      </c>
      <c r="R8" s="26">
        <v>45854</v>
      </c>
      <c r="S8" s="8"/>
      <c r="T8" s="1">
        <v>45948</v>
      </c>
      <c r="U8" s="1">
        <v>45960</v>
      </c>
      <c r="W8" s="1">
        <v>45959</v>
      </c>
      <c r="Y8" s="1">
        <v>45980</v>
      </c>
      <c r="AA8" s="1">
        <v>45945</v>
      </c>
      <c r="AC8" s="1">
        <v>45856</v>
      </c>
      <c r="AD8" s="1"/>
      <c r="AE8" s="1">
        <v>46290</v>
      </c>
      <c r="AG8" s="1">
        <v>45882</v>
      </c>
      <c r="AI8" s="1">
        <v>45881</v>
      </c>
      <c r="AK8" s="1">
        <v>45881</v>
      </c>
      <c r="AM8" s="1">
        <v>45881</v>
      </c>
      <c r="AO8" s="1">
        <v>45881</v>
      </c>
      <c r="AQ8" s="1">
        <v>45869</v>
      </c>
      <c r="AS8" s="1">
        <v>45869</v>
      </c>
      <c r="AU8" s="1">
        <v>45861</v>
      </c>
      <c r="AW8" s="1">
        <v>45861</v>
      </c>
      <c r="AY8" s="1">
        <v>45839</v>
      </c>
      <c r="BA8" s="1">
        <v>45841</v>
      </c>
      <c r="BC8" s="1">
        <v>45840</v>
      </c>
      <c r="BE8" s="1">
        <v>45841</v>
      </c>
      <c r="BG8" s="1">
        <v>45841</v>
      </c>
      <c r="BI8" s="1">
        <v>45880</v>
      </c>
      <c r="BK8" s="1">
        <v>45758</v>
      </c>
      <c r="BM8" s="1">
        <v>45855</v>
      </c>
      <c r="BO8" s="1">
        <v>45855</v>
      </c>
      <c r="BQ8" s="1">
        <v>45858</v>
      </c>
      <c r="BS8" s="1">
        <v>45845</v>
      </c>
      <c r="BU8" s="1">
        <v>45869</v>
      </c>
      <c r="BW8" s="1">
        <v>45855</v>
      </c>
      <c r="BY8" s="1">
        <v>45855</v>
      </c>
      <c r="CA8" s="1">
        <v>45855</v>
      </c>
    </row>
    <row r="9" spans="2:81" x14ac:dyDescent="0.25">
      <c r="B9" s="5" t="s">
        <v>56</v>
      </c>
      <c r="C9" t="s">
        <v>73</v>
      </c>
      <c r="D9" s="31">
        <f>_xlfn.MINIFS(Data!$AU:$AU,Data!$AU:$AU,"&gt;=" &amp; Dash!$AB$2)</f>
        <v>46165</v>
      </c>
      <c r="E9" s="32">
        <f>_xlfn.DAYS(G9,Dash!$AB$2)</f>
        <v>22</v>
      </c>
      <c r="F9" s="32">
        <f t="shared" si="2"/>
        <v>0</v>
      </c>
      <c r="G9" s="14">
        <f t="shared" si="0"/>
        <v>46164</v>
      </c>
      <c r="H9" s="14">
        <f t="shared" si="1"/>
        <v>46164</v>
      </c>
      <c r="I9" s="13" t="str">
        <f xml:space="preserve"> IF(AND(G9&lt;=Dash!$AB$2,H9&gt;=Dash!$AB$2),"Y","N")</f>
        <v>N</v>
      </c>
      <c r="J9" s="15" t="str">
        <f xml:space="preserve"> IF(D9&lt;=Dash!$C$3,"Y","N")</f>
        <v>N</v>
      </c>
      <c r="K9" t="s">
        <v>285</v>
      </c>
      <c r="L9" t="s">
        <v>284</v>
      </c>
      <c r="O9" s="1">
        <v>45901</v>
      </c>
      <c r="P9" s="1" t="s">
        <v>281</v>
      </c>
      <c r="R9" s="26">
        <v>45889</v>
      </c>
      <c r="S9" s="8"/>
      <c r="T9" s="1">
        <v>45990</v>
      </c>
      <c r="U9" s="1">
        <v>46002</v>
      </c>
      <c r="W9" s="1">
        <v>46001</v>
      </c>
      <c r="Y9" s="1">
        <v>46022</v>
      </c>
      <c r="AA9" s="1">
        <v>45987</v>
      </c>
      <c r="AC9" s="1">
        <v>45884</v>
      </c>
      <c r="AD9" s="1"/>
      <c r="AE9" s="1">
        <v>46387</v>
      </c>
      <c r="AG9" s="1">
        <v>45911</v>
      </c>
      <c r="AI9" s="1">
        <v>45911</v>
      </c>
      <c r="AK9" s="1">
        <v>45911</v>
      </c>
      <c r="AM9" s="1">
        <v>45911</v>
      </c>
      <c r="AO9" s="1">
        <v>45911</v>
      </c>
      <c r="AQ9" s="1">
        <v>45898</v>
      </c>
      <c r="AS9" s="1">
        <v>45897</v>
      </c>
      <c r="AU9" s="1">
        <v>45892</v>
      </c>
      <c r="AW9" s="1">
        <v>45892</v>
      </c>
      <c r="AY9" s="1">
        <v>45870</v>
      </c>
      <c r="BA9" s="1">
        <v>45874</v>
      </c>
      <c r="BC9" s="1">
        <v>45875</v>
      </c>
      <c r="BE9" s="1">
        <v>45870</v>
      </c>
      <c r="BG9" s="1">
        <v>45870</v>
      </c>
      <c r="BI9" s="1">
        <v>45910</v>
      </c>
      <c r="BK9" s="1">
        <v>45772</v>
      </c>
      <c r="BM9" s="1">
        <v>45887</v>
      </c>
      <c r="BO9" s="1">
        <v>45888</v>
      </c>
      <c r="BQ9" s="1">
        <v>45886</v>
      </c>
      <c r="BS9" s="1">
        <v>45874</v>
      </c>
      <c r="BU9" s="1">
        <v>45898</v>
      </c>
      <c r="BW9" s="1">
        <v>45890</v>
      </c>
      <c r="BY9" s="1">
        <v>45884</v>
      </c>
      <c r="CA9" s="1">
        <v>45884</v>
      </c>
    </row>
    <row r="10" spans="2:81" x14ac:dyDescent="0.25">
      <c r="B10" s="5" t="s">
        <v>56</v>
      </c>
      <c r="C10" t="s">
        <v>291</v>
      </c>
      <c r="D10" s="31">
        <f>_xlfn.MINIFS(Data!$AW:$AW,Data!$AW:$AW,"&gt;=" &amp; Dash!$AB$2)</f>
        <v>46165</v>
      </c>
      <c r="E10" s="32">
        <f>_xlfn.DAYS(G10,Dash!$AB$2)</f>
        <v>22</v>
      </c>
      <c r="F10" s="32">
        <f t="shared" si="2"/>
        <v>0</v>
      </c>
      <c r="G10" s="14">
        <f t="shared" si="0"/>
        <v>46164</v>
      </c>
      <c r="H10" s="14">
        <f t="shared" si="1"/>
        <v>46164</v>
      </c>
      <c r="I10" s="13" t="str">
        <f xml:space="preserve"> IF(AND(G10&lt;=Dash!$AB$2,H10&gt;=Dash!$AB$2),"Y","N")</f>
        <v>N</v>
      </c>
      <c r="J10" s="15" t="str">
        <f xml:space="preserve"> IF(D10&lt;=Dash!$C$3,"Y","N")</f>
        <v>N</v>
      </c>
      <c r="K10" t="s">
        <v>285</v>
      </c>
      <c r="L10" t="s">
        <v>284</v>
      </c>
      <c r="O10" s="1">
        <v>45988</v>
      </c>
      <c r="P10" s="1" t="s">
        <v>1490</v>
      </c>
      <c r="R10" s="26">
        <v>45917</v>
      </c>
      <c r="S10" s="8"/>
      <c r="T10" s="26">
        <v>46039</v>
      </c>
      <c r="U10" s="26">
        <v>46051</v>
      </c>
      <c r="W10" s="1">
        <v>46050</v>
      </c>
      <c r="Y10" s="1">
        <v>46071</v>
      </c>
      <c r="AA10" s="1">
        <v>46036</v>
      </c>
      <c r="AC10" s="1">
        <v>45919</v>
      </c>
      <c r="AD10" s="1"/>
      <c r="AE10" s="1">
        <v>46472</v>
      </c>
      <c r="AG10" s="1">
        <v>45943</v>
      </c>
      <c r="AI10" s="1">
        <v>45945</v>
      </c>
      <c r="AK10" s="1">
        <v>45945</v>
      </c>
      <c r="AM10" s="1">
        <v>45945</v>
      </c>
      <c r="AO10" s="1">
        <v>45945</v>
      </c>
      <c r="AQ10" s="1">
        <v>45930</v>
      </c>
      <c r="AS10" s="1">
        <v>45925</v>
      </c>
      <c r="AU10" s="1">
        <v>45923</v>
      </c>
      <c r="AW10" s="1">
        <v>45923</v>
      </c>
      <c r="AY10" s="1">
        <v>45902</v>
      </c>
      <c r="BA10" s="1">
        <v>45903</v>
      </c>
      <c r="BC10" s="1">
        <v>45903</v>
      </c>
      <c r="BE10" s="1">
        <v>45905</v>
      </c>
      <c r="BG10" s="1">
        <v>45905</v>
      </c>
      <c r="BI10" s="1">
        <v>45943</v>
      </c>
      <c r="BK10" s="1">
        <v>45786</v>
      </c>
      <c r="BM10" s="1">
        <v>45916</v>
      </c>
      <c r="BO10" s="1">
        <v>45917</v>
      </c>
      <c r="BQ10" s="1">
        <v>45921</v>
      </c>
      <c r="BS10" s="1">
        <v>45908</v>
      </c>
      <c r="BU10" s="1">
        <v>45930</v>
      </c>
      <c r="BW10" s="1">
        <v>45918</v>
      </c>
      <c r="BY10" s="1">
        <v>45916</v>
      </c>
      <c r="CA10" s="1">
        <v>45916</v>
      </c>
    </row>
    <row r="11" spans="2:81" x14ac:dyDescent="0.25">
      <c r="B11" s="5" t="s">
        <v>60</v>
      </c>
      <c r="C11" t="s">
        <v>74</v>
      </c>
      <c r="D11" s="31">
        <f>_xlfn.MINIFS(Data!$AY:$AY,Data!$AY:$AY,"&gt;=" &amp; Dash!$AB$2)</f>
        <v>46145</v>
      </c>
      <c r="E11" s="32">
        <f>_xlfn.DAYS(G11,Dash!$AB$2)</f>
        <v>1</v>
      </c>
      <c r="F11" s="32">
        <f t="shared" si="2"/>
        <v>0</v>
      </c>
      <c r="G11" s="14">
        <f t="shared" si="0"/>
        <v>46143</v>
      </c>
      <c r="H11" s="14">
        <f t="shared" si="1"/>
        <v>46143</v>
      </c>
      <c r="I11" s="13" t="str">
        <f xml:space="preserve"> IF(AND(G11&lt;=Dash!$AB$2,H11&gt;=Dash!$AB$2),"Y","N")</f>
        <v>N</v>
      </c>
      <c r="J11" s="15" t="str">
        <f xml:space="preserve"> IF(D11&lt;=Dash!$C$3,"Y","N")</f>
        <v>Y</v>
      </c>
      <c r="K11" t="s">
        <v>285</v>
      </c>
      <c r="L11" t="s">
        <v>284</v>
      </c>
      <c r="O11" s="1">
        <v>46016</v>
      </c>
      <c r="P11" s="1" t="s">
        <v>1491</v>
      </c>
      <c r="R11" s="26">
        <v>45952</v>
      </c>
      <c r="S11" s="8"/>
      <c r="T11" s="26">
        <v>46088</v>
      </c>
      <c r="U11" s="26">
        <v>46100</v>
      </c>
      <c r="W11" s="1">
        <v>46099</v>
      </c>
      <c r="Y11" s="1">
        <v>46120</v>
      </c>
      <c r="AA11" s="1">
        <v>46085</v>
      </c>
      <c r="AC11" s="1">
        <v>45947</v>
      </c>
      <c r="AD11" s="1"/>
      <c r="AE11" s="1">
        <v>46563</v>
      </c>
      <c r="AG11" s="1">
        <v>45974</v>
      </c>
      <c r="AI11" s="1">
        <v>45973</v>
      </c>
      <c r="AK11" s="1">
        <v>45973</v>
      </c>
      <c r="AM11" s="1">
        <v>45973</v>
      </c>
      <c r="AO11" s="1">
        <v>45973</v>
      </c>
      <c r="AQ11" s="1">
        <v>45961</v>
      </c>
      <c r="AS11" s="1">
        <v>45960</v>
      </c>
      <c r="AU11" s="1">
        <v>45953</v>
      </c>
      <c r="AW11" s="1">
        <v>45953</v>
      </c>
      <c r="AY11" s="1">
        <v>45931</v>
      </c>
      <c r="BA11" s="1">
        <v>45936</v>
      </c>
      <c r="BC11" s="1">
        <v>45931</v>
      </c>
      <c r="BE11" s="1">
        <v>45933</v>
      </c>
      <c r="BG11" s="1">
        <v>45933</v>
      </c>
      <c r="BI11" s="1">
        <v>45971</v>
      </c>
      <c r="BK11" s="1">
        <v>45800</v>
      </c>
      <c r="BM11" s="1">
        <v>45946</v>
      </c>
      <c r="BO11" s="1">
        <v>45947</v>
      </c>
      <c r="BQ11" s="1">
        <v>45949</v>
      </c>
      <c r="BS11" s="1">
        <v>45937</v>
      </c>
      <c r="BU11" s="1">
        <v>45961</v>
      </c>
      <c r="BW11" s="1">
        <v>45946</v>
      </c>
      <c r="BY11" s="1">
        <v>45946</v>
      </c>
      <c r="CA11" s="1">
        <v>45946</v>
      </c>
    </row>
    <row r="12" spans="2:81" x14ac:dyDescent="0.25">
      <c r="B12" s="5" t="s">
        <v>60</v>
      </c>
      <c r="C12" t="s">
        <v>270</v>
      </c>
      <c r="D12" s="31">
        <f>_xlfn.MINIFS(Data!$BA:$BA,Data!$BA:$BA,"&gt;=" &amp; Dash!$AB$2)</f>
        <v>46146</v>
      </c>
      <c r="E12" s="32">
        <f>_xlfn.DAYS(G12,Dash!$AB$2)</f>
        <v>1</v>
      </c>
      <c r="F12" s="32">
        <f t="shared" si="2"/>
        <v>0</v>
      </c>
      <c r="G12" s="14">
        <f t="shared" si="0"/>
        <v>46143</v>
      </c>
      <c r="H12" s="14">
        <f t="shared" si="1"/>
        <v>46143</v>
      </c>
      <c r="I12" s="13" t="str">
        <f xml:space="preserve"> IF(AND(G12&lt;=Dash!$AB$2,H12&gt;=Dash!$AB$2),"Y","N")</f>
        <v>N</v>
      </c>
      <c r="J12" s="15" t="str">
        <f xml:space="preserve"> IF(D12&lt;=Dash!$C$3,"Y","N")</f>
        <v>Y</v>
      </c>
      <c r="K12" t="s">
        <v>285</v>
      </c>
      <c r="L12" t="s">
        <v>284</v>
      </c>
      <c r="O12" s="1">
        <v>46023</v>
      </c>
      <c r="P12" s="1" t="s">
        <v>1487</v>
      </c>
      <c r="R12" s="26">
        <v>45980</v>
      </c>
      <c r="S12" s="8"/>
      <c r="T12" s="26">
        <v>46130</v>
      </c>
      <c r="U12" s="26">
        <v>46142</v>
      </c>
      <c r="W12" s="1">
        <v>46141</v>
      </c>
      <c r="Y12" s="1">
        <v>46162</v>
      </c>
      <c r="AA12" s="1">
        <v>46134</v>
      </c>
      <c r="AC12" s="1">
        <v>45982</v>
      </c>
      <c r="AD12" s="1"/>
      <c r="AE12" s="1">
        <v>46654</v>
      </c>
      <c r="AG12" s="1">
        <v>46002</v>
      </c>
      <c r="AI12" s="1">
        <v>46001</v>
      </c>
      <c r="AK12" s="1">
        <v>46001</v>
      </c>
      <c r="AM12" s="1">
        <v>46001</v>
      </c>
      <c r="AO12" s="1">
        <v>46001</v>
      </c>
      <c r="AQ12" s="1">
        <v>45989</v>
      </c>
      <c r="AS12" s="1">
        <v>45987</v>
      </c>
      <c r="AU12" s="1">
        <v>45985</v>
      </c>
      <c r="AW12" s="1">
        <v>45985</v>
      </c>
      <c r="AY12" s="1">
        <v>45964</v>
      </c>
      <c r="BA12" s="1">
        <v>45966</v>
      </c>
      <c r="BC12" s="1">
        <v>45966</v>
      </c>
      <c r="BE12" s="1">
        <v>45968</v>
      </c>
      <c r="BG12" s="1">
        <v>45968</v>
      </c>
      <c r="BI12" s="1">
        <v>46001</v>
      </c>
      <c r="BK12" s="1">
        <v>45821</v>
      </c>
      <c r="BM12" s="1">
        <v>45979</v>
      </c>
      <c r="BO12" s="1">
        <v>45980</v>
      </c>
      <c r="BQ12" s="1">
        <v>45977</v>
      </c>
      <c r="BS12" s="1">
        <v>45968</v>
      </c>
      <c r="BU12" s="1">
        <v>45989</v>
      </c>
      <c r="BW12" s="1">
        <v>45981</v>
      </c>
      <c r="BY12" s="1">
        <v>45975</v>
      </c>
      <c r="CA12" s="1">
        <v>45975</v>
      </c>
    </row>
    <row r="13" spans="2:81" x14ac:dyDescent="0.25">
      <c r="B13" s="5" t="s">
        <v>273</v>
      </c>
      <c r="C13" t="s">
        <v>271</v>
      </c>
      <c r="D13" s="31">
        <f>_xlfn.MINIFS(Data!$BC:$BC,Data!$BC:$BC,"&gt;=" &amp; Dash!$AB$2)</f>
        <v>46148</v>
      </c>
      <c r="E13" s="32">
        <f>_xlfn.DAYS(G13,Dash!$AB$2)</f>
        <v>5</v>
      </c>
      <c r="F13" s="32" t="str">
        <f t="shared" si="2"/>
        <v>BEARISH</v>
      </c>
      <c r="G13" s="14">
        <f t="shared" si="0"/>
        <v>46147</v>
      </c>
      <c r="H13" s="14">
        <f t="shared" si="1"/>
        <v>46147</v>
      </c>
      <c r="I13" s="13" t="str">
        <f xml:space="preserve"> IF(AND(G13&lt;=Dash!$AB$2,H13&gt;=Dash!$AB$2),"Y","N")</f>
        <v>N</v>
      </c>
      <c r="J13" s="15" t="str">
        <f xml:space="preserve"> IF(D13&lt;=Dash!$C$3,"Y","N")</f>
        <v>Y</v>
      </c>
      <c r="K13" t="s">
        <v>284</v>
      </c>
      <c r="L13" t="s">
        <v>284</v>
      </c>
      <c r="M13" t="s">
        <v>42</v>
      </c>
      <c r="O13" s="1">
        <v>46041</v>
      </c>
      <c r="P13" s="1" t="s">
        <v>1488</v>
      </c>
      <c r="R13" s="26">
        <v>46008</v>
      </c>
      <c r="S13" s="8"/>
      <c r="T13" s="26">
        <v>46179</v>
      </c>
      <c r="U13" s="26">
        <v>46191</v>
      </c>
      <c r="W13" s="1">
        <v>46190</v>
      </c>
      <c r="Y13" s="1">
        <v>46211</v>
      </c>
      <c r="AA13" s="1">
        <v>46176</v>
      </c>
      <c r="AC13" s="1">
        <v>46010</v>
      </c>
      <c r="AD13" s="1"/>
      <c r="AE13" s="1">
        <v>46752</v>
      </c>
      <c r="AG13" s="1">
        <v>46036</v>
      </c>
      <c r="AI13" s="1">
        <v>46036</v>
      </c>
      <c r="AK13" s="1">
        <v>46036</v>
      </c>
      <c r="AM13" s="1">
        <v>46036</v>
      </c>
      <c r="AO13" s="1">
        <v>46036</v>
      </c>
      <c r="AQ13" s="1">
        <v>46022</v>
      </c>
      <c r="AS13" s="1">
        <v>46009</v>
      </c>
      <c r="AU13" s="1">
        <v>46015</v>
      </c>
      <c r="AW13" s="1">
        <v>46015</v>
      </c>
      <c r="AY13" s="1">
        <v>45992</v>
      </c>
      <c r="BA13" s="1">
        <v>45994</v>
      </c>
      <c r="BC13" s="1">
        <v>45994</v>
      </c>
      <c r="BE13" s="1">
        <v>45996</v>
      </c>
      <c r="BG13" s="1">
        <v>45996</v>
      </c>
      <c r="BI13" s="1">
        <v>46035</v>
      </c>
      <c r="BK13" s="1">
        <v>45835</v>
      </c>
      <c r="BM13" s="1">
        <v>46006</v>
      </c>
      <c r="BO13" s="1">
        <v>46007</v>
      </c>
      <c r="BQ13" s="1">
        <v>46012</v>
      </c>
      <c r="BS13" s="1">
        <v>45999</v>
      </c>
      <c r="BU13" s="1">
        <v>46022</v>
      </c>
      <c r="BW13" s="1">
        <v>46009</v>
      </c>
      <c r="BY13" s="1">
        <v>46008</v>
      </c>
      <c r="CA13" s="1">
        <v>46008</v>
      </c>
    </row>
    <row r="14" spans="2:81" x14ac:dyDescent="0.25">
      <c r="B14" s="5" t="s">
        <v>61</v>
      </c>
      <c r="C14" t="s">
        <v>75</v>
      </c>
      <c r="D14" s="31">
        <f>_xlfn.MINIFS(Data!$BE:$BE,Data!$BE:$BE,"&gt;=" &amp; Dash!$AB$2)</f>
        <v>46143</v>
      </c>
      <c r="E14" s="32">
        <f>_xlfn.DAYS(G14,Dash!$AB$2)</f>
        <v>0</v>
      </c>
      <c r="F14" s="32" t="str">
        <f t="shared" si="2"/>
        <v>BEARISH</v>
      </c>
      <c r="G14" s="14">
        <f t="shared" si="0"/>
        <v>46142</v>
      </c>
      <c r="H14" s="14">
        <f t="shared" si="1"/>
        <v>46142</v>
      </c>
      <c r="I14" s="13" t="str">
        <f xml:space="preserve"> IF(AND(G14&lt;=Dash!$AB$2,H14&gt;=Dash!$AB$2),"Y","N")</f>
        <v>Y</v>
      </c>
      <c r="J14" s="15" t="str">
        <f xml:space="preserve"> IF(D14&lt;=Dash!$C$3,"Y","N")</f>
        <v>Y</v>
      </c>
      <c r="K14" t="s">
        <v>284</v>
      </c>
      <c r="L14" t="s">
        <v>284</v>
      </c>
      <c r="M14" t="s">
        <v>42</v>
      </c>
      <c r="O14" s="1">
        <v>46069</v>
      </c>
      <c r="P14" s="1" t="s">
        <v>277</v>
      </c>
      <c r="R14" s="26">
        <v>46043</v>
      </c>
      <c r="S14" s="8"/>
      <c r="T14" s="26">
        <v>46221</v>
      </c>
      <c r="U14" s="26">
        <v>46233</v>
      </c>
      <c r="W14" s="1">
        <v>46232</v>
      </c>
      <c r="Y14" s="1">
        <v>46253</v>
      </c>
      <c r="AA14" s="1">
        <v>46218</v>
      </c>
      <c r="AC14" s="1">
        <v>46038</v>
      </c>
      <c r="AD14" s="1"/>
      <c r="AG14" s="1">
        <v>46066</v>
      </c>
      <c r="AI14" s="1">
        <v>46064</v>
      </c>
      <c r="AK14" s="1">
        <v>46064</v>
      </c>
      <c r="AM14" s="1">
        <v>46064</v>
      </c>
      <c r="AO14" s="1">
        <v>46064</v>
      </c>
      <c r="AQ14" s="1">
        <v>46052</v>
      </c>
      <c r="AS14" s="1">
        <v>46051</v>
      </c>
      <c r="AU14" s="1">
        <v>46045</v>
      </c>
      <c r="AW14" s="1">
        <v>46045</v>
      </c>
      <c r="AY14" s="1">
        <v>46027</v>
      </c>
      <c r="BA14" s="1">
        <v>46028</v>
      </c>
      <c r="BC14" s="1">
        <v>46029</v>
      </c>
      <c r="BE14" s="1">
        <v>46031</v>
      </c>
      <c r="BG14" s="1">
        <v>46031</v>
      </c>
      <c r="BI14" s="1">
        <v>46063</v>
      </c>
      <c r="BK14" s="1">
        <v>45849</v>
      </c>
      <c r="BM14" s="1">
        <v>46041</v>
      </c>
      <c r="BO14" s="1">
        <v>46042</v>
      </c>
      <c r="BQ14" s="1">
        <v>46041</v>
      </c>
      <c r="BS14" s="1">
        <v>46028</v>
      </c>
      <c r="BU14" s="1">
        <v>46052</v>
      </c>
      <c r="BW14" s="1">
        <v>46037</v>
      </c>
      <c r="BY14" s="1">
        <v>46038</v>
      </c>
      <c r="CA14" s="1">
        <v>46038</v>
      </c>
    </row>
    <row r="15" spans="2:81" x14ac:dyDescent="0.25">
      <c r="B15" s="5" t="s">
        <v>65</v>
      </c>
      <c r="C15" t="s">
        <v>272</v>
      </c>
      <c r="D15" s="31">
        <f>_xlfn.MINIFS(Data!$BG:$BG,Data!$BG:$BG,"&gt;=" &amp; Dash!$AB$2)</f>
        <v>46143</v>
      </c>
      <c r="E15" s="32">
        <f>_xlfn.DAYS(G15,Dash!$AB$2)</f>
        <v>0</v>
      </c>
      <c r="F15" s="32">
        <f t="shared" si="2"/>
        <v>0</v>
      </c>
      <c r="G15" s="14">
        <f t="shared" si="0"/>
        <v>46142</v>
      </c>
      <c r="H15" s="14">
        <f t="shared" si="1"/>
        <v>46142</v>
      </c>
      <c r="I15" s="13" t="str">
        <f xml:space="preserve"> IF(AND(G15&lt;=Dash!$AB$2,H15&gt;=Dash!$AB$2),"Y","N")</f>
        <v>Y</v>
      </c>
      <c r="J15" s="15" t="str">
        <f xml:space="preserve"> IF(D15&lt;=Dash!$C$3,"Y","N")</f>
        <v>Y</v>
      </c>
      <c r="K15" t="s">
        <v>285</v>
      </c>
      <c r="L15" t="s">
        <v>285</v>
      </c>
      <c r="O15" s="1">
        <v>46115</v>
      </c>
      <c r="P15" s="1" t="s">
        <v>278</v>
      </c>
      <c r="R15" s="26">
        <v>46071</v>
      </c>
      <c r="S15" s="8"/>
      <c r="T15" s="26">
        <v>46270</v>
      </c>
      <c r="U15" s="26">
        <v>46282</v>
      </c>
      <c r="W15" s="1">
        <v>46281</v>
      </c>
      <c r="Y15" s="1">
        <v>46302</v>
      </c>
      <c r="AA15" s="1">
        <v>46260</v>
      </c>
      <c r="AC15" s="1">
        <v>46073</v>
      </c>
      <c r="AD15" s="1"/>
      <c r="AG15" s="1">
        <v>46094</v>
      </c>
      <c r="AI15" s="1">
        <v>46092</v>
      </c>
      <c r="AK15" s="1">
        <v>46092</v>
      </c>
      <c r="AM15" s="1">
        <v>46092</v>
      </c>
      <c r="AO15" s="1">
        <v>46092</v>
      </c>
      <c r="AQ15" s="1">
        <v>46080</v>
      </c>
      <c r="AS15" s="1">
        <v>46079</v>
      </c>
      <c r="AU15" s="1">
        <v>46076</v>
      </c>
      <c r="AW15" s="1">
        <v>46076</v>
      </c>
      <c r="AY15" s="1">
        <v>46055</v>
      </c>
      <c r="BA15" s="1">
        <v>46057</v>
      </c>
      <c r="BC15" s="1">
        <v>46057</v>
      </c>
      <c r="BE15" s="1">
        <v>46059</v>
      </c>
      <c r="BG15" s="1">
        <v>46059</v>
      </c>
      <c r="BI15" s="1">
        <v>46091</v>
      </c>
      <c r="BK15" s="1">
        <v>45863</v>
      </c>
      <c r="BM15" s="1">
        <v>46069</v>
      </c>
      <c r="BO15" s="1">
        <v>46070</v>
      </c>
      <c r="BQ15" s="1">
        <v>46069</v>
      </c>
      <c r="BS15" s="1">
        <v>46058</v>
      </c>
      <c r="BU15" s="1">
        <v>46080</v>
      </c>
      <c r="BW15" s="1">
        <v>46072</v>
      </c>
      <c r="BY15" s="1">
        <v>46070</v>
      </c>
      <c r="CA15" s="1">
        <v>46070</v>
      </c>
    </row>
    <row r="16" spans="2:81" x14ac:dyDescent="0.25">
      <c r="B16" s="5" t="s">
        <v>273</v>
      </c>
      <c r="C16" t="s">
        <v>258</v>
      </c>
      <c r="D16" s="31">
        <f>_xlfn.MINIFS(Data!$BI:$BI,Data!$BI:$BI,"&gt;=" &amp; Dash!$AB$2)</f>
        <v>46153</v>
      </c>
      <c r="E16" s="32">
        <f>_xlfn.DAYS(G16,Dash!$AB$2)</f>
        <v>8</v>
      </c>
      <c r="F16" s="32" t="str">
        <f t="shared" si="2"/>
        <v>BEARISH</v>
      </c>
      <c r="G16" s="14">
        <f t="shared" si="0"/>
        <v>46150</v>
      </c>
      <c r="H16" s="14">
        <f t="shared" si="1"/>
        <v>46150</v>
      </c>
      <c r="I16" s="13" t="str">
        <f xml:space="preserve"> IF(AND(G16&lt;=Dash!$AB$2,H16&gt;=Dash!$AB$2),"Y","N")</f>
        <v>N</v>
      </c>
      <c r="J16" s="15" t="str">
        <f xml:space="preserve"> IF(D16&lt;=Dash!$C$3,"Y","N")</f>
        <v>N</v>
      </c>
      <c r="K16" t="s">
        <v>284</v>
      </c>
      <c r="L16" t="s">
        <v>284</v>
      </c>
      <c r="M16" t="s">
        <v>42</v>
      </c>
      <c r="O16" s="1">
        <v>46167</v>
      </c>
      <c r="P16" s="1" t="s">
        <v>279</v>
      </c>
      <c r="R16" s="26">
        <v>46099</v>
      </c>
      <c r="S16" s="8"/>
      <c r="T16" s="26">
        <v>46312</v>
      </c>
      <c r="U16" s="26">
        <v>46324</v>
      </c>
      <c r="W16" s="1">
        <v>46323</v>
      </c>
      <c r="Y16" s="1">
        <v>46344</v>
      </c>
      <c r="AA16" s="1">
        <v>46302</v>
      </c>
      <c r="AC16" s="1">
        <v>46101</v>
      </c>
      <c r="AD16" s="1"/>
      <c r="AG16" s="1">
        <v>46125</v>
      </c>
      <c r="AI16" s="1">
        <v>46122</v>
      </c>
      <c r="AK16" s="1">
        <v>46122</v>
      </c>
      <c r="AM16" s="1">
        <v>46122</v>
      </c>
      <c r="AO16" s="1">
        <v>46122</v>
      </c>
      <c r="AQ16" s="1">
        <v>46112</v>
      </c>
      <c r="AS16" s="1">
        <v>46107</v>
      </c>
      <c r="AU16" s="1">
        <v>46104</v>
      </c>
      <c r="AW16" s="1">
        <v>46104</v>
      </c>
      <c r="AY16" s="1">
        <v>46083</v>
      </c>
      <c r="BA16" s="1">
        <v>46085</v>
      </c>
      <c r="BC16" s="1">
        <v>46085</v>
      </c>
      <c r="BE16" s="1">
        <v>46087</v>
      </c>
      <c r="BG16" s="1">
        <v>46087</v>
      </c>
      <c r="BI16" s="1">
        <v>46125</v>
      </c>
      <c r="BK16" s="1">
        <v>45877</v>
      </c>
      <c r="BM16" s="1">
        <v>46097</v>
      </c>
      <c r="BO16" s="1">
        <v>46098</v>
      </c>
      <c r="BQ16" s="1">
        <v>46097</v>
      </c>
      <c r="BS16" s="1">
        <v>46086</v>
      </c>
      <c r="BU16" s="1">
        <v>46112</v>
      </c>
      <c r="BW16" s="1">
        <v>46100</v>
      </c>
      <c r="BY16" s="1">
        <v>46097</v>
      </c>
      <c r="CA16" s="1">
        <v>46097</v>
      </c>
    </row>
    <row r="17" spans="2:79" x14ac:dyDescent="0.25">
      <c r="B17" s="5" t="s">
        <v>65</v>
      </c>
      <c r="C17" t="s">
        <v>274</v>
      </c>
      <c r="D17" s="31">
        <f>_xlfn.MINIFS(Data!$BK:$BK,Data!$BK:$BK,"&gt;=" &amp; Dash!$AB$2)</f>
        <v>46150</v>
      </c>
      <c r="E17" s="32">
        <f>_xlfn.DAYS(G17,Dash!$AB$2)</f>
        <v>7</v>
      </c>
      <c r="F17" s="32" t="str">
        <f t="shared" si="2"/>
        <v>BEARISH</v>
      </c>
      <c r="G17" s="14">
        <f t="shared" si="0"/>
        <v>46149</v>
      </c>
      <c r="H17" s="14">
        <f t="shared" si="1"/>
        <v>46149</v>
      </c>
      <c r="I17" s="13" t="str">
        <f xml:space="preserve"> IF(AND(G17&lt;=Dash!$AB$2,H17&gt;=Dash!$AB$2),"Y","N")</f>
        <v>N</v>
      </c>
      <c r="J17" s="15" t="str">
        <f xml:space="preserve"> IF(D17&lt;=Dash!$C$3,"Y","N")</f>
        <v>N</v>
      </c>
      <c r="K17" t="s">
        <v>285</v>
      </c>
      <c r="L17" t="s">
        <v>284</v>
      </c>
      <c r="M17" t="s">
        <v>42</v>
      </c>
      <c r="O17" s="1">
        <v>46192</v>
      </c>
      <c r="P17" s="1" t="s">
        <v>1489</v>
      </c>
      <c r="R17" s="26">
        <v>46127</v>
      </c>
      <c r="S17" s="8"/>
      <c r="T17" s="26">
        <v>46354</v>
      </c>
      <c r="U17" s="26">
        <v>46366</v>
      </c>
      <c r="W17" s="1">
        <v>46365</v>
      </c>
      <c r="Y17" s="1">
        <v>46386</v>
      </c>
      <c r="AA17" s="1">
        <v>46344</v>
      </c>
      <c r="AC17" s="1">
        <v>46129</v>
      </c>
      <c r="AD17" s="1"/>
      <c r="AG17" s="1">
        <v>46155</v>
      </c>
      <c r="AI17" s="1">
        <v>46154</v>
      </c>
      <c r="AK17" s="1">
        <v>46154</v>
      </c>
      <c r="AM17" s="1">
        <v>46154</v>
      </c>
      <c r="AO17" s="1">
        <v>46154</v>
      </c>
      <c r="AQ17" s="1">
        <v>46142</v>
      </c>
      <c r="AS17" s="1">
        <v>46142</v>
      </c>
      <c r="AU17" s="1">
        <v>46135</v>
      </c>
      <c r="AW17" s="1">
        <v>46135</v>
      </c>
      <c r="AY17" s="1">
        <v>46113</v>
      </c>
      <c r="BA17" s="1">
        <v>46118</v>
      </c>
      <c r="BC17" s="1">
        <v>46113</v>
      </c>
      <c r="BE17" s="1">
        <v>46115</v>
      </c>
      <c r="BG17" s="1">
        <v>46115</v>
      </c>
      <c r="BI17" s="1">
        <v>46153</v>
      </c>
      <c r="BK17" s="1">
        <v>45891</v>
      </c>
      <c r="BM17" s="1">
        <v>46132</v>
      </c>
      <c r="BO17" s="1">
        <v>46132</v>
      </c>
      <c r="BQ17" s="1">
        <v>46131</v>
      </c>
      <c r="BS17" s="1">
        <v>46118</v>
      </c>
      <c r="BU17" s="1">
        <v>46142</v>
      </c>
      <c r="BW17" s="1">
        <v>46128</v>
      </c>
      <c r="BY17" s="1">
        <v>46128</v>
      </c>
      <c r="CA17" s="1">
        <v>46128</v>
      </c>
    </row>
    <row r="18" spans="2:79" x14ac:dyDescent="0.25">
      <c r="B18" s="5" t="s">
        <v>315</v>
      </c>
      <c r="C18" t="s">
        <v>316</v>
      </c>
      <c r="D18" s="31">
        <f>_xlfn.MINIFS(Data!$BM:$BM,Data!$BM:$BM,"&gt;=" &amp; Dash!$AB$2)</f>
        <v>46160</v>
      </c>
      <c r="E18" s="32">
        <f>_xlfn.DAYS(G18,Dash!$AB$2)</f>
        <v>15</v>
      </c>
      <c r="F18" s="32">
        <f t="shared" si="2"/>
        <v>0</v>
      </c>
      <c r="G18" s="14">
        <f t="shared" si="0"/>
        <v>46157</v>
      </c>
      <c r="H18" s="14">
        <f t="shared" si="1"/>
        <v>46157</v>
      </c>
      <c r="I18" s="13" t="str">
        <f xml:space="preserve"> IF(AND(G18&lt;=Dash!$AB$2,H18&gt;=Dash!$AB$2),"Y","N")</f>
        <v>N</v>
      </c>
      <c r="J18" s="15" t="str">
        <f xml:space="preserve"> IF(D18&lt;=Dash!$C$3,"Y","N")</f>
        <v>N</v>
      </c>
      <c r="K18" t="s">
        <v>285</v>
      </c>
      <c r="L18" t="s">
        <v>284</v>
      </c>
      <c r="O18" s="1">
        <v>46206</v>
      </c>
      <c r="P18" s="1" t="s">
        <v>1492</v>
      </c>
      <c r="R18" s="26">
        <v>46161</v>
      </c>
      <c r="S18" s="8"/>
      <c r="T18" s="26">
        <v>46403</v>
      </c>
      <c r="U18" s="26">
        <v>46415</v>
      </c>
      <c r="W18" s="1">
        <v>46414</v>
      </c>
      <c r="Y18" s="1">
        <v>46435</v>
      </c>
      <c r="AA18" s="1">
        <v>46400</v>
      </c>
      <c r="AC18" s="1">
        <v>46157</v>
      </c>
      <c r="AD18" s="1"/>
      <c r="AG18" s="1">
        <v>46188</v>
      </c>
      <c r="AI18" s="1">
        <v>46183</v>
      </c>
      <c r="AK18" s="1">
        <v>46183</v>
      </c>
      <c r="AM18" s="1">
        <v>46183</v>
      </c>
      <c r="AO18" s="1">
        <v>46183</v>
      </c>
      <c r="AQ18" s="1">
        <v>46171</v>
      </c>
      <c r="AS18" s="1">
        <v>46170</v>
      </c>
      <c r="AU18" s="1">
        <v>46165</v>
      </c>
      <c r="AW18" s="1">
        <v>46165</v>
      </c>
      <c r="AY18" s="1">
        <v>46145</v>
      </c>
      <c r="BA18" s="1">
        <v>46146</v>
      </c>
      <c r="BC18" s="1">
        <v>46148</v>
      </c>
      <c r="BE18" s="1">
        <v>46143</v>
      </c>
      <c r="BG18" s="1">
        <v>46143</v>
      </c>
      <c r="BI18" s="1">
        <v>46183</v>
      </c>
      <c r="BK18" s="1">
        <v>45912</v>
      </c>
      <c r="BM18" s="1">
        <v>46160</v>
      </c>
      <c r="BO18" s="1">
        <v>46160</v>
      </c>
      <c r="BQ18" s="1">
        <v>46159</v>
      </c>
      <c r="BS18" s="1">
        <v>46148</v>
      </c>
      <c r="BU18" s="1">
        <v>46171</v>
      </c>
      <c r="BW18" s="1">
        <v>46163</v>
      </c>
      <c r="BY18" s="1">
        <v>46157</v>
      </c>
      <c r="CA18" s="1">
        <v>46157</v>
      </c>
    </row>
    <row r="19" spans="2:79" ht="16.5" x14ac:dyDescent="0.25">
      <c r="B19" s="5" t="s">
        <v>275</v>
      </c>
      <c r="C19" t="s">
        <v>257</v>
      </c>
      <c r="D19" s="31">
        <f>_xlfn.MINIFS(Data!$BO:$BO,Data!$BO:$BO,"&gt;=" &amp; Dash!$AB$2)</f>
        <v>46160</v>
      </c>
      <c r="E19" s="32">
        <f>_xlfn.DAYS(G19,Dash!$AB$2)</f>
        <v>15</v>
      </c>
      <c r="F19" s="32">
        <f t="shared" si="2"/>
        <v>0</v>
      </c>
      <c r="G19" s="14">
        <f t="shared" si="0"/>
        <v>46157</v>
      </c>
      <c r="H19" s="14">
        <f t="shared" si="1"/>
        <v>46157</v>
      </c>
      <c r="I19" s="13" t="str">
        <f xml:space="preserve"> IF(AND(G19&lt;=Dash!$AB$2,H19&gt;=Dash!$AB$2),"Y","N")</f>
        <v>N</v>
      </c>
      <c r="J19" s="15" t="str">
        <f xml:space="preserve"> IF(D19&lt;=Dash!$C$3,"Y","N")</f>
        <v>N</v>
      </c>
      <c r="K19" t="s">
        <v>285</v>
      </c>
      <c r="L19" t="s">
        <v>284</v>
      </c>
      <c r="O19" s="1">
        <v>46272</v>
      </c>
      <c r="P19" s="1" t="s">
        <v>281</v>
      </c>
      <c r="R19" s="26">
        <v>46190</v>
      </c>
      <c r="S19" s="8"/>
      <c r="T19" s="26">
        <v>46452</v>
      </c>
      <c r="U19" s="26">
        <v>46464</v>
      </c>
      <c r="V19" s="4"/>
      <c r="W19" s="1">
        <v>46463</v>
      </c>
      <c r="Y19" s="1">
        <v>46484</v>
      </c>
      <c r="AA19" s="1">
        <v>46449</v>
      </c>
      <c r="AC19" s="1">
        <v>46192</v>
      </c>
      <c r="AD19" s="1"/>
      <c r="AG19" s="1">
        <v>46216</v>
      </c>
      <c r="AI19" s="1">
        <v>46217</v>
      </c>
      <c r="AK19" s="1">
        <v>46217</v>
      </c>
      <c r="AM19" s="1">
        <v>46217</v>
      </c>
      <c r="AO19" s="1">
        <v>46217</v>
      </c>
      <c r="AQ19" s="1">
        <v>46203</v>
      </c>
      <c r="AS19" s="1">
        <v>46198</v>
      </c>
      <c r="AU19" s="1">
        <v>46196</v>
      </c>
      <c r="AW19" s="1">
        <v>46196</v>
      </c>
      <c r="AY19" s="1">
        <v>46174</v>
      </c>
      <c r="BA19" s="1">
        <v>46176</v>
      </c>
      <c r="BC19" s="1">
        <v>46176</v>
      </c>
      <c r="BE19" s="1">
        <v>46178</v>
      </c>
      <c r="BG19" s="1">
        <v>46178</v>
      </c>
      <c r="BI19" s="1">
        <v>46216</v>
      </c>
      <c r="BK19" s="1">
        <v>45926</v>
      </c>
      <c r="BM19" s="1">
        <v>46188</v>
      </c>
      <c r="BO19" s="1">
        <v>46190</v>
      </c>
      <c r="BQ19" s="1">
        <v>46194</v>
      </c>
      <c r="BS19" s="1">
        <v>46178</v>
      </c>
      <c r="BU19" s="1">
        <v>46203</v>
      </c>
      <c r="BW19" s="1">
        <v>46191</v>
      </c>
      <c r="BY19" s="1">
        <v>46189</v>
      </c>
      <c r="CA19" s="1">
        <v>46189</v>
      </c>
    </row>
    <row r="20" spans="2:79" x14ac:dyDescent="0.25">
      <c r="B20" s="5" t="s">
        <v>319</v>
      </c>
      <c r="C20" t="s">
        <v>317</v>
      </c>
      <c r="D20" s="31">
        <f>_xlfn.MINIFS(Data!$BQ:$BQ,Data!$BQ:$BQ,"&gt;=" &amp; Dash!$AB$2)</f>
        <v>46159</v>
      </c>
      <c r="E20" s="32">
        <f>_xlfn.DAYS(G20,Dash!$AB$2)</f>
        <v>15</v>
      </c>
      <c r="F20" s="32">
        <f t="shared" si="2"/>
        <v>0</v>
      </c>
      <c r="G20" s="14">
        <f t="shared" si="0"/>
        <v>46157</v>
      </c>
      <c r="H20" s="14">
        <f t="shared" si="1"/>
        <v>46157</v>
      </c>
      <c r="I20" s="13" t="str">
        <f xml:space="preserve"> IF(AND(G20&lt;=Dash!$AB$2,H20&gt;=Dash!$AB$2),"Y","N")</f>
        <v>N</v>
      </c>
      <c r="J20" s="15" t="str">
        <f xml:space="preserve"> IF(D20&lt;=Dash!$C$3,"Y","N")</f>
        <v>N</v>
      </c>
      <c r="K20" t="s">
        <v>285</v>
      </c>
      <c r="L20" t="s">
        <v>284</v>
      </c>
      <c r="O20" s="1">
        <v>46352</v>
      </c>
      <c r="P20" s="1" t="s">
        <v>1490</v>
      </c>
      <c r="R20" s="26">
        <v>46225</v>
      </c>
      <c r="S20" s="8"/>
      <c r="T20" s="26">
        <v>46494</v>
      </c>
      <c r="U20" s="26">
        <v>46506</v>
      </c>
      <c r="W20" s="1">
        <v>46505</v>
      </c>
      <c r="Y20" s="1">
        <v>46526</v>
      </c>
      <c r="AA20" s="1">
        <v>46498</v>
      </c>
      <c r="AC20" s="1">
        <v>46220</v>
      </c>
      <c r="AD20" s="1"/>
      <c r="AG20" s="1">
        <v>46247</v>
      </c>
      <c r="AI20" s="1">
        <v>46245</v>
      </c>
      <c r="AK20" s="1">
        <v>46245</v>
      </c>
      <c r="AM20" s="1">
        <v>46245</v>
      </c>
      <c r="AO20" s="1">
        <v>46245</v>
      </c>
      <c r="AQ20" s="1">
        <v>46234</v>
      </c>
      <c r="AS20" s="1">
        <v>46233</v>
      </c>
      <c r="AU20" s="1">
        <v>46226</v>
      </c>
      <c r="AW20" s="1">
        <v>46226</v>
      </c>
      <c r="AY20" s="1">
        <v>46204</v>
      </c>
      <c r="BA20" s="1">
        <v>46209</v>
      </c>
      <c r="BC20" s="1">
        <v>46204</v>
      </c>
      <c r="BE20" s="1">
        <v>46206</v>
      </c>
      <c r="BG20" s="1">
        <v>46206</v>
      </c>
      <c r="BI20" s="1">
        <v>46244</v>
      </c>
      <c r="BK20" s="1">
        <v>45940</v>
      </c>
      <c r="BM20" s="1">
        <v>46223</v>
      </c>
      <c r="BO20" s="1">
        <v>46223</v>
      </c>
      <c r="BQ20" s="1">
        <v>46222</v>
      </c>
      <c r="BS20" s="1">
        <v>46209</v>
      </c>
      <c r="BU20" s="1">
        <v>46234</v>
      </c>
      <c r="BW20" s="1">
        <v>46219</v>
      </c>
      <c r="BY20" s="1">
        <v>46219</v>
      </c>
      <c r="CA20" s="1">
        <v>46219</v>
      </c>
    </row>
    <row r="21" spans="2:79" x14ac:dyDescent="0.25">
      <c r="B21" s="5" t="s">
        <v>70</v>
      </c>
      <c r="C21" t="s">
        <v>67</v>
      </c>
      <c r="D21" s="31">
        <f>_xlfn.MINIFS(Data!$BS:$BS,Data!$BS:$BS,"&gt;=" &amp; Dash!$AB$2)</f>
        <v>46148</v>
      </c>
      <c r="E21" s="32">
        <f>_xlfn.DAYS(G21,Dash!$AB$2)</f>
        <v>5</v>
      </c>
      <c r="F21" s="32">
        <f t="shared" si="2"/>
        <v>0</v>
      </c>
      <c r="G21" s="14">
        <f t="shared" si="0"/>
        <v>46147</v>
      </c>
      <c r="H21" s="14">
        <f t="shared" si="1"/>
        <v>46147</v>
      </c>
      <c r="I21" s="13" t="str">
        <f xml:space="preserve"> IF(AND(G21&lt;=Dash!$AB$2,H21&gt;=Dash!$AB$2),"Y","N")</f>
        <v>N</v>
      </c>
      <c r="J21" s="15" t="str">
        <f xml:space="preserve"> IF(D21&lt;=Dash!$C$3,"Y","N")</f>
        <v>Y</v>
      </c>
      <c r="K21" t="s">
        <v>285</v>
      </c>
      <c r="L21" t="s">
        <v>284</v>
      </c>
      <c r="O21" s="1">
        <v>46381</v>
      </c>
      <c r="P21" s="1" t="s">
        <v>1491</v>
      </c>
      <c r="R21" s="26">
        <v>46253</v>
      </c>
      <c r="S21" s="8"/>
      <c r="T21" s="26">
        <v>46543</v>
      </c>
      <c r="U21" s="26">
        <v>46555</v>
      </c>
      <c r="W21" s="1">
        <v>46554</v>
      </c>
      <c r="Y21" s="1">
        <v>46575</v>
      </c>
      <c r="AA21" s="1">
        <v>46540</v>
      </c>
      <c r="AC21" s="1">
        <v>46255</v>
      </c>
      <c r="AD21" s="1"/>
      <c r="AG21" s="1">
        <v>46279</v>
      </c>
      <c r="AI21" s="1">
        <v>46275</v>
      </c>
      <c r="AK21" s="1">
        <v>46275</v>
      </c>
      <c r="AM21" s="1">
        <v>46275</v>
      </c>
      <c r="AO21" s="1">
        <v>46275</v>
      </c>
      <c r="AQ21" s="1">
        <v>46265</v>
      </c>
      <c r="AS21" s="1">
        <v>46261</v>
      </c>
      <c r="AU21" s="1">
        <v>46257</v>
      </c>
      <c r="AW21" s="1">
        <v>46257</v>
      </c>
      <c r="AY21" s="1">
        <v>46237</v>
      </c>
      <c r="BA21" s="1">
        <v>46238</v>
      </c>
      <c r="BC21" s="1">
        <v>46239</v>
      </c>
      <c r="BE21" s="1">
        <v>46241</v>
      </c>
      <c r="BG21" s="1">
        <v>46241</v>
      </c>
      <c r="BI21" s="1">
        <v>46279</v>
      </c>
      <c r="BK21" s="1">
        <v>45954</v>
      </c>
      <c r="BM21" s="1">
        <v>46251</v>
      </c>
      <c r="BO21" s="1">
        <v>46251</v>
      </c>
      <c r="BQ21" s="1">
        <v>46250</v>
      </c>
      <c r="BS21" s="1">
        <v>46239</v>
      </c>
      <c r="BU21" s="1">
        <v>46265</v>
      </c>
      <c r="BW21" s="1">
        <v>46254</v>
      </c>
      <c r="BY21" s="1">
        <v>46248</v>
      </c>
      <c r="CA21" s="1">
        <v>46248</v>
      </c>
    </row>
    <row r="22" spans="2:79" x14ac:dyDescent="0.25">
      <c r="B22" s="5" t="s">
        <v>70</v>
      </c>
      <c r="C22" t="s">
        <v>69</v>
      </c>
      <c r="D22" s="31">
        <f>_xlfn.MINIFS(Data!$BU:$BU,Data!$BU:$BU,"&gt;=" &amp; Dash!$AB$2)</f>
        <v>46142</v>
      </c>
      <c r="E22" s="32">
        <f>_xlfn.DAYS(G22,Dash!$AB$2)</f>
        <v>-1</v>
      </c>
      <c r="F22" s="32">
        <f t="shared" si="2"/>
        <v>0</v>
      </c>
      <c r="G22" s="14">
        <f t="shared" si="0"/>
        <v>46141</v>
      </c>
      <c r="H22" s="14">
        <f t="shared" si="1"/>
        <v>46141</v>
      </c>
      <c r="I22" s="13" t="str">
        <f xml:space="preserve"> IF(AND(G22&lt;=Dash!$AB$2,H22&gt;=Dash!$AB$2),"Y","N")</f>
        <v>N</v>
      </c>
      <c r="J22" s="15" t="str">
        <f xml:space="preserve"> IF(D22&lt;=Dash!$C$3,"Y","N")</f>
        <v>Y</v>
      </c>
      <c r="K22" t="s">
        <v>285</v>
      </c>
      <c r="L22" t="s">
        <v>284</v>
      </c>
      <c r="O22" s="1">
        <v>46388</v>
      </c>
      <c r="P22" s="1" t="s">
        <v>1487</v>
      </c>
      <c r="R22" s="26">
        <v>46281</v>
      </c>
      <c r="S22" s="8"/>
      <c r="T22" s="26">
        <v>46585</v>
      </c>
      <c r="U22" s="26">
        <v>46597</v>
      </c>
      <c r="W22" s="1">
        <v>46596</v>
      </c>
      <c r="Y22" s="1">
        <v>46617</v>
      </c>
      <c r="AA22" s="1">
        <v>46582</v>
      </c>
      <c r="AC22" s="1">
        <v>46283</v>
      </c>
      <c r="AD22" s="1"/>
      <c r="AG22" s="1">
        <v>46308</v>
      </c>
      <c r="AI22" s="1">
        <v>46309</v>
      </c>
      <c r="AK22" s="1">
        <v>46309</v>
      </c>
      <c r="AM22" s="1">
        <v>46309</v>
      </c>
      <c r="AO22" s="1">
        <v>46309</v>
      </c>
      <c r="AQ22" s="1">
        <v>46295</v>
      </c>
      <c r="AS22" s="1">
        <v>46289</v>
      </c>
      <c r="AU22" s="1">
        <v>46288</v>
      </c>
      <c r="AW22" s="1">
        <v>46288</v>
      </c>
      <c r="AY22" s="1">
        <v>46266</v>
      </c>
      <c r="BA22" s="1">
        <v>46268</v>
      </c>
      <c r="BC22" s="1">
        <v>46267</v>
      </c>
      <c r="BE22" s="1">
        <v>46269</v>
      </c>
      <c r="BG22" s="1">
        <v>46269</v>
      </c>
      <c r="BI22" s="1">
        <v>46307</v>
      </c>
      <c r="BK22" s="1">
        <v>45975</v>
      </c>
      <c r="BM22" s="1">
        <v>46286</v>
      </c>
      <c r="BO22" s="1">
        <v>46286</v>
      </c>
      <c r="BQ22" s="1">
        <v>46285</v>
      </c>
      <c r="BS22" s="1">
        <v>46273</v>
      </c>
      <c r="BU22" s="1">
        <v>46295</v>
      </c>
      <c r="BW22" s="1">
        <v>46282</v>
      </c>
      <c r="BY22" s="1">
        <v>46280</v>
      </c>
      <c r="CA22" s="1">
        <v>46280</v>
      </c>
    </row>
    <row r="23" spans="2:79" x14ac:dyDescent="0.25">
      <c r="B23" s="5" t="s">
        <v>70</v>
      </c>
      <c r="C23" t="s">
        <v>68</v>
      </c>
      <c r="D23" s="31">
        <f>_xlfn.MINIFS(Data!$BW:$BW,Data!$BW:$BW,"&gt;=" &amp; Dash!$AB$2)</f>
        <v>46163</v>
      </c>
      <c r="E23" s="32">
        <f>_xlfn.DAYS(G23,Dash!$AB$2)</f>
        <v>20</v>
      </c>
      <c r="F23" s="32">
        <f t="shared" si="2"/>
        <v>0</v>
      </c>
      <c r="G23" s="14">
        <f t="shared" si="0"/>
        <v>46162</v>
      </c>
      <c r="H23" s="14">
        <f t="shared" si="1"/>
        <v>46162</v>
      </c>
      <c r="I23" s="13" t="str">
        <f xml:space="preserve"> IF(AND(G23&lt;=Dash!$AB$2,H23&gt;=Dash!$AB$2),"Y","N")</f>
        <v>N</v>
      </c>
      <c r="J23" s="15" t="str">
        <f xml:space="preserve"> IF(D23&lt;=Dash!$C$3,"Y","N")</f>
        <v>N</v>
      </c>
      <c r="K23" t="s">
        <v>285</v>
      </c>
      <c r="L23" t="s">
        <v>284</v>
      </c>
      <c r="O23" s="1">
        <v>46405</v>
      </c>
      <c r="P23" s="1" t="s">
        <v>1488</v>
      </c>
      <c r="R23" s="26">
        <v>46316</v>
      </c>
      <c r="S23" s="8"/>
      <c r="T23" s="26">
        <v>46634</v>
      </c>
      <c r="U23" s="26">
        <v>46646</v>
      </c>
      <c r="W23" s="1">
        <v>46645</v>
      </c>
      <c r="Y23" s="1">
        <v>46666</v>
      </c>
      <c r="AA23" s="1">
        <v>46624</v>
      </c>
      <c r="AC23" s="1">
        <v>46311</v>
      </c>
      <c r="AD23" s="1"/>
      <c r="AG23" s="1">
        <v>46339</v>
      </c>
      <c r="AI23" s="1">
        <v>46336</v>
      </c>
      <c r="AK23" s="1">
        <v>46336</v>
      </c>
      <c r="AM23" s="1">
        <v>46336</v>
      </c>
      <c r="AO23" s="1">
        <v>46336</v>
      </c>
      <c r="AQ23" s="1">
        <v>46325</v>
      </c>
      <c r="AS23" s="1">
        <v>46324</v>
      </c>
      <c r="AU23" s="1">
        <v>46318</v>
      </c>
      <c r="AW23" s="1">
        <v>46318</v>
      </c>
      <c r="AY23" s="1">
        <v>46296</v>
      </c>
      <c r="BA23" s="1">
        <v>46300</v>
      </c>
      <c r="BC23" s="1">
        <v>46302</v>
      </c>
      <c r="BE23" s="1">
        <v>46297</v>
      </c>
      <c r="BG23" s="1">
        <v>46297</v>
      </c>
      <c r="BI23" s="1">
        <v>46335</v>
      </c>
      <c r="BK23" s="1">
        <v>45989</v>
      </c>
      <c r="BM23" s="1">
        <v>46314</v>
      </c>
      <c r="BO23" s="1">
        <v>46314</v>
      </c>
      <c r="BQ23" s="1">
        <v>46313</v>
      </c>
      <c r="BS23" s="1">
        <v>46301</v>
      </c>
      <c r="BU23" s="1">
        <v>46325</v>
      </c>
      <c r="BW23" s="1">
        <v>46310</v>
      </c>
      <c r="BY23" s="1">
        <v>46310</v>
      </c>
      <c r="CA23" s="1">
        <v>46310</v>
      </c>
    </row>
    <row r="24" spans="2:79" x14ac:dyDescent="0.25">
      <c r="B24" s="5" t="s">
        <v>72</v>
      </c>
      <c r="C24" t="s">
        <v>71</v>
      </c>
      <c r="D24" s="31">
        <f>_xlfn.MINIFS(Data!$BY:$BY,Data!$BY:$BY,"&gt;=" &amp; Dash!$AB$2)</f>
        <v>46157</v>
      </c>
      <c r="E24" s="32">
        <f>_xlfn.DAYS(G24,Dash!$AB$2)</f>
        <v>14</v>
      </c>
      <c r="F24" s="32">
        <f t="shared" si="2"/>
        <v>0</v>
      </c>
      <c r="G24" s="14">
        <f t="shared" si="0"/>
        <v>46156</v>
      </c>
      <c r="H24" s="14">
        <f t="shared" si="1"/>
        <v>46156</v>
      </c>
      <c r="I24" s="13" t="str">
        <f xml:space="preserve"> IF(AND(G24&lt;=Dash!$AB$2,H24&gt;=Dash!$AB$2),"Y","N")</f>
        <v>N</v>
      </c>
      <c r="J24" s="15" t="str">
        <f xml:space="preserve"> IF(D24&lt;=Dash!$C$3,"Y","N")</f>
        <v>N</v>
      </c>
      <c r="K24" t="s">
        <v>285</v>
      </c>
      <c r="L24" t="s">
        <v>284</v>
      </c>
      <c r="O24" s="1">
        <v>46433</v>
      </c>
      <c r="P24" s="1" t="s">
        <v>277</v>
      </c>
      <c r="R24" s="26">
        <v>46344</v>
      </c>
      <c r="S24" s="8"/>
      <c r="T24" s="26">
        <v>46676</v>
      </c>
      <c r="U24" s="26">
        <v>46688</v>
      </c>
      <c r="W24" s="1">
        <v>46687</v>
      </c>
      <c r="Y24" s="1">
        <v>46708</v>
      </c>
      <c r="AA24" s="1">
        <v>46666</v>
      </c>
      <c r="AC24" s="1">
        <v>46346</v>
      </c>
      <c r="AD24" s="1"/>
      <c r="AG24" s="1">
        <v>46370</v>
      </c>
      <c r="AI24" s="1">
        <v>46365</v>
      </c>
      <c r="AK24" s="1">
        <v>46365</v>
      </c>
      <c r="AM24" s="1">
        <v>46365</v>
      </c>
      <c r="AO24" s="1">
        <v>46365</v>
      </c>
      <c r="AQ24" s="1">
        <v>46356</v>
      </c>
      <c r="AS24" s="1">
        <v>46351</v>
      </c>
      <c r="AU24" s="1">
        <v>46350</v>
      </c>
      <c r="AW24" s="1">
        <v>46350</v>
      </c>
      <c r="AY24" s="1">
        <v>46328</v>
      </c>
      <c r="BA24" s="1">
        <v>46330</v>
      </c>
      <c r="BC24" s="1">
        <v>46330</v>
      </c>
      <c r="BE24" s="1">
        <v>46332</v>
      </c>
      <c r="BG24" s="1">
        <v>46332</v>
      </c>
      <c r="BI24" s="1">
        <v>46370</v>
      </c>
      <c r="BK24" s="1">
        <v>46003</v>
      </c>
      <c r="BM24" s="1">
        <v>46342</v>
      </c>
      <c r="BO24" s="1">
        <v>46342</v>
      </c>
      <c r="BQ24" s="1">
        <v>46341</v>
      </c>
      <c r="BS24" s="1">
        <v>46332</v>
      </c>
      <c r="BU24" s="1">
        <v>46356</v>
      </c>
      <c r="BW24" s="1">
        <v>46345</v>
      </c>
      <c r="BY24" s="1">
        <v>46339</v>
      </c>
      <c r="CA24" s="1">
        <v>46339</v>
      </c>
    </row>
    <row r="25" spans="2:79" x14ac:dyDescent="0.25">
      <c r="B25" s="5" t="s">
        <v>79</v>
      </c>
      <c r="C25" t="s">
        <v>78</v>
      </c>
      <c r="D25" s="31">
        <f>_xlfn.MINIFS(Data!$CA:$CA,Data!$CA:$CA,"&gt;=" &amp; Dash!$AB$2)</f>
        <v>46157</v>
      </c>
      <c r="E25" s="32">
        <f>_xlfn.DAYS(G25,Dash!$AB$2)</f>
        <v>14</v>
      </c>
      <c r="F25" s="32">
        <f t="shared" si="2"/>
        <v>0</v>
      </c>
      <c r="G25" s="14">
        <f t="shared" si="0"/>
        <v>46156</v>
      </c>
      <c r="H25" s="14">
        <f t="shared" si="1"/>
        <v>46156</v>
      </c>
      <c r="I25" s="13" t="str">
        <f xml:space="preserve"> IF(AND(G25&lt;=Dash!$AB$2,H25&gt;=Dash!$AB$2),"Y","N")</f>
        <v>N</v>
      </c>
      <c r="J25" s="15" t="str">
        <f xml:space="preserve"> IF(D25&lt;=Dash!$C$3,"Y","N")</f>
        <v>N</v>
      </c>
      <c r="K25" t="s">
        <v>285</v>
      </c>
      <c r="L25" t="s">
        <v>284</v>
      </c>
      <c r="O25" s="1">
        <v>46472</v>
      </c>
      <c r="P25" s="1" t="s">
        <v>278</v>
      </c>
      <c r="R25" s="26">
        <v>46372</v>
      </c>
      <c r="S25" s="8"/>
      <c r="T25" s="26">
        <v>46718</v>
      </c>
      <c r="U25" s="26">
        <v>46730</v>
      </c>
      <c r="W25" s="1">
        <v>46729</v>
      </c>
      <c r="Y25" s="1">
        <v>46750</v>
      </c>
      <c r="AA25" s="1">
        <v>46708</v>
      </c>
      <c r="AC25" s="1">
        <v>46374</v>
      </c>
      <c r="AD25" s="1"/>
      <c r="AG25" s="1">
        <v>46400</v>
      </c>
      <c r="AI25" s="1">
        <v>46400</v>
      </c>
      <c r="AK25" s="1">
        <v>46400</v>
      </c>
      <c r="AM25" s="1">
        <v>46400</v>
      </c>
      <c r="AO25" s="1">
        <v>46400</v>
      </c>
      <c r="AQ25" s="1">
        <v>46387</v>
      </c>
      <c r="AS25" s="1">
        <v>46373</v>
      </c>
      <c r="AU25" s="1">
        <v>46380</v>
      </c>
      <c r="AW25" s="1">
        <v>46380</v>
      </c>
      <c r="AY25" s="1">
        <v>46357</v>
      </c>
      <c r="BA25" s="1">
        <v>46359</v>
      </c>
      <c r="BC25" s="1">
        <v>46358</v>
      </c>
      <c r="BE25" s="1">
        <v>46360</v>
      </c>
      <c r="BG25" s="1">
        <v>46360</v>
      </c>
      <c r="BI25" s="1">
        <v>46398</v>
      </c>
      <c r="BK25" s="1">
        <v>46017</v>
      </c>
      <c r="BM25" s="1">
        <v>46377</v>
      </c>
      <c r="BO25" s="1">
        <v>46377</v>
      </c>
      <c r="BQ25" s="1">
        <v>46376</v>
      </c>
      <c r="BS25" s="1">
        <v>46363</v>
      </c>
      <c r="BU25" s="1">
        <v>46387</v>
      </c>
      <c r="BW25" s="1">
        <v>46373</v>
      </c>
      <c r="BY25" s="1">
        <v>46372</v>
      </c>
      <c r="CA25" s="1">
        <v>46372</v>
      </c>
    </row>
    <row r="26" spans="2:79" x14ac:dyDescent="0.25">
      <c r="B26" s="5"/>
      <c r="C26" t="s">
        <v>1748</v>
      </c>
      <c r="D26" s="31">
        <f>_xlfn.MINIFS(Data!$CC:$CC,Data!$CC:$CC,"&gt;=" &amp; Dash!$AB$2)</f>
        <v>46256</v>
      </c>
      <c r="E26" s="32">
        <f>_xlfn.DAYS(G26,Dash!$AB$2)</f>
        <v>113</v>
      </c>
      <c r="F26" s="32">
        <f>M26</f>
        <v>0</v>
      </c>
      <c r="G26" s="14">
        <f>WORKDAY(D26,-1)</f>
        <v>46255</v>
      </c>
      <c r="H26" s="14">
        <f>WORKDAY(D26,-1)</f>
        <v>46255</v>
      </c>
      <c r="I26" s="13" t="str">
        <f xml:space="preserve"> IF(AND(G26&lt;=Dash!$AB$2,H26&gt;=Dash!$AB$2),"Y","N")</f>
        <v>N</v>
      </c>
      <c r="J26" s="15" t="str">
        <f xml:space="preserve"> IF(D26&lt;=Dash!$C$3,"Y","N")</f>
        <v>N</v>
      </c>
      <c r="K26" t="s">
        <v>285</v>
      </c>
      <c r="L26" t="s">
        <v>284</v>
      </c>
      <c r="O26" s="1">
        <v>46538</v>
      </c>
      <c r="P26" s="1" t="s">
        <v>279</v>
      </c>
      <c r="R26" s="1">
        <v>46407</v>
      </c>
      <c r="AC26" s="1">
        <v>46402</v>
      </c>
      <c r="AG26" s="1">
        <v>46433</v>
      </c>
      <c r="AI26" s="1">
        <v>46428</v>
      </c>
      <c r="AK26" s="1">
        <v>46428</v>
      </c>
      <c r="AM26" s="1">
        <v>46428</v>
      </c>
      <c r="AO26" s="1">
        <v>46428</v>
      </c>
      <c r="AQ26" s="1">
        <v>46417</v>
      </c>
      <c r="AS26" s="1">
        <v>46415</v>
      </c>
      <c r="AU26" s="1">
        <v>46410</v>
      </c>
      <c r="AW26" s="1">
        <v>46410</v>
      </c>
      <c r="AY26" s="1">
        <v>46391</v>
      </c>
      <c r="BA26" s="1">
        <v>46392</v>
      </c>
      <c r="BC26" s="1">
        <v>46393</v>
      </c>
      <c r="BE26" s="1">
        <v>46395</v>
      </c>
      <c r="BG26" s="1">
        <v>46395</v>
      </c>
      <c r="BI26" s="1">
        <v>46426</v>
      </c>
      <c r="BK26" s="1">
        <v>46031</v>
      </c>
      <c r="BM26" s="1">
        <v>46405</v>
      </c>
      <c r="BO26" s="1">
        <v>46406</v>
      </c>
      <c r="BQ26" s="1">
        <v>46406</v>
      </c>
      <c r="BS26" s="1">
        <v>46392</v>
      </c>
      <c r="BU26" s="1">
        <v>46416</v>
      </c>
      <c r="BW26" s="1">
        <v>46408</v>
      </c>
      <c r="BY26" s="1">
        <v>46402</v>
      </c>
      <c r="CA26" s="1">
        <v>46402</v>
      </c>
    </row>
    <row r="27" spans="2:79" x14ac:dyDescent="0.25">
      <c r="B27" s="5" t="s">
        <v>59</v>
      </c>
      <c r="C27" t="s">
        <v>212</v>
      </c>
      <c r="D27" s="31">
        <f>_xlfn.MINIFS(Data!$T:$T,Data!$U:$U,"&gt;=" &amp; Dash!$AB$2)</f>
        <v>46130</v>
      </c>
      <c r="E27" s="32">
        <f>_xlfn.DAYS(G27,Dash!$AB$2)</f>
        <v>-12</v>
      </c>
      <c r="F27" s="32" t="str">
        <f t="shared" si="2"/>
        <v>BULLISH</v>
      </c>
      <c r="G27" s="31">
        <f>D27</f>
        <v>46130</v>
      </c>
      <c r="H27" s="31">
        <f>WORKDAY(_xlfn.MINIFS(Data!$U:$U,Data!$U:$U,"&gt;" &amp; Dash!$AB$2),-2)</f>
        <v>46189</v>
      </c>
      <c r="I27" s="13" t="str">
        <f xml:space="preserve"> IF(AND(G27&lt;=Dash!$AB$2,H27&gt;=Dash!$AB$2),"Y","N")</f>
        <v>Y</v>
      </c>
      <c r="J27" s="15" t="str">
        <f xml:space="preserve"> IF(D27&lt;=Dash!$C$3,"Y","N")</f>
        <v>Y</v>
      </c>
      <c r="K27" t="s">
        <v>284</v>
      </c>
      <c r="L27" t="s">
        <v>284</v>
      </c>
      <c r="M27" t="s">
        <v>43</v>
      </c>
      <c r="O27" s="1">
        <v>46556</v>
      </c>
      <c r="P27" s="1" t="s">
        <v>1493</v>
      </c>
      <c r="R27" s="1">
        <v>46435</v>
      </c>
      <c r="AC27" s="1">
        <v>46437</v>
      </c>
      <c r="AG27" s="1">
        <v>46461</v>
      </c>
      <c r="AI27" s="1">
        <v>46456</v>
      </c>
      <c r="AK27" s="1">
        <v>46456</v>
      </c>
      <c r="AM27" s="1">
        <v>46456</v>
      </c>
      <c r="AO27" s="1">
        <v>46456</v>
      </c>
      <c r="AQ27" s="1">
        <v>46446</v>
      </c>
      <c r="AS27" s="1">
        <v>46443</v>
      </c>
      <c r="AU27" s="1">
        <v>46441</v>
      </c>
      <c r="AW27" s="1">
        <v>46441</v>
      </c>
      <c r="AY27" s="1">
        <v>46419</v>
      </c>
      <c r="BA27" s="1">
        <v>46420</v>
      </c>
      <c r="BC27" s="1">
        <v>46421</v>
      </c>
      <c r="BE27" s="1">
        <v>46423</v>
      </c>
      <c r="BG27" s="1">
        <v>46423</v>
      </c>
      <c r="BI27" s="1">
        <v>46454</v>
      </c>
      <c r="BK27" s="1">
        <v>46045</v>
      </c>
      <c r="BM27" s="1">
        <v>46433</v>
      </c>
      <c r="BO27" s="1">
        <v>46434</v>
      </c>
      <c r="BQ27" s="1">
        <v>46434</v>
      </c>
      <c r="BS27" s="1">
        <v>46423</v>
      </c>
      <c r="BU27" s="1">
        <v>46444</v>
      </c>
      <c r="BW27" s="1">
        <v>46436</v>
      </c>
      <c r="BY27" s="1">
        <v>46434</v>
      </c>
      <c r="CA27" s="1">
        <v>46434</v>
      </c>
    </row>
    <row r="28" spans="2:79" x14ac:dyDescent="0.25">
      <c r="B28" s="5" t="s">
        <v>59</v>
      </c>
      <c r="C28" t="s">
        <v>504</v>
      </c>
      <c r="D28" s="31">
        <f>_xlfn.MINIFS(Data!$W:$W,Data!$W:$W,"&gt;=" &amp; Dash!$AB$2)</f>
        <v>46190</v>
      </c>
      <c r="E28" s="32">
        <f>_xlfn.DAYS(G28,Dash!$AB$2)</f>
        <v>47</v>
      </c>
      <c r="F28" s="32" t="str">
        <f t="shared" si="2"/>
        <v>BEARISH</v>
      </c>
      <c r="G28" s="14">
        <f>WORKDAY(D28,-1)</f>
        <v>46189</v>
      </c>
      <c r="H28" s="14">
        <f>WORKDAY(D28,-1)</f>
        <v>46189</v>
      </c>
      <c r="I28" s="13" t="str">
        <f xml:space="preserve"> IF(AND(G28&lt;=Dash!$AB$2,H28&gt;=Dash!$AB$2),"Y","N")</f>
        <v>N</v>
      </c>
      <c r="J28" s="15" t="str">
        <f xml:space="preserve"> IF(D28&lt;=Dash!$C$3,"Y","N")</f>
        <v>N</v>
      </c>
      <c r="K28" t="s">
        <v>284</v>
      </c>
      <c r="L28" t="s">
        <v>284</v>
      </c>
      <c r="M28" t="s">
        <v>42</v>
      </c>
      <c r="O28" s="1">
        <v>46573</v>
      </c>
      <c r="P28" s="1" t="s">
        <v>1492</v>
      </c>
      <c r="R28" s="1">
        <v>46463</v>
      </c>
      <c r="AC28" s="1">
        <v>46465</v>
      </c>
      <c r="AG28" s="1">
        <v>46490</v>
      </c>
      <c r="AI28" s="1">
        <v>46486</v>
      </c>
      <c r="AK28" s="1">
        <v>46486</v>
      </c>
      <c r="AM28" s="1">
        <v>46486</v>
      </c>
      <c r="AO28" s="1">
        <v>46486</v>
      </c>
      <c r="AQ28" s="1">
        <v>46477</v>
      </c>
      <c r="AS28" s="1">
        <v>46471</v>
      </c>
      <c r="AU28" s="1">
        <v>46469</v>
      </c>
      <c r="AW28" s="1">
        <v>46469</v>
      </c>
      <c r="AY28" s="1">
        <v>46447</v>
      </c>
      <c r="BA28" s="1">
        <v>46448</v>
      </c>
      <c r="BC28" s="1">
        <v>46449</v>
      </c>
      <c r="BE28" s="1">
        <v>46451</v>
      </c>
      <c r="BG28" s="1">
        <v>46451</v>
      </c>
      <c r="BI28" s="1">
        <v>46489</v>
      </c>
      <c r="BK28" s="1">
        <v>46066</v>
      </c>
      <c r="BM28" s="1">
        <v>46461</v>
      </c>
      <c r="BO28" s="1">
        <v>46462</v>
      </c>
      <c r="BQ28" s="1">
        <v>46462</v>
      </c>
      <c r="BS28" s="1">
        <v>46451</v>
      </c>
      <c r="BU28" s="1">
        <v>46477</v>
      </c>
      <c r="BW28" s="1">
        <v>46464</v>
      </c>
      <c r="BY28" s="1">
        <v>46461</v>
      </c>
      <c r="CA28" s="1">
        <v>46461</v>
      </c>
    </row>
    <row r="29" spans="2:79" x14ac:dyDescent="0.25">
      <c r="B29" s="5" t="s">
        <v>59</v>
      </c>
      <c r="C29" t="s">
        <v>251</v>
      </c>
      <c r="D29" s="31">
        <f>_xlfn.MINIFS(Data!$W:$W,Data!$W:$W,"&gt;=" &amp; Dash!$AB$2)</f>
        <v>46190</v>
      </c>
      <c r="E29" s="32">
        <f>_xlfn.DAYS(G29,Dash!$AB$2)</f>
        <v>48</v>
      </c>
      <c r="F29" s="32" t="str">
        <f t="shared" si="2"/>
        <v>BEARISH</v>
      </c>
      <c r="G29" s="14">
        <f>WORKDAY(D29,0)</f>
        <v>46190</v>
      </c>
      <c r="H29" s="14">
        <f>WORKDAY(D29,0)</f>
        <v>46190</v>
      </c>
      <c r="I29" s="13" t="str">
        <f xml:space="preserve"> IF(AND(G29&lt;=Dash!$AB$2,H29&gt;=Dash!$AB$2),"Y","N")</f>
        <v>N</v>
      </c>
      <c r="J29" s="15" t="str">
        <f xml:space="preserve"> IF(D29&lt;=Dash!$C$3,"Y","N")</f>
        <v>N</v>
      </c>
      <c r="K29" t="s">
        <v>285</v>
      </c>
      <c r="L29" t="s">
        <v>284</v>
      </c>
      <c r="M29" t="s">
        <v>42</v>
      </c>
      <c r="O29" s="1">
        <v>46636</v>
      </c>
      <c r="P29" s="1" t="s">
        <v>281</v>
      </c>
      <c r="R29" s="1">
        <v>46498</v>
      </c>
      <c r="AC29" s="1">
        <v>46493</v>
      </c>
      <c r="AG29" s="1">
        <v>46520</v>
      </c>
      <c r="AI29" s="1">
        <v>46518</v>
      </c>
      <c r="AK29" s="1">
        <v>46518</v>
      </c>
      <c r="AM29" s="1">
        <v>46518</v>
      </c>
      <c r="AO29" s="1">
        <v>46518</v>
      </c>
      <c r="AQ29" s="1">
        <v>46507</v>
      </c>
      <c r="AS29" s="1">
        <v>46506</v>
      </c>
      <c r="AU29" s="1">
        <v>46500</v>
      </c>
      <c r="AW29" s="1">
        <v>46500</v>
      </c>
      <c r="AY29" s="1">
        <v>46482</v>
      </c>
      <c r="BA29" s="1">
        <v>46482</v>
      </c>
      <c r="BC29" s="1">
        <v>46484</v>
      </c>
      <c r="BE29" s="1">
        <v>46479</v>
      </c>
      <c r="BG29" s="1">
        <v>46479</v>
      </c>
      <c r="BI29" s="1">
        <v>46517</v>
      </c>
      <c r="BK29" s="1">
        <v>46080</v>
      </c>
      <c r="BM29" s="1">
        <v>46496</v>
      </c>
      <c r="BO29" s="1">
        <v>46496</v>
      </c>
      <c r="BQ29" s="1">
        <v>46496</v>
      </c>
      <c r="BS29" s="1">
        <v>46483</v>
      </c>
      <c r="BU29" s="1">
        <v>46507</v>
      </c>
      <c r="BW29" s="1">
        <v>46492</v>
      </c>
      <c r="BY29" s="1">
        <v>46492</v>
      </c>
      <c r="CA29" s="1">
        <v>46492</v>
      </c>
    </row>
    <row r="30" spans="2:79" x14ac:dyDescent="0.25">
      <c r="B30" s="5" t="s">
        <v>59</v>
      </c>
      <c r="C30" t="s">
        <v>76</v>
      </c>
      <c r="D30" s="31">
        <f>_xlfn.MINIFS(Data!$Y:$Y,Data!$Y:$Y,"&gt;=" &amp; Dash!$AB$2)</f>
        <v>46162</v>
      </c>
      <c r="E30" s="32">
        <f>_xlfn.DAYS(G30,Dash!$AB$2)</f>
        <v>19</v>
      </c>
      <c r="F30" s="32" t="str">
        <f t="shared" si="2"/>
        <v>BEARISH</v>
      </c>
      <c r="G30" s="14">
        <f>WORKDAY(D30,-1)</f>
        <v>46161</v>
      </c>
      <c r="H30" s="14">
        <f>WORKDAY(D30,-1)</f>
        <v>46161</v>
      </c>
      <c r="I30" s="13" t="str">
        <f xml:space="preserve"> IF(AND(G30&lt;=Dash!$AB$2,H30&gt;=Dash!$AB$2),"Y","N")</f>
        <v>N</v>
      </c>
      <c r="J30" s="15" t="str">
        <f xml:space="preserve"> IF(D30&lt;=Dash!$C$3,"Y","N")</f>
        <v>N</v>
      </c>
      <c r="K30" t="s">
        <v>285</v>
      </c>
      <c r="L30" t="s">
        <v>284</v>
      </c>
      <c r="M30" t="s">
        <v>42</v>
      </c>
      <c r="O30" s="1">
        <v>46716</v>
      </c>
      <c r="P30" s="1" t="s">
        <v>1490</v>
      </c>
      <c r="R30" s="1">
        <v>46526</v>
      </c>
      <c r="AC30" s="1">
        <v>46528</v>
      </c>
      <c r="AG30" s="1">
        <v>46552</v>
      </c>
      <c r="AI30" s="1">
        <v>46547</v>
      </c>
      <c r="AK30" s="1">
        <v>46547</v>
      </c>
      <c r="AM30" s="1">
        <v>46547</v>
      </c>
      <c r="AO30" s="1">
        <v>46547</v>
      </c>
      <c r="AQ30" s="1">
        <v>46538</v>
      </c>
      <c r="AS30" s="1">
        <v>46534</v>
      </c>
      <c r="AU30" s="1">
        <v>46530</v>
      </c>
      <c r="AW30" s="1">
        <v>46530</v>
      </c>
      <c r="AY30" s="1">
        <v>46510</v>
      </c>
      <c r="BA30" s="1">
        <v>46510</v>
      </c>
      <c r="BC30" s="1">
        <v>46512</v>
      </c>
      <c r="BE30" s="1">
        <v>46514</v>
      </c>
      <c r="BG30" s="1">
        <v>46514</v>
      </c>
      <c r="BI30" s="1">
        <v>46546</v>
      </c>
      <c r="BK30" s="1">
        <v>46094</v>
      </c>
      <c r="BM30" s="1">
        <v>46524</v>
      </c>
      <c r="BO30" s="1">
        <v>46524</v>
      </c>
      <c r="BQ30" s="1">
        <v>46524</v>
      </c>
      <c r="BS30" s="1">
        <v>46513</v>
      </c>
      <c r="BU30" s="1">
        <v>46538</v>
      </c>
      <c r="BW30" s="1">
        <v>46527</v>
      </c>
      <c r="BY30" s="1">
        <v>46521</v>
      </c>
      <c r="CA30" s="1">
        <v>46521</v>
      </c>
    </row>
    <row r="31" spans="2:79" x14ac:dyDescent="0.25">
      <c r="B31" s="5" t="s">
        <v>55</v>
      </c>
      <c r="C31" t="s">
        <v>53</v>
      </c>
      <c r="D31" s="31">
        <f>_xlfn.MINIFS(Data!$AA:$AA,Data!$AA:$AA,"&gt;=" &amp; Dash!$AB$2)</f>
        <v>46176</v>
      </c>
      <c r="E31" s="32">
        <f>_xlfn.DAYS(G31,Dash!$AB$2)</f>
        <v>33</v>
      </c>
      <c r="F31" s="32" t="str">
        <f t="shared" si="2"/>
        <v>BEARISH</v>
      </c>
      <c r="G31" s="14">
        <f>WORKDAY(D31,-1)</f>
        <v>46175</v>
      </c>
      <c r="H31" s="14">
        <f>WORKDAY(D31,-1)</f>
        <v>46175</v>
      </c>
      <c r="I31" s="13" t="str">
        <f xml:space="preserve"> IF(AND(G31&lt;=Dash!$AB$2,H31&gt;=Dash!$AB$2),"Y","N")</f>
        <v>N</v>
      </c>
      <c r="J31" s="15" t="str">
        <f xml:space="preserve"> IF(D31&lt;=Dash!$C$3,"Y","N")</f>
        <v>N</v>
      </c>
      <c r="K31" t="s">
        <v>285</v>
      </c>
      <c r="L31" t="s">
        <v>284</v>
      </c>
      <c r="M31" t="s">
        <v>42</v>
      </c>
      <c r="O31" s="1">
        <v>46745</v>
      </c>
      <c r="P31" s="1" t="s">
        <v>1494</v>
      </c>
      <c r="R31" s="1">
        <v>46554</v>
      </c>
      <c r="AC31" s="1">
        <v>46556</v>
      </c>
      <c r="AG31" s="1">
        <v>46581</v>
      </c>
      <c r="AI31" s="1">
        <v>46581</v>
      </c>
      <c r="AK31" s="1">
        <v>46581</v>
      </c>
      <c r="AM31" s="1">
        <v>46581</v>
      </c>
      <c r="AO31" s="1">
        <v>46581</v>
      </c>
      <c r="AQ31" s="1">
        <v>46568</v>
      </c>
      <c r="AS31" s="1">
        <v>46562</v>
      </c>
      <c r="AU31" s="1">
        <v>46561</v>
      </c>
      <c r="AW31" s="1">
        <v>46561</v>
      </c>
      <c r="AY31" s="1">
        <v>46539</v>
      </c>
      <c r="BA31" s="1">
        <v>46540</v>
      </c>
      <c r="BC31" s="1">
        <v>46540</v>
      </c>
      <c r="BE31" s="1">
        <v>46542</v>
      </c>
      <c r="BG31" s="1">
        <v>46542</v>
      </c>
      <c r="BI31" s="1">
        <v>46580</v>
      </c>
      <c r="BK31" s="1">
        <v>46108</v>
      </c>
      <c r="BM31" s="1">
        <v>46559</v>
      </c>
      <c r="BO31" s="1">
        <v>46559</v>
      </c>
      <c r="BQ31" s="1">
        <v>46559</v>
      </c>
      <c r="BS31" s="1">
        <v>46545</v>
      </c>
      <c r="BU31" s="1">
        <v>46568</v>
      </c>
      <c r="BW31" s="1">
        <v>46555</v>
      </c>
      <c r="BY31" s="1">
        <v>46553</v>
      </c>
      <c r="CA31" s="1">
        <v>46553</v>
      </c>
    </row>
    <row r="32" spans="2:79" x14ac:dyDescent="0.25">
      <c r="B32" s="5" t="s">
        <v>63</v>
      </c>
      <c r="C32" t="s">
        <v>77</v>
      </c>
      <c r="D32" s="31">
        <f>_xlfn.MINIFS(Data!$R:$R,Data!$R:$R,"&gt;=" &amp; Dash!$AB$2)</f>
        <v>46161</v>
      </c>
      <c r="E32" s="32">
        <f>_xlfn.DAYS(G32,Dash!$AB$2)</f>
        <v>14</v>
      </c>
      <c r="F32" s="32" t="str">
        <f t="shared" si="2"/>
        <v>BULLISH</v>
      </c>
      <c r="G32" s="14">
        <f>WORKDAY(D32,-3)</f>
        <v>46156</v>
      </c>
      <c r="H32" s="14">
        <f>WORKDAY(D32,0)</f>
        <v>46161</v>
      </c>
      <c r="I32" s="13" t="str">
        <f xml:space="preserve"> IF(AND(G32&lt;=Dash!$AB$2,H32&gt;=Dash!$AB$2),"Y","N")</f>
        <v>N</v>
      </c>
      <c r="J32" s="15" t="str">
        <f xml:space="preserve"> IF(D32&lt;=Dash!$C$3,"Y","N")</f>
        <v>N</v>
      </c>
      <c r="K32" t="s">
        <v>284</v>
      </c>
      <c r="L32" t="s">
        <v>284</v>
      </c>
      <c r="M32" t="s">
        <v>43</v>
      </c>
      <c r="R32" s="1">
        <v>46589</v>
      </c>
      <c r="AC32" s="1">
        <v>46584</v>
      </c>
      <c r="AG32" s="1">
        <v>46614</v>
      </c>
      <c r="AI32" s="1">
        <v>46609</v>
      </c>
      <c r="AK32" s="1">
        <v>46609</v>
      </c>
      <c r="AM32" s="1">
        <v>46609</v>
      </c>
      <c r="AO32" s="1">
        <v>46609</v>
      </c>
      <c r="AQ32" s="1">
        <v>46599</v>
      </c>
      <c r="AS32" s="1">
        <v>46597</v>
      </c>
      <c r="AU32" s="1">
        <v>46591</v>
      </c>
      <c r="AW32" s="1">
        <v>46591</v>
      </c>
      <c r="AY32" s="1">
        <v>46569</v>
      </c>
      <c r="BA32" s="1">
        <v>46573</v>
      </c>
      <c r="BC32" s="1">
        <v>46575</v>
      </c>
      <c r="BE32" s="1">
        <v>46570</v>
      </c>
      <c r="BG32" s="1">
        <v>46570</v>
      </c>
      <c r="BI32" s="1">
        <v>46608</v>
      </c>
      <c r="BK32" s="1">
        <v>46122</v>
      </c>
      <c r="BM32" s="1">
        <v>46587</v>
      </c>
      <c r="BO32" s="1">
        <v>46587</v>
      </c>
      <c r="BQ32" s="1">
        <v>46587</v>
      </c>
      <c r="BS32" s="1">
        <v>46574</v>
      </c>
      <c r="BU32" s="1">
        <v>46599</v>
      </c>
      <c r="BW32" s="1">
        <v>46583</v>
      </c>
      <c r="BY32" s="1">
        <v>46583</v>
      </c>
      <c r="CA32" s="1">
        <v>46583</v>
      </c>
    </row>
    <row r="33" spans="2:79" x14ac:dyDescent="0.25">
      <c r="B33" s="5" t="s">
        <v>63</v>
      </c>
      <c r="C33" t="s">
        <v>250</v>
      </c>
      <c r="D33" s="31">
        <f>_xlfn.MINIFS(Data!$R:$R,Data!$R:$R,"&gt;=" &amp; Dash!$AB$2-2)</f>
        <v>46161</v>
      </c>
      <c r="E33" s="32">
        <f>_xlfn.DAYS(G33,Dash!$AB$2)</f>
        <v>15</v>
      </c>
      <c r="F33" s="32" t="str">
        <f t="shared" si="2"/>
        <v>BEARISH</v>
      </c>
      <c r="G33" s="14">
        <f>WORKDAY(D33,-2)</f>
        <v>46157</v>
      </c>
      <c r="H33" s="14">
        <f>WORKDAY(D33,3)</f>
        <v>46164</v>
      </c>
      <c r="I33" s="13" t="str">
        <f xml:space="preserve"> IF(AND(G33&lt;=Dash!$AB$2,H33&gt;=Dash!$AB$2),"Y","N")</f>
        <v>N</v>
      </c>
      <c r="J33" s="15" t="str">
        <f xml:space="preserve"> IF(D33&lt;=Dash!$C$3,"Y","N")</f>
        <v>N</v>
      </c>
      <c r="K33" t="s">
        <v>284</v>
      </c>
      <c r="L33" t="s">
        <v>284</v>
      </c>
      <c r="M33" t="s">
        <v>42</v>
      </c>
      <c r="R33" s="1">
        <v>46617</v>
      </c>
      <c r="AC33" s="1">
        <v>46619</v>
      </c>
      <c r="AG33" s="1">
        <v>46643</v>
      </c>
      <c r="AI33" s="1">
        <v>46639</v>
      </c>
      <c r="AK33" s="1">
        <v>46639</v>
      </c>
      <c r="AM33" s="1">
        <v>46639</v>
      </c>
      <c r="AO33" s="1">
        <v>46639</v>
      </c>
      <c r="AQ33" s="1">
        <v>46630</v>
      </c>
      <c r="AS33" s="1">
        <v>46625</v>
      </c>
      <c r="AU33" s="1">
        <v>46622</v>
      </c>
      <c r="AW33" s="1">
        <v>46622</v>
      </c>
      <c r="AY33" s="1">
        <v>46601</v>
      </c>
      <c r="BA33" s="1">
        <v>46601</v>
      </c>
      <c r="BC33" s="1">
        <v>46603</v>
      </c>
      <c r="BE33" s="1">
        <v>46605</v>
      </c>
      <c r="BG33" s="1">
        <v>46605</v>
      </c>
      <c r="BI33" s="1">
        <v>46643</v>
      </c>
      <c r="BK33" s="1">
        <v>46136</v>
      </c>
      <c r="BM33" s="1">
        <v>46615</v>
      </c>
      <c r="BO33" s="1">
        <v>46615</v>
      </c>
      <c r="BQ33" s="1">
        <v>46615</v>
      </c>
      <c r="BS33" s="1">
        <v>46604</v>
      </c>
      <c r="BU33" s="1">
        <v>46630</v>
      </c>
      <c r="BW33" s="1">
        <v>46618</v>
      </c>
      <c r="BY33" s="1">
        <v>46612</v>
      </c>
      <c r="CA33" s="1">
        <v>46612</v>
      </c>
    </row>
    <row r="34" spans="2:79" x14ac:dyDescent="0.25">
      <c r="B34" s="5" t="s">
        <v>215</v>
      </c>
      <c r="C34" t="s">
        <v>1737</v>
      </c>
      <c r="D34" s="31">
        <f>_xlfn.MINIFS(Data!$AC:$AC,Data!$AC:$AC,"&gt;=" &amp; Dash!$AB$2)</f>
        <v>46157</v>
      </c>
      <c r="E34" s="32">
        <f>_xlfn.DAYS(G34,Dash!$AB$2)</f>
        <v>1</v>
      </c>
      <c r="F34" s="32" t="str">
        <f t="shared" si="2"/>
        <v>BULLISH</v>
      </c>
      <c r="G34" s="14">
        <f>WORKDAY(D34,-10)</f>
        <v>46143</v>
      </c>
      <c r="H34" s="14">
        <f>WORKDAY(D34,0)</f>
        <v>46157</v>
      </c>
      <c r="I34" s="13" t="str">
        <f xml:space="preserve"> IF(AND(G34&lt;=Dash!$AB$2,H34&gt;=Dash!$AB$2),"Y","N")</f>
        <v>N</v>
      </c>
      <c r="J34" s="15" t="str">
        <f xml:space="preserve"> IF(D34&lt;=Dash!$C$3,"Y","N")</f>
        <v>N</v>
      </c>
      <c r="K34" t="s">
        <v>285</v>
      </c>
      <c r="L34" t="s">
        <v>284</v>
      </c>
      <c r="M34" t="s">
        <v>43</v>
      </c>
      <c r="R34" s="1">
        <v>46645</v>
      </c>
      <c r="AC34" s="1">
        <v>46647</v>
      </c>
      <c r="AG34" s="1">
        <v>46673</v>
      </c>
      <c r="AI34" s="1">
        <v>46672</v>
      </c>
      <c r="AK34" s="1">
        <v>46672</v>
      </c>
      <c r="AM34" s="1">
        <v>46672</v>
      </c>
      <c r="AO34" s="1">
        <v>46672</v>
      </c>
      <c r="AQ34" s="1">
        <v>46660</v>
      </c>
      <c r="AS34" s="1">
        <v>46660</v>
      </c>
      <c r="AU34" s="1">
        <v>46653</v>
      </c>
      <c r="AW34" s="1">
        <v>46653</v>
      </c>
      <c r="AY34" s="1">
        <v>46631</v>
      </c>
      <c r="BA34" s="1">
        <v>46637</v>
      </c>
      <c r="BC34" s="1">
        <v>46631</v>
      </c>
      <c r="BE34" s="1">
        <v>46633</v>
      </c>
      <c r="BG34" s="1">
        <v>46633</v>
      </c>
      <c r="BI34" s="1">
        <v>46671</v>
      </c>
      <c r="BK34" s="1">
        <v>46150</v>
      </c>
      <c r="BM34" s="1">
        <v>46650</v>
      </c>
      <c r="BO34" s="1">
        <v>46650</v>
      </c>
      <c r="BQ34" s="1">
        <v>46650</v>
      </c>
      <c r="BS34" s="1">
        <v>46637</v>
      </c>
      <c r="BU34" s="1">
        <v>46660</v>
      </c>
      <c r="BW34" s="1">
        <v>46646</v>
      </c>
      <c r="BY34" s="1">
        <v>46644</v>
      </c>
      <c r="CA34" s="1">
        <v>46644</v>
      </c>
    </row>
    <row r="35" spans="2:79" x14ac:dyDescent="0.25">
      <c r="B35" s="5" t="s">
        <v>215</v>
      </c>
      <c r="C35" t="s">
        <v>1738</v>
      </c>
      <c r="D35" s="31">
        <f>D34</f>
        <v>46157</v>
      </c>
      <c r="E35" s="32">
        <f>_xlfn.DAYS(G35,Dash!$AB$2)</f>
        <v>13</v>
      </c>
      <c r="F35" s="32" t="str">
        <f t="shared" si="2"/>
        <v>BEARISH</v>
      </c>
      <c r="G35" s="14">
        <f>WORKDAY(D35,-2)</f>
        <v>46155</v>
      </c>
      <c r="H35" s="14">
        <f>WORKDAY(D35,4)</f>
        <v>46163</v>
      </c>
      <c r="I35" s="13" t="str">
        <f xml:space="preserve"> IF(AND(G35&lt;=Dash!$AB$2,H35&gt;=Dash!$AB$2),"Y","N")</f>
        <v>N</v>
      </c>
      <c r="J35" s="15" t="str">
        <f xml:space="preserve"> IF(D35&lt;=Dash!$C$3,"Y","N")</f>
        <v>N</v>
      </c>
      <c r="K35" t="s">
        <v>285</v>
      </c>
      <c r="L35" t="s">
        <v>284</v>
      </c>
      <c r="M35" t="s">
        <v>42</v>
      </c>
      <c r="R35" s="1">
        <v>46680</v>
      </c>
      <c r="AC35" s="1">
        <v>46675</v>
      </c>
      <c r="AG35" s="1">
        <v>46705</v>
      </c>
      <c r="AI35" s="1">
        <v>46700</v>
      </c>
      <c r="AK35" s="1">
        <v>46700</v>
      </c>
      <c r="AM35" s="1">
        <v>46700</v>
      </c>
      <c r="AO35" s="1">
        <v>46700</v>
      </c>
      <c r="AQ35" s="1">
        <v>46689</v>
      </c>
      <c r="AS35" s="1">
        <v>46688</v>
      </c>
      <c r="AU35" s="1">
        <v>46683</v>
      </c>
      <c r="AW35" s="1">
        <v>46683</v>
      </c>
      <c r="AY35" s="1">
        <v>46664</v>
      </c>
      <c r="BA35" s="1">
        <v>46664</v>
      </c>
      <c r="BC35" s="1">
        <v>46666</v>
      </c>
      <c r="BE35" s="1">
        <v>46661</v>
      </c>
      <c r="BG35" s="1">
        <v>46661</v>
      </c>
      <c r="BI35" s="1">
        <v>46699</v>
      </c>
      <c r="BK35" s="1">
        <v>46164</v>
      </c>
      <c r="BM35" s="1">
        <v>46678</v>
      </c>
      <c r="BO35" s="1">
        <v>46678</v>
      </c>
      <c r="BQ35" s="1">
        <v>46678</v>
      </c>
      <c r="BS35" s="1">
        <v>46666</v>
      </c>
      <c r="BU35" s="1">
        <v>46691</v>
      </c>
      <c r="BW35" s="1">
        <v>46681</v>
      </c>
      <c r="BY35" s="1">
        <v>46674</v>
      </c>
      <c r="CA35" s="1">
        <v>46674</v>
      </c>
    </row>
    <row r="36" spans="2:79" x14ac:dyDescent="0.25">
      <c r="B36" s="5" t="s">
        <v>215</v>
      </c>
      <c r="C36" t="s">
        <v>1739</v>
      </c>
      <c r="D36" s="31">
        <f>_xlfn.MINIFS(Data!$AE:$AE,Data!$AE:$AE,"&gt;=" &amp; Dash!$AB$2)</f>
        <v>46199</v>
      </c>
      <c r="E36" s="32">
        <f>_xlfn.DAYS(G36,Dash!$AB$2)</f>
        <v>43</v>
      </c>
      <c r="F36" s="32" t="str">
        <f t="shared" si="2"/>
        <v>BULLISH</v>
      </c>
      <c r="G36" s="14">
        <f>WORKDAY(D36,-10)</f>
        <v>46185</v>
      </c>
      <c r="H36" s="14">
        <f>WORKDAY(D36,0)</f>
        <v>46199</v>
      </c>
      <c r="I36" s="13" t="str">
        <f xml:space="preserve"> IF(AND(G36&lt;=Dash!$AB$2,H36&gt;=Dash!$AB$2),"Y","N")</f>
        <v>N</v>
      </c>
      <c r="J36" s="15" t="str">
        <f xml:space="preserve"> IF(D36&lt;=Dash!$C$3,"Y","N")</f>
        <v>N</v>
      </c>
      <c r="K36" t="s">
        <v>284</v>
      </c>
      <c r="L36" t="s">
        <v>284</v>
      </c>
      <c r="M36" t="s">
        <v>43</v>
      </c>
      <c r="R36" s="1">
        <v>46708</v>
      </c>
      <c r="AC36" s="1">
        <v>46710</v>
      </c>
      <c r="AG36" s="1">
        <v>46734</v>
      </c>
      <c r="AI36" s="1">
        <v>46729</v>
      </c>
      <c r="AK36" s="1">
        <v>46729</v>
      </c>
      <c r="AM36" s="1">
        <v>46729</v>
      </c>
      <c r="AO36" s="1">
        <v>46729</v>
      </c>
      <c r="AQ36" s="1">
        <v>46721</v>
      </c>
      <c r="AS36" s="1">
        <v>46716</v>
      </c>
      <c r="AU36" s="1">
        <v>46715</v>
      </c>
      <c r="AW36" s="1">
        <v>46715</v>
      </c>
      <c r="AY36" s="1">
        <v>46692</v>
      </c>
      <c r="BA36" s="1">
        <v>46693</v>
      </c>
      <c r="BC36" s="1">
        <v>46694</v>
      </c>
      <c r="BE36" s="1">
        <v>46696</v>
      </c>
      <c r="BG36" s="1">
        <v>46696</v>
      </c>
      <c r="BI36" s="1">
        <v>46734</v>
      </c>
      <c r="BK36" s="1">
        <v>46185</v>
      </c>
      <c r="BM36" s="1">
        <v>46706</v>
      </c>
      <c r="BO36" s="1">
        <v>46706</v>
      </c>
      <c r="BQ36" s="1">
        <v>46706</v>
      </c>
      <c r="BS36" s="1">
        <v>46696</v>
      </c>
      <c r="BU36" s="1">
        <v>46721</v>
      </c>
      <c r="BW36" s="1">
        <v>46709</v>
      </c>
      <c r="BY36" s="1">
        <v>46703</v>
      </c>
      <c r="CA36" s="1">
        <v>46703</v>
      </c>
    </row>
    <row r="37" spans="2:79" x14ac:dyDescent="0.25">
      <c r="B37" s="5" t="s">
        <v>215</v>
      </c>
      <c r="C37" t="s">
        <v>1740</v>
      </c>
      <c r="D37" s="31">
        <f>D36</f>
        <v>46199</v>
      </c>
      <c r="E37" s="32">
        <f>_xlfn.DAYS(G37,Dash!$AB$2)</f>
        <v>55</v>
      </c>
      <c r="F37" s="32" t="str">
        <f t="shared" si="2"/>
        <v>BEARISH</v>
      </c>
      <c r="G37" s="14">
        <f>WORKDAY(D37,-2)</f>
        <v>46197</v>
      </c>
      <c r="H37" s="14">
        <f>WORKDAY(D37,4)</f>
        <v>46205</v>
      </c>
      <c r="I37" s="13" t="str">
        <f xml:space="preserve"> IF(AND(G37&lt;=Dash!$AB$2,H37&gt;=Dash!$AB$2),"Y","N")</f>
        <v>N</v>
      </c>
      <c r="J37" s="15" t="str">
        <f xml:space="preserve"> IF(D37&lt;=Dash!$C$3,"Y","N")</f>
        <v>N</v>
      </c>
      <c r="K37" t="s">
        <v>284</v>
      </c>
      <c r="L37" t="s">
        <v>284</v>
      </c>
      <c r="M37" t="s">
        <v>42</v>
      </c>
      <c r="R37" s="1">
        <v>46736</v>
      </c>
      <c r="AC37" s="1">
        <v>46738</v>
      </c>
      <c r="AQ37" s="1">
        <v>46752</v>
      </c>
      <c r="AS37" s="1">
        <v>46737</v>
      </c>
      <c r="AU37" s="1">
        <v>46745</v>
      </c>
      <c r="AW37" s="1">
        <v>46745</v>
      </c>
      <c r="AY37" s="1">
        <v>46722</v>
      </c>
      <c r="BA37" s="1">
        <v>46728</v>
      </c>
      <c r="BC37" s="1">
        <v>46722</v>
      </c>
      <c r="BE37" s="1">
        <v>46724</v>
      </c>
      <c r="BG37" s="1">
        <v>46724</v>
      </c>
      <c r="BK37" s="1">
        <v>46199</v>
      </c>
      <c r="BM37" s="1">
        <v>46741</v>
      </c>
      <c r="BO37" s="1">
        <v>46741</v>
      </c>
      <c r="BQ37" s="1">
        <v>46741</v>
      </c>
      <c r="BS37" s="1">
        <v>46728</v>
      </c>
      <c r="BU37" s="1">
        <v>46752</v>
      </c>
      <c r="BW37" s="1">
        <v>46737</v>
      </c>
      <c r="BY37" s="1">
        <v>46736</v>
      </c>
      <c r="CA37" s="1">
        <v>46736</v>
      </c>
    </row>
    <row r="38" spans="2:79" x14ac:dyDescent="0.25">
      <c r="C38" t="s">
        <v>1944</v>
      </c>
      <c r="D38" s="14">
        <f>WORKDAY(EOMONTH(Dash!$AB$2,0)+1,-1)</f>
        <v>46142</v>
      </c>
      <c r="E38" s="32">
        <f>_xlfn.DAYS(G38,Dash!$AB$2)</f>
        <v>-3</v>
      </c>
      <c r="F38" s="32" t="str">
        <f t="shared" si="2"/>
        <v>BULLISH</v>
      </c>
      <c r="G38" s="14">
        <f>WORKDAY(D38, -3)</f>
        <v>46139</v>
      </c>
      <c r="H38" s="14">
        <f>WORKDAY(D38,0)</f>
        <v>46142</v>
      </c>
      <c r="I38" s="13" t="str">
        <f xml:space="preserve"> IF(AND(G38&lt;=Dash!$AB$2,H38&gt;=Dash!$AB$2),"Y","N")</f>
        <v>Y</v>
      </c>
      <c r="J38" s="15" t="str">
        <f xml:space="preserve"> IF(D38&lt;=Dash!$C$3,"Y","N")</f>
        <v>Y</v>
      </c>
      <c r="K38" t="s">
        <v>284</v>
      </c>
      <c r="L38" t="s">
        <v>284</v>
      </c>
      <c r="M38" t="s">
        <v>43</v>
      </c>
      <c r="BK38" s="1">
        <v>46213</v>
      </c>
    </row>
    <row r="39" spans="2:79" x14ac:dyDescent="0.25">
      <c r="C39" t="s">
        <v>1741</v>
      </c>
      <c r="D39" s="14">
        <f>D38</f>
        <v>46142</v>
      </c>
      <c r="E39" s="32">
        <f>_xlfn.DAYS(G39,Dash!$AB$2)</f>
        <v>-2</v>
      </c>
      <c r="F39" s="32" t="str">
        <f t="shared" si="2"/>
        <v>BEARISH</v>
      </c>
      <c r="G39" s="14">
        <f>WORKDAY(D39, -2)</f>
        <v>46140</v>
      </c>
      <c r="H39" s="14">
        <f>WORKDAY(D39,3)</f>
        <v>46147</v>
      </c>
      <c r="I39" s="13" t="str">
        <f xml:space="preserve"> IF(AND(G39&lt;=Dash!$AB$2,H39&gt;=Dash!$AB$2),"Y","N")</f>
        <v>Y</v>
      </c>
      <c r="J39" s="15" t="str">
        <f xml:space="preserve"> IF(D39&lt;=Dash!$C$3,"Y","N")</f>
        <v>Y</v>
      </c>
      <c r="K39" t="s">
        <v>284</v>
      </c>
      <c r="L39" t="s">
        <v>284</v>
      </c>
      <c r="M39" t="s">
        <v>42</v>
      </c>
      <c r="BK39" s="1">
        <v>46227</v>
      </c>
    </row>
    <row r="40" spans="2:79" x14ac:dyDescent="0.25">
      <c r="C40" t="s">
        <v>1945</v>
      </c>
      <c r="D40" s="14">
        <f>WORKDAY(EOMONTH(Dash!$AB$2,MOD(3-MONTH(Dash!$AB$2),3))+1,-1)</f>
        <v>46203</v>
      </c>
      <c r="E40" s="32">
        <f>_xlfn.DAYS(G40,Dash!$AB$2)</f>
        <v>56</v>
      </c>
      <c r="F40" s="32" t="str">
        <f t="shared" si="2"/>
        <v>BULLISH</v>
      </c>
      <c r="G40" s="14">
        <f>WORKDAY(D40, -3)</f>
        <v>46198</v>
      </c>
      <c r="H40" s="14">
        <f>WORKDAY(D40,0)</f>
        <v>46203</v>
      </c>
      <c r="I40" s="13" t="str">
        <f xml:space="preserve"> IF(AND(G40&lt;=Dash!$AB$2,H40&gt;=Dash!$AB$2),"Y","N")</f>
        <v>N</v>
      </c>
      <c r="J40" s="15" t="str">
        <f xml:space="preserve"> IF(D40&lt;=Dash!$C$3,"Y","N")</f>
        <v>N</v>
      </c>
      <c r="K40" t="s">
        <v>284</v>
      </c>
      <c r="L40" t="s">
        <v>284</v>
      </c>
      <c r="M40" t="s">
        <v>43</v>
      </c>
      <c r="BK40" s="1">
        <v>46248</v>
      </c>
    </row>
    <row r="41" spans="2:79" x14ac:dyDescent="0.25">
      <c r="C41" t="s">
        <v>1742</v>
      </c>
      <c r="D41" s="14">
        <f>D40</f>
        <v>46203</v>
      </c>
      <c r="E41" s="32">
        <f>_xlfn.DAYS(G41,Dash!$AB$2)</f>
        <v>57</v>
      </c>
      <c r="F41" s="32" t="str">
        <f t="shared" si="2"/>
        <v>BEARISH</v>
      </c>
      <c r="G41" s="14">
        <f>WORKDAY(D41, -2)</f>
        <v>46199</v>
      </c>
      <c r="H41" s="14">
        <f>WORKDAY(D41,3)</f>
        <v>46206</v>
      </c>
      <c r="I41" s="13" t="str">
        <f xml:space="preserve"> IF(AND(G41&lt;=Dash!$AB$2,H41&gt;=Dash!$AB$2),"Y","N")</f>
        <v>N</v>
      </c>
      <c r="J41" s="15" t="str">
        <f xml:space="preserve"> IF(D41&lt;=Dash!$C$3,"Y","N")</f>
        <v>N</v>
      </c>
      <c r="K41" t="s">
        <v>284</v>
      </c>
      <c r="L41" t="s">
        <v>284</v>
      </c>
      <c r="M41" t="s">
        <v>42</v>
      </c>
      <c r="BK41" s="1">
        <v>46262</v>
      </c>
    </row>
    <row r="42" spans="2:79" x14ac:dyDescent="0.25">
      <c r="C42" t="s">
        <v>1928</v>
      </c>
      <c r="D42" s="14">
        <f>WORKDAY(EOMONTH(Dash!$AB$2,MOD(3-MONTH(Dash!$AB$2),3))+8,-1)</f>
        <v>46210</v>
      </c>
      <c r="E42" s="32">
        <f>_xlfn.DAYS(G42,Dash!$AB$2)</f>
        <v>62</v>
      </c>
      <c r="F42" s="32" t="str">
        <f t="shared" si="2"/>
        <v>BEARISH</v>
      </c>
      <c r="G42" s="14">
        <f>WORKDAY(D42, -4)</f>
        <v>46204</v>
      </c>
      <c r="H42" s="14">
        <f>WORKDAY(D42,0)</f>
        <v>46210</v>
      </c>
      <c r="I42" s="13" t="str">
        <f xml:space="preserve"> IF(AND(G42&lt;=Dash!$AB$2,H42&gt;=Dash!$AB$2),"Y","N")</f>
        <v>N</v>
      </c>
      <c r="J42" s="15" t="str">
        <f xml:space="preserve"> IF(D42&lt;=Dash!$C$3,"Y","N")</f>
        <v>N</v>
      </c>
      <c r="K42" t="s">
        <v>284</v>
      </c>
      <c r="L42" t="s">
        <v>284</v>
      </c>
      <c r="M42" t="s">
        <v>42</v>
      </c>
      <c r="BK42" s="1">
        <v>46276</v>
      </c>
    </row>
    <row r="43" spans="2:79" x14ac:dyDescent="0.25">
      <c r="BK43" s="1">
        <v>46290</v>
      </c>
    </row>
    <row r="44" spans="2:79" x14ac:dyDescent="0.25">
      <c r="BK44" s="1">
        <v>46304</v>
      </c>
    </row>
    <row r="45" spans="2:79" x14ac:dyDescent="0.25">
      <c r="BK45" s="1">
        <v>46318</v>
      </c>
    </row>
    <row r="46" spans="2:79" x14ac:dyDescent="0.25">
      <c r="BK46" s="1">
        <v>46339</v>
      </c>
    </row>
    <row r="47" spans="2:79" x14ac:dyDescent="0.25">
      <c r="BK47" s="1">
        <v>46353</v>
      </c>
    </row>
    <row r="48" spans="2:79" x14ac:dyDescent="0.25">
      <c r="B48" s="1"/>
      <c r="BK48" s="1">
        <v>46367</v>
      </c>
    </row>
    <row r="49" spans="5:63" x14ac:dyDescent="0.25">
      <c r="E49" s="1"/>
      <c r="F49" s="1"/>
      <c r="J49" s="1"/>
      <c r="K49" s="1"/>
      <c r="L49" s="1"/>
      <c r="M49" s="1"/>
      <c r="BK49" s="1">
        <v>46381</v>
      </c>
    </row>
    <row r="50" spans="5:63" x14ac:dyDescent="0.25">
      <c r="BK50" s="1">
        <v>46395</v>
      </c>
    </row>
    <row r="51" spans="5:63" x14ac:dyDescent="0.25">
      <c r="BK51" s="1">
        <v>46409</v>
      </c>
    </row>
    <row r="52" spans="5:63" x14ac:dyDescent="0.25">
      <c r="BK52" s="1">
        <v>46430</v>
      </c>
    </row>
    <row r="53" spans="5:63" x14ac:dyDescent="0.25">
      <c r="BK53" s="1">
        <v>46444</v>
      </c>
    </row>
    <row r="54" spans="5:63" x14ac:dyDescent="0.25">
      <c r="BK54" s="1">
        <v>46458</v>
      </c>
    </row>
    <row r="55" spans="5:63" x14ac:dyDescent="0.25">
      <c r="BK55" s="1">
        <v>46472</v>
      </c>
    </row>
    <row r="56" spans="5:63" x14ac:dyDescent="0.25">
      <c r="BK56" s="1">
        <v>46486</v>
      </c>
    </row>
    <row r="57" spans="5:63" x14ac:dyDescent="0.25">
      <c r="BK57" s="1">
        <v>46500</v>
      </c>
    </row>
    <row r="58" spans="5:63" x14ac:dyDescent="0.25">
      <c r="BK58" s="1">
        <v>46514</v>
      </c>
    </row>
    <row r="59" spans="5:63" x14ac:dyDescent="0.25">
      <c r="BK59" s="1">
        <v>46528</v>
      </c>
    </row>
    <row r="60" spans="5:63" x14ac:dyDescent="0.25">
      <c r="BK60" s="1">
        <v>46549</v>
      </c>
    </row>
    <row r="61" spans="5:63" x14ac:dyDescent="0.25">
      <c r="BK61" s="1">
        <v>46563</v>
      </c>
    </row>
    <row r="62" spans="5:63" x14ac:dyDescent="0.25">
      <c r="BK62" s="1">
        <v>46577</v>
      </c>
    </row>
    <row r="63" spans="5:63" x14ac:dyDescent="0.25">
      <c r="BK63" s="1">
        <v>46591</v>
      </c>
    </row>
    <row r="64" spans="5:63" x14ac:dyDescent="0.25">
      <c r="BK64" s="1">
        <v>46612</v>
      </c>
    </row>
    <row r="65" spans="63:63" x14ac:dyDescent="0.25">
      <c r="BK65" s="1">
        <v>46626</v>
      </c>
    </row>
    <row r="66" spans="63:63" x14ac:dyDescent="0.25">
      <c r="BK66" s="1">
        <v>46640</v>
      </c>
    </row>
    <row r="67" spans="63:63" x14ac:dyDescent="0.25">
      <c r="BK67" s="1">
        <v>46654</v>
      </c>
    </row>
    <row r="68" spans="63:63" x14ac:dyDescent="0.25">
      <c r="BK68" s="1">
        <v>46668</v>
      </c>
    </row>
    <row r="69" spans="63:63" x14ac:dyDescent="0.25">
      <c r="BK69" s="1">
        <v>46682</v>
      </c>
    </row>
    <row r="70" spans="63:63" x14ac:dyDescent="0.25">
      <c r="BK70" s="1">
        <v>46703</v>
      </c>
    </row>
    <row r="71" spans="63:63" x14ac:dyDescent="0.25">
      <c r="BK71" s="1">
        <v>46717</v>
      </c>
    </row>
    <row r="72" spans="63:63" x14ac:dyDescent="0.25">
      <c r="BK72" s="1">
        <v>46731</v>
      </c>
    </row>
    <row r="73" spans="63:63" x14ac:dyDescent="0.25">
      <c r="BK73" s="1">
        <v>46745</v>
      </c>
    </row>
  </sheetData>
  <customSheetViews>
    <customSheetView guid="{52D1722A-E00E-455D-B18E-AA205BA79E79}" scale="80">
      <selection activeCell="A22" sqref="A22"/>
      <pageMargins left="0.7" right="0.7" top="0.75" bottom="0.75" header="0.3" footer="0.3"/>
      <pageSetup orientation="portrait" r:id="rId1"/>
    </customSheetView>
  </customSheetViews>
  <conditionalFormatting sqref="C2:C26">
    <cfRule type="expression" dxfId="17" priority="1">
      <formula>$S2="Y"</formula>
    </cfRule>
  </conditionalFormatting>
  <conditionalFormatting sqref="C27:C35">
    <cfRule type="expression" dxfId="16" priority="693">
      <formula>$S26="Y"</formula>
    </cfRule>
  </conditionalFormatting>
  <conditionalFormatting sqref="C36:C37 C39">
    <cfRule type="expression" dxfId="15" priority="685">
      <formula>$S34="Y"</formula>
    </cfRule>
  </conditionalFormatting>
  <conditionalFormatting sqref="C38">
    <cfRule type="expression" dxfId="14" priority="687">
      <formula>$S35="Y"</formula>
    </cfRule>
  </conditionalFormatting>
  <conditionalFormatting sqref="C40">
    <cfRule type="expression" dxfId="13" priority="691">
      <formula>$S36="Y"</formula>
    </cfRule>
  </conditionalFormatting>
  <conditionalFormatting sqref="C41:C1003">
    <cfRule type="expression" dxfId="12" priority="689">
      <formula>$S38="Y"</formula>
    </cfRule>
  </conditionalFormatting>
  <hyperlinks>
    <hyperlink ref="B7" r:id="rId2" xr:uid="{2E8316A7-8896-4BE5-94FC-58C742506570}"/>
    <hyperlink ref="B28" r:id="rId3" xr:uid="{DC621EC5-C6B6-400B-9158-6A83A0A7F63E}"/>
    <hyperlink ref="B11" r:id="rId4" xr:uid="{3ED8C544-F120-4DC6-87A0-400FF4867F51}"/>
    <hyperlink ref="B32" r:id="rId5" xr:uid="{96F23AC0-9F4D-4EF2-B47E-0A34CB28D1A7}"/>
    <hyperlink ref="B34" r:id="rId6" xr:uid="{8C2A329B-4678-48EE-AAAC-C03D78704CD1}"/>
    <hyperlink ref="B36" r:id="rId7" xr:uid="{CE60A120-411C-40B7-9DB7-F6A91EAD361B}"/>
    <hyperlink ref="B31" r:id="rId8" xr:uid="{CAFD9FC0-BC7E-4AC1-B00B-0E9E38F2E5AA}"/>
    <hyperlink ref="B30" r:id="rId9" xr:uid="{082B23FE-E8B4-4A96-86D8-6D9A3F6A400C}"/>
    <hyperlink ref="B21" r:id="rId10" xr:uid="{0D483D99-0B5A-4833-9FE1-BB6584ACB02F}"/>
    <hyperlink ref="B22" r:id="rId11" xr:uid="{ECDA2F2B-C21B-4210-BEEC-67F89A1FFFBC}"/>
    <hyperlink ref="B23" r:id="rId12" xr:uid="{56298AED-3082-421B-9E02-AE382C2B7D56}"/>
    <hyperlink ref="B24" r:id="rId13" xr:uid="{39AC15BE-8E36-46DA-86C8-7878308EEAC1}"/>
    <hyperlink ref="B8" r:id="rId14" xr:uid="{D2DAC34F-4FAD-454D-A00E-F49EF2714F5F}"/>
    <hyperlink ref="B9" r:id="rId15" xr:uid="{D1FC9823-556A-46AA-BB22-690AFF307834}"/>
    <hyperlink ref="B25" r:id="rId16" xr:uid="{CC864EEF-D1BA-4198-B40D-43B36F486962}"/>
    <hyperlink ref="C1" r:id="rId17" xr:uid="{B7430FE2-7C84-4FD2-8368-FE73BF9DC7A9}"/>
    <hyperlink ref="B27" r:id="rId18" xr:uid="{6AD46AFA-37E4-4C38-8725-E23840E56E34}"/>
    <hyperlink ref="B29" r:id="rId19" xr:uid="{723B6876-0409-488E-9F8E-64A8E4FB8401}"/>
    <hyperlink ref="B33" r:id="rId20" xr:uid="{97B57FE6-9068-4656-8EDB-D04B84F496AC}"/>
    <hyperlink ref="B2" r:id="rId21" xr:uid="{09391124-C04F-4BCD-993F-51083B9F8300}"/>
    <hyperlink ref="B12" r:id="rId22" xr:uid="{92491FC5-4A83-4C95-B587-505682020C6C}"/>
    <hyperlink ref="B14" r:id="rId23" xr:uid="{8537FB97-7FE9-49BF-9913-181679B221B0}"/>
    <hyperlink ref="B17" r:id="rId24" xr:uid="{D976A0F5-07F3-4A91-9AFC-3711BBEC4E82}"/>
    <hyperlink ref="B15" r:id="rId25" xr:uid="{9C87D652-6D49-44D2-A1AB-B13557D88185}"/>
    <hyperlink ref="B6" r:id="rId26" xr:uid="{675A450F-9DB2-4657-96D9-3D8CF177EEB4}"/>
    <hyperlink ref="B4" r:id="rId27" xr:uid="{390B632B-0FB1-41E8-A35B-9C36BA597BB0}"/>
    <hyperlink ref="B3" r:id="rId28" xr:uid="{CAC2BEED-B95B-4E76-8891-E99683599D7A}"/>
    <hyperlink ref="B5" r:id="rId29" xr:uid="{AF05EA15-D314-4E32-8FCC-233FED3984C6}"/>
    <hyperlink ref="B10" r:id="rId30" xr:uid="{BA07182B-015E-4A29-A193-D73AABC70DC9}"/>
    <hyperlink ref="B18" r:id="rId31" xr:uid="{51DA6A7A-3B2D-42C7-8308-18A7342A6FC0}"/>
    <hyperlink ref="B20" r:id="rId32" xr:uid="{9A6D8F85-B5A8-4414-A07F-B93711DBED7E}"/>
    <hyperlink ref="B35" r:id="rId33" xr:uid="{09BCCA0C-1782-425E-9C81-F5F1BCE41F45}"/>
    <hyperlink ref="B37" r:id="rId34" xr:uid="{A3967FB1-F1A7-4555-A96F-3B482A7D07E7}"/>
  </hyperlinks>
  <pageMargins left="0.7" right="0.7" top="0.75" bottom="0.75" header="0.3" footer="0.3"/>
  <pageSetup orientation="portrait" r:id="rId3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861F6-E46A-45CD-8573-B2760436BED2}">
  <sheetPr codeName="Sheet30"/>
  <dimension ref="A1:Q53"/>
  <sheetViews>
    <sheetView workbookViewId="0">
      <pane ySplit="1" topLeftCell="A17" activePane="bottomLeft" state="frozen"/>
      <selection pane="bottomLeft" activeCell="B24" sqref="B24"/>
    </sheetView>
  </sheetViews>
  <sheetFormatPr defaultRowHeight="15" x14ac:dyDescent="0.25"/>
  <cols>
    <col min="1" max="1" width="15.42578125" customWidth="1"/>
    <col min="2" max="2" width="22.5703125" bestFit="1" customWidth="1"/>
    <col min="3" max="3" width="10.85546875" style="30" customWidth="1"/>
    <col min="4" max="4" width="12.5703125" customWidth="1"/>
    <col min="5" max="6" width="9.140625" style="37"/>
    <col min="7" max="7" width="9.140625" style="38"/>
    <col min="8" max="8" width="9.140625" style="37"/>
    <col min="9" max="9" width="8.7109375" customWidth="1"/>
    <col min="10" max="10" width="4.42578125" customWidth="1"/>
    <col min="11" max="11" width="8.7109375" customWidth="1"/>
    <col min="12" max="12" width="4.42578125" customWidth="1"/>
    <col min="14" max="14" width="14.140625" bestFit="1" customWidth="1"/>
    <col min="15" max="15" width="7.140625" bestFit="1" customWidth="1"/>
    <col min="16" max="16" width="15.140625" bestFit="1" customWidth="1"/>
    <col min="17" max="17" width="7.140625" bestFit="1" customWidth="1"/>
  </cols>
  <sheetData>
    <row r="1" spans="1:17" x14ac:dyDescent="0.25">
      <c r="A1" s="10" t="s">
        <v>817</v>
      </c>
      <c r="B1" s="10" t="s">
        <v>818</v>
      </c>
      <c r="C1" s="34" t="s">
        <v>28</v>
      </c>
      <c r="D1" s="10" t="s">
        <v>3339</v>
      </c>
      <c r="E1" s="35" t="s">
        <v>783</v>
      </c>
      <c r="F1" s="35" t="s">
        <v>784</v>
      </c>
      <c r="G1" s="36" t="s">
        <v>785</v>
      </c>
      <c r="H1" s="35" t="s">
        <v>786</v>
      </c>
      <c r="I1" s="10" t="s">
        <v>1660</v>
      </c>
      <c r="J1" s="10" t="s">
        <v>1659</v>
      </c>
      <c r="K1" s="10" t="s">
        <v>851</v>
      </c>
      <c r="L1" s="10" t="s">
        <v>1658</v>
      </c>
      <c r="N1" s="149" t="s">
        <v>1597</v>
      </c>
      <c r="O1" s="149" t="str">
        <f>Dash!$AB$27</f>
        <v>Quad 2</v>
      </c>
      <c r="P1" s="149" t="s">
        <v>1555</v>
      </c>
      <c r="Q1" s="149" t="str">
        <f>Dash!$AB$28</f>
        <v>Quad 3</v>
      </c>
    </row>
    <row r="2" spans="1:17" x14ac:dyDescent="0.25">
      <c r="A2" t="s">
        <v>83</v>
      </c>
      <c r="B2" t="s">
        <v>172</v>
      </c>
      <c r="E2" s="37" t="s">
        <v>43</v>
      </c>
      <c r="F2" s="37" t="s">
        <v>43</v>
      </c>
      <c r="G2" s="37" t="s">
        <v>1654</v>
      </c>
      <c r="H2" s="37" t="s">
        <v>42</v>
      </c>
      <c r="I2" t="str">
        <f t="shared" ref="I2:I34" si="0">IF($Q$1=$E$1,E2,IF($Q$1=$F$1,F2,IF($Q$1=$G$1,G2,IF($Q$1=$H$1,H2,""))))</f>
        <v>Neutral</v>
      </c>
      <c r="J2" cm="1">
        <f t="array" ref="J2">_xlfn.IFS(I2="BULLISH",3,I2="BEARISH",-3,I2="Neutral",0)</f>
        <v>0</v>
      </c>
      <c r="K2" t="str">
        <f t="shared" ref="K2:K34" si="1">IF($O$1=$E$1,E2,IF($O$1=$F$1,F2,IF($O$1=$G$1,G2,IF($O$1=$H$1,H2,""))))</f>
        <v>BULLISH</v>
      </c>
      <c r="L2" cm="1">
        <f t="array" ref="L2">_xlfn.IFS(K2="BULLISH",3,K2="BEARISH",-3,K2="Neutral",0)</f>
        <v>3</v>
      </c>
    </row>
    <row r="3" spans="1:17" x14ac:dyDescent="0.25">
      <c r="A3" t="s">
        <v>83</v>
      </c>
      <c r="B3" t="s">
        <v>787</v>
      </c>
      <c r="E3" s="37" t="s">
        <v>43</v>
      </c>
      <c r="F3" s="37" t="s">
        <v>43</v>
      </c>
      <c r="G3" s="38" t="s">
        <v>42</v>
      </c>
      <c r="H3" s="37" t="s">
        <v>42</v>
      </c>
      <c r="I3" t="str">
        <f t="shared" si="0"/>
        <v>BEARISH</v>
      </c>
      <c r="J3" cm="1">
        <f t="array" ref="J3">_xlfn.IFS(I3="BULLISH",3,I3="BEARISH",-3,I3="Neutral",0)</f>
        <v>-3</v>
      </c>
      <c r="K3" t="str">
        <f t="shared" si="1"/>
        <v>BULLISH</v>
      </c>
      <c r="L3" cm="1">
        <f t="array" ref="L3">_xlfn.IFS(K3="BULLISH",3,K3="BEARISH",-3,K3="Neutral",0)</f>
        <v>3</v>
      </c>
    </row>
    <row r="4" spans="1:17" x14ac:dyDescent="0.25">
      <c r="A4" t="s">
        <v>83</v>
      </c>
      <c r="B4" t="s">
        <v>100</v>
      </c>
      <c r="E4" s="37" t="s">
        <v>43</v>
      </c>
      <c r="F4" s="37" t="s">
        <v>43</v>
      </c>
      <c r="G4" s="38" t="s">
        <v>43</v>
      </c>
      <c r="H4" s="37" t="s">
        <v>42</v>
      </c>
      <c r="I4" t="str">
        <f t="shared" si="0"/>
        <v>BULLISH</v>
      </c>
      <c r="J4" cm="1">
        <f t="array" ref="J4">_xlfn.IFS(I4="BULLISH",3,I4="BEARISH",-3,I4="Neutral",0)</f>
        <v>3</v>
      </c>
      <c r="K4" t="str">
        <f t="shared" si="1"/>
        <v>BULLISH</v>
      </c>
      <c r="L4" cm="1">
        <f t="array" ref="L4">_xlfn.IFS(K4="BULLISH",3,K4="BEARISH",-3,K4="Neutral",0)</f>
        <v>3</v>
      </c>
    </row>
    <row r="5" spans="1:17" x14ac:dyDescent="0.25">
      <c r="A5" t="s">
        <v>83</v>
      </c>
      <c r="B5" t="s">
        <v>812</v>
      </c>
      <c r="E5" s="37" t="s">
        <v>43</v>
      </c>
      <c r="F5" s="37" t="s">
        <v>43</v>
      </c>
      <c r="G5" s="37" t="s">
        <v>1654</v>
      </c>
      <c r="H5" s="37" t="s">
        <v>42</v>
      </c>
      <c r="I5" t="str">
        <f t="shared" si="0"/>
        <v>Neutral</v>
      </c>
      <c r="J5" cm="1">
        <f t="array" ref="J5">_xlfn.IFS(I5="BULLISH",3,I5="BEARISH",-3,I5="Neutral",0)</f>
        <v>0</v>
      </c>
      <c r="K5" t="str">
        <f t="shared" si="1"/>
        <v>BULLISH</v>
      </c>
      <c r="L5" cm="1">
        <f t="array" ref="L5">_xlfn.IFS(K5="BULLISH",3,K5="BEARISH",-3,K5="Neutral",0)</f>
        <v>3</v>
      </c>
    </row>
    <row r="6" spans="1:17" x14ac:dyDescent="0.25">
      <c r="A6" t="s">
        <v>83</v>
      </c>
      <c r="B6" t="s">
        <v>168</v>
      </c>
      <c r="E6" s="37" t="s">
        <v>42</v>
      </c>
      <c r="F6" s="37" t="s">
        <v>42</v>
      </c>
      <c r="G6" s="38" t="s">
        <v>43</v>
      </c>
      <c r="H6" s="37" t="s">
        <v>43</v>
      </c>
      <c r="I6" t="str">
        <f t="shared" si="0"/>
        <v>BULLISH</v>
      </c>
      <c r="J6" cm="1">
        <f t="array" ref="J6">_xlfn.IFS(I6="BULLISH",3,I6="BEARISH",-3,I6="Neutral",0)</f>
        <v>3</v>
      </c>
      <c r="K6" t="str">
        <f t="shared" si="1"/>
        <v>BEARISH</v>
      </c>
      <c r="L6" cm="1">
        <f t="array" ref="L6">_xlfn.IFS(K6="BULLISH",3,K6="BEARISH",-3,K6="Neutral",0)</f>
        <v>-3</v>
      </c>
    </row>
    <row r="7" spans="1:17" x14ac:dyDescent="0.25">
      <c r="A7" t="s">
        <v>83</v>
      </c>
      <c r="B7" t="s">
        <v>813</v>
      </c>
      <c r="C7" s="30" t="s">
        <v>119</v>
      </c>
      <c r="E7" s="37" t="s">
        <v>42</v>
      </c>
      <c r="F7" s="37" t="s">
        <v>42</v>
      </c>
      <c r="G7" s="37" t="s">
        <v>1654</v>
      </c>
      <c r="H7" s="37" t="s">
        <v>43</v>
      </c>
      <c r="I7" t="str">
        <f t="shared" si="0"/>
        <v>Neutral</v>
      </c>
      <c r="J7" cm="1">
        <f t="array" ref="J7">_xlfn.IFS(I7="BULLISH",3,I7="BEARISH",-3,I7="Neutral",0)</f>
        <v>0</v>
      </c>
      <c r="K7" t="str">
        <f t="shared" si="1"/>
        <v>BEARISH</v>
      </c>
      <c r="L7" cm="1">
        <f t="array" ref="L7">_xlfn.IFS(K7="BULLISH",3,K7="BEARISH",-3,K7="Neutral",0)</f>
        <v>-3</v>
      </c>
    </row>
    <row r="8" spans="1:17" x14ac:dyDescent="0.25">
      <c r="A8" t="s">
        <v>83</v>
      </c>
      <c r="B8" t="s">
        <v>814</v>
      </c>
      <c r="C8" s="30" t="s">
        <v>120</v>
      </c>
      <c r="E8" s="37" t="s">
        <v>1654</v>
      </c>
      <c r="F8" s="37" t="s">
        <v>1654</v>
      </c>
      <c r="G8" s="38" t="s">
        <v>43</v>
      </c>
      <c r="H8" s="37" t="s">
        <v>43</v>
      </c>
      <c r="I8" t="str">
        <f t="shared" si="0"/>
        <v>BULLISH</v>
      </c>
      <c r="J8" cm="1">
        <f t="array" ref="J8">_xlfn.IFS(I8="BULLISH",3,I8="BEARISH",-3,I8="Neutral",0)</f>
        <v>3</v>
      </c>
      <c r="K8" t="str">
        <f t="shared" si="1"/>
        <v>Neutral</v>
      </c>
      <c r="L8" cm="1">
        <f t="array" ref="L8">_xlfn.IFS(K8="BULLISH",3,K8="BEARISH",-3,K8="Neutral",0)</f>
        <v>0</v>
      </c>
    </row>
    <row r="9" spans="1:17" x14ac:dyDescent="0.25">
      <c r="A9" s="138" t="s">
        <v>83</v>
      </c>
      <c r="B9" s="138" t="s">
        <v>2164</v>
      </c>
      <c r="C9" s="401"/>
      <c r="D9" s="401"/>
      <c r="E9" s="402" t="s">
        <v>43</v>
      </c>
      <c r="F9" s="402" t="s">
        <v>43</v>
      </c>
      <c r="G9" s="402" t="s">
        <v>1654</v>
      </c>
      <c r="H9" s="402" t="s">
        <v>42</v>
      </c>
      <c r="I9" t="str">
        <f t="shared" si="0"/>
        <v>Neutral</v>
      </c>
      <c r="J9" cm="1">
        <f t="array" ref="J9">_xlfn.IFS(I9="BULLISH",3,I9="BEARISH",-3,I9="Neutral",0)</f>
        <v>0</v>
      </c>
      <c r="K9" t="str">
        <f t="shared" si="1"/>
        <v>BULLISH</v>
      </c>
      <c r="L9" cm="1">
        <f t="array" ref="L9">_xlfn.IFS(K9="BULLISH",3,K9="BEARISH",-3,K9="Neutral",0)</f>
        <v>3</v>
      </c>
    </row>
    <row r="10" spans="1:17" x14ac:dyDescent="0.25">
      <c r="A10" t="s">
        <v>811</v>
      </c>
      <c r="B10" t="s">
        <v>839</v>
      </c>
      <c r="C10" s="30" t="s">
        <v>20</v>
      </c>
      <c r="D10" t="s">
        <v>3168</v>
      </c>
      <c r="E10" s="37" t="s">
        <v>43</v>
      </c>
      <c r="F10" s="37" t="s">
        <v>43</v>
      </c>
      <c r="G10" s="38" t="s">
        <v>43</v>
      </c>
      <c r="H10" s="37" t="s">
        <v>42</v>
      </c>
      <c r="I10" t="str">
        <f t="shared" si="0"/>
        <v>BULLISH</v>
      </c>
      <c r="J10" cm="1">
        <f t="array" ref="J10">_xlfn.IFS(I10="BULLISH",3,I10="BEARISH",-3,I10="Neutral",0)</f>
        <v>3</v>
      </c>
      <c r="K10" t="str">
        <f t="shared" si="1"/>
        <v>BULLISH</v>
      </c>
      <c r="L10" cm="1">
        <f t="array" ref="L10">_xlfn.IFS(K10="BULLISH",3,K10="BEARISH",-3,K10="Neutral",0)</f>
        <v>3</v>
      </c>
    </row>
    <row r="11" spans="1:17" x14ac:dyDescent="0.25">
      <c r="A11" t="s">
        <v>811</v>
      </c>
      <c r="B11" t="s">
        <v>101</v>
      </c>
      <c r="C11" s="30" t="s">
        <v>102</v>
      </c>
      <c r="D11" t="s">
        <v>3167</v>
      </c>
      <c r="E11" s="37" t="s">
        <v>43</v>
      </c>
      <c r="F11" s="37" t="s">
        <v>43</v>
      </c>
      <c r="G11" s="38" t="s">
        <v>42</v>
      </c>
      <c r="H11" s="37" t="s">
        <v>42</v>
      </c>
      <c r="I11" t="str">
        <f t="shared" si="0"/>
        <v>BEARISH</v>
      </c>
      <c r="J11" cm="1">
        <f t="array" ref="J11">_xlfn.IFS(I11="BULLISH",3,I11="BEARISH",-3,I11="Neutral",0)</f>
        <v>-3</v>
      </c>
      <c r="K11" t="str">
        <f t="shared" si="1"/>
        <v>BULLISH</v>
      </c>
      <c r="L11" cm="1">
        <f t="array" ref="L11">_xlfn.IFS(K11="BULLISH",3,K11="BEARISH",-3,K11="Neutral",0)</f>
        <v>3</v>
      </c>
    </row>
    <row r="12" spans="1:17" x14ac:dyDescent="0.25">
      <c r="A12" t="s">
        <v>811</v>
      </c>
      <c r="B12" t="s">
        <v>788</v>
      </c>
      <c r="C12" s="30" t="s">
        <v>489</v>
      </c>
      <c r="D12" t="s">
        <v>3167</v>
      </c>
      <c r="E12" s="37" t="s">
        <v>43</v>
      </c>
      <c r="F12" s="37" t="s">
        <v>43</v>
      </c>
      <c r="G12" s="38" t="s">
        <v>42</v>
      </c>
      <c r="H12" s="37" t="s">
        <v>42</v>
      </c>
      <c r="I12" t="str">
        <f t="shared" si="0"/>
        <v>BEARISH</v>
      </c>
      <c r="J12" cm="1">
        <f t="array" ref="J12">_xlfn.IFS(I12="BULLISH",3,I12="BEARISH",-3,I12="Neutral",0)</f>
        <v>-3</v>
      </c>
      <c r="K12" t="str">
        <f t="shared" si="1"/>
        <v>BULLISH</v>
      </c>
      <c r="L12" cm="1">
        <f t="array" ref="L12">_xlfn.IFS(K12="BULLISH",3,K12="BEARISH",-3,K12="Neutral",0)</f>
        <v>3</v>
      </c>
    </row>
    <row r="13" spans="1:17" x14ac:dyDescent="0.25">
      <c r="A13" t="s">
        <v>811</v>
      </c>
      <c r="B13" t="s">
        <v>89</v>
      </c>
      <c r="C13" s="30" t="s">
        <v>14</v>
      </c>
      <c r="D13" t="s">
        <v>804</v>
      </c>
      <c r="E13" s="37" t="s">
        <v>42</v>
      </c>
      <c r="F13" s="37" t="s">
        <v>42</v>
      </c>
      <c r="G13" s="38" t="s">
        <v>43</v>
      </c>
      <c r="H13" s="37" t="s">
        <v>43</v>
      </c>
      <c r="I13" t="str">
        <f t="shared" si="0"/>
        <v>BULLISH</v>
      </c>
      <c r="J13" cm="1">
        <f t="array" ref="J13">_xlfn.IFS(I13="BULLISH",3,I13="BEARISH",-3,I13="Neutral",0)</f>
        <v>3</v>
      </c>
      <c r="K13" t="str">
        <f t="shared" si="1"/>
        <v>BEARISH</v>
      </c>
      <c r="L13" cm="1">
        <f t="array" ref="L13">_xlfn.IFS(K13="BULLISH",3,K13="BEARISH",-3,K13="Neutral",0)</f>
        <v>-3</v>
      </c>
    </row>
    <row r="14" spans="1:17" x14ac:dyDescent="0.25">
      <c r="A14" t="s">
        <v>811</v>
      </c>
      <c r="B14" t="s">
        <v>98</v>
      </c>
      <c r="C14" s="30" t="s">
        <v>17</v>
      </c>
      <c r="D14" t="s">
        <v>804</v>
      </c>
      <c r="E14" s="37" t="s">
        <v>42</v>
      </c>
      <c r="F14" s="37" t="s">
        <v>42</v>
      </c>
      <c r="G14" s="38" t="s">
        <v>43</v>
      </c>
      <c r="H14" s="37" t="s">
        <v>43</v>
      </c>
      <c r="I14" t="str">
        <f t="shared" si="0"/>
        <v>BULLISH</v>
      </c>
      <c r="J14" cm="1">
        <f t="array" ref="J14">_xlfn.IFS(I14="BULLISH",3,I14="BEARISH",-3,I14="Neutral",0)</f>
        <v>3</v>
      </c>
      <c r="K14" t="str">
        <f t="shared" si="1"/>
        <v>BEARISH</v>
      </c>
      <c r="L14" cm="1">
        <f t="array" ref="L14">_xlfn.IFS(K14="BULLISH",3,K14="BEARISH",-3,K14="Neutral",0)</f>
        <v>-3</v>
      </c>
    </row>
    <row r="15" spans="1:17" x14ac:dyDescent="0.25">
      <c r="A15" t="s">
        <v>811</v>
      </c>
      <c r="B15" t="s">
        <v>780</v>
      </c>
      <c r="C15" s="30" t="s">
        <v>488</v>
      </c>
      <c r="D15" t="s">
        <v>3167</v>
      </c>
      <c r="E15" s="37" t="s">
        <v>43</v>
      </c>
      <c r="F15" s="37" t="s">
        <v>42</v>
      </c>
      <c r="G15" s="38" t="s">
        <v>43</v>
      </c>
      <c r="H15" s="37" t="s">
        <v>1654</v>
      </c>
      <c r="I15" t="str">
        <f t="shared" si="0"/>
        <v>BULLISH</v>
      </c>
      <c r="J15" cm="1">
        <f t="array" ref="J15">_xlfn.IFS(I15="BULLISH",3,I15="BEARISH",-3,I15="Neutral",0)</f>
        <v>3</v>
      </c>
      <c r="K15" t="str">
        <f t="shared" si="1"/>
        <v>BEARISH</v>
      </c>
      <c r="L15" cm="1">
        <f t="array" ref="L15">_xlfn.IFS(K15="BULLISH",3,K15="BEARISH",-3,K15="Neutral",0)</f>
        <v>-3</v>
      </c>
    </row>
    <row r="16" spans="1:17" x14ac:dyDescent="0.25">
      <c r="A16" t="s">
        <v>811</v>
      </c>
      <c r="B16" t="s">
        <v>769</v>
      </c>
      <c r="C16" s="30" t="s">
        <v>491</v>
      </c>
      <c r="D16" t="s">
        <v>3167</v>
      </c>
      <c r="E16" s="37" t="s">
        <v>1654</v>
      </c>
      <c r="F16" s="37" t="s">
        <v>43</v>
      </c>
      <c r="G16" s="38" t="s">
        <v>43</v>
      </c>
      <c r="H16" s="37" t="s">
        <v>42</v>
      </c>
      <c r="I16" t="str">
        <f t="shared" si="0"/>
        <v>BULLISH</v>
      </c>
      <c r="J16" cm="1">
        <f t="array" ref="J16">_xlfn.IFS(I16="BULLISH",3,I16="BEARISH",-3,I16="Neutral",0)</f>
        <v>3</v>
      </c>
      <c r="K16" t="str">
        <f t="shared" si="1"/>
        <v>BULLISH</v>
      </c>
      <c r="L16" cm="1">
        <f t="array" ref="L16">_xlfn.IFS(K16="BULLISH",3,K16="BEARISH",-3,K16="Neutral",0)</f>
        <v>3</v>
      </c>
    </row>
    <row r="17" spans="1:14" x14ac:dyDescent="0.25">
      <c r="A17" t="s">
        <v>811</v>
      </c>
      <c r="B17" t="s">
        <v>800</v>
      </c>
      <c r="C17" s="30" t="s">
        <v>490</v>
      </c>
      <c r="D17" t="s">
        <v>3167</v>
      </c>
      <c r="E17" s="37" t="s">
        <v>1654</v>
      </c>
      <c r="F17" s="37" t="s">
        <v>43</v>
      </c>
      <c r="G17" s="38" t="s">
        <v>42</v>
      </c>
      <c r="H17" s="37" t="s">
        <v>42</v>
      </c>
      <c r="I17" t="str">
        <f t="shared" si="0"/>
        <v>BEARISH</v>
      </c>
      <c r="J17" cm="1">
        <f t="array" ref="J17">_xlfn.IFS(I17="BULLISH",3,I17="BEARISH",-3,I17="Neutral",0)</f>
        <v>-3</v>
      </c>
      <c r="K17" t="str">
        <f t="shared" si="1"/>
        <v>BULLISH</v>
      </c>
      <c r="L17" cm="1">
        <f t="array" ref="L17">_xlfn.IFS(K17="BULLISH",3,K17="BEARISH",-3,K17="Neutral",0)</f>
        <v>3</v>
      </c>
    </row>
    <row r="18" spans="1:14" x14ac:dyDescent="0.25">
      <c r="A18" t="s">
        <v>811</v>
      </c>
      <c r="B18" t="s">
        <v>1616</v>
      </c>
      <c r="C18" s="30" t="s">
        <v>16</v>
      </c>
      <c r="D18" t="s">
        <v>804</v>
      </c>
      <c r="E18" s="37" t="s">
        <v>42</v>
      </c>
      <c r="F18" s="37" t="s">
        <v>42</v>
      </c>
      <c r="G18" s="37" t="s">
        <v>43</v>
      </c>
      <c r="H18" s="37" t="s">
        <v>43</v>
      </c>
      <c r="I18" t="str">
        <f t="shared" si="0"/>
        <v>BULLISH</v>
      </c>
      <c r="J18" cm="1">
        <f t="array" ref="J18">_xlfn.IFS(I18="BULLISH",3,I18="BEARISH",-3,I18="Neutral",0)</f>
        <v>3</v>
      </c>
      <c r="K18" t="str">
        <f t="shared" si="1"/>
        <v>BEARISH</v>
      </c>
      <c r="L18" cm="1">
        <f t="array" ref="L18">_xlfn.IFS(K18="BULLISH",3,K18="BEARISH",-3,K18="Neutral",0)</f>
        <v>-3</v>
      </c>
    </row>
    <row r="19" spans="1:14" x14ac:dyDescent="0.25">
      <c r="A19" t="s">
        <v>811</v>
      </c>
      <c r="B19" t="s">
        <v>801</v>
      </c>
      <c r="C19" s="30" t="s">
        <v>493</v>
      </c>
      <c r="D19" t="s">
        <v>3167</v>
      </c>
      <c r="E19" s="37" t="s">
        <v>43</v>
      </c>
      <c r="F19" s="37" t="s">
        <v>1654</v>
      </c>
      <c r="G19" s="38" t="s">
        <v>42</v>
      </c>
      <c r="H19" s="37" t="s">
        <v>1654</v>
      </c>
      <c r="I19" t="str">
        <f t="shared" si="0"/>
        <v>BEARISH</v>
      </c>
      <c r="J19" cm="1">
        <f t="array" ref="J19">_xlfn.IFS(I19="BULLISH",3,I19="BEARISH",-3,I19="Neutral",0)</f>
        <v>-3</v>
      </c>
      <c r="K19" t="str">
        <f t="shared" si="1"/>
        <v>Neutral</v>
      </c>
      <c r="L19" cm="1">
        <f t="array" ref="L19">_xlfn.IFS(K19="BULLISH",3,K19="BEARISH",-3,K19="Neutral",0)</f>
        <v>0</v>
      </c>
    </row>
    <row r="20" spans="1:14" x14ac:dyDescent="0.25">
      <c r="A20" t="s">
        <v>811</v>
      </c>
      <c r="B20" t="s">
        <v>840</v>
      </c>
      <c r="C20" s="30" t="s">
        <v>492</v>
      </c>
      <c r="D20" t="s">
        <v>3168</v>
      </c>
      <c r="E20" s="37" t="s">
        <v>43</v>
      </c>
      <c r="F20" s="37" t="s">
        <v>42</v>
      </c>
      <c r="G20" s="38" t="s">
        <v>42</v>
      </c>
      <c r="H20" s="37" t="s">
        <v>1654</v>
      </c>
      <c r="I20" t="str">
        <f t="shared" si="0"/>
        <v>BEARISH</v>
      </c>
      <c r="J20" cm="1">
        <f t="array" ref="J20">_xlfn.IFS(I20="BULLISH",3,I20="BEARISH",-3,I20="Neutral",0)</f>
        <v>-3</v>
      </c>
      <c r="K20" t="str">
        <f t="shared" si="1"/>
        <v>BEARISH</v>
      </c>
      <c r="L20" cm="1">
        <f t="array" ref="L20">_xlfn.IFS(K20="BULLISH",3,K20="BEARISH",-3,K20="Neutral",0)</f>
        <v>-3</v>
      </c>
    </row>
    <row r="21" spans="1:14" x14ac:dyDescent="0.25">
      <c r="A21" s="138" t="s">
        <v>811</v>
      </c>
      <c r="B21" s="138" t="s">
        <v>832</v>
      </c>
      <c r="C21" s="401"/>
      <c r="D21" s="401"/>
      <c r="E21" s="402" t="s">
        <v>43</v>
      </c>
      <c r="F21" s="402" t="s">
        <v>43</v>
      </c>
      <c r="G21" s="403" t="s">
        <v>42</v>
      </c>
      <c r="H21" s="402" t="s">
        <v>42</v>
      </c>
      <c r="I21" t="str">
        <f t="shared" si="0"/>
        <v>BEARISH</v>
      </c>
      <c r="J21" cm="1">
        <f t="array" ref="J21">_xlfn.IFS(I21="BULLISH",3,I21="BEARISH",-3,I21="Neutral",0)</f>
        <v>-3</v>
      </c>
      <c r="K21" t="str">
        <f t="shared" si="1"/>
        <v>BULLISH</v>
      </c>
      <c r="L21" cm="1">
        <f t="array" ref="L21">_xlfn.IFS(K21="BULLISH",3,K21="BEARISH",-3,K21="Neutral",0)</f>
        <v>3</v>
      </c>
    </row>
    <row r="22" spans="1:14" x14ac:dyDescent="0.25">
      <c r="A22" s="138" t="s">
        <v>811</v>
      </c>
      <c r="B22" s="138" t="s">
        <v>1699</v>
      </c>
      <c r="C22" s="401"/>
      <c r="D22" s="401"/>
      <c r="E22" s="402" t="s">
        <v>43</v>
      </c>
      <c r="F22" s="402" t="s">
        <v>43</v>
      </c>
      <c r="G22" s="403" t="s">
        <v>1654</v>
      </c>
      <c r="H22" s="402" t="s">
        <v>42</v>
      </c>
      <c r="I22" t="str">
        <f t="shared" si="0"/>
        <v>Neutral</v>
      </c>
      <c r="J22" cm="1">
        <f t="array" ref="J22">_xlfn.IFS(I22="BULLISH",3,I22="BEARISH",-3,I22="Neutral",0)</f>
        <v>0</v>
      </c>
      <c r="K22" t="str">
        <f t="shared" si="1"/>
        <v>BULLISH</v>
      </c>
      <c r="L22" cm="1">
        <f t="array" ref="L22">_xlfn.IFS(K22="BULLISH",3,K22="BEARISH",-3,K22="Neutral",0)</f>
        <v>3</v>
      </c>
    </row>
    <row r="23" spans="1:14" x14ac:dyDescent="0.25">
      <c r="A23" s="138" t="s">
        <v>811</v>
      </c>
      <c r="B23" s="138" t="s">
        <v>1527</v>
      </c>
      <c r="C23" s="401"/>
      <c r="D23" s="401"/>
      <c r="E23" s="402" t="s">
        <v>1654</v>
      </c>
      <c r="F23" s="402" t="s">
        <v>1654</v>
      </c>
      <c r="G23" s="403" t="s">
        <v>1654</v>
      </c>
      <c r="H23" s="402" t="s">
        <v>1654</v>
      </c>
      <c r="I23" t="str">
        <f t="shared" si="0"/>
        <v>Neutral</v>
      </c>
      <c r="J23" cm="1">
        <f t="array" ref="J23">_xlfn.IFS(I23="BULLISH",3,I23="BEARISH",-3,I23="Neutral",0)</f>
        <v>0</v>
      </c>
      <c r="K23" t="str">
        <f t="shared" si="1"/>
        <v>Neutral</v>
      </c>
      <c r="L23" cm="1">
        <f t="array" ref="L23">_xlfn.IFS(K23="BULLISH",3,K23="BEARISH",-3,K23="Neutral",0)</f>
        <v>0</v>
      </c>
    </row>
    <row r="24" spans="1:14" x14ac:dyDescent="0.25">
      <c r="A24" t="s">
        <v>815</v>
      </c>
      <c r="B24" t="s">
        <v>789</v>
      </c>
      <c r="E24" s="37" t="s">
        <v>43</v>
      </c>
      <c r="F24" s="37" t="s">
        <v>43</v>
      </c>
      <c r="G24" s="38" t="s">
        <v>43</v>
      </c>
      <c r="H24" s="37" t="s">
        <v>42</v>
      </c>
      <c r="I24" t="str">
        <f t="shared" si="0"/>
        <v>BULLISH</v>
      </c>
      <c r="J24" cm="1">
        <f t="array" ref="J24">_xlfn.IFS(I24="BULLISH",3,I24="BEARISH",-3,I24="Neutral",0)</f>
        <v>3</v>
      </c>
      <c r="K24" t="str">
        <f t="shared" si="1"/>
        <v>BULLISH</v>
      </c>
      <c r="L24" cm="1">
        <f t="array" ref="L24">_xlfn.IFS(K24="BULLISH",3,K24="BEARISH",-3,K24="Neutral",0)</f>
        <v>3</v>
      </c>
    </row>
    <row r="25" spans="1:14" x14ac:dyDescent="0.25">
      <c r="A25" t="s">
        <v>815</v>
      </c>
      <c r="B25" t="s">
        <v>790</v>
      </c>
      <c r="E25" s="37" t="s">
        <v>43</v>
      </c>
      <c r="F25" s="37" t="s">
        <v>43</v>
      </c>
      <c r="G25" s="37" t="s">
        <v>1654</v>
      </c>
      <c r="H25" s="37" t="s">
        <v>42</v>
      </c>
      <c r="I25" t="str">
        <f t="shared" si="0"/>
        <v>Neutral</v>
      </c>
      <c r="J25" cm="1">
        <f t="array" ref="J25">_xlfn.IFS(I25="BULLISH",3,I25="BEARISH",-3,I25="Neutral",0)</f>
        <v>0</v>
      </c>
      <c r="K25" t="str">
        <f t="shared" si="1"/>
        <v>BULLISH</v>
      </c>
      <c r="L25" cm="1">
        <f t="array" ref="L25">_xlfn.IFS(K25="BULLISH",3,K25="BEARISH",-3,K25="Neutral",0)</f>
        <v>3</v>
      </c>
    </row>
    <row r="26" spans="1:14" x14ac:dyDescent="0.25">
      <c r="A26" t="s">
        <v>815</v>
      </c>
      <c r="B26" t="s">
        <v>791</v>
      </c>
      <c r="E26" s="37" t="s">
        <v>42</v>
      </c>
      <c r="F26" s="37" t="s">
        <v>42</v>
      </c>
      <c r="G26" s="38" t="s">
        <v>43</v>
      </c>
      <c r="H26" s="37" t="s">
        <v>43</v>
      </c>
      <c r="I26" t="str">
        <f t="shared" si="0"/>
        <v>BULLISH</v>
      </c>
      <c r="J26" cm="1">
        <f t="array" ref="J26">_xlfn.IFS(I26="BULLISH",3,I26="BEARISH",-3,I26="Neutral",0)</f>
        <v>3</v>
      </c>
      <c r="K26" t="str">
        <f t="shared" si="1"/>
        <v>BEARISH</v>
      </c>
      <c r="L26" cm="1">
        <f t="array" ref="L26">_xlfn.IFS(K26="BULLISH",3,K26="BEARISH",-3,K26="Neutral",0)</f>
        <v>-3</v>
      </c>
    </row>
    <row r="27" spans="1:14" x14ac:dyDescent="0.25">
      <c r="A27" t="s">
        <v>815</v>
      </c>
      <c r="B27" t="s">
        <v>3172</v>
      </c>
      <c r="E27" s="37" t="s">
        <v>42</v>
      </c>
      <c r="F27" s="37" t="s">
        <v>42</v>
      </c>
      <c r="G27" s="38" t="s">
        <v>42</v>
      </c>
      <c r="H27" s="37" t="s">
        <v>43</v>
      </c>
      <c r="I27" t="str">
        <f t="shared" si="0"/>
        <v>BEARISH</v>
      </c>
      <c r="J27" cm="1">
        <f t="array" ref="J27">_xlfn.IFS(I27="BULLISH",3,I27="BEARISH",-3,I27="Neutral",0)</f>
        <v>-3</v>
      </c>
      <c r="K27" t="str">
        <f t="shared" si="1"/>
        <v>BEARISH</v>
      </c>
      <c r="L27" cm="1">
        <f t="array" ref="L27">_xlfn.IFS(K27="BULLISH",3,K27="BEARISH",-3,K27="Neutral",0)</f>
        <v>-3</v>
      </c>
      <c r="N27" t="s">
        <v>797</v>
      </c>
    </row>
    <row r="28" spans="1:14" x14ac:dyDescent="0.25">
      <c r="A28" t="s">
        <v>815</v>
      </c>
      <c r="B28" t="s">
        <v>121</v>
      </c>
      <c r="E28" s="37" t="s">
        <v>42</v>
      </c>
      <c r="F28" s="37" t="s">
        <v>42</v>
      </c>
      <c r="G28" s="38" t="s">
        <v>42</v>
      </c>
      <c r="H28" s="37" t="s">
        <v>43</v>
      </c>
      <c r="I28" t="str">
        <f t="shared" si="0"/>
        <v>BEARISH</v>
      </c>
      <c r="J28" cm="1">
        <f t="array" ref="J28">_xlfn.IFS(I28="BULLISH",3,I28="BEARISH",-3,I28="Neutral",0)</f>
        <v>-3</v>
      </c>
      <c r="K28" t="str">
        <f t="shared" si="1"/>
        <v>BEARISH</v>
      </c>
      <c r="L28" cm="1">
        <f t="array" ref="L28">_xlfn.IFS(K28="BULLISH",3,K28="BEARISH",-3,K28="Neutral",0)</f>
        <v>-3</v>
      </c>
    </row>
    <row r="29" spans="1:14" x14ac:dyDescent="0.25">
      <c r="A29" t="s">
        <v>815</v>
      </c>
      <c r="B29" t="s">
        <v>802</v>
      </c>
      <c r="E29" s="37" t="s">
        <v>1654</v>
      </c>
      <c r="F29" s="37" t="s">
        <v>1654</v>
      </c>
      <c r="G29" s="38" t="s">
        <v>43</v>
      </c>
      <c r="H29" s="37" t="s">
        <v>43</v>
      </c>
      <c r="I29" t="str">
        <f t="shared" si="0"/>
        <v>BULLISH</v>
      </c>
      <c r="J29" cm="1">
        <f t="array" ref="J29">_xlfn.IFS(I29="BULLISH",3,I29="BEARISH",-3,I29="Neutral",0)</f>
        <v>3</v>
      </c>
      <c r="K29" t="str">
        <f t="shared" si="1"/>
        <v>Neutral</v>
      </c>
      <c r="L29" cm="1">
        <f t="array" ref="L29">_xlfn.IFS(K29="BULLISH",3,K29="BEARISH",-3,K29="Neutral",0)</f>
        <v>0</v>
      </c>
    </row>
    <row r="30" spans="1:14" x14ac:dyDescent="0.25">
      <c r="A30" t="s">
        <v>815</v>
      </c>
      <c r="B30" t="s">
        <v>2163</v>
      </c>
      <c r="E30" s="402" t="s">
        <v>43</v>
      </c>
      <c r="F30" s="37" t="s">
        <v>43</v>
      </c>
      <c r="G30" s="38" t="s">
        <v>42</v>
      </c>
      <c r="H30" s="37" t="s">
        <v>1654</v>
      </c>
      <c r="I30" t="str">
        <f t="shared" si="0"/>
        <v>BEARISH</v>
      </c>
      <c r="J30" cm="1">
        <f t="array" ref="J30">_xlfn.IFS(I30="BULLISH",3,I30="BEARISH",-3,I30="Neutral",0)</f>
        <v>-3</v>
      </c>
      <c r="K30" t="str">
        <f t="shared" si="1"/>
        <v>BULLISH</v>
      </c>
      <c r="L30" cm="1">
        <f t="array" ref="L30">_xlfn.IFS(K30="BULLISH",3,K30="BEARISH",-3,K30="Neutral",0)</f>
        <v>3</v>
      </c>
    </row>
    <row r="31" spans="1:14" x14ac:dyDescent="0.25">
      <c r="A31" t="s">
        <v>815</v>
      </c>
      <c r="B31" t="s">
        <v>2208</v>
      </c>
      <c r="E31" s="37" t="s">
        <v>43</v>
      </c>
      <c r="F31" s="37" t="s">
        <v>1654</v>
      </c>
      <c r="G31" s="37" t="s">
        <v>1654</v>
      </c>
      <c r="H31" s="37" t="s">
        <v>42</v>
      </c>
      <c r="I31" t="str">
        <f t="shared" si="0"/>
        <v>Neutral</v>
      </c>
      <c r="J31" cm="1">
        <f t="array" ref="J31">_xlfn.IFS(I31="BULLISH",3,I31="BEARISH",-3,I31="Neutral",0)</f>
        <v>0</v>
      </c>
      <c r="K31" t="str">
        <f t="shared" si="1"/>
        <v>Neutral</v>
      </c>
      <c r="L31" cm="1">
        <f t="array" ref="L31">_xlfn.IFS(K31="BULLISH",3,K31="BEARISH",-3,K31="Neutral",0)</f>
        <v>0</v>
      </c>
    </row>
    <row r="32" spans="1:14" x14ac:dyDescent="0.25">
      <c r="A32" t="s">
        <v>815</v>
      </c>
      <c r="B32" t="s">
        <v>3168</v>
      </c>
      <c r="E32" s="37" t="s">
        <v>43</v>
      </c>
      <c r="F32" s="37" t="s">
        <v>43</v>
      </c>
      <c r="G32" s="38" t="s">
        <v>43</v>
      </c>
      <c r="H32" s="37" t="s">
        <v>42</v>
      </c>
      <c r="I32" t="str">
        <f t="shared" si="0"/>
        <v>BULLISH</v>
      </c>
      <c r="J32" cm="1">
        <f t="array" ref="J32">_xlfn.IFS(I32="BULLISH",3,I32="BEARISH",-3,I32="Neutral",0)</f>
        <v>3</v>
      </c>
      <c r="K32" t="str">
        <f t="shared" si="1"/>
        <v>BULLISH</v>
      </c>
      <c r="L32" cm="1">
        <f t="array" ref="L32">_xlfn.IFS(K32="BULLISH",3,K32="BEARISH",-3,K32="Neutral",0)</f>
        <v>3</v>
      </c>
    </row>
    <row r="33" spans="1:12" x14ac:dyDescent="0.25">
      <c r="A33" t="s">
        <v>815</v>
      </c>
      <c r="B33" t="s">
        <v>803</v>
      </c>
      <c r="E33" s="37" t="s">
        <v>43</v>
      </c>
      <c r="F33" s="37" t="s">
        <v>1654</v>
      </c>
      <c r="G33" s="38" t="s">
        <v>43</v>
      </c>
      <c r="H33" s="37" t="s">
        <v>1654</v>
      </c>
      <c r="I33" t="str">
        <f t="shared" si="0"/>
        <v>BULLISH</v>
      </c>
      <c r="J33" cm="1">
        <f t="array" ref="J33">_xlfn.IFS(I33="BULLISH",3,I33="BEARISH",-3,I33="Neutral",0)</f>
        <v>3</v>
      </c>
      <c r="K33" t="str">
        <f t="shared" si="1"/>
        <v>Neutral</v>
      </c>
      <c r="L33" cm="1">
        <f t="array" ref="L33">_xlfn.IFS(K33="BULLISH",3,K33="BEARISH",-3,K33="Neutral",0)</f>
        <v>0</v>
      </c>
    </row>
    <row r="34" spans="1:12" x14ac:dyDescent="0.25">
      <c r="A34" t="s">
        <v>815</v>
      </c>
      <c r="B34" t="s">
        <v>804</v>
      </c>
      <c r="E34" s="37" t="s">
        <v>42</v>
      </c>
      <c r="F34" s="37" t="s">
        <v>42</v>
      </c>
      <c r="G34" s="38" t="s">
        <v>42</v>
      </c>
      <c r="H34" s="37" t="s">
        <v>43</v>
      </c>
      <c r="I34" t="str">
        <f t="shared" si="0"/>
        <v>BEARISH</v>
      </c>
      <c r="J34" cm="1">
        <f t="array" ref="J34">_xlfn.IFS(I34="BULLISH",3,I34="BEARISH",-3,I34="Neutral",0)</f>
        <v>-3</v>
      </c>
      <c r="K34" t="str">
        <f t="shared" si="1"/>
        <v>BEARISH</v>
      </c>
      <c r="L34" cm="1">
        <f t="array" ref="L34">_xlfn.IFS(K34="BULLISH",3,K34="BEARISH",-3,K34="Neutral",0)</f>
        <v>-3</v>
      </c>
    </row>
    <row r="35" spans="1:12" x14ac:dyDescent="0.25">
      <c r="A35" t="s">
        <v>815</v>
      </c>
      <c r="B35" t="s">
        <v>3167</v>
      </c>
      <c r="E35" s="37" t="s">
        <v>1654</v>
      </c>
      <c r="F35" s="37" t="s">
        <v>43</v>
      </c>
      <c r="G35" s="38" t="s">
        <v>1654</v>
      </c>
      <c r="H35" s="37" t="s">
        <v>42</v>
      </c>
      <c r="I35" t="s">
        <v>1654</v>
      </c>
      <c r="J35">
        <v>0</v>
      </c>
      <c r="K35" t="s">
        <v>1654</v>
      </c>
      <c r="L35">
        <v>0</v>
      </c>
    </row>
    <row r="36" spans="1:12" x14ac:dyDescent="0.25">
      <c r="A36" t="s">
        <v>815</v>
      </c>
      <c r="B36" t="s">
        <v>808</v>
      </c>
      <c r="E36" s="37" t="s">
        <v>1654</v>
      </c>
      <c r="F36" s="37" t="s">
        <v>42</v>
      </c>
      <c r="G36" s="38" t="s">
        <v>42</v>
      </c>
      <c r="H36" s="37" t="s">
        <v>1654</v>
      </c>
      <c r="I36" t="s">
        <v>1654</v>
      </c>
      <c r="J36">
        <v>0</v>
      </c>
      <c r="K36" t="s">
        <v>1654</v>
      </c>
      <c r="L36">
        <v>0</v>
      </c>
    </row>
    <row r="37" spans="1:12" x14ac:dyDescent="0.25">
      <c r="A37" s="138" t="s">
        <v>815</v>
      </c>
      <c r="B37" s="138" t="s">
        <v>1654</v>
      </c>
      <c r="C37" s="401"/>
      <c r="D37" s="401"/>
      <c r="E37" s="402" t="s">
        <v>1654</v>
      </c>
      <c r="F37" s="402" t="s">
        <v>1654</v>
      </c>
      <c r="G37" s="402" t="s">
        <v>1654</v>
      </c>
      <c r="H37" s="402" t="s">
        <v>1654</v>
      </c>
      <c r="I37" t="str">
        <f t="shared" ref="I37:I53" si="2">IF($Q$1=$E$1,E37,IF($Q$1=$F$1,F37,IF($Q$1=$G$1,G37,IF($Q$1=$H$1,H37,""))))</f>
        <v>Neutral</v>
      </c>
      <c r="J37" cm="1">
        <f t="array" ref="J37">_xlfn.IFS(I37="BULLISH",3,I37="BEARISH",-3,I37="Neutral",0)</f>
        <v>0</v>
      </c>
      <c r="K37" t="str">
        <f t="shared" ref="K37:K53" si="3">IF($O$1=$E$1,E37,IF($O$1=$F$1,F37,IF($O$1=$G$1,G37,IF($O$1=$H$1,H37,""))))</f>
        <v>Neutral</v>
      </c>
      <c r="L37" cm="1">
        <f t="array" ref="L37">_xlfn.IFS(K37="BULLISH",3,K37="BEARISH",-3,K37="Neutral",0)</f>
        <v>0</v>
      </c>
    </row>
    <row r="38" spans="1:12" x14ac:dyDescent="0.25">
      <c r="A38" s="138" t="s">
        <v>815</v>
      </c>
      <c r="B38" s="138" t="s">
        <v>2179</v>
      </c>
      <c r="C38" s="401"/>
      <c r="D38" s="401"/>
      <c r="E38" s="402" t="s">
        <v>1654</v>
      </c>
      <c r="F38" s="402" t="s">
        <v>1654</v>
      </c>
      <c r="G38" s="402" t="s">
        <v>1654</v>
      </c>
      <c r="H38" s="402" t="s">
        <v>1654</v>
      </c>
      <c r="I38" t="str">
        <f t="shared" si="2"/>
        <v>Neutral</v>
      </c>
      <c r="J38" cm="1">
        <f t="array" ref="J38">_xlfn.IFS(I38="BULLISH",3,I38="BEARISH",-3,I38="Neutral",0)</f>
        <v>0</v>
      </c>
      <c r="K38" t="str">
        <f t="shared" si="3"/>
        <v>Neutral</v>
      </c>
      <c r="L38" cm="1">
        <f t="array" ref="L38">_xlfn.IFS(K38="BULLISH",3,K38="BEARISH",-3,K38="Neutral",0)</f>
        <v>0</v>
      </c>
    </row>
    <row r="39" spans="1:12" x14ac:dyDescent="0.25">
      <c r="A39" s="138" t="s">
        <v>815</v>
      </c>
      <c r="B39" s="138" t="s">
        <v>1527</v>
      </c>
      <c r="C39" s="401"/>
      <c r="D39" s="401"/>
      <c r="E39" s="402" t="s">
        <v>1654</v>
      </c>
      <c r="F39" s="402" t="s">
        <v>1654</v>
      </c>
      <c r="G39" s="402" t="s">
        <v>1654</v>
      </c>
      <c r="H39" s="402" t="s">
        <v>1654</v>
      </c>
      <c r="I39" t="str">
        <f t="shared" si="2"/>
        <v>Neutral</v>
      </c>
      <c r="J39" cm="1">
        <f t="array" ref="J39">_xlfn.IFS(I39="BULLISH",3,I39="BEARISH",-3,I39="Neutral",0)</f>
        <v>0</v>
      </c>
      <c r="K39" t="str">
        <f t="shared" si="3"/>
        <v>Neutral</v>
      </c>
      <c r="L39" cm="1">
        <f t="array" ref="L39">_xlfn.IFS(K39="BULLISH",3,K39="BEARISH",-3,K39="Neutral",0)</f>
        <v>0</v>
      </c>
    </row>
    <row r="40" spans="1:12" x14ac:dyDescent="0.25">
      <c r="A40" t="s">
        <v>168</v>
      </c>
      <c r="B40" t="s">
        <v>805</v>
      </c>
      <c r="E40" s="37" t="s">
        <v>43</v>
      </c>
      <c r="F40" s="37" t="s">
        <v>43</v>
      </c>
      <c r="G40" s="38" t="s">
        <v>42</v>
      </c>
      <c r="H40" s="37" t="s">
        <v>42</v>
      </c>
      <c r="I40" t="str">
        <f t="shared" si="2"/>
        <v>BEARISH</v>
      </c>
      <c r="J40" cm="1">
        <f t="array" ref="J40">_xlfn.IFS(I40="BULLISH",3,I40="BEARISH",-3,I40="Neutral",0)</f>
        <v>-3</v>
      </c>
      <c r="K40" t="str">
        <f t="shared" si="3"/>
        <v>BULLISH</v>
      </c>
      <c r="L40" cm="1">
        <f t="array" ref="L40">_xlfn.IFS(K40="BULLISH",3,K40="BEARISH",-3,K40="Neutral",0)</f>
        <v>3</v>
      </c>
    </row>
    <row r="41" spans="1:12" x14ac:dyDescent="0.25">
      <c r="A41" t="s">
        <v>168</v>
      </c>
      <c r="B41" t="s">
        <v>792</v>
      </c>
      <c r="E41" s="37" t="s">
        <v>43</v>
      </c>
      <c r="F41" s="37" t="s">
        <v>43</v>
      </c>
      <c r="G41" s="38" t="s">
        <v>42</v>
      </c>
      <c r="H41" s="37" t="s">
        <v>1654</v>
      </c>
      <c r="I41" t="str">
        <f t="shared" si="2"/>
        <v>BEARISH</v>
      </c>
      <c r="J41" cm="1">
        <f t="array" ref="J41">_xlfn.IFS(I41="BULLISH",3,I41="BEARISH",-3,I41="Neutral",0)</f>
        <v>-3</v>
      </c>
      <c r="K41" t="str">
        <f t="shared" si="3"/>
        <v>BULLISH</v>
      </c>
      <c r="L41" cm="1">
        <f t="array" ref="L41">_xlfn.IFS(K41="BULLISH",3,K41="BEARISH",-3,K41="Neutral",0)</f>
        <v>3</v>
      </c>
    </row>
    <row r="42" spans="1:12" x14ac:dyDescent="0.25">
      <c r="A42" t="s">
        <v>168</v>
      </c>
      <c r="B42" t="s">
        <v>793</v>
      </c>
      <c r="E42" s="37" t="s">
        <v>43</v>
      </c>
      <c r="F42" s="37" t="s">
        <v>43</v>
      </c>
      <c r="G42" s="38" t="s">
        <v>42</v>
      </c>
      <c r="H42" s="37" t="s">
        <v>1654</v>
      </c>
      <c r="I42" t="str">
        <f t="shared" si="2"/>
        <v>BEARISH</v>
      </c>
      <c r="J42" cm="1">
        <f t="array" ref="J42">_xlfn.IFS(I42="BULLISH",3,I42="BEARISH",-3,I42="Neutral",0)</f>
        <v>-3</v>
      </c>
      <c r="K42" t="str">
        <f t="shared" si="3"/>
        <v>BULLISH</v>
      </c>
      <c r="L42" cm="1">
        <f t="array" ref="L42">_xlfn.IFS(K42="BULLISH",3,K42="BEARISH",-3,K42="Neutral",0)</f>
        <v>3</v>
      </c>
    </row>
    <row r="43" spans="1:12" x14ac:dyDescent="0.25">
      <c r="A43" t="s">
        <v>168</v>
      </c>
      <c r="B43" t="s">
        <v>798</v>
      </c>
      <c r="E43" s="37" t="s">
        <v>1654</v>
      </c>
      <c r="F43" s="37" t="s">
        <v>42</v>
      </c>
      <c r="G43" s="37" t="s">
        <v>1654</v>
      </c>
      <c r="H43" s="37" t="s">
        <v>43</v>
      </c>
      <c r="I43" t="str">
        <f t="shared" si="2"/>
        <v>Neutral</v>
      </c>
      <c r="J43" cm="1">
        <f t="array" ref="J43">_xlfn.IFS(I43="BULLISH",3,I43="BEARISH",-3,I43="Neutral",0)</f>
        <v>0</v>
      </c>
      <c r="K43" t="str">
        <f t="shared" si="3"/>
        <v>BEARISH</v>
      </c>
      <c r="L43" cm="1">
        <f t="array" ref="L43">_xlfn.IFS(K43="BULLISH",3,K43="BEARISH",-3,K43="Neutral",0)</f>
        <v>-3</v>
      </c>
    </row>
    <row r="44" spans="1:12" x14ac:dyDescent="0.25">
      <c r="A44" t="s">
        <v>168</v>
      </c>
      <c r="B44" t="s">
        <v>794</v>
      </c>
      <c r="E44" s="37" t="s">
        <v>42</v>
      </c>
      <c r="F44" s="37" t="s">
        <v>1654</v>
      </c>
      <c r="G44" s="37" t="s">
        <v>1654</v>
      </c>
      <c r="H44" s="37" t="s">
        <v>1654</v>
      </c>
      <c r="I44" t="str">
        <f t="shared" si="2"/>
        <v>Neutral</v>
      </c>
      <c r="J44" cm="1">
        <f t="array" ref="J44">_xlfn.IFS(I44="BULLISH",3,I44="BEARISH",-3,I44="Neutral",0)</f>
        <v>0</v>
      </c>
      <c r="K44" t="str">
        <f t="shared" si="3"/>
        <v>Neutral</v>
      </c>
      <c r="L44" cm="1">
        <f t="array" ref="L44">_xlfn.IFS(K44="BULLISH",3,K44="BEARISH",-3,K44="Neutral",0)</f>
        <v>0</v>
      </c>
    </row>
    <row r="45" spans="1:12" x14ac:dyDescent="0.25">
      <c r="A45" t="s">
        <v>168</v>
      </c>
      <c r="B45" t="s">
        <v>795</v>
      </c>
      <c r="E45" s="37" t="s">
        <v>42</v>
      </c>
      <c r="F45" s="37" t="s">
        <v>1654</v>
      </c>
      <c r="G45" s="38" t="s">
        <v>43</v>
      </c>
      <c r="H45" s="37" t="s">
        <v>42</v>
      </c>
      <c r="I45" t="str">
        <f t="shared" si="2"/>
        <v>BULLISH</v>
      </c>
      <c r="J45" cm="1">
        <f t="array" ref="J45">_xlfn.IFS(I45="BULLISH",3,I45="BEARISH",-3,I45="Neutral",0)</f>
        <v>3</v>
      </c>
      <c r="K45" t="str">
        <f t="shared" si="3"/>
        <v>Neutral</v>
      </c>
      <c r="L45" cm="1">
        <f t="array" ref="L45">_xlfn.IFS(K45="BULLISH",3,K45="BEARISH",-3,K45="Neutral",0)</f>
        <v>0</v>
      </c>
    </row>
    <row r="46" spans="1:12" x14ac:dyDescent="0.25">
      <c r="A46" t="s">
        <v>168</v>
      </c>
      <c r="B46" t="s">
        <v>796</v>
      </c>
      <c r="E46" s="37" t="s">
        <v>42</v>
      </c>
      <c r="F46" s="37" t="s">
        <v>42</v>
      </c>
      <c r="G46" s="37" t="s">
        <v>1654</v>
      </c>
      <c r="H46" s="37" t="s">
        <v>43</v>
      </c>
      <c r="I46" t="str">
        <f t="shared" si="2"/>
        <v>Neutral</v>
      </c>
      <c r="J46" cm="1">
        <f t="array" ref="J46">_xlfn.IFS(I46="BULLISH",3,I46="BEARISH",-3,I46="Neutral",0)</f>
        <v>0</v>
      </c>
      <c r="K46" t="str">
        <f t="shared" si="3"/>
        <v>BEARISH</v>
      </c>
      <c r="L46" cm="1">
        <f t="array" ref="L46">_xlfn.IFS(K46="BULLISH",3,K46="BEARISH",-3,K46="Neutral",0)</f>
        <v>-3</v>
      </c>
    </row>
    <row r="47" spans="1:12" x14ac:dyDescent="0.25">
      <c r="A47" t="s">
        <v>168</v>
      </c>
      <c r="B47" t="s">
        <v>799</v>
      </c>
      <c r="E47" s="37" t="s">
        <v>1654</v>
      </c>
      <c r="F47" s="37" t="s">
        <v>42</v>
      </c>
      <c r="G47" s="38" t="s">
        <v>43</v>
      </c>
      <c r="H47" s="37" t="s">
        <v>43</v>
      </c>
      <c r="I47" t="str">
        <f t="shared" si="2"/>
        <v>BULLISH</v>
      </c>
      <c r="J47" cm="1">
        <f t="array" ref="J47">_xlfn.IFS(I47="BULLISH",3,I47="BEARISH",-3,I47="Neutral",0)</f>
        <v>3</v>
      </c>
      <c r="K47" t="str">
        <f t="shared" si="3"/>
        <v>BEARISH</v>
      </c>
      <c r="L47" cm="1">
        <f t="array" ref="L47">_xlfn.IFS(K47="BULLISH",3,K47="BEARISH",-3,K47="Neutral",0)</f>
        <v>-3</v>
      </c>
    </row>
    <row r="48" spans="1:12" x14ac:dyDescent="0.25">
      <c r="A48" t="s">
        <v>168</v>
      </c>
      <c r="B48" t="s">
        <v>807</v>
      </c>
      <c r="E48" s="37" t="s">
        <v>43</v>
      </c>
      <c r="F48" s="37" t="s">
        <v>43</v>
      </c>
      <c r="G48" s="38" t="s">
        <v>42</v>
      </c>
      <c r="H48" s="37" t="s">
        <v>42</v>
      </c>
      <c r="I48" t="str">
        <f t="shared" si="2"/>
        <v>BEARISH</v>
      </c>
      <c r="J48" cm="1">
        <f t="array" ref="J48">_xlfn.IFS(I48="BULLISH",3,I48="BEARISH",-3,I48="Neutral",0)</f>
        <v>-3</v>
      </c>
      <c r="K48" t="str">
        <f t="shared" si="3"/>
        <v>BULLISH</v>
      </c>
      <c r="L48" cm="1">
        <f t="array" ref="L48">_xlfn.IFS(K48="BULLISH",3,K48="BEARISH",-3,K48="Neutral",0)</f>
        <v>3</v>
      </c>
    </row>
    <row r="49" spans="1:12" x14ac:dyDescent="0.25">
      <c r="A49" t="s">
        <v>168</v>
      </c>
      <c r="B49" t="s">
        <v>1622</v>
      </c>
      <c r="E49" s="37" t="s">
        <v>43</v>
      </c>
      <c r="F49" s="37" t="s">
        <v>1654</v>
      </c>
      <c r="G49" s="38" t="s">
        <v>43</v>
      </c>
      <c r="H49" s="37" t="s">
        <v>1654</v>
      </c>
      <c r="I49" t="str">
        <f t="shared" si="2"/>
        <v>BULLISH</v>
      </c>
      <c r="J49" cm="1">
        <f t="array" ref="J49">_xlfn.IFS(I49="BULLISH",3,I49="BEARISH",-3,I49="Neutral",0)</f>
        <v>3</v>
      </c>
      <c r="K49" t="str">
        <f t="shared" si="3"/>
        <v>Neutral</v>
      </c>
      <c r="L49" cm="1">
        <f t="array" ref="L49">_xlfn.IFS(K49="BULLISH",3,K49="BEARISH",-3,K49="Neutral",0)</f>
        <v>0</v>
      </c>
    </row>
    <row r="50" spans="1:12" x14ac:dyDescent="0.25">
      <c r="A50" t="s">
        <v>168</v>
      </c>
      <c r="B50" t="s">
        <v>806</v>
      </c>
      <c r="E50" s="37" t="s">
        <v>42</v>
      </c>
      <c r="F50" s="37" t="s">
        <v>42</v>
      </c>
      <c r="G50" s="38" t="s">
        <v>43</v>
      </c>
      <c r="H50" s="37" t="s">
        <v>43</v>
      </c>
      <c r="I50" t="str">
        <f t="shared" si="2"/>
        <v>BULLISH</v>
      </c>
      <c r="J50" cm="1">
        <f t="array" ref="J50">_xlfn.IFS(I50="BULLISH",3,I50="BEARISH",-3,I50="Neutral",0)</f>
        <v>3</v>
      </c>
      <c r="K50" t="str">
        <f t="shared" si="3"/>
        <v>BEARISH</v>
      </c>
      <c r="L50" cm="1">
        <f t="array" ref="L50">_xlfn.IFS(K50="BULLISH",3,K50="BEARISH",-3,K50="Neutral",0)</f>
        <v>-3</v>
      </c>
    </row>
    <row r="51" spans="1:12" x14ac:dyDescent="0.25">
      <c r="A51" t="s">
        <v>168</v>
      </c>
      <c r="B51" t="s">
        <v>816</v>
      </c>
      <c r="E51" s="37" t="s">
        <v>42</v>
      </c>
      <c r="F51" s="37" t="s">
        <v>42</v>
      </c>
      <c r="G51" s="38" t="s">
        <v>43</v>
      </c>
      <c r="H51" s="37" t="s">
        <v>43</v>
      </c>
      <c r="I51" t="str">
        <f t="shared" si="2"/>
        <v>BULLISH</v>
      </c>
      <c r="J51" cm="1">
        <f t="array" ref="J51">_xlfn.IFS(I51="BULLISH",3,I51="BEARISH",-3,I51="Neutral",0)</f>
        <v>3</v>
      </c>
      <c r="K51" t="str">
        <f t="shared" si="3"/>
        <v>BEARISH</v>
      </c>
      <c r="L51" cm="1">
        <f t="array" ref="L51">_xlfn.IFS(K51="BULLISH",3,K51="BEARISH",-3,K51="Neutral",0)</f>
        <v>-3</v>
      </c>
    </row>
    <row r="52" spans="1:12" x14ac:dyDescent="0.25">
      <c r="A52" t="s">
        <v>168</v>
      </c>
      <c r="B52" t="s">
        <v>809</v>
      </c>
      <c r="E52" s="37" t="s">
        <v>1654</v>
      </c>
      <c r="F52" s="37" t="s">
        <v>43</v>
      </c>
      <c r="G52" s="38" t="s">
        <v>42</v>
      </c>
      <c r="H52" s="37" t="s">
        <v>42</v>
      </c>
      <c r="I52" t="str">
        <f t="shared" si="2"/>
        <v>BEARISH</v>
      </c>
      <c r="J52" cm="1">
        <f t="array" ref="J52">_xlfn.IFS(I52="BULLISH",3,I52="BEARISH",-3,I52="Neutral",0)</f>
        <v>-3</v>
      </c>
      <c r="K52" t="str">
        <f t="shared" si="3"/>
        <v>BULLISH</v>
      </c>
      <c r="L52" cm="1">
        <f t="array" ref="L52">_xlfn.IFS(K52="BULLISH",3,K52="BEARISH",-3,K52="Neutral",0)</f>
        <v>3</v>
      </c>
    </row>
    <row r="53" spans="1:12" x14ac:dyDescent="0.25">
      <c r="A53" t="s">
        <v>168</v>
      </c>
      <c r="B53" t="s">
        <v>810</v>
      </c>
      <c r="E53" s="37" t="s">
        <v>1654</v>
      </c>
      <c r="F53" s="37" t="s">
        <v>1654</v>
      </c>
      <c r="G53" s="37" t="s">
        <v>1654</v>
      </c>
      <c r="H53" s="37" t="s">
        <v>42</v>
      </c>
      <c r="I53" t="str">
        <f t="shared" si="2"/>
        <v>Neutral</v>
      </c>
      <c r="J53" cm="1">
        <f t="array" ref="J53">_xlfn.IFS(I53="BULLISH",3,I53="BEARISH",-3,I53="Neutral",0)</f>
        <v>0</v>
      </c>
      <c r="K53" t="str">
        <f t="shared" si="3"/>
        <v>Neutral</v>
      </c>
      <c r="L53" cm="1">
        <f t="array" ref="L53">_xlfn.IFS(K53="BULLISH",3,K53="BEARISH",-3,K53="Neutral",0)</f>
        <v>0</v>
      </c>
    </row>
  </sheetData>
  <autoFilter ref="A1:L53" xr:uid="{1D7861F6-E46A-45CD-8573-B2760436BED2}"/>
  <customSheetViews>
    <customSheetView guid="{52D1722A-E00E-455D-B18E-AA205BA79E79}" showAutoFilter="1">
      <selection activeCell="B6" sqref="B6"/>
      <pageMargins left="0.7" right="0.7" top="0.75" bottom="0.75" header="0.3" footer="0.3"/>
      <pageSetup orientation="portrait" r:id="rId1"/>
      <autoFilter ref="A1:I47" xr:uid="{C7CE6083-944E-4D8F-A68F-32C53C86AD28}"/>
    </customSheetView>
  </customSheetViews>
  <phoneticPr fontId="90" type="noConversion"/>
  <conditionalFormatting sqref="D1:D8 I1:L1048576 D24:D36 D40:D1048576">
    <cfRule type="cellIs" dxfId="11" priority="2" operator="equal">
      <formula>"NEUTRAL"</formula>
    </cfRule>
    <cfRule type="cellIs" dxfId="10" priority="3" operator="equal">
      <formula>"BEARISH"</formula>
    </cfRule>
    <cfRule type="cellIs" dxfId="9" priority="4" operator="equal">
      <formula>"BULLISH"</formula>
    </cfRule>
  </conditionalFormatting>
  <conditionalFormatting sqref="N1:Q1">
    <cfRule type="containsText" dxfId="8" priority="1" operator="containsText" text="Pos Outlook">
      <formula>NOT(ISERROR(SEARCH("Pos Outlook",N1)))</formula>
    </cfRule>
  </conditionalFormatting>
  <pageMargins left="0.7" right="0.7" top="0.75" bottom="0.75" header="0.3" footer="0.3"/>
  <pageSetup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2747-E3E7-420B-AAE6-525801674C53}">
  <sheetPr codeName="Sheet31"/>
  <dimension ref="A1:O25"/>
  <sheetViews>
    <sheetView workbookViewId="0">
      <selection activeCell="E10" sqref="E10"/>
    </sheetView>
  </sheetViews>
  <sheetFormatPr defaultRowHeight="15" x14ac:dyDescent="0.25"/>
  <cols>
    <col min="2" max="2" width="10" bestFit="1" customWidth="1"/>
    <col min="3" max="3" width="10.140625" bestFit="1" customWidth="1"/>
    <col min="6" max="6" width="9.7109375" style="391" bestFit="1" customWidth="1"/>
    <col min="7" max="7" width="10.7109375" style="391" bestFit="1" customWidth="1"/>
    <col min="10" max="10" width="9.7109375" bestFit="1" customWidth="1"/>
    <col min="11" max="12" width="9.7109375" customWidth="1"/>
    <col min="15" max="15" width="12.28515625" customWidth="1"/>
  </cols>
  <sheetData>
    <row r="1" spans="1:15" x14ac:dyDescent="0.25">
      <c r="A1" s="2" t="s">
        <v>1716</v>
      </c>
      <c r="B1" s="2" t="s">
        <v>1717</v>
      </c>
      <c r="C1" s="2" t="s">
        <v>1718</v>
      </c>
      <c r="D1" s="2" t="s">
        <v>3198</v>
      </c>
      <c r="E1" s="2" t="s">
        <v>1719</v>
      </c>
      <c r="F1" s="390" t="s">
        <v>1717</v>
      </c>
      <c r="G1" s="390" t="s">
        <v>1718</v>
      </c>
      <c r="I1" s="2" t="s">
        <v>1720</v>
      </c>
      <c r="J1" s="2" t="s">
        <v>1717</v>
      </c>
      <c r="K1" s="2" t="s">
        <v>1718</v>
      </c>
      <c r="L1" s="2" t="s">
        <v>3198</v>
      </c>
      <c r="M1" s="2" t="s">
        <v>1719</v>
      </c>
      <c r="N1" s="2" t="s">
        <v>1717</v>
      </c>
      <c r="O1" s="2" t="s">
        <v>1718</v>
      </c>
    </row>
    <row r="2" spans="1:15" x14ac:dyDescent="0.25">
      <c r="A2" s="392">
        <v>45992</v>
      </c>
      <c r="B2" s="393">
        <f>F2-21</f>
        <v>45971</v>
      </c>
      <c r="C2" s="393">
        <f>G2-21</f>
        <v>46001</v>
      </c>
      <c r="D2" s="395" t="str">
        <f>IF(AND(Dash!$AB$2&gt;=B2,Dash!$AB$2&lt;=C2),"Y","")</f>
        <v/>
      </c>
      <c r="E2" t="s">
        <v>786</v>
      </c>
      <c r="F2" s="394">
        <v>45992</v>
      </c>
      <c r="G2" s="394">
        <v>46022</v>
      </c>
      <c r="I2" s="395" t="s">
        <v>1721</v>
      </c>
      <c r="J2" s="393">
        <f>N2-23</f>
        <v>45908</v>
      </c>
      <c r="K2" s="393">
        <f>O2-23</f>
        <v>45999</v>
      </c>
      <c r="L2" s="395" t="str">
        <f>IF(AND(Dash!$AB$2&gt;=J2,Dash!$AB$2&lt;=K2),"Y","")</f>
        <v/>
      </c>
      <c r="M2" t="s">
        <v>783</v>
      </c>
      <c r="N2" s="393">
        <v>45931</v>
      </c>
      <c r="O2" s="393">
        <v>46022</v>
      </c>
    </row>
    <row r="3" spans="1:15" x14ac:dyDescent="0.25">
      <c r="A3" s="392">
        <v>46023</v>
      </c>
      <c r="B3" s="393">
        <f t="shared" ref="B3:B9" si="0">F3-21</f>
        <v>46002</v>
      </c>
      <c r="C3" s="393">
        <f t="shared" ref="C3:C11" si="1">G3-21</f>
        <v>46032</v>
      </c>
      <c r="D3" s="395" t="str">
        <f>IF(AND(Dash!$AB$2&gt;=B3,Dash!$AB$2&lt;=C3),"Y","")</f>
        <v/>
      </c>
      <c r="E3" t="s">
        <v>783</v>
      </c>
      <c r="F3" s="394">
        <v>46023</v>
      </c>
      <c r="G3" s="394">
        <v>46053</v>
      </c>
      <c r="I3" s="395" t="s">
        <v>1722</v>
      </c>
      <c r="J3" s="393">
        <f t="shared" ref="J3:J6" si="2">N3-23</f>
        <v>46000</v>
      </c>
      <c r="K3" s="393">
        <f t="shared" ref="K3:K6" si="3">O3-23</f>
        <v>46089</v>
      </c>
      <c r="L3" s="395" t="str">
        <f>IF(AND(Dash!$AB$2&gt;=J3,Dash!$AB$2&lt;=K3),"Y","")</f>
        <v/>
      </c>
      <c r="M3" t="s">
        <v>783</v>
      </c>
      <c r="N3" s="393">
        <v>46023</v>
      </c>
      <c r="O3" s="393">
        <v>46112</v>
      </c>
    </row>
    <row r="4" spans="1:15" x14ac:dyDescent="0.25">
      <c r="A4" s="392">
        <v>46054</v>
      </c>
      <c r="B4" s="393">
        <f t="shared" si="0"/>
        <v>46033</v>
      </c>
      <c r="C4" s="393">
        <f t="shared" si="1"/>
        <v>46060</v>
      </c>
      <c r="D4" s="395" t="str">
        <f>IF(AND(Dash!$AB$2&gt;=B4,Dash!$AB$2&lt;=C4),"Y","")</f>
        <v/>
      </c>
      <c r="E4" t="s">
        <v>783</v>
      </c>
      <c r="F4" s="394">
        <v>46054</v>
      </c>
      <c r="G4" s="394">
        <v>46081</v>
      </c>
      <c r="I4" s="395" t="s">
        <v>1723</v>
      </c>
      <c r="J4" s="393">
        <f t="shared" si="2"/>
        <v>46090</v>
      </c>
      <c r="K4" s="393">
        <f t="shared" si="3"/>
        <v>46180</v>
      </c>
      <c r="L4" s="395" t="str">
        <f>IF(AND(Dash!$AB$2&gt;=J4,Dash!$AB$2&lt;=K4),"Y","")</f>
        <v>Y</v>
      </c>
      <c r="M4" t="s">
        <v>785</v>
      </c>
      <c r="N4" s="393">
        <v>46113</v>
      </c>
      <c r="O4" s="393">
        <v>46203</v>
      </c>
    </row>
    <row r="5" spans="1:15" x14ac:dyDescent="0.25">
      <c r="A5" s="392">
        <v>46082</v>
      </c>
      <c r="B5" s="393">
        <f t="shared" si="0"/>
        <v>46061</v>
      </c>
      <c r="C5" s="393">
        <f t="shared" si="1"/>
        <v>46091</v>
      </c>
      <c r="D5" s="395" t="str">
        <f>IF(AND(Dash!$AB$2&gt;=B5,Dash!$AB$2&lt;=C5),"Y","")</f>
        <v/>
      </c>
      <c r="E5" t="s">
        <v>785</v>
      </c>
      <c r="F5" s="394">
        <v>46082</v>
      </c>
      <c r="G5" s="394">
        <v>46112</v>
      </c>
      <c r="I5" s="395" t="s">
        <v>2072</v>
      </c>
      <c r="J5" s="393">
        <f t="shared" si="2"/>
        <v>46181</v>
      </c>
      <c r="K5" s="393">
        <f t="shared" si="3"/>
        <v>46272</v>
      </c>
      <c r="L5" s="395" t="str">
        <f>IF(AND(Dash!$AB$2&gt;=J5,Dash!$AB$2&lt;=K5),"Y","")</f>
        <v/>
      </c>
      <c r="M5" t="s">
        <v>785</v>
      </c>
      <c r="N5" s="393">
        <v>46204</v>
      </c>
      <c r="O5" s="393">
        <v>46295</v>
      </c>
    </row>
    <row r="6" spans="1:15" x14ac:dyDescent="0.25">
      <c r="A6" s="392">
        <v>46113</v>
      </c>
      <c r="B6" s="393">
        <f t="shared" si="0"/>
        <v>46092</v>
      </c>
      <c r="C6" s="393">
        <f t="shared" si="1"/>
        <v>46121</v>
      </c>
      <c r="D6" s="395" t="str">
        <f>IF(AND(Dash!$AB$2&gt;=B6,Dash!$AB$2&lt;=C6),"Y","")</f>
        <v/>
      </c>
      <c r="E6" t="s">
        <v>784</v>
      </c>
      <c r="F6" s="394">
        <v>46113</v>
      </c>
      <c r="G6" s="394">
        <v>46142</v>
      </c>
      <c r="I6" s="395" t="s">
        <v>3351</v>
      </c>
      <c r="J6" s="393">
        <f t="shared" si="2"/>
        <v>46273</v>
      </c>
      <c r="K6" s="393">
        <f t="shared" si="3"/>
        <v>46364</v>
      </c>
      <c r="L6" s="395"/>
      <c r="M6" t="s">
        <v>786</v>
      </c>
      <c r="N6" s="393">
        <v>46296</v>
      </c>
      <c r="O6" s="393">
        <v>46387</v>
      </c>
    </row>
    <row r="7" spans="1:15" x14ac:dyDescent="0.25">
      <c r="A7" s="392">
        <v>46143</v>
      </c>
      <c r="B7" s="393">
        <f t="shared" si="0"/>
        <v>46122</v>
      </c>
      <c r="C7" s="393">
        <f t="shared" si="1"/>
        <v>46152</v>
      </c>
      <c r="D7" s="395" t="str">
        <f>IF(AND(Dash!$AB$2&gt;=B7,Dash!$AB$2&lt;=C7),"Y","")</f>
        <v>Y</v>
      </c>
      <c r="E7" t="s">
        <v>784</v>
      </c>
      <c r="F7" s="394">
        <v>46143</v>
      </c>
      <c r="G7" s="394">
        <v>46173</v>
      </c>
      <c r="L7" s="395"/>
      <c r="M7" s="395"/>
      <c r="N7" s="395"/>
      <c r="O7" s="395"/>
    </row>
    <row r="8" spans="1:15" x14ac:dyDescent="0.25">
      <c r="A8" s="392">
        <v>46174</v>
      </c>
      <c r="B8" s="393">
        <f t="shared" si="0"/>
        <v>46153</v>
      </c>
      <c r="C8" s="393">
        <f t="shared" si="1"/>
        <v>46182</v>
      </c>
      <c r="D8" s="395" t="str">
        <f>IF(AND(Dash!$AB$2&gt;=B8,Dash!$AB$2&lt;=C8),"Y","")</f>
        <v/>
      </c>
      <c r="E8" t="s">
        <v>783</v>
      </c>
      <c r="F8" s="394">
        <v>46174</v>
      </c>
      <c r="G8" s="394">
        <v>46203</v>
      </c>
      <c r="L8" s="395"/>
      <c r="M8" s="395"/>
      <c r="N8" s="395"/>
      <c r="O8" s="395"/>
    </row>
    <row r="9" spans="1:15" x14ac:dyDescent="0.25">
      <c r="A9" s="392">
        <v>46204</v>
      </c>
      <c r="B9" s="393">
        <f t="shared" si="0"/>
        <v>46183</v>
      </c>
      <c r="C9" s="393">
        <f t="shared" si="1"/>
        <v>46213</v>
      </c>
      <c r="D9" s="395" t="str">
        <f>IF(AND(Dash!$AB$2&gt;=B9,Dash!$AB$2&lt;=C9),"Y","")</f>
        <v/>
      </c>
      <c r="E9" t="s">
        <v>785</v>
      </c>
      <c r="F9" s="394">
        <v>46204</v>
      </c>
      <c r="G9" s="394">
        <v>46234</v>
      </c>
      <c r="L9" s="395"/>
      <c r="M9" s="395"/>
      <c r="N9" s="395"/>
      <c r="O9" s="395"/>
    </row>
    <row r="10" spans="1:15" x14ac:dyDescent="0.25">
      <c r="A10" s="392">
        <v>46235</v>
      </c>
      <c r="B10" s="393">
        <f t="shared" ref="B10:B11" si="4">F10-21</f>
        <v>46214</v>
      </c>
      <c r="C10" s="393">
        <f t="shared" si="1"/>
        <v>46244</v>
      </c>
      <c r="D10" s="395" t="str">
        <f>IF(AND(Dash!$AB$2&gt;=B10,Dash!$AB$2&lt;=C10),"Y","")</f>
        <v/>
      </c>
      <c r="E10" t="s">
        <v>784</v>
      </c>
      <c r="F10" s="394">
        <v>46235</v>
      </c>
      <c r="G10" s="394">
        <v>46265</v>
      </c>
      <c r="L10" s="395"/>
      <c r="M10" s="395"/>
      <c r="N10" s="395"/>
      <c r="O10" s="395"/>
    </row>
    <row r="11" spans="1:15" x14ac:dyDescent="0.25">
      <c r="A11" s="392">
        <v>46266</v>
      </c>
      <c r="B11" s="393">
        <f t="shared" si="4"/>
        <v>46245</v>
      </c>
      <c r="C11" s="393">
        <f t="shared" si="1"/>
        <v>46274</v>
      </c>
      <c r="D11" s="395" t="str">
        <f>IF(AND(Dash!$AB$2&gt;=B11,Dash!$AB$2&lt;=C11),"Y","")</f>
        <v/>
      </c>
      <c r="E11" t="s">
        <v>783</v>
      </c>
      <c r="F11" s="394">
        <v>46266</v>
      </c>
      <c r="G11" s="394">
        <v>46295</v>
      </c>
      <c r="L11" s="395"/>
      <c r="M11" s="395"/>
      <c r="N11" s="395"/>
      <c r="O11" s="395"/>
    </row>
    <row r="12" spans="1:15" x14ac:dyDescent="0.25">
      <c r="D12" s="395"/>
      <c r="E12" s="395"/>
      <c r="L12" s="395"/>
      <c r="M12" s="395"/>
      <c r="N12" s="395"/>
      <c r="O12" s="395"/>
    </row>
    <row r="13" spans="1:15" x14ac:dyDescent="0.25">
      <c r="D13" s="395"/>
      <c r="E13" s="395"/>
      <c r="L13" s="395"/>
      <c r="M13" s="395"/>
      <c r="N13" s="395"/>
      <c r="O13" s="395"/>
    </row>
    <row r="14" spans="1:15" x14ac:dyDescent="0.25">
      <c r="D14" s="395"/>
      <c r="E14" s="395"/>
      <c r="L14" s="395"/>
      <c r="M14" s="395"/>
      <c r="N14" s="395"/>
      <c r="O14" s="395"/>
    </row>
    <row r="15" spans="1:15" x14ac:dyDescent="0.25">
      <c r="D15" s="395"/>
      <c r="E15" s="395"/>
      <c r="L15" s="395"/>
      <c r="M15" s="395"/>
      <c r="N15" s="395"/>
      <c r="O15" s="395"/>
    </row>
    <row r="16" spans="1:15" x14ac:dyDescent="0.25">
      <c r="D16" s="395"/>
      <c r="E16" s="395"/>
      <c r="L16" s="395"/>
      <c r="M16" s="395"/>
      <c r="N16" s="395"/>
      <c r="O16" s="395"/>
    </row>
    <row r="17" spans="4:15" x14ac:dyDescent="0.25">
      <c r="D17" s="395"/>
      <c r="E17" s="395"/>
      <c r="L17" s="395"/>
      <c r="M17" s="395"/>
      <c r="N17" s="395"/>
      <c r="O17" s="395"/>
    </row>
    <row r="18" spans="4:15" x14ac:dyDescent="0.25">
      <c r="D18" s="395"/>
      <c r="E18" s="395"/>
      <c r="L18" s="395"/>
      <c r="M18" s="395"/>
      <c r="N18" s="395"/>
      <c r="O18" s="395"/>
    </row>
    <row r="19" spans="4:15" x14ac:dyDescent="0.25">
      <c r="D19" s="395"/>
      <c r="E19" s="395"/>
      <c r="L19" s="395"/>
      <c r="M19" s="395"/>
      <c r="N19" s="395"/>
      <c r="O19" s="395"/>
    </row>
    <row r="20" spans="4:15" x14ac:dyDescent="0.25">
      <c r="D20" s="395"/>
      <c r="E20" s="395"/>
      <c r="L20" s="395"/>
      <c r="M20" s="395"/>
      <c r="N20" s="395"/>
      <c r="O20" s="395"/>
    </row>
    <row r="21" spans="4:15" x14ac:dyDescent="0.25">
      <c r="D21" s="395"/>
      <c r="E21" s="395"/>
      <c r="L21" s="395"/>
      <c r="M21" s="395"/>
      <c r="N21" s="395"/>
      <c r="O21" s="395"/>
    </row>
    <row r="22" spans="4:15" x14ac:dyDescent="0.25">
      <c r="D22" s="395"/>
      <c r="E22" s="395"/>
      <c r="L22" s="395"/>
      <c r="M22" s="395"/>
      <c r="N22" s="395"/>
      <c r="O22" s="395"/>
    </row>
    <row r="23" spans="4:15" x14ac:dyDescent="0.25">
      <c r="D23" s="395"/>
      <c r="E23" s="395"/>
      <c r="L23" s="395"/>
      <c r="M23" s="395"/>
      <c r="N23" s="395"/>
      <c r="O23" s="395"/>
    </row>
    <row r="24" spans="4:15" x14ac:dyDescent="0.25">
      <c r="D24" s="395"/>
      <c r="E24" s="395"/>
      <c r="L24" s="395"/>
      <c r="M24" s="395"/>
      <c r="N24" s="395"/>
      <c r="O24" s="395"/>
    </row>
    <row r="25" spans="4:15" x14ac:dyDescent="0.25">
      <c r="D25" s="395"/>
      <c r="E25" s="395"/>
      <c r="L25" s="395"/>
      <c r="M25" s="395"/>
      <c r="N25" s="395"/>
      <c r="O25" s="395"/>
    </row>
  </sheetData>
  <phoneticPr fontId="90" type="noConversion"/>
  <conditionalFormatting sqref="D2:E11 AF26:AF27">
    <cfRule type="containsBlanks" priority="6">
      <formula>LEN(TRIM(D2))=0</formula>
    </cfRule>
  </conditionalFormatting>
  <conditionalFormatting sqref="D2:E11">
    <cfRule type="cellIs" dxfId="7" priority="7" operator="equal">
      <formula>"Quad 1"</formula>
    </cfRule>
    <cfRule type="cellIs" dxfId="6" priority="8" operator="equal">
      <formula>"Quad 2"</formula>
    </cfRule>
    <cfRule type="cellIs" dxfId="5" priority="9" operator="equal">
      <formula>"Quad 3"</formula>
    </cfRule>
    <cfRule type="cellIs" dxfId="4" priority="10" operator="equal">
      <formula>"Quad 4"</formula>
    </cfRule>
  </conditionalFormatting>
  <conditionalFormatting sqref="L2:M5 M6">
    <cfRule type="containsBlanks" priority="1">
      <formula>LEN(TRIM(L2))=0</formula>
    </cfRule>
    <cfRule type="cellIs" dxfId="3" priority="2" operator="equal">
      <formula>"Quad 1"</formula>
    </cfRule>
    <cfRule type="cellIs" dxfId="2" priority="3" operator="equal">
      <formula>"Quad 2"</formula>
    </cfRule>
    <cfRule type="cellIs" dxfId="1" priority="4" operator="equal">
      <formula>"Quad 3"</formula>
    </cfRule>
    <cfRule type="cellIs" dxfId="0" priority="5" operator="equal">
      <formula>"Quad 4"</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75FA-C874-404B-B7CD-F3DDBED687CD}">
  <sheetPr codeName="Sheet34"/>
  <dimension ref="A1:D54"/>
  <sheetViews>
    <sheetView topLeftCell="A13" zoomScale="90" zoomScaleNormal="90" workbookViewId="0">
      <selection activeCell="A55" sqref="A55"/>
    </sheetView>
  </sheetViews>
  <sheetFormatPr defaultRowHeight="11.25" customHeight="1" x14ac:dyDescent="0.25"/>
  <sheetData>
    <row r="1" spans="1:4" ht="11.25" customHeight="1" x14ac:dyDescent="0.25">
      <c r="A1" s="266" t="s">
        <v>1376</v>
      </c>
      <c r="B1" s="266" t="s">
        <v>1476</v>
      </c>
      <c r="C1" s="266" t="s">
        <v>505</v>
      </c>
      <c r="D1" s="266" t="s">
        <v>2046</v>
      </c>
    </row>
    <row r="2" spans="1:4" ht="11.25" customHeight="1" x14ac:dyDescent="0.25">
      <c r="A2" s="54" t="s">
        <v>1377</v>
      </c>
      <c r="B2" s="54" t="s">
        <v>27</v>
      </c>
      <c r="C2" s="54" t="s">
        <v>1636</v>
      </c>
      <c r="D2" s="54" t="s">
        <v>284</v>
      </c>
    </row>
    <row r="3" spans="1:4" ht="11.25" customHeight="1" x14ac:dyDescent="0.25">
      <c r="A3" s="54" t="s">
        <v>1378</v>
      </c>
      <c r="B3" s="54" t="s">
        <v>26</v>
      </c>
      <c r="C3" s="54" t="s">
        <v>1635</v>
      </c>
      <c r="D3" s="54" t="s">
        <v>284</v>
      </c>
    </row>
    <row r="4" spans="1:4" ht="11.25" customHeight="1" x14ac:dyDescent="0.25">
      <c r="A4" s="54" t="s">
        <v>1379</v>
      </c>
      <c r="B4" s="54" t="s">
        <v>1633</v>
      </c>
      <c r="C4" s="54" t="s">
        <v>1955</v>
      </c>
      <c r="D4" s="54" t="s">
        <v>284</v>
      </c>
    </row>
    <row r="5" spans="1:4" ht="11.25" customHeight="1" x14ac:dyDescent="0.25">
      <c r="A5" s="54" t="s">
        <v>19</v>
      </c>
      <c r="B5" s="54" t="s">
        <v>19</v>
      </c>
      <c r="C5" s="54" t="s">
        <v>19</v>
      </c>
      <c r="D5" s="54" t="s">
        <v>285</v>
      </c>
    </row>
    <row r="6" spans="1:4" ht="11.25" customHeight="1" x14ac:dyDescent="0.25">
      <c r="A6" s="54" t="s">
        <v>1129</v>
      </c>
      <c r="B6" s="54" t="s">
        <v>1129</v>
      </c>
      <c r="C6" s="54" t="s">
        <v>1129</v>
      </c>
      <c r="D6" s="54" t="s">
        <v>285</v>
      </c>
    </row>
    <row r="7" spans="1:4" ht="11.25" customHeight="1" x14ac:dyDescent="0.25">
      <c r="A7" s="54" t="s">
        <v>189</v>
      </c>
      <c r="B7" s="54" t="s">
        <v>24</v>
      </c>
      <c r="C7" s="54" t="s">
        <v>189</v>
      </c>
      <c r="D7" s="54" t="s">
        <v>285</v>
      </c>
    </row>
    <row r="8" spans="1:4" ht="11.25" customHeight="1" x14ac:dyDescent="0.25">
      <c r="A8" s="54" t="s">
        <v>1380</v>
      </c>
      <c r="B8" s="54" t="s">
        <v>23</v>
      </c>
      <c r="C8" s="54" t="s">
        <v>190</v>
      </c>
      <c r="D8" s="54" t="s">
        <v>285</v>
      </c>
    </row>
    <row r="9" spans="1:4" ht="11.25" customHeight="1" x14ac:dyDescent="0.25">
      <c r="A9" s="54" t="s">
        <v>204</v>
      </c>
      <c r="B9" s="54" t="s">
        <v>25</v>
      </c>
      <c r="C9" s="54" t="s">
        <v>204</v>
      </c>
      <c r="D9" s="54" t="s">
        <v>285</v>
      </c>
    </row>
    <row r="10" spans="1:4" ht="11.25" customHeight="1" x14ac:dyDescent="0.25">
      <c r="A10" s="54" t="s">
        <v>20</v>
      </c>
      <c r="B10" s="54" t="s">
        <v>20</v>
      </c>
      <c r="C10" s="54" t="s">
        <v>20</v>
      </c>
      <c r="D10" s="54" t="s">
        <v>285</v>
      </c>
    </row>
    <row r="11" spans="1:4" ht="11.25" customHeight="1" x14ac:dyDescent="0.25">
      <c r="A11" s="54" t="s">
        <v>14</v>
      </c>
      <c r="B11" s="54" t="s">
        <v>14</v>
      </c>
      <c r="C11" s="54" t="s">
        <v>14</v>
      </c>
      <c r="D11" s="54" t="s">
        <v>285</v>
      </c>
    </row>
    <row r="12" spans="1:4" ht="11.25" customHeight="1" x14ac:dyDescent="0.25">
      <c r="A12" s="54" t="s">
        <v>491</v>
      </c>
      <c r="B12" s="54" t="s">
        <v>491</v>
      </c>
      <c r="C12" s="54" t="s">
        <v>491</v>
      </c>
      <c r="D12" s="54" t="s">
        <v>285</v>
      </c>
    </row>
    <row r="13" spans="1:4" ht="11.25" customHeight="1" x14ac:dyDescent="0.25">
      <c r="A13" s="54" t="s">
        <v>489</v>
      </c>
      <c r="B13" s="54" t="s">
        <v>489</v>
      </c>
      <c r="C13" s="54" t="s">
        <v>489</v>
      </c>
      <c r="D13" s="54" t="s">
        <v>285</v>
      </c>
    </row>
    <row r="14" spans="1:4" ht="11.25" customHeight="1" x14ac:dyDescent="0.25">
      <c r="A14" s="54" t="s">
        <v>1381</v>
      </c>
      <c r="B14" s="54" t="s">
        <v>40</v>
      </c>
      <c r="C14" s="54"/>
      <c r="D14" s="54" t="s">
        <v>285</v>
      </c>
    </row>
    <row r="15" spans="1:4" ht="11.25" customHeight="1" x14ac:dyDescent="0.25">
      <c r="A15" s="54" t="s">
        <v>1382</v>
      </c>
      <c r="B15" s="54" t="s">
        <v>39</v>
      </c>
      <c r="C15" s="54" t="s">
        <v>1637</v>
      </c>
      <c r="D15" s="54" t="s">
        <v>285</v>
      </c>
    </row>
    <row r="16" spans="1:4" ht="11.25" customHeight="1" x14ac:dyDescent="0.25">
      <c r="A16" s="54" t="s">
        <v>1383</v>
      </c>
      <c r="B16" s="54" t="s">
        <v>846</v>
      </c>
      <c r="C16" s="54"/>
      <c r="D16" s="54" t="s">
        <v>285</v>
      </c>
    </row>
    <row r="17" spans="1:4" ht="11.25" customHeight="1" x14ac:dyDescent="0.25">
      <c r="A17" s="54" t="s">
        <v>1384</v>
      </c>
      <c r="B17" s="54" t="s">
        <v>118</v>
      </c>
      <c r="C17" s="54" t="s">
        <v>1634</v>
      </c>
      <c r="D17" s="54" t="s">
        <v>285</v>
      </c>
    </row>
    <row r="18" spans="1:4" ht="11.25" customHeight="1" x14ac:dyDescent="0.25">
      <c r="A18" s="54" t="s">
        <v>45</v>
      </c>
      <c r="B18" s="54" t="s">
        <v>29</v>
      </c>
      <c r="C18" s="54" t="s">
        <v>45</v>
      </c>
      <c r="D18" s="54" t="s">
        <v>285</v>
      </c>
    </row>
    <row r="19" spans="1:4" ht="11.25" customHeight="1" x14ac:dyDescent="0.25">
      <c r="A19" s="54" t="s">
        <v>813</v>
      </c>
      <c r="B19" s="54" t="s">
        <v>119</v>
      </c>
      <c r="C19" s="54" t="s">
        <v>289</v>
      </c>
      <c r="D19" s="54" t="s">
        <v>285</v>
      </c>
    </row>
    <row r="20" spans="1:4" ht="11.25" customHeight="1" x14ac:dyDescent="0.25">
      <c r="A20" s="54" t="s">
        <v>1097</v>
      </c>
      <c r="B20" s="54" t="s">
        <v>38</v>
      </c>
      <c r="C20" s="54" t="s">
        <v>1577</v>
      </c>
      <c r="D20" s="54" t="s">
        <v>285</v>
      </c>
    </row>
    <row r="21" spans="1:4" ht="11.25" customHeight="1" x14ac:dyDescent="0.25">
      <c r="A21" s="54" t="s">
        <v>1385</v>
      </c>
      <c r="B21" s="54" t="s">
        <v>1639</v>
      </c>
      <c r="C21" s="54" t="s">
        <v>1578</v>
      </c>
      <c r="D21" s="54" t="s">
        <v>285</v>
      </c>
    </row>
    <row r="22" spans="1:4" ht="11.25" customHeight="1" x14ac:dyDescent="0.25">
      <c r="A22" s="54" t="s">
        <v>1098</v>
      </c>
      <c r="B22" s="54" t="s">
        <v>37</v>
      </c>
      <c r="C22" s="54" t="s">
        <v>1579</v>
      </c>
      <c r="D22" s="54" t="s">
        <v>285</v>
      </c>
    </row>
    <row r="23" spans="1:4" ht="11.25" customHeight="1" x14ac:dyDescent="0.25">
      <c r="A23" s="54" t="s">
        <v>1096</v>
      </c>
      <c r="B23" s="54" t="s">
        <v>36</v>
      </c>
      <c r="C23" s="54" t="s">
        <v>1580</v>
      </c>
      <c r="D23" s="54" t="s">
        <v>285</v>
      </c>
    </row>
    <row r="24" spans="1:4" ht="11.25" customHeight="1" x14ac:dyDescent="0.25">
      <c r="A24" s="54" t="s">
        <v>1386</v>
      </c>
      <c r="B24" s="54" t="s">
        <v>34</v>
      </c>
      <c r="C24" s="54" t="s">
        <v>1581</v>
      </c>
      <c r="D24" s="54" t="s">
        <v>285</v>
      </c>
    </row>
    <row r="25" spans="1:4" ht="11.25" customHeight="1" x14ac:dyDescent="0.25">
      <c r="A25" s="54" t="s">
        <v>1387</v>
      </c>
      <c r="B25" s="54" t="s">
        <v>847</v>
      </c>
      <c r="C25" s="54" t="s">
        <v>1582</v>
      </c>
      <c r="D25" s="54" t="s">
        <v>285</v>
      </c>
    </row>
    <row r="26" spans="1:4" ht="11.25" customHeight="1" x14ac:dyDescent="0.25">
      <c r="A26" s="54" t="s">
        <v>1388</v>
      </c>
      <c r="B26" s="54" t="s">
        <v>35</v>
      </c>
      <c r="C26" s="54" t="s">
        <v>1583</v>
      </c>
      <c r="D26" s="54" t="s">
        <v>285</v>
      </c>
    </row>
    <row r="27" spans="1:4" ht="11.25" customHeight="1" x14ac:dyDescent="0.25">
      <c r="A27" s="54" t="s">
        <v>205</v>
      </c>
      <c r="B27" s="54" t="s">
        <v>120</v>
      </c>
      <c r="C27" s="54" t="s">
        <v>1584</v>
      </c>
      <c r="D27" s="54" t="s">
        <v>285</v>
      </c>
    </row>
    <row r="28" spans="1:4" ht="11.25" customHeight="1" x14ac:dyDescent="0.25">
      <c r="A28" s="54" t="s">
        <v>1389</v>
      </c>
      <c r="B28" s="54" t="s">
        <v>32</v>
      </c>
      <c r="C28" s="54" t="s">
        <v>1585</v>
      </c>
      <c r="D28" s="54" t="s">
        <v>285</v>
      </c>
    </row>
    <row r="29" spans="1:4" ht="11.25" customHeight="1" x14ac:dyDescent="0.25">
      <c r="A29" s="54" t="s">
        <v>1390</v>
      </c>
      <c r="B29" s="54" t="s">
        <v>33</v>
      </c>
      <c r="C29" s="54" t="s">
        <v>1586</v>
      </c>
      <c r="D29" s="54" t="s">
        <v>285</v>
      </c>
    </row>
    <row r="30" spans="1:4" ht="11.25" customHeight="1" x14ac:dyDescent="0.25">
      <c r="A30" s="54" t="s">
        <v>22</v>
      </c>
      <c r="B30" s="54" t="s">
        <v>22</v>
      </c>
      <c r="C30" s="54" t="s">
        <v>22</v>
      </c>
      <c r="D30" s="54" t="s">
        <v>285</v>
      </c>
    </row>
    <row r="31" spans="1:4" ht="11.25" customHeight="1" x14ac:dyDescent="0.25">
      <c r="A31" s="54" t="s">
        <v>1</v>
      </c>
      <c r="B31" s="54" t="s">
        <v>1</v>
      </c>
      <c r="C31" s="54" t="s">
        <v>1</v>
      </c>
      <c r="D31" s="54" t="s">
        <v>285</v>
      </c>
    </row>
    <row r="32" spans="1:4" ht="11.25" customHeight="1" x14ac:dyDescent="0.25">
      <c r="A32" s="54" t="s">
        <v>21</v>
      </c>
      <c r="B32" s="54" t="s">
        <v>21</v>
      </c>
      <c r="C32" s="54" t="s">
        <v>21</v>
      </c>
      <c r="D32" s="54" t="s">
        <v>285</v>
      </c>
    </row>
    <row r="33" spans="1:4" ht="11.25" customHeight="1" x14ac:dyDescent="0.25">
      <c r="A33" s="54" t="s">
        <v>2</v>
      </c>
      <c r="B33" s="54" t="s">
        <v>2</v>
      </c>
      <c r="C33" s="54" t="s">
        <v>2</v>
      </c>
      <c r="D33" s="54" t="s">
        <v>285</v>
      </c>
    </row>
    <row r="34" spans="1:4" ht="11.25" customHeight="1" x14ac:dyDescent="0.25">
      <c r="A34" s="54" t="s">
        <v>3</v>
      </c>
      <c r="B34" s="54" t="s">
        <v>3</v>
      </c>
      <c r="C34" s="54" t="s">
        <v>3</v>
      </c>
      <c r="D34" s="54" t="s">
        <v>285</v>
      </c>
    </row>
    <row r="35" spans="1:4" ht="11.25" customHeight="1" x14ac:dyDescent="0.25">
      <c r="A35" s="54" t="s">
        <v>4</v>
      </c>
      <c r="B35" s="54" t="s">
        <v>4</v>
      </c>
      <c r="C35" s="54" t="s">
        <v>4</v>
      </c>
      <c r="D35" s="54" t="s">
        <v>285</v>
      </c>
    </row>
    <row r="36" spans="1:4" ht="11.25" customHeight="1" x14ac:dyDescent="0.25">
      <c r="A36" s="54" t="s">
        <v>0</v>
      </c>
      <c r="B36" s="54" t="s">
        <v>0</v>
      </c>
      <c r="C36" s="54" t="s">
        <v>0</v>
      </c>
      <c r="D36" s="54" t="s">
        <v>285</v>
      </c>
    </row>
    <row r="37" spans="1:4" ht="11.25" customHeight="1" x14ac:dyDescent="0.25">
      <c r="A37" s="54" t="s">
        <v>138</v>
      </c>
      <c r="B37" s="54" t="s">
        <v>138</v>
      </c>
      <c r="C37" s="54" t="s">
        <v>138</v>
      </c>
      <c r="D37" s="54" t="s">
        <v>285</v>
      </c>
    </row>
    <row r="38" spans="1:4" ht="11.25" customHeight="1" x14ac:dyDescent="0.25">
      <c r="A38" s="54" t="s">
        <v>1391</v>
      </c>
      <c r="B38" s="54" t="s">
        <v>1475</v>
      </c>
      <c r="C38" s="54" t="s">
        <v>1587</v>
      </c>
      <c r="D38" s="54" t="s">
        <v>285</v>
      </c>
    </row>
    <row r="39" spans="1:4" ht="11.25" customHeight="1" x14ac:dyDescent="0.25">
      <c r="A39" s="54" t="s">
        <v>3188</v>
      </c>
      <c r="B39" s="54" t="s">
        <v>1475</v>
      </c>
      <c r="C39" s="54" t="s">
        <v>1587</v>
      </c>
      <c r="D39" s="54" t="s">
        <v>285</v>
      </c>
    </row>
    <row r="40" spans="1:4" ht="11.25" customHeight="1" x14ac:dyDescent="0.25">
      <c r="A40" s="54" t="s">
        <v>490</v>
      </c>
      <c r="B40" s="54" t="s">
        <v>490</v>
      </c>
      <c r="C40" s="54" t="s">
        <v>490</v>
      </c>
      <c r="D40" s="54" t="s">
        <v>285</v>
      </c>
    </row>
    <row r="41" spans="1:4" ht="11.25" customHeight="1" x14ac:dyDescent="0.25">
      <c r="A41" s="54" t="s">
        <v>880</v>
      </c>
      <c r="B41" s="54" t="s">
        <v>880</v>
      </c>
      <c r="C41" s="54" t="s">
        <v>880</v>
      </c>
      <c r="D41" s="54" t="s">
        <v>285</v>
      </c>
    </row>
    <row r="42" spans="1:4" ht="11.25" customHeight="1" x14ac:dyDescent="0.25">
      <c r="A42" s="54" t="s">
        <v>102</v>
      </c>
      <c r="B42" s="54" t="s">
        <v>102</v>
      </c>
      <c r="C42" s="54" t="s">
        <v>102</v>
      </c>
      <c r="D42" s="54" t="s">
        <v>285</v>
      </c>
    </row>
    <row r="43" spans="1:4" ht="11.25" customHeight="1" x14ac:dyDescent="0.25">
      <c r="A43" s="54" t="s">
        <v>770</v>
      </c>
      <c r="B43" s="54" t="s">
        <v>770</v>
      </c>
      <c r="C43" s="54" t="s">
        <v>770</v>
      </c>
      <c r="D43" s="54" t="s">
        <v>285</v>
      </c>
    </row>
    <row r="44" spans="1:4" ht="11.25" customHeight="1" x14ac:dyDescent="0.25">
      <c r="A44" s="54" t="s">
        <v>781</v>
      </c>
      <c r="B44" s="54" t="s">
        <v>781</v>
      </c>
      <c r="C44" s="54" t="s">
        <v>781</v>
      </c>
      <c r="D44" s="54" t="s">
        <v>285</v>
      </c>
    </row>
    <row r="45" spans="1:4" ht="11.25" customHeight="1" x14ac:dyDescent="0.25">
      <c r="A45" s="54" t="s">
        <v>85</v>
      </c>
      <c r="B45" s="54" t="s">
        <v>85</v>
      </c>
      <c r="C45" s="54" t="s">
        <v>85</v>
      </c>
      <c r="D45" s="54" t="s">
        <v>285</v>
      </c>
    </row>
    <row r="46" spans="1:4" ht="11.25" customHeight="1" x14ac:dyDescent="0.25">
      <c r="A46" s="54" t="s">
        <v>17</v>
      </c>
      <c r="B46" s="54" t="s">
        <v>17</v>
      </c>
      <c r="C46" s="54" t="s">
        <v>17</v>
      </c>
      <c r="D46" s="54" t="s">
        <v>285</v>
      </c>
    </row>
    <row r="47" spans="1:4" ht="11.25" customHeight="1" x14ac:dyDescent="0.25">
      <c r="A47" s="54" t="s">
        <v>15</v>
      </c>
      <c r="B47" s="54" t="s">
        <v>15</v>
      </c>
      <c r="C47" s="54" t="s">
        <v>15</v>
      </c>
      <c r="D47" s="54" t="s">
        <v>285</v>
      </c>
    </row>
    <row r="48" spans="1:4" ht="11.25" customHeight="1" x14ac:dyDescent="0.25">
      <c r="A48" s="54" t="s">
        <v>16</v>
      </c>
      <c r="B48" s="54" t="s">
        <v>16</v>
      </c>
      <c r="C48" s="54" t="s">
        <v>16</v>
      </c>
      <c r="D48" s="54" t="s">
        <v>285</v>
      </c>
    </row>
    <row r="49" spans="1:4" ht="11.25" customHeight="1" x14ac:dyDescent="0.25">
      <c r="A49" s="54" t="s">
        <v>488</v>
      </c>
      <c r="B49" s="54" t="s">
        <v>488</v>
      </c>
      <c r="C49" s="54" t="s">
        <v>488</v>
      </c>
      <c r="D49" s="54" t="s">
        <v>285</v>
      </c>
    </row>
    <row r="50" spans="1:4" ht="11.25" customHeight="1" x14ac:dyDescent="0.25">
      <c r="A50" s="54" t="s">
        <v>193</v>
      </c>
      <c r="B50" s="54" t="s">
        <v>193</v>
      </c>
      <c r="C50" s="54" t="s">
        <v>193</v>
      </c>
      <c r="D50" s="54" t="s">
        <v>285</v>
      </c>
    </row>
    <row r="51" spans="1:4" ht="11.25" customHeight="1" x14ac:dyDescent="0.25">
      <c r="A51" s="54" t="s">
        <v>762</v>
      </c>
      <c r="B51" s="54" t="s">
        <v>762</v>
      </c>
      <c r="C51" s="54" t="s">
        <v>762</v>
      </c>
      <c r="D51" s="54" t="s">
        <v>285</v>
      </c>
    </row>
    <row r="52" spans="1:4" ht="11.25" customHeight="1" x14ac:dyDescent="0.25">
      <c r="A52" s="54" t="s">
        <v>590</v>
      </c>
      <c r="B52" s="54" t="s">
        <v>590</v>
      </c>
      <c r="C52" s="54" t="s">
        <v>590</v>
      </c>
      <c r="D52" s="54" t="s">
        <v>285</v>
      </c>
    </row>
    <row r="53" spans="1:4" ht="11.25" customHeight="1" x14ac:dyDescent="0.25">
      <c r="A53" s="54" t="s">
        <v>87</v>
      </c>
      <c r="B53" s="54" t="s">
        <v>87</v>
      </c>
      <c r="C53" s="54" t="s">
        <v>87</v>
      </c>
      <c r="D53" s="54" t="s">
        <v>285</v>
      </c>
    </row>
    <row r="54" spans="1:4" ht="11.25" customHeight="1" x14ac:dyDescent="0.25">
      <c r="A54" s="54" t="s">
        <v>767</v>
      </c>
      <c r="B54" s="54" t="s">
        <v>767</v>
      </c>
      <c r="C54" s="54" t="s">
        <v>767</v>
      </c>
      <c r="D54" s="54" t="s">
        <v>285</v>
      </c>
    </row>
  </sheetData>
  <autoFilter ref="A1:C77" xr:uid="{3A3B75FA-C874-404B-B7CD-F3DDBED687CD}"/>
  <customSheetViews>
    <customSheetView guid="{52D1722A-E00E-455D-B18E-AA205BA79E79}" scale="80" showAutoFilter="1">
      <selection activeCell="M2" sqref="M2:U36"/>
      <pageMargins left="0.7" right="0.7" top="0.75" bottom="0.75" header="0.3" footer="0.3"/>
      <pageSetup orientation="portrait" r:id="rId1"/>
      <autoFilter ref="M1:T36" xr:uid="{86F6A235-4E8B-419A-8CE7-17BB812153F3}"/>
    </customSheetView>
  </customSheetView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vt:i4>
      </vt:variant>
    </vt:vector>
  </HeadingPairs>
  <TitlesOfParts>
    <vt:vector size="35" baseType="lpstr">
      <vt:lpstr>Dash</vt:lpstr>
      <vt:lpstr>My</vt:lpstr>
      <vt:lpstr>Y</vt:lpstr>
      <vt:lpstr>TL</vt:lpstr>
      <vt:lpstr>TD</vt:lpstr>
      <vt:lpstr>TW</vt:lpstr>
      <vt:lpstr>TO</vt:lpstr>
      <vt:lpstr>RR</vt:lpstr>
      <vt:lpstr>call</vt:lpstr>
      <vt:lpstr>F</vt:lpstr>
      <vt:lpstr>CS</vt:lpstr>
      <vt:lpstr>etf</vt:lpstr>
      <vt:lpstr>etfchg</vt:lpstr>
      <vt:lpstr>II</vt:lpstr>
      <vt:lpstr>IIchg</vt:lpstr>
      <vt:lpstr>psRk</vt:lpstr>
      <vt:lpstr>ps5</vt:lpstr>
      <vt:lpstr>psTn</vt:lpstr>
      <vt:lpstr>ssH</vt:lpstr>
      <vt:lpstr>Trig</vt:lpstr>
      <vt:lpstr>MA</vt:lpstr>
      <vt:lpstr>Stks</vt:lpstr>
      <vt:lpstr>Miss</vt:lpstr>
      <vt:lpstr>ps</vt:lpstr>
      <vt:lpstr>ssL</vt:lpstr>
      <vt:lpstr>sss</vt:lpstr>
      <vt:lpstr>Parm</vt:lpstr>
      <vt:lpstr>Desc</vt:lpstr>
      <vt:lpstr>Sctr</vt:lpstr>
      <vt:lpstr>ISMH</vt:lpstr>
      <vt:lpstr>Data</vt:lpstr>
      <vt:lpstr>HQuad</vt:lpstr>
      <vt:lpstr>HQds</vt:lpstr>
      <vt:lpstr>RRT</vt:lpstr>
      <vt:lpstr>HQuad!_FilterDatabase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Chilukuri</dc:creator>
  <cp:lastModifiedBy>Ashok Chilukuri</cp:lastModifiedBy>
  <cp:lastPrinted>2024-11-26T04:09:00Z</cp:lastPrinted>
  <dcterms:created xsi:type="dcterms:W3CDTF">2022-12-09T19:50:20Z</dcterms:created>
  <dcterms:modified xsi:type="dcterms:W3CDTF">2026-05-05T05:30:03Z</dcterms:modified>
</cp:coreProperties>
</file>